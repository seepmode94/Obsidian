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24226"/>
  <xr:revisionPtr revIDLastSave="0" documentId="11_C8EDD5EE668558C8A3404E998371F85939EC3C5E" xr6:coauthVersionLast="47" xr6:coauthVersionMax="47" xr10:uidLastSave="{00000000-0000-0000-0000-000000000000}"/>
  <bookViews>
    <workbookView xWindow="13485" yWindow="180" windowWidth="14880" windowHeight="12675" tabRatio="910" firstSheet="1" activeTab="1" xr2:uid="{00000000-000D-0000-FFFF-FFFF00000000}"/>
  </bookViews>
  <sheets>
    <sheet name="02 - 2025" sheetId="14" r:id="rId1"/>
    <sheet name="02 - 2026" sheetId="90" r:id="rId2"/>
    <sheet name="01 - Tx Crescimento" sheetId="17" r:id="rId3"/>
    <sheet name="GLOBAIS" sheetId="105" r:id="rId4"/>
    <sheet name="202602" sheetId="106" r:id="rId5"/>
    <sheet name="202603" sheetId="107" r:id="rId6"/>
    <sheet name="Analise " sheetId="108" r:id="rId7"/>
    <sheet name="ROTAS" sheetId="101" r:id="rId8"/>
    <sheet name="Divisão Rotas" sheetId="102" r:id="rId9"/>
    <sheet name="Passwords" sheetId="103" r:id="rId10"/>
    <sheet name="pass recrutamento" sheetId="104" r:id="rId11"/>
    <sheet name="INES" sheetId="109" r:id="rId12"/>
  </sheets>
  <definedNames>
    <definedName name="_xlnm._FilterDatabase" localSheetId="2" hidden="1">'01 - Tx Crescimento'!$A$3:$W$166</definedName>
    <definedName name="_xlnm._FilterDatabase" localSheetId="0" hidden="1">'02 - 2025'!$A$3:$AV$2081</definedName>
    <definedName name="_xlnm._FilterDatabase" localSheetId="1" hidden="1">'02 - 2026'!$A$1:$AY$707</definedName>
    <definedName name="_xlnm._FilterDatabase" localSheetId="7" hidden="1">ROTAS!$A$2:$I$50</definedName>
  </definedNames>
  <calcPr calcId="125725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683" i="90" l="1"/>
  <c r="I15" i="105"/>
  <c r="F11" i="105"/>
  <c r="E11" i="105"/>
  <c r="BB796" i="90"/>
  <c r="BB764" i="90"/>
  <c r="BB707" i="90"/>
  <c r="BB704" i="90"/>
  <c r="BB703" i="90"/>
  <c r="BB678" i="90"/>
  <c r="BB717" i="90"/>
  <c r="BB712" i="90"/>
  <c r="AY12" i="109"/>
  <c r="AY11" i="109"/>
  <c r="AY4" i="109"/>
  <c r="AY8" i="109"/>
  <c r="AY7" i="109"/>
  <c r="AY3" i="109"/>
  <c r="AY2" i="109"/>
  <c r="BB599" i="90"/>
  <c r="BB802" i="90"/>
  <c r="BB801" i="90"/>
  <c r="BB794" i="90"/>
  <c r="BB793" i="90"/>
  <c r="BB776" i="90"/>
  <c r="BB785" i="90"/>
  <c r="BB605" i="90"/>
  <c r="C11" i="105"/>
  <c r="C15" i="105" s="1"/>
  <c r="G2" i="90"/>
  <c r="BB795" i="90"/>
  <c r="BB722" i="90"/>
  <c r="BB552" i="90"/>
  <c r="BB596" i="90"/>
  <c r="BB687" i="90" l="1"/>
  <c r="BB607" i="90" l="1"/>
  <c r="BB737" i="90"/>
  <c r="F10" i="108" l="1"/>
  <c r="E10" i="108"/>
  <c r="K9" i="108"/>
  <c r="E9" i="108" s="1"/>
  <c r="AE16" i="17"/>
  <c r="BB697" i="90" l="1"/>
  <c r="O9" i="108"/>
  <c r="I19" i="108"/>
  <c r="R14" i="108"/>
  <c r="V14" i="108" s="1"/>
  <c r="P9" i="108"/>
  <c r="U14" i="108"/>
  <c r="N14" i="108"/>
  <c r="N15" i="108"/>
  <c r="M15" i="108"/>
  <c r="F15" i="108"/>
  <c r="E15" i="108"/>
  <c r="M14" i="108"/>
  <c r="F14" i="108"/>
  <c r="E14" i="108"/>
  <c r="B14" i="108" s="1"/>
  <c r="U13" i="108"/>
  <c r="T13" i="108"/>
  <c r="R13" i="108"/>
  <c r="N13" i="108"/>
  <c r="M13" i="108"/>
  <c r="F13" i="108"/>
  <c r="E13" i="108"/>
  <c r="B13" i="108" s="1"/>
  <c r="U12" i="108"/>
  <c r="T12" i="108"/>
  <c r="R12" i="108"/>
  <c r="V12" i="108" s="1"/>
  <c r="N12" i="108"/>
  <c r="M12" i="108"/>
  <c r="F12" i="108"/>
  <c r="E12" i="108"/>
  <c r="B12" i="108" s="1"/>
  <c r="U11" i="108"/>
  <c r="T11" i="108"/>
  <c r="R11" i="108"/>
  <c r="N11" i="108"/>
  <c r="M11" i="108"/>
  <c r="F11" i="108"/>
  <c r="E11" i="108"/>
  <c r="U10" i="108"/>
  <c r="T10" i="108"/>
  <c r="R10" i="108"/>
  <c r="V10" i="108" s="1"/>
  <c r="N10" i="108"/>
  <c r="M10" i="108"/>
  <c r="Q9" i="108"/>
  <c r="L9" i="108"/>
  <c r="J9" i="108"/>
  <c r="N9" i="108" s="1"/>
  <c r="B10" i="108"/>
  <c r="C13" i="108" l="1"/>
  <c r="C14" i="108"/>
  <c r="R9" i="108"/>
  <c r="D14" i="108"/>
  <c r="D10" i="108"/>
  <c r="M9" i="108"/>
  <c r="D12" i="108"/>
  <c r="B11" i="108"/>
  <c r="S11" i="108"/>
  <c r="V11" i="108"/>
  <c r="V13" i="108"/>
  <c r="F9" i="108"/>
  <c r="C10" i="108" s="1"/>
  <c r="D11" i="108"/>
  <c r="D13" i="108"/>
  <c r="C12" i="108" l="1"/>
  <c r="C11" i="108"/>
  <c r="S13" i="108"/>
  <c r="D9" i="108"/>
  <c r="S10" i="108"/>
  <c r="S12" i="108"/>
  <c r="AT482" i="90" l="1"/>
  <c r="AU482" i="90" s="1"/>
  <c r="AT375" i="90"/>
  <c r="AU375" i="90" s="1"/>
  <c r="AT346" i="90"/>
  <c r="AU346" i="90" s="1"/>
  <c r="AT522" i="90"/>
  <c r="AU522" i="90" s="1"/>
  <c r="AT520" i="90"/>
  <c r="AV520" i="90" s="1"/>
  <c r="AT519" i="90"/>
  <c r="AU519" i="90" s="1"/>
  <c r="AT489" i="90"/>
  <c r="AY489" i="90" s="1"/>
  <c r="AT478" i="90"/>
  <c r="AU478" i="90" s="1"/>
  <c r="AT475" i="90"/>
  <c r="AX475" i="90" s="1"/>
  <c r="AT419" i="90"/>
  <c r="AX419" i="90" s="1"/>
  <c r="AT380" i="90"/>
  <c r="AU380" i="90" s="1"/>
  <c r="AT354" i="90"/>
  <c r="AU354" i="90" s="1"/>
  <c r="AT350" i="90"/>
  <c r="AV350" i="90" s="1"/>
  <c r="AT345" i="90"/>
  <c r="AU345" i="90" s="1"/>
  <c r="AT344" i="90"/>
  <c r="AY344" i="90" s="1"/>
  <c r="AT342" i="90"/>
  <c r="AU342" i="90" s="1"/>
  <c r="AT339" i="90"/>
  <c r="AV339" i="90" s="1"/>
  <c r="AY375" i="90" l="1"/>
  <c r="AX375" i="90"/>
  <c r="AY482" i="90"/>
  <c r="AX482" i="90"/>
  <c r="AV482" i="90"/>
  <c r="AY346" i="90"/>
  <c r="AX346" i="90"/>
  <c r="AW346" i="90"/>
  <c r="AW375" i="90"/>
  <c r="AV375" i="90"/>
  <c r="AV346" i="90"/>
  <c r="AW354" i="90"/>
  <c r="AW350" i="90"/>
  <c r="AW344" i="90"/>
  <c r="AX380" i="90"/>
  <c r="AW342" i="90"/>
  <c r="AW339" i="90"/>
  <c r="AW345" i="90"/>
  <c r="AW380" i="90"/>
  <c r="AY522" i="90"/>
  <c r="AX522" i="90"/>
  <c r="AV522" i="90"/>
  <c r="AX354" i="90"/>
  <c r="AY345" i="90"/>
  <c r="AU350" i="90"/>
  <c r="AU419" i="90"/>
  <c r="AV344" i="90"/>
  <c r="AU344" i="90"/>
  <c r="AV489" i="90"/>
  <c r="AU489" i="90"/>
  <c r="AU339" i="90"/>
  <c r="AV354" i="90"/>
  <c r="AV475" i="90"/>
  <c r="AU520" i="90"/>
  <c r="AU475" i="90"/>
  <c r="AV419" i="90"/>
  <c r="AX489" i="90"/>
  <c r="AY339" i="90"/>
  <c r="AX339" i="90"/>
  <c r="AY475" i="90"/>
  <c r="AY519" i="90"/>
  <c r="AX344" i="90"/>
  <c r="AY354" i="90"/>
  <c r="AV519" i="90"/>
  <c r="AX345" i="90"/>
  <c r="AY380" i="90"/>
  <c r="AX519" i="90"/>
  <c r="AY342" i="90"/>
  <c r="AV345" i="90"/>
  <c r="AY478" i="90"/>
  <c r="AX342" i="90"/>
  <c r="AY350" i="90"/>
  <c r="AV380" i="90"/>
  <c r="AX478" i="90"/>
  <c r="AY520" i="90"/>
  <c r="AV342" i="90"/>
  <c r="AX350" i="90"/>
  <c r="AY419" i="90"/>
  <c r="AV478" i="90"/>
  <c r="AX520" i="90"/>
  <c r="AQ1" i="90" l="1"/>
  <c r="AS1" i="90"/>
  <c r="AR1" i="90"/>
  <c r="AO1" i="90"/>
  <c r="AP1" i="90"/>
  <c r="AK43" i="107"/>
  <c r="AJ43" i="107"/>
  <c r="AI43" i="107"/>
  <c r="AD43" i="107"/>
  <c r="AC43" i="107"/>
  <c r="AB43" i="107"/>
  <c r="AM41" i="107"/>
  <c r="AL41" i="107"/>
  <c r="AN41" i="107" s="1"/>
  <c r="AF41" i="107"/>
  <c r="AE41" i="107"/>
  <c r="AG41" i="107" s="1"/>
  <c r="AM40" i="107"/>
  <c r="AL40" i="107"/>
  <c r="AN40" i="107" s="1"/>
  <c r="AF40" i="107"/>
  <c r="AE40" i="107"/>
  <c r="AG40" i="107" s="1"/>
  <c r="D34" i="107"/>
  <c r="F34" i="107" s="1"/>
  <c r="AN33" i="107"/>
  <c r="AM33" i="107"/>
  <c r="AL33" i="107"/>
  <c r="AF33" i="107"/>
  <c r="AE33" i="107"/>
  <c r="AG33" i="107" s="1"/>
  <c r="AM32" i="107"/>
  <c r="AL32" i="107"/>
  <c r="AF32" i="107"/>
  <c r="AE32" i="107"/>
  <c r="D29" i="107"/>
  <c r="F29" i="107" s="1"/>
  <c r="AK25" i="107"/>
  <c r="AJ25" i="107"/>
  <c r="AI25" i="107"/>
  <c r="AM25" i="107" s="1"/>
  <c r="AD25" i="107"/>
  <c r="AC25" i="107"/>
  <c r="AB25" i="107"/>
  <c r="D24" i="107"/>
  <c r="F24" i="107" s="1"/>
  <c r="AM23" i="107"/>
  <c r="AL23" i="107"/>
  <c r="AF23" i="107"/>
  <c r="AE23" i="107"/>
  <c r="AE10" i="107" s="1"/>
  <c r="AM22" i="107"/>
  <c r="AL22" i="107"/>
  <c r="AN22" i="107" s="1"/>
  <c r="AF22" i="107"/>
  <c r="AE22" i="107"/>
  <c r="AG22" i="107" s="1"/>
  <c r="AM20" i="107"/>
  <c r="AL20" i="107"/>
  <c r="AN20" i="107" s="1"/>
  <c r="AF20" i="107"/>
  <c r="AE20" i="107"/>
  <c r="AG20" i="107" s="1"/>
  <c r="Y20" i="107"/>
  <c r="X20" i="107"/>
  <c r="W20" i="107"/>
  <c r="V20" i="107"/>
  <c r="U20" i="107"/>
  <c r="T20" i="107"/>
  <c r="S20" i="107"/>
  <c r="R20" i="107"/>
  <c r="Q20" i="107"/>
  <c r="P20" i="107"/>
  <c r="O20" i="107"/>
  <c r="N20" i="107"/>
  <c r="M20" i="107"/>
  <c r="C20" i="107"/>
  <c r="C25" i="107" s="1"/>
  <c r="C30" i="107" s="1"/>
  <c r="C35" i="107" s="1"/>
  <c r="B20" i="107"/>
  <c r="B30" i="107" s="1"/>
  <c r="AN19" i="107"/>
  <c r="AM19" i="107"/>
  <c r="AL19" i="107"/>
  <c r="AF19" i="107"/>
  <c r="AE19" i="107"/>
  <c r="D19" i="107"/>
  <c r="F19" i="107" s="1"/>
  <c r="Z15" i="107"/>
  <c r="D15" i="107"/>
  <c r="F15" i="107" s="1"/>
  <c r="Z14" i="107"/>
  <c r="D14" i="107"/>
  <c r="F14" i="107" s="1"/>
  <c r="AK10" i="107"/>
  <c r="AJ10" i="107"/>
  <c r="AI10" i="107"/>
  <c r="AD10" i="107"/>
  <c r="AC10" i="107"/>
  <c r="AB10" i="107"/>
  <c r="H10" i="107"/>
  <c r="AK9" i="107"/>
  <c r="AJ9" i="107"/>
  <c r="AI9" i="107"/>
  <c r="AD9" i="107"/>
  <c r="AC9" i="107"/>
  <c r="AB9" i="107"/>
  <c r="H9" i="107"/>
  <c r="F9" i="107"/>
  <c r="AL8" i="107"/>
  <c r="AK8" i="107"/>
  <c r="AJ8" i="107"/>
  <c r="AI8" i="107"/>
  <c r="AD8" i="107"/>
  <c r="AC8" i="107"/>
  <c r="AB8" i="107"/>
  <c r="H8" i="107"/>
  <c r="F8" i="107"/>
  <c r="AL7" i="107"/>
  <c r="AK7" i="107"/>
  <c r="AJ7" i="107"/>
  <c r="AI7" i="107"/>
  <c r="AD7" i="107"/>
  <c r="AC7" i="107"/>
  <c r="AB7" i="107"/>
  <c r="H7" i="107"/>
  <c r="F7" i="107"/>
  <c r="E7" i="107"/>
  <c r="AK43" i="106"/>
  <c r="AJ43" i="106"/>
  <c r="AI43" i="106"/>
  <c r="AD43" i="106"/>
  <c r="AC43" i="106"/>
  <c r="AB43" i="106"/>
  <c r="AM41" i="106"/>
  <c r="AL41" i="106"/>
  <c r="AN41" i="106" s="1"/>
  <c r="AF41" i="106"/>
  <c r="AE41" i="106"/>
  <c r="AG41" i="106" s="1"/>
  <c r="AM40" i="106"/>
  <c r="AL40" i="106"/>
  <c r="AN40" i="106" s="1"/>
  <c r="AF40" i="106"/>
  <c r="AE40" i="106"/>
  <c r="AG40" i="106" s="1"/>
  <c r="D34" i="106"/>
  <c r="F34" i="106" s="1"/>
  <c r="AM33" i="106"/>
  <c r="AL33" i="106"/>
  <c r="AN33" i="106" s="1"/>
  <c r="AF33" i="106"/>
  <c r="AE33" i="106"/>
  <c r="AG33" i="106" s="1"/>
  <c r="AM32" i="106"/>
  <c r="AL32" i="106"/>
  <c r="AF32" i="106"/>
  <c r="AE32" i="106"/>
  <c r="D29" i="106"/>
  <c r="F29" i="106" s="1"/>
  <c r="AK25" i="106"/>
  <c r="AJ25" i="106"/>
  <c r="AI25" i="106"/>
  <c r="AD25" i="106"/>
  <c r="AC25" i="106"/>
  <c r="AB25" i="106"/>
  <c r="D24" i="106"/>
  <c r="F24" i="106" s="1"/>
  <c r="AM23" i="106"/>
  <c r="AL23" i="106"/>
  <c r="AN23" i="106" s="1"/>
  <c r="AF23" i="106"/>
  <c r="AE23" i="106"/>
  <c r="AG23" i="106" s="1"/>
  <c r="AM22" i="106"/>
  <c r="AL22" i="106"/>
  <c r="AN22" i="106" s="1"/>
  <c r="AF22" i="106"/>
  <c r="AE22" i="106"/>
  <c r="AG22" i="106" s="1"/>
  <c r="AM20" i="106"/>
  <c r="AL20" i="106"/>
  <c r="AN20" i="106" s="1"/>
  <c r="AF20" i="106"/>
  <c r="AE20" i="106"/>
  <c r="AG20" i="106" s="1"/>
  <c r="Y20" i="106"/>
  <c r="X20" i="106"/>
  <c r="W20" i="106"/>
  <c r="V20" i="106"/>
  <c r="U20" i="106"/>
  <c r="T20" i="106"/>
  <c r="S20" i="106"/>
  <c r="R20" i="106"/>
  <c r="Q20" i="106"/>
  <c r="P20" i="106"/>
  <c r="O20" i="106"/>
  <c r="N20" i="106"/>
  <c r="M20" i="106"/>
  <c r="C20" i="106"/>
  <c r="C25" i="106" s="1"/>
  <c r="C30" i="106" s="1"/>
  <c r="C35" i="106" s="1"/>
  <c r="B20" i="106"/>
  <c r="B25" i="106" s="1"/>
  <c r="AM19" i="106"/>
  <c r="AL19" i="106"/>
  <c r="AF19" i="106"/>
  <c r="AE19" i="106"/>
  <c r="AE7" i="106" s="1"/>
  <c r="D19" i="106"/>
  <c r="F19" i="106" s="1"/>
  <c r="Y15" i="106"/>
  <c r="X15" i="106"/>
  <c r="W15" i="106"/>
  <c r="V15" i="106"/>
  <c r="U15" i="106"/>
  <c r="T15" i="106"/>
  <c r="S15" i="106"/>
  <c r="R15" i="106"/>
  <c r="Q15" i="106"/>
  <c r="P15" i="106"/>
  <c r="O15" i="106"/>
  <c r="N15" i="106"/>
  <c r="M15" i="106"/>
  <c r="D15" i="106"/>
  <c r="F15" i="106" s="1"/>
  <c r="Z14" i="106"/>
  <c r="D14" i="106"/>
  <c r="F14" i="106" s="1"/>
  <c r="AL10" i="106"/>
  <c r="AK10" i="106"/>
  <c r="AJ10" i="106"/>
  <c r="AI10" i="106"/>
  <c r="AD10" i="106"/>
  <c r="AC10" i="106"/>
  <c r="AB10" i="106"/>
  <c r="Q10" i="106"/>
  <c r="Q11" i="106" s="1"/>
  <c r="Q13" i="106" s="1"/>
  <c r="Q17" i="106" s="1"/>
  <c r="H10" i="106"/>
  <c r="AK9" i="106"/>
  <c r="AJ9" i="106"/>
  <c r="AI9" i="106"/>
  <c r="AD9" i="106"/>
  <c r="AC9" i="106"/>
  <c r="AB9" i="106"/>
  <c r="H9" i="106"/>
  <c r="F9" i="106"/>
  <c r="AK8" i="106"/>
  <c r="AJ8" i="106"/>
  <c r="AI8" i="106"/>
  <c r="AD8" i="106"/>
  <c r="AC8" i="106"/>
  <c r="AB8" i="106"/>
  <c r="H8" i="106"/>
  <c r="F8" i="106"/>
  <c r="AK7" i="106"/>
  <c r="AJ7" i="106"/>
  <c r="AJ12" i="106" s="1"/>
  <c r="AI7" i="106"/>
  <c r="AD7" i="106"/>
  <c r="AC7" i="106"/>
  <c r="AB7" i="106"/>
  <c r="H7" i="106"/>
  <c r="F7" i="106"/>
  <c r="E7" i="106"/>
  <c r="AM7" i="106" l="1"/>
  <c r="AM9" i="106"/>
  <c r="AM8" i="106"/>
  <c r="AM25" i="106"/>
  <c r="AL25" i="106"/>
  <c r="AF8" i="107"/>
  <c r="AN8" i="107"/>
  <c r="Q21" i="106"/>
  <c r="AM9" i="107"/>
  <c r="AM43" i="106"/>
  <c r="AF10" i="107"/>
  <c r="AF25" i="106"/>
  <c r="AF25" i="107"/>
  <c r="AE9" i="107"/>
  <c r="AE43" i="107"/>
  <c r="AG43" i="107" s="1"/>
  <c r="AM10" i="107"/>
  <c r="AM43" i="107"/>
  <c r="AK12" i="107"/>
  <c r="AD12" i="106"/>
  <c r="AF7" i="107"/>
  <c r="AM8" i="107"/>
  <c r="AF43" i="107"/>
  <c r="AF9" i="106"/>
  <c r="AF10" i="106"/>
  <c r="AF43" i="106"/>
  <c r="AL10" i="107"/>
  <c r="AN10" i="107" s="1"/>
  <c r="AE8" i="106"/>
  <c r="AG8" i="106" s="1"/>
  <c r="AN19" i="106"/>
  <c r="AG32" i="107"/>
  <c r="AL43" i="107"/>
  <c r="AN43" i="107" s="1"/>
  <c r="AG23" i="107"/>
  <c r="AE10" i="106"/>
  <c r="AG10" i="106" s="1"/>
  <c r="AL9" i="107"/>
  <c r="AN9" i="107" s="1"/>
  <c r="AE25" i="107"/>
  <c r="AG25" i="107" s="1"/>
  <c r="AB12" i="106"/>
  <c r="AL8" i="106"/>
  <c r="AN8" i="106" s="1"/>
  <c r="AN25" i="106"/>
  <c r="AM10" i="106"/>
  <c r="AG7" i="106"/>
  <c r="AN10" i="106"/>
  <c r="AE8" i="107"/>
  <c r="AG8" i="107" s="1"/>
  <c r="AL25" i="107"/>
  <c r="AN25" i="107" s="1"/>
  <c r="AN23" i="107"/>
  <c r="AG10" i="107"/>
  <c r="B30" i="106"/>
  <c r="D30" i="106" s="1"/>
  <c r="F30" i="106" s="1"/>
  <c r="F32" i="106" s="1"/>
  <c r="S10" i="106" s="1"/>
  <c r="AK12" i="106"/>
  <c r="AE43" i="106"/>
  <c r="AG43" i="106" s="1"/>
  <c r="AE7" i="107"/>
  <c r="AG7" i="107" s="1"/>
  <c r="AE25" i="106"/>
  <c r="AG25" i="106" s="1"/>
  <c r="AG32" i="106"/>
  <c r="AM7" i="107"/>
  <c r="AF9" i="107"/>
  <c r="AD12" i="107"/>
  <c r="D20" i="107"/>
  <c r="F20" i="107" s="1"/>
  <c r="F22" i="107" s="1"/>
  <c r="O10" i="107" s="1"/>
  <c r="AF8" i="106"/>
  <c r="AL9" i="106"/>
  <c r="AN9" i="106" s="1"/>
  <c r="Z15" i="106"/>
  <c r="AL43" i="106"/>
  <c r="AN43" i="106" s="1"/>
  <c r="AJ12" i="107"/>
  <c r="AG9" i="107"/>
  <c r="D30" i="107"/>
  <c r="F30" i="107" s="1"/>
  <c r="F32" i="107" s="1"/>
  <c r="S10" i="107" s="1"/>
  <c r="D55" i="107"/>
  <c r="F17" i="107"/>
  <c r="M10" i="107" s="1"/>
  <c r="AN7" i="107"/>
  <c r="AI12" i="107"/>
  <c r="AC12" i="107"/>
  <c r="B25" i="107"/>
  <c r="AN32" i="107"/>
  <c r="AB12" i="107"/>
  <c r="AG19" i="107"/>
  <c r="D55" i="106"/>
  <c r="D25" i="106"/>
  <c r="F25" i="106" s="1"/>
  <c r="B35" i="106"/>
  <c r="D35" i="106" s="1"/>
  <c r="F35" i="106" s="1"/>
  <c r="F37" i="106" s="1"/>
  <c r="AE9" i="106"/>
  <c r="R10" i="106"/>
  <c r="R11" i="106" s="1"/>
  <c r="R13" i="106" s="1"/>
  <c r="R17" i="106" s="1"/>
  <c r="R21" i="106" s="1"/>
  <c r="AI12" i="106"/>
  <c r="D20" i="106"/>
  <c r="F20" i="106" s="1"/>
  <c r="F22" i="106" s="1"/>
  <c r="O10" i="106" s="1"/>
  <c r="AC12" i="106"/>
  <c r="F17" i="106"/>
  <c r="M10" i="106" s="1"/>
  <c r="AN32" i="106"/>
  <c r="AF7" i="106"/>
  <c r="AL7" i="106"/>
  <c r="AG19" i="106"/>
  <c r="AE12" i="106" l="1"/>
  <c r="AG12" i="106" s="1"/>
  <c r="AM12" i="106"/>
  <c r="AM12" i="107"/>
  <c r="AF12" i="106"/>
  <c r="P10" i="107"/>
  <c r="P11" i="107" s="1"/>
  <c r="P13" i="107" s="1"/>
  <c r="P17" i="107" s="1"/>
  <c r="P21" i="107" s="1"/>
  <c r="O11" i="107"/>
  <c r="O13" i="107" s="1"/>
  <c r="O17" i="107" s="1"/>
  <c r="O21" i="107" s="1"/>
  <c r="E55" i="106"/>
  <c r="AE12" i="107"/>
  <c r="AG12" i="107" s="1"/>
  <c r="AL12" i="107"/>
  <c r="AN12" i="107" s="1"/>
  <c r="AL12" i="106"/>
  <c r="AN12" i="106" s="1"/>
  <c r="AF12" i="107"/>
  <c r="S11" i="107"/>
  <c r="S13" i="107" s="1"/>
  <c r="S17" i="107" s="1"/>
  <c r="S21" i="107" s="1"/>
  <c r="T10" i="107"/>
  <c r="T11" i="107" s="1"/>
  <c r="T13" i="107" s="1"/>
  <c r="T17" i="107" s="1"/>
  <c r="T21" i="107" s="1"/>
  <c r="D25" i="107"/>
  <c r="F25" i="107" s="1"/>
  <c r="F27" i="107" s="1"/>
  <c r="Q10" i="107" s="1"/>
  <c r="B35" i="107"/>
  <c r="D35" i="107" s="1"/>
  <c r="F35" i="107" s="1"/>
  <c r="F37" i="107" s="1"/>
  <c r="X10" i="107"/>
  <c r="X11" i="107" s="1"/>
  <c r="X13" i="107" s="1"/>
  <c r="X17" i="107" s="1"/>
  <c r="M11" i="107"/>
  <c r="M13" i="107" s="1"/>
  <c r="N10" i="107"/>
  <c r="N11" i="107" s="1"/>
  <c r="N13" i="107" s="1"/>
  <c r="N17" i="107" s="1"/>
  <c r="N21" i="107" s="1"/>
  <c r="U10" i="106"/>
  <c r="U11" i="106" s="1"/>
  <c r="U13" i="106" s="1"/>
  <c r="U17" i="106" s="1"/>
  <c r="V10" i="106"/>
  <c r="V11" i="106" s="1"/>
  <c r="V13" i="106" s="1"/>
  <c r="V17" i="106" s="1"/>
  <c r="X10" i="106"/>
  <c r="X11" i="106" s="1"/>
  <c r="X13" i="106" s="1"/>
  <c r="X17" i="106" s="1"/>
  <c r="X21" i="106" s="1"/>
  <c r="M11" i="106"/>
  <c r="N10" i="106"/>
  <c r="N11" i="106" s="1"/>
  <c r="N13" i="106" s="1"/>
  <c r="N17" i="106" s="1"/>
  <c r="N21" i="106" s="1"/>
  <c r="O11" i="106"/>
  <c r="O13" i="106" s="1"/>
  <c r="O17" i="106" s="1"/>
  <c r="O21" i="106" s="1"/>
  <c r="P10" i="106"/>
  <c r="P11" i="106" s="1"/>
  <c r="P13" i="106" s="1"/>
  <c r="P17" i="106" s="1"/>
  <c r="P21" i="106" s="1"/>
  <c r="AN7" i="106"/>
  <c r="AG9" i="106"/>
  <c r="S11" i="106"/>
  <c r="S13" i="106" s="1"/>
  <c r="S17" i="106" s="1"/>
  <c r="S21" i="106" s="1"/>
  <c r="T10" i="106"/>
  <c r="T11" i="106" s="1"/>
  <c r="T13" i="106" s="1"/>
  <c r="T17" i="106" s="1"/>
  <c r="T21" i="106" s="1"/>
  <c r="C55" i="106"/>
  <c r="F57" i="106" s="1"/>
  <c r="Y10" i="106" s="1"/>
  <c r="Q11" i="107" l="1"/>
  <c r="Q13" i="107" s="1"/>
  <c r="Q17" i="107" s="1"/>
  <c r="Q21" i="107" s="1"/>
  <c r="R10" i="107"/>
  <c r="R11" i="107" s="1"/>
  <c r="R13" i="107" s="1"/>
  <c r="R17" i="107" s="1"/>
  <c r="R21" i="107" s="1"/>
  <c r="U10" i="107"/>
  <c r="U11" i="107" s="1"/>
  <c r="U13" i="107" s="1"/>
  <c r="U17" i="107" s="1"/>
  <c r="U21" i="107" s="1"/>
  <c r="V10" i="107"/>
  <c r="V11" i="107" s="1"/>
  <c r="V13" i="107" s="1"/>
  <c r="V17" i="107" s="1"/>
  <c r="V21" i="107" s="1"/>
  <c r="E55" i="107"/>
  <c r="C55" i="107" s="1"/>
  <c r="F57" i="107" s="1"/>
  <c r="Y10" i="107" s="1"/>
  <c r="Y11" i="106"/>
  <c r="Y13" i="106" s="1"/>
  <c r="Y17" i="106" s="1"/>
  <c r="Y21" i="106" s="1"/>
  <c r="W10" i="106"/>
  <c r="W11" i="106" s="1"/>
  <c r="W13" i="106" s="1"/>
  <c r="W17" i="106" s="1"/>
  <c r="W21" i="106" s="1"/>
  <c r="M13" i="106"/>
  <c r="Z11" i="106" l="1"/>
  <c r="L10" i="106"/>
  <c r="M17" i="107"/>
  <c r="W10" i="107"/>
  <c r="W11" i="107" s="1"/>
  <c r="W13" i="107" s="1"/>
  <c r="W17" i="107" s="1"/>
  <c r="W21" i="107" s="1"/>
  <c r="Y11" i="107"/>
  <c r="Y13" i="107" s="1"/>
  <c r="Y17" i="107" s="1"/>
  <c r="Y21" i="107" s="1"/>
  <c r="Z13" i="106"/>
  <c r="M17" i="106"/>
  <c r="Z13" i="107" l="1"/>
  <c r="L10" i="107"/>
  <c r="M21" i="107"/>
  <c r="Z17" i="107"/>
  <c r="Z11" i="107"/>
  <c r="M21" i="106"/>
  <c r="Z17" i="106"/>
  <c r="G11" i="105" l="1"/>
  <c r="BB749" i="90"/>
  <c r="BB728" i="90"/>
  <c r="BB761" i="90"/>
  <c r="BB615" i="90" l="1"/>
  <c r="BB450" i="90"/>
  <c r="BB451" i="90"/>
  <c r="BB390" i="90"/>
  <c r="BB745" i="90"/>
  <c r="BB726" i="90"/>
  <c r="BB765" i="90"/>
  <c r="BB735" i="90"/>
  <c r="BB709" i="90"/>
  <c r="BB675" i="90"/>
  <c r="BB696" i="90"/>
  <c r="BB790" i="90"/>
  <c r="BB754" i="90"/>
  <c r="BB559" i="90"/>
  <c r="BB763" i="90"/>
  <c r="BB695" i="90"/>
  <c r="BB674" i="90"/>
  <c r="BB702" i="90"/>
  <c r="BB699" i="90"/>
  <c r="BB694" i="90"/>
  <c r="BB714" i="90"/>
  <c r="BB608" i="90"/>
  <c r="BB598" i="90"/>
  <c r="BB508" i="90"/>
  <c r="BB758" i="90"/>
  <c r="BB597" i="90"/>
  <c r="BB679" i="90"/>
  <c r="BB680" i="90"/>
  <c r="BB604" i="90"/>
  <c r="BB744" i="90"/>
  <c r="BB512" i="90" l="1"/>
  <c r="BB614" i="90"/>
  <c r="BB741" i="90"/>
  <c r="BB606" i="90"/>
  <c r="BB470" i="90"/>
  <c r="BB533" i="90"/>
  <c r="BB375" i="90" l="1"/>
  <c r="BB471" i="90" l="1"/>
  <c r="BB433" i="90"/>
  <c r="BB713" i="90" l="1"/>
  <c r="BB513" i="90"/>
  <c r="BB509" i="90"/>
  <c r="BB511" i="90"/>
  <c r="BB497" i="90"/>
  <c r="E15" i="105"/>
  <c r="G15" i="105"/>
  <c r="D11" i="105"/>
  <c r="D15" i="105" l="1"/>
  <c r="H11" i="105"/>
  <c r="H15" i="105" s="1"/>
  <c r="BB455" i="90"/>
  <c r="F15" i="105" l="1"/>
  <c r="BB462" i="90"/>
  <c r="BB461" i="90"/>
  <c r="BB454" i="90"/>
  <c r="BB736" i="90"/>
  <c r="BB769" i="90"/>
  <c r="BB752" i="90"/>
  <c r="BB800" i="90"/>
  <c r="BB791" i="90"/>
  <c r="BB788" i="90"/>
  <c r="BB787" i="90"/>
  <c r="BB773" i="90"/>
  <c r="BB772" i="90"/>
  <c r="BB792" i="90"/>
  <c r="BB781" i="90"/>
  <c r="BB751" i="90"/>
  <c r="BB739" i="90"/>
  <c r="BB734" i="90"/>
  <c r="BB725" i="90"/>
  <c r="BB715" i="90"/>
  <c r="BB711" i="90"/>
  <c r="BB710" i="90"/>
  <c r="BB686" i="90"/>
  <c r="BB682" i="90"/>
  <c r="BB681" i="90"/>
  <c r="BB612" i="90"/>
  <c r="BB609" i="90"/>
  <c r="BB602" i="90"/>
  <c r="BB601" i="90"/>
  <c r="BB600" i="90"/>
  <c r="BB560" i="90"/>
  <c r="BB558" i="90"/>
  <c r="BB557" i="90"/>
  <c r="BB556" i="90"/>
  <c r="BB551" i="90"/>
  <c r="BB547" i="90"/>
  <c r="BB510" i="90"/>
  <c r="BB507" i="90"/>
  <c r="BB506" i="90"/>
  <c r="BB505" i="90"/>
  <c r="BB504" i="90"/>
  <c r="BB503" i="90"/>
  <c r="BB502" i="90"/>
  <c r="BB501" i="90"/>
  <c r="BB499" i="90"/>
  <c r="BB498" i="90"/>
  <c r="BB496" i="90"/>
  <c r="BB495" i="90"/>
  <c r="BB494" i="90"/>
  <c r="BB469" i="90"/>
  <c r="BB468" i="90"/>
  <c r="BB467" i="90"/>
  <c r="BB466" i="90"/>
  <c r="BB465" i="90"/>
  <c r="BB464" i="90"/>
  <c r="BB460" i="90"/>
  <c r="BB459" i="90"/>
  <c r="BB458" i="90"/>
  <c r="BB457" i="90"/>
  <c r="BB456" i="90"/>
  <c r="BB453" i="90"/>
  <c r="BB452" i="90"/>
  <c r="BB449" i="90"/>
  <c r="BB448" i="90"/>
  <c r="BB447" i="90"/>
  <c r="BB446" i="90"/>
  <c r="BB445" i="90"/>
  <c r="BB444" i="90"/>
  <c r="BB443" i="90"/>
  <c r="BB442" i="90"/>
  <c r="BB432" i="90"/>
  <c r="BB431" i="90"/>
  <c r="BB430" i="90"/>
  <c r="BB429" i="90"/>
  <c r="BB428" i="90"/>
  <c r="BB427" i="90"/>
  <c r="BB426" i="90"/>
  <c r="BB425" i="90"/>
  <c r="BB424" i="90"/>
  <c r="BB423" i="90"/>
  <c r="BB422" i="90"/>
  <c r="BB421" i="90"/>
  <c r="BB420" i="90"/>
  <c r="BB419" i="90"/>
  <c r="BB418" i="90"/>
  <c r="BB417" i="90"/>
  <c r="BB416" i="90"/>
  <c r="BB415" i="90"/>
  <c r="BB414" i="90"/>
  <c r="BB413" i="90"/>
  <c r="BB412" i="90"/>
  <c r="BB411" i="90"/>
  <c r="BB410" i="90"/>
  <c r="BB409" i="90"/>
  <c r="BB408" i="90"/>
  <c r="BB407" i="90"/>
  <c r="BB406" i="90"/>
  <c r="BB405" i="90"/>
  <c r="BB404" i="90"/>
  <c r="BB403" i="90"/>
  <c r="BB402" i="90"/>
  <c r="BB401" i="90"/>
  <c r="BB400" i="90"/>
  <c r="BB399" i="90"/>
  <c r="BB398" i="90"/>
  <c r="BB397" i="90"/>
  <c r="BB396" i="90"/>
  <c r="BB395" i="90"/>
  <c r="BB394" i="90"/>
  <c r="BB393" i="90"/>
  <c r="BB392" i="90"/>
  <c r="BB391" i="90"/>
  <c r="BB389" i="90"/>
  <c r="BB388" i="90"/>
  <c r="BB387" i="90"/>
  <c r="BB386" i="90"/>
  <c r="BB385" i="90"/>
  <c r="BB384" i="90"/>
  <c r="BB383" i="90"/>
  <c r="BB382" i="90"/>
  <c r="BB381" i="90"/>
  <c r="BB380" i="90"/>
  <c r="BB379" i="90"/>
  <c r="BB378" i="90"/>
  <c r="BB377" i="90"/>
  <c r="BB376" i="90"/>
  <c r="BB374" i="90"/>
  <c r="BB373" i="90"/>
  <c r="BB372" i="90"/>
  <c r="BB371" i="90"/>
  <c r="BB370" i="90"/>
  <c r="BB369" i="90"/>
  <c r="BB368" i="90"/>
  <c r="BB367" i="90"/>
  <c r="BB366" i="90"/>
  <c r="BB365" i="90"/>
  <c r="BB364" i="90"/>
  <c r="BB363" i="90"/>
  <c r="BB362" i="90"/>
  <c r="BB361" i="90"/>
  <c r="BB360" i="90"/>
  <c r="BB359" i="90"/>
  <c r="BB358" i="90"/>
  <c r="BB357" i="90"/>
  <c r="BB356" i="90"/>
  <c r="BB355" i="90"/>
  <c r="BB354" i="90"/>
  <c r="BB353" i="90"/>
  <c r="BB352" i="90"/>
  <c r="BB351" i="90"/>
  <c r="BB350" i="90"/>
  <c r="BB349" i="90"/>
  <c r="BB348" i="90"/>
  <c r="BB347" i="90"/>
  <c r="BB346" i="90"/>
  <c r="BB345" i="90"/>
  <c r="BB344" i="90"/>
  <c r="BB343" i="90"/>
  <c r="BB342" i="90"/>
  <c r="BB341" i="90"/>
  <c r="BB339" i="90"/>
  <c r="BB338" i="90"/>
  <c r="BB337" i="90"/>
  <c r="BB336" i="90"/>
  <c r="BB335" i="90"/>
  <c r="BB334" i="90"/>
  <c r="BB333" i="90"/>
  <c r="BB332" i="90"/>
  <c r="BB331" i="90"/>
  <c r="BB330" i="90"/>
  <c r="BB329" i="90"/>
  <c r="BB328" i="90"/>
  <c r="BB327" i="90"/>
  <c r="BB326" i="90"/>
  <c r="BB325" i="90"/>
  <c r="BB324" i="90"/>
  <c r="BB323" i="90"/>
  <c r="BB322" i="90"/>
  <c r="BB321" i="90"/>
  <c r="BB320" i="90"/>
  <c r="BB319" i="90"/>
  <c r="BB318" i="90"/>
  <c r="BB317" i="90"/>
  <c r="BB316" i="90"/>
  <c r="BB315" i="90"/>
  <c r="BB314" i="90"/>
  <c r="BB313" i="90"/>
  <c r="BB312" i="90"/>
  <c r="BB311" i="90"/>
  <c r="BB310" i="90"/>
  <c r="BB309" i="90"/>
  <c r="BB308" i="90"/>
  <c r="BB307" i="90"/>
  <c r="BB306" i="90"/>
  <c r="BB305" i="90"/>
  <c r="BB304" i="90"/>
  <c r="BB303" i="90"/>
  <c r="BB302" i="90"/>
  <c r="BB301" i="90"/>
  <c r="BB300" i="90"/>
  <c r="BB299" i="90"/>
  <c r="BB298" i="90"/>
  <c r="BB297" i="90"/>
  <c r="BB296" i="90"/>
  <c r="BB295" i="90"/>
  <c r="BB294" i="90"/>
  <c r="BB293" i="90"/>
  <c r="BB292" i="90"/>
  <c r="BB291" i="90"/>
  <c r="BB290" i="90"/>
  <c r="BB289" i="90"/>
  <c r="BB288" i="90"/>
  <c r="BB287" i="90"/>
  <c r="BB286" i="90"/>
  <c r="BB285" i="90"/>
  <c r="BB284" i="90"/>
  <c r="BB283" i="90"/>
  <c r="BB282" i="90"/>
  <c r="BB281" i="90"/>
  <c r="BB280" i="90"/>
  <c r="BB279" i="90"/>
  <c r="BB278" i="90"/>
  <c r="BB277" i="90"/>
  <c r="BB276" i="90"/>
  <c r="BB275" i="90"/>
  <c r="BB274" i="90"/>
  <c r="BB273" i="90"/>
  <c r="BB272" i="90"/>
  <c r="BB271" i="90"/>
  <c r="BB270" i="90"/>
  <c r="BB269" i="90"/>
  <c r="BB268" i="90"/>
  <c r="BB267" i="90"/>
  <c r="BB266" i="90"/>
  <c r="BB265" i="90"/>
  <c r="BB264" i="90"/>
  <c r="BB263" i="90"/>
  <c r="BB262" i="90"/>
  <c r="BB261" i="90"/>
  <c r="BB260" i="90"/>
  <c r="BB259" i="90"/>
  <c r="BB258" i="90"/>
  <c r="BB257" i="90"/>
  <c r="BB256" i="90"/>
  <c r="BB255" i="90"/>
  <c r="BB254" i="90"/>
  <c r="BB253" i="90"/>
  <c r="BB252" i="90"/>
  <c r="BB251" i="90"/>
  <c r="BB250" i="90"/>
  <c r="BB249" i="90"/>
  <c r="BB248" i="90"/>
  <c r="BB247" i="90"/>
  <c r="BB246" i="90"/>
  <c r="BB245" i="90"/>
  <c r="BB244" i="90"/>
  <c r="BB243" i="90"/>
  <c r="BB242" i="90"/>
  <c r="BB241" i="90"/>
  <c r="BB240" i="90"/>
  <c r="BB239" i="90"/>
  <c r="BB238" i="90"/>
  <c r="BB237" i="90"/>
  <c r="BB236" i="90"/>
  <c r="BB235" i="90"/>
  <c r="BB234" i="90"/>
  <c r="BB233" i="90"/>
  <c r="BB232" i="90"/>
  <c r="BB231" i="90"/>
  <c r="BB230" i="90"/>
  <c r="BB229" i="90"/>
  <c r="BB228" i="90"/>
  <c r="BB227" i="90"/>
  <c r="BB226" i="90"/>
  <c r="BB225" i="90"/>
  <c r="BB224" i="90"/>
  <c r="BB223" i="90"/>
  <c r="BB222" i="90"/>
  <c r="BB221" i="90"/>
  <c r="BB220" i="90"/>
  <c r="BB219" i="90"/>
  <c r="BB218" i="90"/>
  <c r="BB217" i="90"/>
  <c r="BB216" i="90"/>
  <c r="BB215" i="90"/>
  <c r="BB214" i="90"/>
  <c r="BB213" i="90"/>
  <c r="BB212" i="90"/>
  <c r="BB211" i="90"/>
  <c r="BB210" i="90"/>
  <c r="BB209" i="90"/>
  <c r="BB208" i="90"/>
  <c r="BB207" i="90"/>
  <c r="BB206" i="90"/>
  <c r="BB205" i="90"/>
  <c r="BB204" i="90"/>
  <c r="BB203" i="90"/>
  <c r="BB202" i="90"/>
  <c r="BB201" i="90"/>
  <c r="BB200" i="90"/>
  <c r="BB199" i="90"/>
  <c r="BB198" i="90"/>
  <c r="BB197" i="90"/>
  <c r="BB196" i="90"/>
  <c r="BB195" i="90"/>
  <c r="BB194" i="90"/>
  <c r="BB193" i="90"/>
  <c r="BB192" i="90"/>
  <c r="BB191" i="90"/>
  <c r="BB190" i="90"/>
  <c r="BB189" i="90"/>
  <c r="BB188" i="90"/>
  <c r="BB187" i="90"/>
  <c r="BB186" i="90"/>
  <c r="BB185" i="90"/>
  <c r="BB184" i="90"/>
  <c r="BB183" i="90"/>
  <c r="BB182" i="90"/>
  <c r="BB181" i="90"/>
  <c r="BB180" i="90"/>
  <c r="BB179" i="90"/>
  <c r="BB178" i="90"/>
  <c r="BB177" i="90"/>
  <c r="BB176" i="90"/>
  <c r="BB175" i="90"/>
  <c r="BB174" i="90"/>
  <c r="BB173" i="90"/>
  <c r="BB172" i="90"/>
  <c r="BB171" i="90"/>
  <c r="BB170" i="90"/>
  <c r="BB169" i="90"/>
  <c r="BB168" i="90"/>
  <c r="BB167" i="90"/>
  <c r="BB166" i="90"/>
  <c r="BB165" i="90"/>
  <c r="BB164" i="90"/>
  <c r="BB163" i="90"/>
  <c r="BB162" i="90"/>
  <c r="BB161" i="90"/>
  <c r="BB160" i="90"/>
  <c r="BB159" i="90"/>
  <c r="BB158" i="90"/>
  <c r="BB157" i="90"/>
  <c r="BB156" i="90"/>
  <c r="BB155" i="90"/>
  <c r="BB154" i="90"/>
  <c r="BB153" i="90"/>
  <c r="BB152" i="90"/>
  <c r="BB151" i="90"/>
  <c r="BB150" i="90"/>
  <c r="BB149" i="90"/>
  <c r="BB148" i="90"/>
  <c r="BB147" i="90"/>
  <c r="BB146" i="90"/>
  <c r="BB145" i="90"/>
  <c r="BB144" i="90"/>
  <c r="BB143" i="90"/>
  <c r="BB142" i="90"/>
  <c r="BB141" i="90"/>
  <c r="BB140" i="90"/>
  <c r="BB139" i="90"/>
  <c r="BB138" i="90"/>
  <c r="BB137" i="90"/>
  <c r="BB136" i="90"/>
  <c r="BB135" i="90"/>
  <c r="BB134" i="90"/>
  <c r="BB133" i="90"/>
  <c r="BB132" i="90"/>
  <c r="BB131" i="90"/>
  <c r="BB130" i="90"/>
  <c r="BB129" i="90"/>
  <c r="BB128" i="90"/>
  <c r="BB127" i="90"/>
  <c r="BB126" i="90"/>
  <c r="BB125" i="90"/>
  <c r="BB124" i="90"/>
  <c r="BB123" i="90"/>
  <c r="BB122" i="90"/>
  <c r="BB121" i="90"/>
  <c r="BB120" i="90"/>
  <c r="BB119" i="90"/>
  <c r="BB118" i="90"/>
  <c r="BB117" i="90"/>
  <c r="BB116" i="90"/>
  <c r="BB115" i="90"/>
  <c r="BB114" i="90"/>
  <c r="BB113" i="90"/>
  <c r="BB112" i="90"/>
  <c r="BB111" i="90"/>
  <c r="BB110" i="90"/>
  <c r="BB109" i="90"/>
  <c r="BB108" i="90"/>
  <c r="BB107" i="90"/>
  <c r="BB106" i="90"/>
  <c r="BB105" i="90"/>
  <c r="BB104" i="90"/>
  <c r="BB103" i="90"/>
  <c r="BB102" i="90"/>
  <c r="BB101" i="90"/>
  <c r="BB100" i="90"/>
  <c r="BB99" i="90"/>
  <c r="BB98" i="90"/>
  <c r="BB97" i="90"/>
  <c r="BB96" i="90"/>
  <c r="BB95" i="90"/>
  <c r="BB94" i="90"/>
  <c r="BB93" i="90"/>
  <c r="BB92" i="90"/>
  <c r="BB91" i="90"/>
  <c r="BB90" i="90"/>
  <c r="BB89" i="90"/>
  <c r="BB88" i="90"/>
  <c r="BB87" i="90"/>
  <c r="BB86" i="90"/>
  <c r="BB85" i="90"/>
  <c r="BB84" i="90"/>
  <c r="BB83" i="90"/>
  <c r="BB82" i="90"/>
  <c r="BB81" i="90"/>
  <c r="BB80" i="90"/>
  <c r="BB79" i="90"/>
  <c r="BB78" i="90"/>
  <c r="BB77" i="90"/>
  <c r="BB76" i="90"/>
  <c r="BB75" i="90"/>
  <c r="BB74" i="90"/>
  <c r="BB73" i="90"/>
  <c r="BB72" i="90"/>
  <c r="BB71" i="90"/>
  <c r="BB70" i="90"/>
  <c r="BB69" i="90"/>
  <c r="BB68" i="90"/>
  <c r="BB67" i="90"/>
  <c r="BB66" i="90"/>
  <c r="BB65" i="90"/>
  <c r="BB64" i="90"/>
  <c r="BB63" i="90"/>
  <c r="BB62" i="90"/>
  <c r="BB61" i="90"/>
  <c r="BB60" i="90"/>
  <c r="BB59" i="90"/>
  <c r="BB58" i="90"/>
  <c r="BB57" i="90"/>
  <c r="BB56" i="90"/>
  <c r="BB55" i="90"/>
  <c r="BB54" i="90"/>
  <c r="BB53" i="90"/>
  <c r="BB52" i="90"/>
  <c r="BB51" i="90"/>
  <c r="BB50" i="90"/>
  <c r="BB49" i="90"/>
  <c r="BB48" i="90"/>
  <c r="BB47" i="90"/>
  <c r="BB46" i="90"/>
  <c r="BB45" i="90"/>
  <c r="BB44" i="90"/>
  <c r="BB43" i="90"/>
  <c r="BB42" i="90"/>
  <c r="BB41" i="90"/>
  <c r="BB40" i="90"/>
  <c r="BB39" i="90"/>
  <c r="BB38" i="90"/>
  <c r="BB37" i="90"/>
  <c r="BB36" i="90"/>
  <c r="BB35" i="90"/>
  <c r="BB34" i="90"/>
  <c r="BB33" i="90"/>
  <c r="BB32" i="90"/>
  <c r="BB31" i="90"/>
  <c r="BB30" i="90"/>
  <c r="BB29" i="90"/>
  <c r="BB28" i="90"/>
  <c r="BB27" i="90"/>
  <c r="BB26" i="90"/>
  <c r="BB25" i="90"/>
  <c r="BB24" i="90"/>
  <c r="BB23" i="90"/>
  <c r="BB22" i="90"/>
  <c r="BB21" i="90"/>
  <c r="BB20" i="90"/>
  <c r="BB19" i="90"/>
  <c r="BB18" i="90"/>
  <c r="BB17" i="90"/>
  <c r="BB16" i="90"/>
  <c r="BB15" i="90"/>
  <c r="BB14" i="90"/>
  <c r="BB13" i="90"/>
  <c r="BB12" i="90"/>
  <c r="BB11" i="90"/>
  <c r="BB10" i="90"/>
  <c r="BB9" i="90"/>
  <c r="BB8" i="90"/>
  <c r="BB7" i="90"/>
  <c r="BB6" i="90"/>
  <c r="BB5" i="90"/>
  <c r="BB4" i="90"/>
  <c r="E2" i="90" l="1"/>
  <c r="A2" i="90"/>
  <c r="G2" i="14"/>
  <c r="AJ15" i="17"/>
  <c r="AE1443" i="14"/>
  <c r="AF1443" i="14" s="1"/>
  <c r="AE1438" i="14"/>
  <c r="AG1438" i="14" s="1"/>
  <c r="AE1348" i="14"/>
  <c r="AG1348" i="14" s="1"/>
  <c r="G5" i="102"/>
  <c r="H5" i="102" s="1"/>
  <c r="H6" i="102"/>
  <c r="V9" i="102"/>
  <c r="I5" i="102" s="1"/>
  <c r="AA10" i="102"/>
  <c r="K28" i="102" s="1"/>
  <c r="R13" i="102"/>
  <c r="G29" i="102" s="1"/>
  <c r="AA15" i="102"/>
  <c r="K6" i="102" s="1"/>
  <c r="L6" i="102" s="1"/>
  <c r="G17" i="102"/>
  <c r="I17" i="102"/>
  <c r="J17" i="102" s="1"/>
  <c r="K17" i="102"/>
  <c r="L17" i="102" s="1"/>
  <c r="V17" i="102"/>
  <c r="I6" i="102" s="1"/>
  <c r="G18" i="102"/>
  <c r="H18" i="102" s="1"/>
  <c r="I18" i="102"/>
  <c r="J18" i="102" s="1"/>
  <c r="K18" i="102"/>
  <c r="L18" i="102" s="1"/>
  <c r="G19" i="102"/>
  <c r="H19" i="102" s="1"/>
  <c r="H20" i="102"/>
  <c r="I20" i="102"/>
  <c r="J20" i="102" s="1"/>
  <c r="K20" i="102"/>
  <c r="AA21" i="102"/>
  <c r="K7" i="102" s="1"/>
  <c r="L7" i="102" s="1"/>
  <c r="V22" i="102"/>
  <c r="I19" i="102" s="1"/>
  <c r="Z24" i="102"/>
  <c r="R26" i="102"/>
  <c r="G7" i="102" s="1"/>
  <c r="Q27" i="102"/>
  <c r="U27" i="102"/>
  <c r="H28" i="102"/>
  <c r="J29" i="102"/>
  <c r="L29" i="102"/>
  <c r="H30" i="102"/>
  <c r="I30" i="102"/>
  <c r="M30" i="102" s="1"/>
  <c r="L30" i="102"/>
  <c r="H31" i="102"/>
  <c r="I31" i="102"/>
  <c r="H40" i="102"/>
  <c r="K40" i="102"/>
  <c r="J41" i="102"/>
  <c r="L41" i="102"/>
  <c r="H42" i="102"/>
  <c r="L42" i="102"/>
  <c r="K43" i="102"/>
  <c r="L43" i="102" s="1"/>
  <c r="G44" i="102"/>
  <c r="H44" i="102" s="1"/>
  <c r="I44" i="102"/>
  <c r="J44" i="102" s="1"/>
  <c r="M20" i="102" l="1"/>
  <c r="J30" i="102"/>
  <c r="AB31" i="102"/>
  <c r="G41" i="102"/>
  <c r="M29" i="102"/>
  <c r="H29" i="102"/>
  <c r="G21" i="102"/>
  <c r="G23" i="102" s="1"/>
  <c r="M17" i="102"/>
  <c r="K32" i="102"/>
  <c r="L32" i="102" s="1"/>
  <c r="I28" i="102"/>
  <c r="J28" i="102" s="1"/>
  <c r="I42" i="102"/>
  <c r="M18" i="102"/>
  <c r="K31" i="102"/>
  <c r="AF1348" i="14"/>
  <c r="AF1438" i="14"/>
  <c r="AI1443" i="14"/>
  <c r="AH1443" i="14"/>
  <c r="AH1348" i="14"/>
  <c r="AH1438" i="14"/>
  <c r="AG1443" i="14"/>
  <c r="AI1438" i="14"/>
  <c r="J6" i="102"/>
  <c r="M6" i="102"/>
  <c r="J5" i="102"/>
  <c r="J19" i="102"/>
  <c r="L28" i="102"/>
  <c r="G9" i="102"/>
  <c r="H7" i="102"/>
  <c r="I21" i="102"/>
  <c r="L40" i="102"/>
  <c r="G32" i="102"/>
  <c r="V24" i="102"/>
  <c r="L20" i="102"/>
  <c r="K19" i="102"/>
  <c r="M19" i="102" s="1"/>
  <c r="D30" i="102" s="1"/>
  <c r="H17" i="102"/>
  <c r="K5" i="102"/>
  <c r="M5" i="102" s="1"/>
  <c r="I7" i="102"/>
  <c r="J7" i="102" s="1"/>
  <c r="I32" i="102"/>
  <c r="B2" i="90"/>
  <c r="B2" i="14"/>
  <c r="AR2062" i="14"/>
  <c r="AU2062" i="14" s="1"/>
  <c r="AR2058" i="14"/>
  <c r="AV2058" i="14" s="1"/>
  <c r="AR2055" i="14"/>
  <c r="AS2055" i="14" s="1"/>
  <c r="AV2047" i="14"/>
  <c r="AU2047" i="14"/>
  <c r="AT2047" i="14"/>
  <c r="AS2047" i="14"/>
  <c r="AR2035" i="14"/>
  <c r="AT2035" i="14" s="1"/>
  <c r="AR2028" i="14"/>
  <c r="AU2028" i="14" s="1"/>
  <c r="T2028" i="14"/>
  <c r="AR2027" i="14"/>
  <c r="AS2027" i="14" s="1"/>
  <c r="AR2026" i="14"/>
  <c r="AT2026" i="14" s="1"/>
  <c r="AR2025" i="14"/>
  <c r="AU2025" i="14" s="1"/>
  <c r="AR2020" i="14"/>
  <c r="AV2020" i="14" s="1"/>
  <c r="AR2019" i="14"/>
  <c r="AS2019" i="14" s="1"/>
  <c r="AR2010" i="14"/>
  <c r="AT2010" i="14" s="1"/>
  <c r="AR2008" i="14"/>
  <c r="AU2008" i="14" s="1"/>
  <c r="AR2006" i="14"/>
  <c r="AV2006" i="14" s="1"/>
  <c r="AR1991" i="14"/>
  <c r="AS1991" i="14" s="1"/>
  <c r="AR1986" i="14"/>
  <c r="AT1986" i="14" s="1"/>
  <c r="AR1984" i="14"/>
  <c r="AU1984" i="14" s="1"/>
  <c r="AR1981" i="14"/>
  <c r="AV1981" i="14" s="1"/>
  <c r="AR1974" i="14"/>
  <c r="AS1974" i="14" s="1"/>
  <c r="AR1954" i="14"/>
  <c r="AT1954" i="14" s="1"/>
  <c r="AR1723" i="14"/>
  <c r="AT1723" i="14" s="1"/>
  <c r="AR1721" i="14"/>
  <c r="AU1721" i="14" s="1"/>
  <c r="AR1713" i="14"/>
  <c r="AV1713" i="14" s="1"/>
  <c r="AR1706" i="14"/>
  <c r="AS1706" i="14" s="1"/>
  <c r="AR1705" i="14"/>
  <c r="AT1705" i="14" s="1"/>
  <c r="AR1703" i="14"/>
  <c r="AU1703" i="14" s="1"/>
  <c r="AR1700" i="14"/>
  <c r="AV1700" i="14" s="1"/>
  <c r="AR1698" i="14"/>
  <c r="AS1698" i="14" s="1"/>
  <c r="AR1696" i="14"/>
  <c r="AT1696" i="14" s="1"/>
  <c r="AR1695" i="14"/>
  <c r="AU1695" i="14" s="1"/>
  <c r="AR1688" i="14"/>
  <c r="AV1688" i="14" s="1"/>
  <c r="AR1686" i="14"/>
  <c r="AS1686" i="14" s="1"/>
  <c r="AR1676" i="14"/>
  <c r="AT1676" i="14" s="1"/>
  <c r="AR1671" i="14"/>
  <c r="AU1671" i="14" s="1"/>
  <c r="AR1664" i="14"/>
  <c r="AV1664" i="14" s="1"/>
  <c r="AR1663" i="14"/>
  <c r="AS1663" i="14" s="1"/>
  <c r="AR1651" i="14"/>
  <c r="AT1651" i="14" s="1"/>
  <c r="AR1644" i="14"/>
  <c r="AU1644" i="14" s="1"/>
  <c r="AR1640" i="14"/>
  <c r="AV1640" i="14" s="1"/>
  <c r="AR1628" i="14"/>
  <c r="AS1628" i="14" s="1"/>
  <c r="AR1624" i="14"/>
  <c r="AT1624" i="14" s="1"/>
  <c r="AR1623" i="14"/>
  <c r="AU1623" i="14" s="1"/>
  <c r="AR1622" i="14"/>
  <c r="AV1622" i="14" s="1"/>
  <c r="AR1610" i="14"/>
  <c r="AS1610" i="14" s="1"/>
  <c r="AR1606" i="14"/>
  <c r="AT1606" i="14" s="1"/>
  <c r="AE1341" i="14"/>
  <c r="AH1341" i="14" s="1"/>
  <c r="AE1340" i="14"/>
  <c r="AI1340" i="14" s="1"/>
  <c r="AE1323" i="14"/>
  <c r="AF1323" i="14" s="1"/>
  <c r="AE1318" i="14"/>
  <c r="AG1318" i="14" s="1"/>
  <c r="AE1228" i="14"/>
  <c r="AF1228" i="14" s="1"/>
  <c r="AE1206" i="14"/>
  <c r="AF1206" i="14" s="1"/>
  <c r="AE1205" i="14"/>
  <c r="AF1205" i="14" s="1"/>
  <c r="AE1188" i="14"/>
  <c r="AF1188" i="14" s="1"/>
  <c r="AE1183" i="14"/>
  <c r="AF1183" i="14" s="1"/>
  <c r="AC1094" i="14"/>
  <c r="AE1094" i="14" s="1"/>
  <c r="AC1092" i="14"/>
  <c r="AE1092" i="14" s="1"/>
  <c r="AC1085" i="14"/>
  <c r="AE1085" i="14" s="1"/>
  <c r="AC1075" i="14"/>
  <c r="AE1075" i="14" s="1"/>
  <c r="AC1073" i="14"/>
  <c r="AE1073" i="14" s="1"/>
  <c r="AC1060" i="14"/>
  <c r="AE1060" i="14" s="1"/>
  <c r="AC1023" i="14"/>
  <c r="AD1023" i="14" s="1"/>
  <c r="AC1022" i="14"/>
  <c r="AD1022" i="14" s="1"/>
  <c r="AC1015" i="14"/>
  <c r="AD1015" i="14" s="1"/>
  <c r="AC1006" i="14"/>
  <c r="AD1006" i="14" s="1"/>
  <c r="AC995" i="14"/>
  <c r="AD995" i="14" s="1"/>
  <c r="AC991" i="14"/>
  <c r="AD991" i="14" s="1"/>
  <c r="AC990" i="14"/>
  <c r="AD990" i="14" s="1"/>
  <c r="AC976" i="14"/>
  <c r="AD976" i="14" s="1"/>
  <c r="AC966" i="14"/>
  <c r="AD966" i="14" s="1"/>
  <c r="AB914" i="14"/>
  <c r="AC914" i="14" s="1"/>
  <c r="AB912" i="14"/>
  <c r="AC912" i="14" s="1"/>
  <c r="AB909" i="14"/>
  <c r="AC909" i="14" s="1"/>
  <c r="AB903" i="14"/>
  <c r="AC903" i="14" s="1"/>
  <c r="AB902" i="14"/>
  <c r="AC902" i="14" s="1"/>
  <c r="AB895" i="14"/>
  <c r="AC895" i="14" s="1"/>
  <c r="AB887" i="14"/>
  <c r="AC887" i="14" s="1"/>
  <c r="AB886" i="14"/>
  <c r="AC886" i="14" s="1"/>
  <c r="AB885" i="14"/>
  <c r="AC885" i="14" s="1"/>
  <c r="AB883" i="14"/>
  <c r="AC883" i="14" s="1"/>
  <c r="AB880" i="14"/>
  <c r="AC880" i="14" s="1"/>
  <c r="AB878" i="14"/>
  <c r="AC878" i="14" s="1"/>
  <c r="AB873" i="14"/>
  <c r="AC873" i="14" s="1"/>
  <c r="AE873" i="14" s="1"/>
  <c r="AB872" i="14"/>
  <c r="AC872" i="14" s="1"/>
  <c r="AE872" i="14" s="1"/>
  <c r="AB870" i="14"/>
  <c r="AC870" i="14" s="1"/>
  <c r="AB855" i="14"/>
  <c r="AC855" i="14" s="1"/>
  <c r="AB796" i="14"/>
  <c r="AC796" i="14" s="1"/>
  <c r="AE796" i="14" s="1"/>
  <c r="AB795" i="14"/>
  <c r="AC795" i="14" s="1"/>
  <c r="AE795" i="14" s="1"/>
  <c r="AB791" i="14"/>
  <c r="AC791" i="14" s="1"/>
  <c r="AE791" i="14" s="1"/>
  <c r="AB774" i="14"/>
  <c r="AC774" i="14" s="1"/>
  <c r="AE774" i="14" s="1"/>
  <c r="AB757" i="14"/>
  <c r="AC757" i="14" s="1"/>
  <c r="AE757" i="14" s="1"/>
  <c r="AB741" i="14"/>
  <c r="AC741" i="14" s="1"/>
  <c r="AE741" i="14" s="1"/>
  <c r="AB740" i="14"/>
  <c r="AC740" i="14" s="1"/>
  <c r="AE740" i="14" s="1"/>
  <c r="AB735" i="14"/>
  <c r="AC735" i="14" s="1"/>
  <c r="AE735" i="14" s="1"/>
  <c r="AB733" i="14"/>
  <c r="AC733" i="14" s="1"/>
  <c r="AE733" i="14" s="1"/>
  <c r="AB728" i="14"/>
  <c r="AC728" i="14" s="1"/>
  <c r="AE728" i="14" s="1"/>
  <c r="AB727" i="14"/>
  <c r="AC727" i="14" s="1"/>
  <c r="AE727" i="14" s="1"/>
  <c r="AA641" i="14"/>
  <c r="AB641" i="14" s="1"/>
  <c r="AA622" i="14"/>
  <c r="AB622" i="14" s="1"/>
  <c r="AA620" i="14"/>
  <c r="AB620" i="14" s="1"/>
  <c r="AD618" i="14"/>
  <c r="AC618" i="14"/>
  <c r="AB618" i="14"/>
  <c r="AA607" i="14"/>
  <c r="AC607" i="14" s="1"/>
  <c r="AA605" i="14"/>
  <c r="AC605" i="14" s="1"/>
  <c r="AA590" i="14"/>
  <c r="AC590" i="14" s="1"/>
  <c r="AA577" i="14"/>
  <c r="AC577" i="14" s="1"/>
  <c r="AA573" i="14"/>
  <c r="AC573" i="14" s="1"/>
  <c r="AA570" i="14"/>
  <c r="AC570" i="14" s="1"/>
  <c r="AA568" i="14"/>
  <c r="AC568" i="14" s="1"/>
  <c r="AA566" i="14"/>
  <c r="AC566" i="14" s="1"/>
  <c r="D29" i="102" l="1"/>
  <c r="I40" i="102"/>
  <c r="M40" i="102" s="1"/>
  <c r="AS1688" i="14"/>
  <c r="I33" i="102"/>
  <c r="J33" i="102" s="1"/>
  <c r="M28" i="102"/>
  <c r="D28" i="102" s="1"/>
  <c r="M31" i="102"/>
  <c r="L31" i="102"/>
  <c r="J42" i="102"/>
  <c r="M42" i="102"/>
  <c r="AG1188" i="14"/>
  <c r="K33" i="102"/>
  <c r="K35" i="102" s="1"/>
  <c r="AT2028" i="14"/>
  <c r="AT2020" i="14"/>
  <c r="AG1228" i="14"/>
  <c r="H21" i="102"/>
  <c r="G22" i="102"/>
  <c r="H41" i="102"/>
  <c r="M41" i="102"/>
  <c r="D41" i="102" s="1"/>
  <c r="AT2058" i="14"/>
  <c r="AE995" i="14"/>
  <c r="AH1183" i="14"/>
  <c r="AF1015" i="14"/>
  <c r="AB573" i="14"/>
  <c r="AG1206" i="14"/>
  <c r="AB607" i="14"/>
  <c r="AT1703" i="14"/>
  <c r="AB566" i="14"/>
  <c r="AE1023" i="14"/>
  <c r="AG1183" i="14"/>
  <c r="AH1206" i="14"/>
  <c r="AU1640" i="14"/>
  <c r="AD577" i="14"/>
  <c r="AS1676" i="14"/>
  <c r="AG1205" i="14"/>
  <c r="AU1624" i="14"/>
  <c r="AH1188" i="14"/>
  <c r="AE966" i="14"/>
  <c r="AD1075" i="14"/>
  <c r="AG1341" i="14"/>
  <c r="AT1991" i="14"/>
  <c r="AH1205" i="14"/>
  <c r="AT1981" i="14"/>
  <c r="AD566" i="14"/>
  <c r="AF990" i="14"/>
  <c r="AD1092" i="14"/>
  <c r="AH1228" i="14"/>
  <c r="AT1610" i="14"/>
  <c r="AS1981" i="14"/>
  <c r="AT2006" i="14"/>
  <c r="AU1713" i="14"/>
  <c r="AD568" i="14"/>
  <c r="AD590" i="14"/>
  <c r="AE976" i="14"/>
  <c r="AE1006" i="14"/>
  <c r="AD1060" i="14"/>
  <c r="AG1340" i="14"/>
  <c r="AU1622" i="14"/>
  <c r="AU1664" i="14"/>
  <c r="AS1700" i="14"/>
  <c r="AS1705" i="14"/>
  <c r="AS1713" i="14"/>
  <c r="AT1974" i="14"/>
  <c r="AS2062" i="14"/>
  <c r="AB577" i="14"/>
  <c r="AF976" i="14"/>
  <c r="AF1006" i="14"/>
  <c r="AF1318" i="14"/>
  <c r="AH1340" i="14"/>
  <c r="AU1651" i="14"/>
  <c r="AS1696" i="14"/>
  <c r="AU1705" i="14"/>
  <c r="AT1713" i="14"/>
  <c r="AS1723" i="14"/>
  <c r="AS2006" i="14"/>
  <c r="AS2028" i="14"/>
  <c r="AT2062" i="14"/>
  <c r="AB568" i="14"/>
  <c r="AD570" i="14"/>
  <c r="AB590" i="14"/>
  <c r="AD605" i="14"/>
  <c r="AE990" i="14"/>
  <c r="AF991" i="14"/>
  <c r="AE1015" i="14"/>
  <c r="AF1022" i="14"/>
  <c r="AF1340" i="14"/>
  <c r="AF1341" i="14"/>
  <c r="AU1606" i="14"/>
  <c r="AS1622" i="14"/>
  <c r="AS1624" i="14"/>
  <c r="AS1640" i="14"/>
  <c r="AS1651" i="14"/>
  <c r="AS1664" i="14"/>
  <c r="AV1671" i="14"/>
  <c r="AU1700" i="14"/>
  <c r="AS2008" i="14"/>
  <c r="AT2025" i="14"/>
  <c r="AB570" i="14"/>
  <c r="AD573" i="14"/>
  <c r="AB605" i="14"/>
  <c r="AD607" i="14"/>
  <c r="AF966" i="14"/>
  <c r="AE991" i="14"/>
  <c r="AF995" i="14"/>
  <c r="AE1022" i="14"/>
  <c r="AF1023" i="14"/>
  <c r="AD1073" i="14"/>
  <c r="AD1085" i="14"/>
  <c r="AD1094" i="14"/>
  <c r="AS1606" i="14"/>
  <c r="AT1671" i="14"/>
  <c r="AU1676" i="14"/>
  <c r="AU1688" i="14"/>
  <c r="AU1696" i="14"/>
  <c r="AT1700" i="14"/>
  <c r="AV1703" i="14"/>
  <c r="AU1723" i="14"/>
  <c r="AU1974" i="14"/>
  <c r="AU1991" i="14"/>
  <c r="AU2019" i="14"/>
  <c r="AS2025" i="14"/>
  <c r="AU2058" i="14"/>
  <c r="J40" i="102"/>
  <c r="M32" i="102"/>
  <c r="G43" i="102"/>
  <c r="H32" i="102"/>
  <c r="M7" i="102"/>
  <c r="K21" i="102"/>
  <c r="L19" i="102"/>
  <c r="I35" i="102"/>
  <c r="I9" i="102"/>
  <c r="M21" i="102"/>
  <c r="K9" i="102"/>
  <c r="L5" i="102"/>
  <c r="G10" i="102"/>
  <c r="H9" i="102"/>
  <c r="G12" i="102"/>
  <c r="I43" i="102"/>
  <c r="I45" i="102" s="1"/>
  <c r="J32" i="102"/>
  <c r="J21" i="102"/>
  <c r="I23" i="102"/>
  <c r="I22" i="102"/>
  <c r="G33" i="102"/>
  <c r="AS1954" i="14"/>
  <c r="AV1974" i="14"/>
  <c r="AU1981" i="14"/>
  <c r="AT1984" i="14"/>
  <c r="AS1986" i="14"/>
  <c r="AV1991" i="14"/>
  <c r="AU2006" i="14"/>
  <c r="AT2008" i="14"/>
  <c r="AS2010" i="14"/>
  <c r="AV2019" i="14"/>
  <c r="AU2020" i="14"/>
  <c r="AS2026" i="14"/>
  <c r="AV2027" i="14"/>
  <c r="AS2035" i="14"/>
  <c r="AV2055" i="14"/>
  <c r="AV1954" i="14"/>
  <c r="AS1984" i="14"/>
  <c r="AV1986" i="14"/>
  <c r="AV2010" i="14"/>
  <c r="AV2026" i="14"/>
  <c r="AU2027" i="14"/>
  <c r="AV2035" i="14"/>
  <c r="AU2055" i="14"/>
  <c r="AU1954" i="14"/>
  <c r="AV1984" i="14"/>
  <c r="AU1986" i="14"/>
  <c r="AV2008" i="14"/>
  <c r="AU2010" i="14"/>
  <c r="AT2019" i="14"/>
  <c r="AS2020" i="14"/>
  <c r="AV2025" i="14"/>
  <c r="AU2026" i="14"/>
  <c r="AT2027" i="14"/>
  <c r="AV2028" i="14"/>
  <c r="AU2035" i="14"/>
  <c r="AT2055" i="14"/>
  <c r="AS2058" i="14"/>
  <c r="AV2062" i="14"/>
  <c r="AV1610" i="14"/>
  <c r="AT1623" i="14"/>
  <c r="AV1628" i="14"/>
  <c r="AT1644" i="14"/>
  <c r="AV1663" i="14"/>
  <c r="AV1686" i="14"/>
  <c r="AT1695" i="14"/>
  <c r="AV1698" i="14"/>
  <c r="AV1706" i="14"/>
  <c r="AT1721" i="14"/>
  <c r="AV1606" i="14"/>
  <c r="AU1610" i="14"/>
  <c r="AT1622" i="14"/>
  <c r="AS1623" i="14"/>
  <c r="AV1624" i="14"/>
  <c r="AU1628" i="14"/>
  <c r="AT1640" i="14"/>
  <c r="AS1644" i="14"/>
  <c r="AV1651" i="14"/>
  <c r="AU1663" i="14"/>
  <c r="AT1664" i="14"/>
  <c r="AS1671" i="14"/>
  <c r="AV1676" i="14"/>
  <c r="AU1686" i="14"/>
  <c r="AT1688" i="14"/>
  <c r="AS1695" i="14"/>
  <c r="AV1696" i="14"/>
  <c r="AU1698" i="14"/>
  <c r="AS1703" i="14"/>
  <c r="AV1705" i="14"/>
  <c r="AU1706" i="14"/>
  <c r="AS1721" i="14"/>
  <c r="AV1723" i="14"/>
  <c r="AV1623" i="14"/>
  <c r="AT1628" i="14"/>
  <c r="AV1644" i="14"/>
  <c r="AT1663" i="14"/>
  <c r="AT1686" i="14"/>
  <c r="AV1695" i="14"/>
  <c r="AT1698" i="14"/>
  <c r="AT1706" i="14"/>
  <c r="AV1721" i="14"/>
  <c r="AH1323" i="14"/>
  <c r="AH1318" i="14"/>
  <c r="AG1323" i="14"/>
  <c r="AI1341" i="14"/>
  <c r="AI1323" i="14"/>
  <c r="AI1318" i="14"/>
  <c r="AF1060" i="14"/>
  <c r="AF1073" i="14"/>
  <c r="AF1075" i="14"/>
  <c r="AF1085" i="14"/>
  <c r="AF1092" i="14"/>
  <c r="AF1094" i="14"/>
  <c r="AE878" i="14"/>
  <c r="AE883" i="14"/>
  <c r="AE886" i="14"/>
  <c r="AE895" i="14"/>
  <c r="AE902" i="14"/>
  <c r="AE912" i="14"/>
  <c r="AD855" i="14"/>
  <c r="AD870" i="14"/>
  <c r="AD872" i="14"/>
  <c r="AD873" i="14"/>
  <c r="AD878" i="14"/>
  <c r="AD880" i="14"/>
  <c r="AD883" i="14"/>
  <c r="AD885" i="14"/>
  <c r="AD886" i="14"/>
  <c r="AD887" i="14"/>
  <c r="AD895" i="14"/>
  <c r="AD902" i="14"/>
  <c r="AD903" i="14"/>
  <c r="AD909" i="14"/>
  <c r="AD912" i="14"/>
  <c r="AD914" i="14"/>
  <c r="AE855" i="14"/>
  <c r="AE870" i="14"/>
  <c r="AE880" i="14"/>
  <c r="AE885" i="14"/>
  <c r="AE887" i="14"/>
  <c r="AE903" i="14"/>
  <c r="AE909" i="14"/>
  <c r="AD727" i="14"/>
  <c r="AD728" i="14"/>
  <c r="AD733" i="14"/>
  <c r="AD735" i="14"/>
  <c r="AD740" i="14"/>
  <c r="AD741" i="14"/>
  <c r="AD757" i="14"/>
  <c r="AD774" i="14"/>
  <c r="AD791" i="14"/>
  <c r="AD795" i="14"/>
  <c r="AD796" i="14"/>
  <c r="AD620" i="14"/>
  <c r="AD622" i="14"/>
  <c r="AD641" i="14"/>
  <c r="AC641" i="14"/>
  <c r="AC620" i="14"/>
  <c r="AC622" i="14"/>
  <c r="M33" i="102" l="1"/>
  <c r="M35" i="102" s="1"/>
  <c r="I34" i="102"/>
  <c r="M9" i="102"/>
  <c r="M10" i="102" s="1"/>
  <c r="L33" i="102"/>
  <c r="K44" i="102"/>
  <c r="M44" i="102" s="1"/>
  <c r="K34" i="102"/>
  <c r="D42" i="102"/>
  <c r="D31" i="102"/>
  <c r="I46" i="102"/>
  <c r="I47" i="102"/>
  <c r="J45" i="102"/>
  <c r="J9" i="102"/>
  <c r="I12" i="102"/>
  <c r="I10" i="102"/>
  <c r="D40" i="102"/>
  <c r="G45" i="102"/>
  <c r="H43" i="102"/>
  <c r="M43" i="102"/>
  <c r="H33" i="102"/>
  <c r="G35" i="102"/>
  <c r="G34" i="102"/>
  <c r="M23" i="102"/>
  <c r="M22" i="102"/>
  <c r="K23" i="102"/>
  <c r="K22" i="102"/>
  <c r="L21" i="102"/>
  <c r="K12" i="102"/>
  <c r="K10" i="102"/>
  <c r="L9" i="102"/>
  <c r="D32" i="102"/>
  <c r="N32" i="102"/>
  <c r="M34" i="102" l="1"/>
  <c r="N28" i="102" s="1"/>
  <c r="K45" i="102"/>
  <c r="K47" i="102" s="1"/>
  <c r="M12" i="102"/>
  <c r="M13" i="102"/>
  <c r="L44" i="102"/>
  <c r="M45" i="102"/>
  <c r="M46" i="102" s="1"/>
  <c r="N40" i="102" s="1"/>
  <c r="D43" i="102"/>
  <c r="G46" i="102"/>
  <c r="G47" i="102"/>
  <c r="H45" i="102"/>
  <c r="N18" i="102"/>
  <c r="N19" i="102"/>
  <c r="N17" i="102"/>
  <c r="N20" i="102"/>
  <c r="N5" i="102"/>
  <c r="N6" i="102"/>
  <c r="N7" i="102"/>
  <c r="D44" i="102"/>
  <c r="N44" i="102"/>
  <c r="N30" i="102"/>
  <c r="N31" i="102"/>
  <c r="N29" i="102"/>
  <c r="K46" i="102" l="1"/>
  <c r="L45" i="102"/>
  <c r="M47" i="102"/>
  <c r="N43" i="102" s="1"/>
  <c r="N41" i="102" l="1"/>
  <c r="N42" i="102"/>
  <c r="AB16" i="17"/>
  <c r="Y16" i="17"/>
  <c r="W16" i="17"/>
  <c r="V16" i="17"/>
  <c r="L16" i="17"/>
  <c r="K16" i="17"/>
  <c r="J16" i="17"/>
  <c r="F16" i="17"/>
  <c r="D16" i="17"/>
  <c r="AK15" i="17"/>
  <c r="AL15" i="17" s="1"/>
  <c r="AI15" i="17"/>
  <c r="AH15" i="17"/>
  <c r="AG15" i="17"/>
  <c r="AF15" i="17"/>
  <c r="Z15" i="17"/>
  <c r="R15" i="17"/>
  <c r="Q15" i="17"/>
  <c r="P15" i="17"/>
  <c r="AR15" i="17" s="1"/>
  <c r="O15" i="17"/>
  <c r="AP15" i="17" s="1"/>
  <c r="M15" i="17"/>
  <c r="H15" i="17"/>
  <c r="G15" i="17"/>
  <c r="B15" i="17"/>
  <c r="AK14" i="17"/>
  <c r="AJ14" i="17"/>
  <c r="AH14" i="17"/>
  <c r="AG14" i="17"/>
  <c r="AF14" i="17"/>
  <c r="AC14" i="17"/>
  <c r="AI14" i="17" s="1"/>
  <c r="Z14" i="17"/>
  <c r="R14" i="17"/>
  <c r="P14" i="17"/>
  <c r="AR14" i="17" s="1"/>
  <c r="O14" i="17"/>
  <c r="AP14" i="17" s="1"/>
  <c r="M14" i="17"/>
  <c r="H14" i="17"/>
  <c r="E14" i="17"/>
  <c r="G14" i="17" s="1"/>
  <c r="B14" i="17"/>
  <c r="AK13" i="17"/>
  <c r="AJ13" i="17"/>
  <c r="AI13" i="17"/>
  <c r="AH13" i="17"/>
  <c r="AG13" i="17"/>
  <c r="AF13" i="17"/>
  <c r="Z13" i="17"/>
  <c r="R13" i="17"/>
  <c r="Q13" i="17"/>
  <c r="P13" i="17"/>
  <c r="AR13" i="17" s="1"/>
  <c r="O13" i="17"/>
  <c r="AP13" i="17" s="1"/>
  <c r="M13" i="17"/>
  <c r="H13" i="17"/>
  <c r="G13" i="17"/>
  <c r="B13" i="17"/>
  <c r="AK12" i="17"/>
  <c r="AJ12" i="17"/>
  <c r="AI12" i="17"/>
  <c r="AH12" i="17"/>
  <c r="AG12" i="17"/>
  <c r="AF12" i="17"/>
  <c r="Z12" i="17"/>
  <c r="R12" i="17"/>
  <c r="Q12" i="17"/>
  <c r="P12" i="17"/>
  <c r="AR12" i="17" s="1"/>
  <c r="O12" i="17"/>
  <c r="AP12" i="17" s="1"/>
  <c r="M12" i="17"/>
  <c r="H12" i="17"/>
  <c r="G12" i="17"/>
  <c r="B12" i="17"/>
  <c r="AR11" i="17"/>
  <c r="AK11" i="17"/>
  <c r="AJ11" i="17"/>
  <c r="AI11" i="17"/>
  <c r="AH11" i="17"/>
  <c r="AG11" i="17"/>
  <c r="AF11" i="17"/>
  <c r="Z11" i="17"/>
  <c r="R11" i="17"/>
  <c r="Q11" i="17"/>
  <c r="M11" i="17"/>
  <c r="I11" i="17"/>
  <c r="H11" i="17"/>
  <c r="G11" i="17"/>
  <c r="C11" i="17"/>
  <c r="B11" i="17"/>
  <c r="AK10" i="17"/>
  <c r="AJ10" i="17"/>
  <c r="AI10" i="17"/>
  <c r="AH10" i="17"/>
  <c r="AG10" i="17"/>
  <c r="AF10" i="17"/>
  <c r="Z10" i="17"/>
  <c r="R10" i="17"/>
  <c r="Q10" i="17"/>
  <c r="P10" i="17"/>
  <c r="AR10" i="17" s="1"/>
  <c r="M10" i="17"/>
  <c r="I10" i="17"/>
  <c r="H10" i="17"/>
  <c r="G10" i="17"/>
  <c r="C10" i="17"/>
  <c r="B10" i="17"/>
  <c r="AK9" i="17"/>
  <c r="AJ9" i="17"/>
  <c r="AI9" i="17"/>
  <c r="AH9" i="17"/>
  <c r="AG9" i="17"/>
  <c r="AF9" i="17"/>
  <c r="Z9" i="17"/>
  <c r="R9" i="17"/>
  <c r="Q9" i="17"/>
  <c r="P9" i="17"/>
  <c r="AR9" i="17" s="1"/>
  <c r="M9" i="17"/>
  <c r="I9" i="17"/>
  <c r="O9" i="17" s="1"/>
  <c r="AP9" i="17" s="1"/>
  <c r="H9" i="17"/>
  <c r="G9" i="17"/>
  <c r="B9" i="17"/>
  <c r="AK8" i="17"/>
  <c r="AJ8" i="17"/>
  <c r="AI8" i="17"/>
  <c r="AH8" i="17"/>
  <c r="AG8" i="17"/>
  <c r="AF8" i="17"/>
  <c r="Z8" i="17"/>
  <c r="R8" i="17"/>
  <c r="Q8" i="17"/>
  <c r="P8" i="17"/>
  <c r="AR8" i="17" s="1"/>
  <c r="M8" i="17"/>
  <c r="I8" i="17"/>
  <c r="O8" i="17" s="1"/>
  <c r="AP8" i="17" s="1"/>
  <c r="H8" i="17"/>
  <c r="G8" i="17"/>
  <c r="B8" i="17"/>
  <c r="AK7" i="17"/>
  <c r="AJ7" i="17"/>
  <c r="AI7" i="17"/>
  <c r="AH7" i="17"/>
  <c r="AG7" i="17"/>
  <c r="AF7" i="17"/>
  <c r="Z7" i="17"/>
  <c r="R7" i="17"/>
  <c r="Q7" i="17"/>
  <c r="P7" i="17"/>
  <c r="AR7" i="17" s="1"/>
  <c r="M7" i="17"/>
  <c r="I7" i="17"/>
  <c r="H7" i="17"/>
  <c r="G7" i="17"/>
  <c r="C7" i="17"/>
  <c r="B7" i="17"/>
  <c r="AK6" i="17"/>
  <c r="AI6" i="17"/>
  <c r="AH6" i="17"/>
  <c r="AG6" i="17"/>
  <c r="AD6" i="17"/>
  <c r="AF6" i="17" s="1"/>
  <c r="X6" i="17"/>
  <c r="X16" i="17" s="1"/>
  <c r="R6" i="17"/>
  <c r="Q6" i="17"/>
  <c r="P6" i="17"/>
  <c r="AR6" i="17" s="1"/>
  <c r="M6" i="17"/>
  <c r="I6" i="17"/>
  <c r="H6" i="17"/>
  <c r="G6" i="17"/>
  <c r="C6" i="17"/>
  <c r="B6" i="17"/>
  <c r="AK5" i="17"/>
  <c r="AJ5" i="17"/>
  <c r="AI5" i="17"/>
  <c r="AH5" i="17"/>
  <c r="AF5" i="17"/>
  <c r="Z5" i="17"/>
  <c r="U5" i="17"/>
  <c r="U16" i="17" s="1"/>
  <c r="R5" i="17"/>
  <c r="Q5" i="17"/>
  <c r="P5" i="17"/>
  <c r="AR5" i="17" s="1"/>
  <c r="M5" i="17"/>
  <c r="I5" i="17"/>
  <c r="H5" i="17"/>
  <c r="G5" i="17"/>
  <c r="C5" i="17"/>
  <c r="B5" i="17"/>
  <c r="AK4" i="17"/>
  <c r="AJ4" i="17"/>
  <c r="AI4" i="17"/>
  <c r="AH4" i="17"/>
  <c r="AF4" i="17"/>
  <c r="AA4" i="17"/>
  <c r="AG4" i="17" s="1"/>
  <c r="Z4" i="17"/>
  <c r="R4" i="17"/>
  <c r="Q4" i="17"/>
  <c r="P4" i="17"/>
  <c r="AR4" i="17" s="1"/>
  <c r="M4" i="17"/>
  <c r="I4" i="17"/>
  <c r="H4" i="17"/>
  <c r="G4" i="17"/>
  <c r="C4" i="17"/>
  <c r="B4" i="17"/>
  <c r="AA184" i="14"/>
  <c r="AB184" i="14" s="1"/>
  <c r="AA176" i="14"/>
  <c r="AB176" i="14" s="1"/>
  <c r="AA174" i="14"/>
  <c r="AB174" i="14" s="1"/>
  <c r="AA173" i="14"/>
  <c r="AD173" i="14" s="1"/>
  <c r="AA110" i="14"/>
  <c r="AD110" i="14" s="1"/>
  <c r="AA105" i="14"/>
  <c r="AC105" i="14" s="1"/>
  <c r="S5" i="17" l="1"/>
  <c r="N10" i="17"/>
  <c r="N9" i="17"/>
  <c r="N12" i="17"/>
  <c r="N15" i="17"/>
  <c r="N13" i="17"/>
  <c r="N14" i="17"/>
  <c r="AL12" i="17"/>
  <c r="N5" i="17"/>
  <c r="AJ6" i="17"/>
  <c r="AL6" i="17" s="1"/>
  <c r="E16" i="17"/>
  <c r="G16" i="17" s="1"/>
  <c r="S13" i="17"/>
  <c r="S4" i="17"/>
  <c r="S6" i="17"/>
  <c r="S7" i="17"/>
  <c r="S8" i="17"/>
  <c r="S10" i="17"/>
  <c r="S11" i="17"/>
  <c r="AL9" i="17"/>
  <c r="AL13" i="17"/>
  <c r="AL14" i="17"/>
  <c r="AL7" i="17"/>
  <c r="AL8" i="17"/>
  <c r="AL10" i="17"/>
  <c r="AL11" i="17"/>
  <c r="AA16" i="17"/>
  <c r="O5" i="17"/>
  <c r="AP5" i="17" s="1"/>
  <c r="O6" i="17"/>
  <c r="AP6" i="17" s="1"/>
  <c r="O10" i="17"/>
  <c r="AP10" i="17" s="1"/>
  <c r="N11" i="17"/>
  <c r="N4" i="17"/>
  <c r="O11" i="17"/>
  <c r="AP11" i="17" s="1"/>
  <c r="O7" i="17"/>
  <c r="AP7" i="17" s="1"/>
  <c r="I16" i="17"/>
  <c r="S12" i="17"/>
  <c r="S15" i="17"/>
  <c r="Z16" i="17"/>
  <c r="AL5" i="17"/>
  <c r="N6" i="17"/>
  <c r="P16" i="17"/>
  <c r="J17" i="17" s="1"/>
  <c r="O4" i="17"/>
  <c r="AP4" i="17" s="1"/>
  <c r="N7" i="17"/>
  <c r="N8" i="17"/>
  <c r="AI16" i="17"/>
  <c r="W17" i="17" s="1"/>
  <c r="AH16" i="17"/>
  <c r="AB17" i="17" s="1"/>
  <c r="AK16" i="17"/>
  <c r="Y17" i="17" s="1"/>
  <c r="H16" i="17"/>
  <c r="B16" i="17"/>
  <c r="C16" i="17"/>
  <c r="AG5" i="17"/>
  <c r="AG16" i="17" s="1"/>
  <c r="U17" i="17" s="1"/>
  <c r="S9" i="17"/>
  <c r="AL4" i="17"/>
  <c r="M16" i="17"/>
  <c r="Z6" i="17"/>
  <c r="AC16" i="17"/>
  <c r="AD16" i="17"/>
  <c r="Q14" i="17"/>
  <c r="S14" i="17" s="1"/>
  <c r="R16" i="17"/>
  <c r="F17" i="17" s="1"/>
  <c r="AC174" i="14"/>
  <c r="AD174" i="14"/>
  <c r="AC176" i="14"/>
  <c r="AC184" i="14"/>
  <c r="AD184" i="14"/>
  <c r="AB173" i="14"/>
  <c r="AC173" i="14"/>
  <c r="AB105" i="14"/>
  <c r="AD176" i="14"/>
  <c r="AD105" i="14"/>
  <c r="AB110" i="14"/>
  <c r="AC110" i="14"/>
  <c r="AC17" i="17" l="1"/>
  <c r="AJ16" i="17"/>
  <c r="X17" i="17" s="1"/>
  <c r="AF16" i="17"/>
  <c r="V17" i="17"/>
  <c r="D17" i="17"/>
  <c r="AE17" i="17"/>
  <c r="L17" i="17"/>
  <c r="AA17" i="17"/>
  <c r="Y1" i="14"/>
  <c r="N16" i="17"/>
  <c r="B17" i="17" s="1"/>
  <c r="O16" i="17"/>
  <c r="I17" i="17" s="1"/>
  <c r="Q16" i="17"/>
  <c r="Z1" i="14"/>
  <c r="X1" i="14"/>
  <c r="AD17" i="17" l="1"/>
  <c r="AL16" i="17"/>
  <c r="H17" i="17"/>
  <c r="S16" i="17"/>
  <c r="K17" i="17"/>
  <c r="C17" i="17"/>
  <c r="E17" i="17"/>
</calcChain>
</file>

<file path=xl/sharedStrings.xml><?xml version="1.0" encoding="utf-8"?>
<sst xmlns="http://schemas.openxmlformats.org/spreadsheetml/2006/main" count="44199" uniqueCount="4775">
  <si>
    <t>EL</t>
  </si>
  <si>
    <t>Tipo</t>
  </si>
  <si>
    <t>Nº</t>
  </si>
  <si>
    <t>Nº Ação</t>
  </si>
  <si>
    <t>Curso</t>
  </si>
  <si>
    <t>Data</t>
  </si>
  <si>
    <t>Localidade</t>
  </si>
  <si>
    <t>Participantes</t>
  </si>
  <si>
    <t>Op</t>
  </si>
  <si>
    <t>Admin</t>
  </si>
  <si>
    <t>VER</t>
  </si>
  <si>
    <t>Formador</t>
  </si>
  <si>
    <t>Confirmação</t>
  </si>
  <si>
    <t>Adjudicação</t>
  </si>
  <si>
    <t>Data Fecho</t>
  </si>
  <si>
    <t>Fechada</t>
  </si>
  <si>
    <t>OP</t>
  </si>
  <si>
    <t>Faltam dados</t>
  </si>
  <si>
    <t>Nº certificados</t>
  </si>
  <si>
    <t>Data envio</t>
  </si>
  <si>
    <t>DTP</t>
  </si>
  <si>
    <t>PP</t>
  </si>
  <si>
    <t>LS</t>
  </si>
  <si>
    <t>MJF</t>
  </si>
  <si>
    <t>Presencial</t>
  </si>
  <si>
    <t>M041/25</t>
  </si>
  <si>
    <t>SST</t>
  </si>
  <si>
    <t>São Pedro da Cova</t>
  </si>
  <si>
    <t>AS</t>
  </si>
  <si>
    <t>S</t>
  </si>
  <si>
    <t>Sim</t>
  </si>
  <si>
    <t>conta</t>
  </si>
  <si>
    <t>Não</t>
  </si>
  <si>
    <t>M060/25</t>
  </si>
  <si>
    <t>TC</t>
  </si>
  <si>
    <t>Viseu</t>
  </si>
  <si>
    <t>SP</t>
  </si>
  <si>
    <t>AFS</t>
  </si>
  <si>
    <t>M103/25</t>
  </si>
  <si>
    <t>Celorico da Beira</t>
  </si>
  <si>
    <t>M104/25</t>
  </si>
  <si>
    <t>M105/25</t>
  </si>
  <si>
    <t>M042/24</t>
  </si>
  <si>
    <t>PS</t>
  </si>
  <si>
    <t>M028/25</t>
  </si>
  <si>
    <t>Aljezur</t>
  </si>
  <si>
    <t>MJ</t>
  </si>
  <si>
    <t>FG</t>
  </si>
  <si>
    <t>SQ</t>
  </si>
  <si>
    <t>M029/25</t>
  </si>
  <si>
    <t>CI</t>
  </si>
  <si>
    <t>M030/25</t>
  </si>
  <si>
    <t>M106/25</t>
  </si>
  <si>
    <t>M107/25</t>
  </si>
  <si>
    <t>M049/25</t>
  </si>
  <si>
    <t>Salvaterra de Magos</t>
  </si>
  <si>
    <t>M017/25</t>
  </si>
  <si>
    <t>MET5S</t>
  </si>
  <si>
    <t>Meãs do Campo</t>
  </si>
  <si>
    <t>M018/25</t>
  </si>
  <si>
    <t>AAC</t>
  </si>
  <si>
    <t>M020/25</t>
  </si>
  <si>
    <t>Moita</t>
  </si>
  <si>
    <t>M034/25</t>
  </si>
  <si>
    <t>HST</t>
  </si>
  <si>
    <t>Beloura</t>
  </si>
  <si>
    <t>conta-</t>
  </si>
  <si>
    <t>IM</t>
  </si>
  <si>
    <t>M035/25</t>
  </si>
  <si>
    <t>M036/25</t>
  </si>
  <si>
    <t>M037/25</t>
  </si>
  <si>
    <t>M038/25</t>
  </si>
  <si>
    <t>CDE</t>
  </si>
  <si>
    <t>M128/25</t>
  </si>
  <si>
    <t>Oiã</t>
  </si>
  <si>
    <t>024/25</t>
  </si>
  <si>
    <t>M067/25</t>
  </si>
  <si>
    <t>Tondela</t>
  </si>
  <si>
    <t>PP/MJ</t>
  </si>
  <si>
    <t>SP/FG</t>
  </si>
  <si>
    <t>007/25</t>
  </si>
  <si>
    <t>M118/25</t>
  </si>
  <si>
    <t>M119/25</t>
  </si>
  <si>
    <t>CED</t>
  </si>
  <si>
    <t>M120/25</t>
  </si>
  <si>
    <t>M121/25</t>
  </si>
  <si>
    <t>023/25</t>
  </si>
  <si>
    <t>Sertã</t>
  </si>
  <si>
    <t>M043/25</t>
  </si>
  <si>
    <t>Estarreja</t>
  </si>
  <si>
    <t>M130/25</t>
  </si>
  <si>
    <t>Vila do Conde</t>
  </si>
  <si>
    <t>M125/25</t>
  </si>
  <si>
    <t>Lousada</t>
  </si>
  <si>
    <t>008/25</t>
  </si>
  <si>
    <t>Penacova</t>
  </si>
  <si>
    <t>003/25</t>
  </si>
  <si>
    <t>Maia</t>
  </si>
  <si>
    <t>M026/25</t>
  </si>
  <si>
    <t>GTC</t>
  </si>
  <si>
    <t>Negrais</t>
  </si>
  <si>
    <t>M027/25</t>
  </si>
  <si>
    <t>CE</t>
  </si>
  <si>
    <t>M127/25</t>
  </si>
  <si>
    <t>São Mamede do Coronado</t>
  </si>
  <si>
    <t>009/25</t>
  </si>
  <si>
    <t>Vila Nova de Gaia</t>
  </si>
  <si>
    <t>010/25</t>
  </si>
  <si>
    <t>001/25</t>
  </si>
  <si>
    <t>CAM Merc</t>
  </si>
  <si>
    <t>TEAMS</t>
  </si>
  <si>
    <t>LS/PP</t>
  </si>
  <si>
    <t>AS/SP</t>
  </si>
  <si>
    <t>N/A</t>
  </si>
  <si>
    <t>011/25</t>
  </si>
  <si>
    <t>012/25</t>
  </si>
  <si>
    <t>M050/25</t>
  </si>
  <si>
    <t>Penafiel</t>
  </si>
  <si>
    <t>M051/25</t>
  </si>
  <si>
    <t>M052/25</t>
  </si>
  <si>
    <t>013/25</t>
  </si>
  <si>
    <t>014/25</t>
  </si>
  <si>
    <t>015/25</t>
  </si>
  <si>
    <t>Rcomu</t>
  </si>
  <si>
    <t>027/25</t>
  </si>
  <si>
    <t>025/25</t>
  </si>
  <si>
    <t>Marco de Canaveses</t>
  </si>
  <si>
    <t>SF</t>
  </si>
  <si>
    <t>026/25</t>
  </si>
  <si>
    <t>ERG</t>
  </si>
  <si>
    <t>M114/25</t>
  </si>
  <si>
    <t>Carregal do Sal</t>
  </si>
  <si>
    <t>M115/25</t>
  </si>
  <si>
    <t>M116/25</t>
  </si>
  <si>
    <t>M117/25</t>
  </si>
  <si>
    <t>M044/25</t>
  </si>
  <si>
    <t>Laranjeiro</t>
  </si>
  <si>
    <t>E-Learning</t>
  </si>
  <si>
    <t>ELPTMED_001/25</t>
  </si>
  <si>
    <t>TC (E-Learning)</t>
  </si>
  <si>
    <t>MOODLE</t>
  </si>
  <si>
    <t>PP/LS</t>
  </si>
  <si>
    <t>ELPTMED_002/25</t>
  </si>
  <si>
    <t>AC (E-Learning)</t>
  </si>
  <si>
    <t>ELPTMED_003/25</t>
  </si>
  <si>
    <t>CE - e-Learning</t>
  </si>
  <si>
    <t>ELPTMED_004/25</t>
  </si>
  <si>
    <t>PS-Elearning</t>
  </si>
  <si>
    <t>ELPTMED_005/25</t>
  </si>
  <si>
    <t>CI- Elearning</t>
  </si>
  <si>
    <t>ELPTMED_006/25</t>
  </si>
  <si>
    <t>SHT - e-Learning</t>
  </si>
  <si>
    <t>ELPTMED_008/25</t>
  </si>
  <si>
    <t>PTR - e-Learning</t>
  </si>
  <si>
    <t>ELPTMED_009/25</t>
  </si>
  <si>
    <t>GSC (e-learning)</t>
  </si>
  <si>
    <t>ELPTMED_010/25</t>
  </si>
  <si>
    <t>TC- Elearning</t>
  </si>
  <si>
    <t>ELPTTCV_001/25</t>
  </si>
  <si>
    <t>CE (e-Learning)</t>
  </si>
  <si>
    <t>M134/25</t>
  </si>
  <si>
    <t>Marinha Grande</t>
  </si>
  <si>
    <t>M135/25</t>
  </si>
  <si>
    <t>M136/25</t>
  </si>
  <si>
    <t>M132/25</t>
  </si>
  <si>
    <t>Alverca do Ribatejo</t>
  </si>
  <si>
    <t>M078/25</t>
  </si>
  <si>
    <t>Vila Nova de Famalicão</t>
  </si>
  <si>
    <t>M011/25</t>
  </si>
  <si>
    <t>M012/25</t>
  </si>
  <si>
    <t>M013/25</t>
  </si>
  <si>
    <t>São Pedro de Tomar</t>
  </si>
  <si>
    <t>M122/25</t>
  </si>
  <si>
    <t>Loulé</t>
  </si>
  <si>
    <t>M165/25</t>
  </si>
  <si>
    <t>DL 50/2005 - ISMET</t>
  </si>
  <si>
    <t>M166/25</t>
  </si>
  <si>
    <t>M137/25</t>
  </si>
  <si>
    <t>AC</t>
  </si>
  <si>
    <t>Setúbal</t>
  </si>
  <si>
    <t>M133/25</t>
  </si>
  <si>
    <t>Sintra</t>
  </si>
  <si>
    <t>M070/25</t>
  </si>
  <si>
    <t>Seixal</t>
  </si>
  <si>
    <t>M071/25</t>
  </si>
  <si>
    <t>022/25</t>
  </si>
  <si>
    <t>M008/25</t>
  </si>
  <si>
    <t>Leiria</t>
  </si>
  <si>
    <t>M009/25</t>
  </si>
  <si>
    <t>M010/25</t>
  </si>
  <si>
    <t>M152/25</t>
  </si>
  <si>
    <t>036/25</t>
  </si>
  <si>
    <t>M093/25</t>
  </si>
  <si>
    <t>MMO</t>
  </si>
  <si>
    <t>São Pedro do Sul</t>
  </si>
  <si>
    <t>034/25</t>
  </si>
  <si>
    <t>M102/25</t>
  </si>
  <si>
    <t>Tarouca</t>
  </si>
  <si>
    <t>M063/25</t>
  </si>
  <si>
    <t>Ovar</t>
  </si>
  <si>
    <t>M064/25</t>
  </si>
  <si>
    <t>M138/25</t>
  </si>
  <si>
    <t>Braga</t>
  </si>
  <si>
    <t>M139/25</t>
  </si>
  <si>
    <t>M140/25</t>
  </si>
  <si>
    <t>M084/25</t>
  </si>
  <si>
    <t>Santa Maria da Feira</t>
  </si>
  <si>
    <t>M085/25</t>
  </si>
  <si>
    <t>M086/25</t>
  </si>
  <si>
    <t>ELPTMED_011/25</t>
  </si>
  <si>
    <t>LS/MJ</t>
  </si>
  <si>
    <t>AS/FG</t>
  </si>
  <si>
    <t>ELPTMED_012/25</t>
  </si>
  <si>
    <t>CI - e-Learning</t>
  </si>
  <si>
    <t>ELPTMED_013/25</t>
  </si>
  <si>
    <t>HST (E-Learning)</t>
  </si>
  <si>
    <t>PP/LS/MJ</t>
  </si>
  <si>
    <t>SP/AS/FG</t>
  </si>
  <si>
    <t>ELPTMED_014/25</t>
  </si>
  <si>
    <t>EXC - e-Learning</t>
  </si>
  <si>
    <t>ELPTMED_015/25</t>
  </si>
  <si>
    <t>PS - e-Learning</t>
  </si>
  <si>
    <t>ELPTMED_016/25</t>
  </si>
  <si>
    <t>PR (e-Learning)</t>
  </si>
  <si>
    <t>ELPTMED_017/25</t>
  </si>
  <si>
    <t>GTC- Elearning</t>
  </si>
  <si>
    <t>ELPTMED_018/25</t>
  </si>
  <si>
    <t>TRS -e-Learning</t>
  </si>
  <si>
    <t>SP/AS</t>
  </si>
  <si>
    <t>ELPTMED_019/25</t>
  </si>
  <si>
    <t>ATC- Elearning</t>
  </si>
  <si>
    <t>028/25</t>
  </si>
  <si>
    <t>São João da Talha</t>
  </si>
  <si>
    <t>029/25</t>
  </si>
  <si>
    <t>ORTT</t>
  </si>
  <si>
    <t>M021/25</t>
  </si>
  <si>
    <t>Lourinhã</t>
  </si>
  <si>
    <t>P/V</t>
  </si>
  <si>
    <t>FGJ</t>
  </si>
  <si>
    <t>M022/25</t>
  </si>
  <si>
    <t>M023/25</t>
  </si>
  <si>
    <t>M149/25</t>
  </si>
  <si>
    <t>Faro</t>
  </si>
  <si>
    <t>LC</t>
  </si>
  <si>
    <t>M145/25</t>
  </si>
  <si>
    <t>Portimão</t>
  </si>
  <si>
    <t>M087/25</t>
  </si>
  <si>
    <t>São Julião do Tojal</t>
  </si>
  <si>
    <t>VB</t>
  </si>
  <si>
    <t>M088/25</t>
  </si>
  <si>
    <t>M089/25</t>
  </si>
  <si>
    <t>M188/25</t>
  </si>
  <si>
    <t>M123/25</t>
  </si>
  <si>
    <t>VM</t>
  </si>
  <si>
    <t>M167/25</t>
  </si>
  <si>
    <t>NS</t>
  </si>
  <si>
    <t>M168/25</t>
  </si>
  <si>
    <t>FALTA AVALIAÇÕES</t>
  </si>
  <si>
    <t>M019/25</t>
  </si>
  <si>
    <t>MMC</t>
  </si>
  <si>
    <t>M073/25</t>
  </si>
  <si>
    <t>Avelãs de Cima</t>
  </si>
  <si>
    <t>M170/25</t>
  </si>
  <si>
    <t>M079/25</t>
  </si>
  <si>
    <t>M080/25</t>
  </si>
  <si>
    <t>M094/25</t>
  </si>
  <si>
    <t>Campo Raso</t>
  </si>
  <si>
    <t>M095/25</t>
  </si>
  <si>
    <t>M096/25</t>
  </si>
  <si>
    <t>M097/25</t>
  </si>
  <si>
    <t>EMER</t>
  </si>
  <si>
    <t>M158/25</t>
  </si>
  <si>
    <t>Pombal</t>
  </si>
  <si>
    <t>BG</t>
  </si>
  <si>
    <t>M081/25</t>
  </si>
  <si>
    <t>M082/25</t>
  </si>
  <si>
    <t>M083/25</t>
  </si>
  <si>
    <t>M157/25</t>
  </si>
  <si>
    <t>M131/25</t>
  </si>
  <si>
    <t>041/25</t>
  </si>
  <si>
    <t>030/25</t>
  </si>
  <si>
    <t>M177/25</t>
  </si>
  <si>
    <t>Albergaria a Velha</t>
  </si>
  <si>
    <t>JÁ</t>
  </si>
  <si>
    <t>045/25</t>
  </si>
  <si>
    <t>M101/25</t>
  </si>
  <si>
    <t>Baião</t>
  </si>
  <si>
    <t>M150/25</t>
  </si>
  <si>
    <t>FP</t>
  </si>
  <si>
    <t>M151/25</t>
  </si>
  <si>
    <t>M175/25</t>
  </si>
  <si>
    <t>MJ/PP</t>
  </si>
  <si>
    <t>FG/SP</t>
  </si>
  <si>
    <t>043/25</t>
  </si>
  <si>
    <t>035/25</t>
  </si>
  <si>
    <t>002/25</t>
  </si>
  <si>
    <t>Sesimbra</t>
  </si>
  <si>
    <t>ELPTMED_020/25</t>
  </si>
  <si>
    <t>ATC- ELEARNING</t>
  </si>
  <si>
    <t>ELPTMED_021/25</t>
  </si>
  <si>
    <t>CE -e- Learning</t>
  </si>
  <si>
    <t>MJ/LS</t>
  </si>
  <si>
    <t>FG/AS</t>
  </si>
  <si>
    <t>ELPTMED_022/25</t>
  </si>
  <si>
    <t>CED (e-learning)</t>
  </si>
  <si>
    <t>ELPTMED_023/25</t>
  </si>
  <si>
    <t>CI E-Learning</t>
  </si>
  <si>
    <t>ELPTMED_024/25</t>
  </si>
  <si>
    <t>TA (E-Learning)</t>
  </si>
  <si>
    <t>ELPTMED_025/25</t>
  </si>
  <si>
    <t>LS/PP/MJ</t>
  </si>
  <si>
    <t>AS/SP/FG</t>
  </si>
  <si>
    <t>ELPTMED_026/25</t>
  </si>
  <si>
    <t>HST- elearning</t>
  </si>
  <si>
    <t>ELPTMED_028/25</t>
  </si>
  <si>
    <t>ORTT (E-Learning)</t>
  </si>
  <si>
    <t>ELPTMED_029/25</t>
  </si>
  <si>
    <t>ISMET E-Learning</t>
  </si>
  <si>
    <t>ELPTMED_030/25</t>
  </si>
  <si>
    <t>ELPTMED_031/25</t>
  </si>
  <si>
    <t>MMO (e-Learning)</t>
  </si>
  <si>
    <t>ELPTTCV_002/25</t>
  </si>
  <si>
    <t>HST (e-Learning)</t>
  </si>
  <si>
    <t>051/25</t>
  </si>
  <si>
    <t>Coimbra</t>
  </si>
  <si>
    <t>JL</t>
  </si>
  <si>
    <t>M090/25</t>
  </si>
  <si>
    <t>M091/25</t>
  </si>
  <si>
    <t>M092/25</t>
  </si>
  <si>
    <t>M205/25</t>
  </si>
  <si>
    <t>JB</t>
  </si>
  <si>
    <t>ELPTMED_027/25</t>
  </si>
  <si>
    <t>IS - e-Learning</t>
  </si>
  <si>
    <t>ELPTMED_032/25</t>
  </si>
  <si>
    <t>AC - e-Learning</t>
  </si>
  <si>
    <t>ELPTMED_033/25</t>
  </si>
  <si>
    <t>ORTT- Elearning</t>
  </si>
  <si>
    <t>ELPTMED_034/25</t>
  </si>
  <si>
    <t>ISMET (e-learning)</t>
  </si>
  <si>
    <t>ELPTMED_035/25</t>
  </si>
  <si>
    <t>ELPTMED_036/25</t>
  </si>
  <si>
    <t>ELPTMED_037/25</t>
  </si>
  <si>
    <t>TC (e-learning)</t>
  </si>
  <si>
    <t>ELPTMED_038/25</t>
  </si>
  <si>
    <t>HST Elearning</t>
  </si>
  <si>
    <t>MJF/LS</t>
  </si>
  <si>
    <t>ELPTMED_039/25</t>
  </si>
  <si>
    <t>CE E-learning</t>
  </si>
  <si>
    <t>ELPTMED_040/25</t>
  </si>
  <si>
    <t>ELPTMED_041/25</t>
  </si>
  <si>
    <t>Arat e-learning</t>
  </si>
  <si>
    <t>ELPTMED_042/25</t>
  </si>
  <si>
    <t>GC (e-learning)</t>
  </si>
  <si>
    <t>ELPTMED_043/25</t>
  </si>
  <si>
    <t>SR E-Learning</t>
  </si>
  <si>
    <t>ELPTSEEP_001/25</t>
  </si>
  <si>
    <t>ISMET (E-Learning)</t>
  </si>
  <si>
    <t>ELPTTCV_003/25</t>
  </si>
  <si>
    <t>ERG E-learning</t>
  </si>
  <si>
    <t>ELPTTCV_004/25</t>
  </si>
  <si>
    <t>SHT (e-Learning)</t>
  </si>
  <si>
    <t>ELPTTCV_005/25</t>
  </si>
  <si>
    <t>TC elearning</t>
  </si>
  <si>
    <t>M191/25</t>
  </si>
  <si>
    <t>Guarda</t>
  </si>
  <si>
    <t>M129/25</t>
  </si>
  <si>
    <t>042/25</t>
  </si>
  <si>
    <t>M182/25</t>
  </si>
  <si>
    <t>Castelo Branco</t>
  </si>
  <si>
    <t>M183/25</t>
  </si>
  <si>
    <t>M184/25</t>
  </si>
  <si>
    <t>050/25</t>
  </si>
  <si>
    <t>M204/25</t>
  </si>
  <si>
    <t>M206/25</t>
  </si>
  <si>
    <t>SHT</t>
  </si>
  <si>
    <t>M207/25</t>
  </si>
  <si>
    <t>M208/25</t>
  </si>
  <si>
    <t>M142/25</t>
  </si>
  <si>
    <t>M164/25</t>
  </si>
  <si>
    <t>M109/25</t>
  </si>
  <si>
    <t>Tábua</t>
  </si>
  <si>
    <t>M110/25</t>
  </si>
  <si>
    <t>M111/25</t>
  </si>
  <si>
    <t>M112/25</t>
  </si>
  <si>
    <t>ARAT</t>
  </si>
  <si>
    <t>São João das Lampas</t>
  </si>
  <si>
    <t>M113/25</t>
  </si>
  <si>
    <t>APF</t>
  </si>
  <si>
    <t>M195/25</t>
  </si>
  <si>
    <t>Póvoa do Lanhoso</t>
  </si>
  <si>
    <t>M214/25</t>
  </si>
  <si>
    <t>046/25</t>
  </si>
  <si>
    <t>M065/25</t>
  </si>
  <si>
    <t>M220/25</t>
  </si>
  <si>
    <t>M058/25</t>
  </si>
  <si>
    <t>Santo Tirso</t>
  </si>
  <si>
    <t>M055/25</t>
  </si>
  <si>
    <t>MMT</t>
  </si>
  <si>
    <t>Porto de Mós</t>
  </si>
  <si>
    <t>FORMANDOS INSERIDOS, FALTA NOTAS, PEDI FORMADOR HOJE</t>
  </si>
  <si>
    <t>M056/25</t>
  </si>
  <si>
    <t>"</t>
  </si>
  <si>
    <t>053/25</t>
  </si>
  <si>
    <t>EC</t>
  </si>
  <si>
    <t>Zibreira</t>
  </si>
  <si>
    <t>054/25</t>
  </si>
  <si>
    <t>TA</t>
  </si>
  <si>
    <t>052/25</t>
  </si>
  <si>
    <t>M212/25</t>
  </si>
  <si>
    <t>Montalegre</t>
  </si>
  <si>
    <t>020/25</t>
  </si>
  <si>
    <t>ACSR</t>
  </si>
  <si>
    <t>Loures</t>
  </si>
  <si>
    <t>021/25</t>
  </si>
  <si>
    <t>M160/25</t>
  </si>
  <si>
    <t>FALTA DADOS</t>
  </si>
  <si>
    <t>M161/25</t>
  </si>
  <si>
    <t>M162/25</t>
  </si>
  <si>
    <t>M163/25</t>
  </si>
  <si>
    <t>M169/25</t>
  </si>
  <si>
    <t>060/25</t>
  </si>
  <si>
    <t>Fundão</t>
  </si>
  <si>
    <t>Freixo de Espada à Cinta</t>
  </si>
  <si>
    <t>039/25</t>
  </si>
  <si>
    <t>040/25</t>
  </si>
  <si>
    <t>AFC</t>
  </si>
  <si>
    <t>056/25</t>
  </si>
  <si>
    <t>M198/25</t>
  </si>
  <si>
    <t>TCC-I</t>
  </si>
  <si>
    <t>M176/25</t>
  </si>
  <si>
    <t>Mafra</t>
  </si>
  <si>
    <t>M190/25</t>
  </si>
  <si>
    <t>MPE</t>
  </si>
  <si>
    <t>M146/25</t>
  </si>
  <si>
    <t>M003/25</t>
  </si>
  <si>
    <t>Alcobaça</t>
  </si>
  <si>
    <t>M004/25</t>
  </si>
  <si>
    <t>M199/25</t>
  </si>
  <si>
    <t>SUSTEN</t>
  </si>
  <si>
    <t>Guimarães</t>
  </si>
  <si>
    <t>M154/25</t>
  </si>
  <si>
    <t>M155/25</t>
  </si>
  <si>
    <t>M156/25</t>
  </si>
  <si>
    <t>M240/25</t>
  </si>
  <si>
    <t>M238/25</t>
  </si>
  <si>
    <t>M239/25</t>
  </si>
  <si>
    <t>PTR</t>
  </si>
  <si>
    <t>044/25</t>
  </si>
  <si>
    <t>068/25</t>
  </si>
  <si>
    <t>M178/25</t>
  </si>
  <si>
    <t>M141/25</t>
  </si>
  <si>
    <t>GTR</t>
  </si>
  <si>
    <t>M248/25</t>
  </si>
  <si>
    <t>M254/25</t>
  </si>
  <si>
    <t>073/25</t>
  </si>
  <si>
    <t>Vilarinho das Cambas</t>
  </si>
  <si>
    <t>M143/25</t>
  </si>
  <si>
    <t>Vitor Costa</t>
  </si>
  <si>
    <t>M144/25</t>
  </si>
  <si>
    <t>M173/25</t>
  </si>
  <si>
    <t>038/25</t>
  </si>
  <si>
    <t>037/25</t>
  </si>
  <si>
    <t>Famões</t>
  </si>
  <si>
    <t>031/25</t>
  </si>
  <si>
    <t>Torres Novas</t>
  </si>
  <si>
    <t>M227/25</t>
  </si>
  <si>
    <t>M024/25</t>
  </si>
  <si>
    <t>M224/25</t>
  </si>
  <si>
    <t>M225/25</t>
  </si>
  <si>
    <t>PR</t>
  </si>
  <si>
    <t>047/25</t>
  </si>
  <si>
    <t>M069/25</t>
  </si>
  <si>
    <t>MET TS</t>
  </si>
  <si>
    <t>M066/25</t>
  </si>
  <si>
    <t>M241/25</t>
  </si>
  <si>
    <t>062/25</t>
  </si>
  <si>
    <t>M247/25</t>
  </si>
  <si>
    <t>ISMET</t>
  </si>
  <si>
    <t>M186/25</t>
  </si>
  <si>
    <t>M187/25</t>
  </si>
  <si>
    <t>M242/25</t>
  </si>
  <si>
    <t>Aljubarrota/Porto de Mós</t>
  </si>
  <si>
    <t>M243/25</t>
  </si>
  <si>
    <t>058/25</t>
  </si>
  <si>
    <t>059/25</t>
  </si>
  <si>
    <t>M159/25</t>
  </si>
  <si>
    <t>MMFA</t>
  </si>
  <si>
    <t>M192/25</t>
  </si>
  <si>
    <t>Atalaia</t>
  </si>
  <si>
    <t>M193/25</t>
  </si>
  <si>
    <t>M194/25</t>
  </si>
  <si>
    <t>M249/25</t>
  </si>
  <si>
    <t>M216/25</t>
  </si>
  <si>
    <t>032/25</t>
  </si>
  <si>
    <t>Évora</t>
  </si>
  <si>
    <t>M232/25</t>
  </si>
  <si>
    <t>Gavião</t>
  </si>
  <si>
    <t>M233/25</t>
  </si>
  <si>
    <t>M234/25</t>
  </si>
  <si>
    <t>M200/25</t>
  </si>
  <si>
    <t>Arruda dos Vinhos</t>
  </si>
  <si>
    <t>055/25</t>
  </si>
  <si>
    <t>M075/25</t>
  </si>
  <si>
    <t>M076/25</t>
  </si>
  <si>
    <t>M077/25</t>
  </si>
  <si>
    <t>M197/25</t>
  </si>
  <si>
    <t>Matosinhos</t>
  </si>
  <si>
    <t>Jorge Aug.</t>
  </si>
  <si>
    <t>falta</t>
  </si>
  <si>
    <t>M072/25</t>
  </si>
  <si>
    <t>M226/25</t>
  </si>
  <si>
    <t>Vila Real</t>
  </si>
  <si>
    <t>061/25</t>
  </si>
  <si>
    <t>M196/25</t>
  </si>
  <si>
    <t>048/25</t>
  </si>
  <si>
    <t>083/25</t>
  </si>
  <si>
    <t>André R.</t>
  </si>
  <si>
    <t>ELPTMED_044/25</t>
  </si>
  <si>
    <t>ELPTMED_045/25</t>
  </si>
  <si>
    <t>CI (e-learning)</t>
  </si>
  <si>
    <t>MJ/PP/LS</t>
  </si>
  <si>
    <t>FG/SP/AS</t>
  </si>
  <si>
    <t>ELPTMED_046/25</t>
  </si>
  <si>
    <t>PS (e-learning)</t>
  </si>
  <si>
    <t>ELPTMED_047/25</t>
  </si>
  <si>
    <t>ELPTMED_048/25</t>
  </si>
  <si>
    <t>SHT (e-learning)</t>
  </si>
  <si>
    <t>ELPTMED_049/25</t>
  </si>
  <si>
    <t>CQA (e-learning)</t>
  </si>
  <si>
    <t>ELPTMED_050/25</t>
  </si>
  <si>
    <t>ELPTMED_051/25</t>
  </si>
  <si>
    <t>CMG E-Learning</t>
  </si>
  <si>
    <t>ELPTMED_052/25</t>
  </si>
  <si>
    <t>EMER elearning</t>
  </si>
  <si>
    <t>ELPTMED_053/25</t>
  </si>
  <si>
    <t>GSC (E-Learning)</t>
  </si>
  <si>
    <t>ELPTMED_054/25</t>
  </si>
  <si>
    <t>FC (e-learning)</t>
  </si>
  <si>
    <t>ELPTMED_056/25</t>
  </si>
  <si>
    <t>AC (e-Learning)</t>
  </si>
  <si>
    <t>ELPTMED_057/25</t>
  </si>
  <si>
    <t>ELPTMED_058/25</t>
  </si>
  <si>
    <t>SHT Elearning</t>
  </si>
  <si>
    <t>ELPTMED_059/25</t>
  </si>
  <si>
    <t>ELPTMED_060/25</t>
  </si>
  <si>
    <t>ELPTMED_061/25</t>
  </si>
  <si>
    <t>CMG (E-Learning)</t>
  </si>
  <si>
    <t>ELPTMED_062/25</t>
  </si>
  <si>
    <t>TA (e-Learning)</t>
  </si>
  <si>
    <t>ELPTMED_063/25</t>
  </si>
  <si>
    <t>ELPTMED_064/25</t>
  </si>
  <si>
    <t>ELPTMED_065/25</t>
  </si>
  <si>
    <t>TVN (e-learning)</t>
  </si>
  <si>
    <t>ELPTMED_066/25</t>
  </si>
  <si>
    <t>HST E-Learning</t>
  </si>
  <si>
    <t>ELPTMED_067/25</t>
  </si>
  <si>
    <t>ELPTMED_068/25</t>
  </si>
  <si>
    <t>ELPTMED_069/25</t>
  </si>
  <si>
    <t>CQA - e-Learning</t>
  </si>
  <si>
    <t>ELPTMED_070/25</t>
  </si>
  <si>
    <t>ELPTMED_071/25</t>
  </si>
  <si>
    <t>GSC (e-Learning)</t>
  </si>
  <si>
    <t>ELPTMED_072/25</t>
  </si>
  <si>
    <t>ELPTMED_073/25</t>
  </si>
  <si>
    <t>CE (e-learning)</t>
  </si>
  <si>
    <t>ELPTMED_074/25</t>
  </si>
  <si>
    <t>ORTT - E-Learning</t>
  </si>
  <si>
    <t>ELPTMED_075/25</t>
  </si>
  <si>
    <t>ELPTMED_076/25</t>
  </si>
  <si>
    <t>GRC (e-learning)</t>
  </si>
  <si>
    <t>ELPTMED_077/25</t>
  </si>
  <si>
    <t>MPE (E-L)</t>
  </si>
  <si>
    <t>ELPTMED_078/25</t>
  </si>
  <si>
    <t>ELPTMED_079/25</t>
  </si>
  <si>
    <t>ELPTMED_081/25</t>
  </si>
  <si>
    <t>EMER-E-learning</t>
  </si>
  <si>
    <t>ELPTMED_082/25</t>
  </si>
  <si>
    <t>ELPTMED_084/25</t>
  </si>
  <si>
    <t>ATE (e-Learning)</t>
  </si>
  <si>
    <t>ELPTMED_085/25</t>
  </si>
  <si>
    <t>ISO9001 (e-Learning)</t>
  </si>
  <si>
    <t>ELPTMED_086/25</t>
  </si>
  <si>
    <t>ELPTMED_087/25</t>
  </si>
  <si>
    <t>ELPTMED_088/25</t>
  </si>
  <si>
    <t>ELPTMED_089/25</t>
  </si>
  <si>
    <t>ELPTTCV_006/25</t>
  </si>
  <si>
    <t>MEC E-Learning</t>
  </si>
  <si>
    <t>ELPTTCV_007/25</t>
  </si>
  <si>
    <t>PGC E-Learning</t>
  </si>
  <si>
    <t>ELPTTCV_008/25</t>
  </si>
  <si>
    <t>ELPTTCV_009/25</t>
  </si>
  <si>
    <t>ELPTTCV_011/25</t>
  </si>
  <si>
    <t>e-Combate a Incêndios</t>
  </si>
  <si>
    <t>ELPTTCV_012/25</t>
  </si>
  <si>
    <t>ELPTTCV_013/25</t>
  </si>
  <si>
    <t>M276/25</t>
  </si>
  <si>
    <t>M277/25</t>
  </si>
  <si>
    <t>M278/25</t>
  </si>
  <si>
    <t>M235/25</t>
  </si>
  <si>
    <t>M236/25</t>
  </si>
  <si>
    <t>M237/25</t>
  </si>
  <si>
    <t>080/25</t>
  </si>
  <si>
    <t>063/25</t>
  </si>
  <si>
    <t>Anadia</t>
  </si>
  <si>
    <t>064/25</t>
  </si>
  <si>
    <t>082/25</t>
  </si>
  <si>
    <t>CMM</t>
  </si>
  <si>
    <t>SIm</t>
  </si>
  <si>
    <t>M005/25</t>
  </si>
  <si>
    <t>M006/25</t>
  </si>
  <si>
    <t>M007/25</t>
  </si>
  <si>
    <t>M255/25</t>
  </si>
  <si>
    <t>Sabrosa</t>
  </si>
  <si>
    <t>084/25</t>
  </si>
  <si>
    <t>Santiago do Cacém</t>
  </si>
  <si>
    <t>M272/25</t>
  </si>
  <si>
    <t>M269/25</t>
  </si>
  <si>
    <t>M270/25</t>
  </si>
  <si>
    <t>Ferreira do Alentejo</t>
  </si>
  <si>
    <t>069/25</t>
  </si>
  <si>
    <t>Rebordosa</t>
  </si>
  <si>
    <t>070/25</t>
  </si>
  <si>
    <t>071/25</t>
  </si>
  <si>
    <t>072/25</t>
  </si>
  <si>
    <t>M171/25</t>
  </si>
  <si>
    <t>Serzedo</t>
  </si>
  <si>
    <t>M172/25</t>
  </si>
  <si>
    <t>M062/25</t>
  </si>
  <si>
    <t>Melgaço</t>
  </si>
  <si>
    <t xml:space="preserve">  M274/25</t>
  </si>
  <si>
    <t>MT</t>
  </si>
  <si>
    <t>Fátima</t>
  </si>
  <si>
    <t xml:space="preserve">  M295/25</t>
  </si>
  <si>
    <t xml:space="preserve">  M296/25</t>
  </si>
  <si>
    <t>M297/25</t>
  </si>
  <si>
    <t>Celorico de Basto</t>
  </si>
  <si>
    <t>M147/25</t>
  </si>
  <si>
    <t>M289/25</t>
  </si>
  <si>
    <t>M273/25</t>
  </si>
  <si>
    <t>Castelo Branco </t>
  </si>
  <si>
    <t>M256/25</t>
  </si>
  <si>
    <t>Alcochete</t>
  </si>
  <si>
    <t>M271/25</t>
  </si>
  <si>
    <t>M153/25</t>
  </si>
  <si>
    <t>Barcelos</t>
  </si>
  <si>
    <t>M281/25</t>
  </si>
  <si>
    <t>Sacavém</t>
  </si>
  <si>
    <t>FALTA DTP</t>
  </si>
  <si>
    <t>M282/25</t>
  </si>
  <si>
    <t>M262/25</t>
  </si>
  <si>
    <t>Alhos Vedros</t>
  </si>
  <si>
    <t>M306/25</t>
  </si>
  <si>
    <t>MTS</t>
  </si>
  <si>
    <t>Abrantes</t>
  </si>
  <si>
    <t>M307/25</t>
  </si>
  <si>
    <t>MMAF</t>
  </si>
  <si>
    <t> M057/25</t>
  </si>
  <si>
    <t>GTOT</t>
  </si>
  <si>
    <t>M215/25</t>
  </si>
  <si>
    <t>Seroa</t>
  </si>
  <si>
    <t>M074/25</t>
  </si>
  <si>
    <t>Alverca</t>
  </si>
  <si>
    <t>M250/25</t>
  </si>
  <si>
    <t>M302/25</t>
  </si>
  <si>
    <t>M285/25</t>
  </si>
  <si>
    <t xml:space="preserve"> M290/25</t>
  </si>
  <si>
    <t>Tomar</t>
  </si>
  <si>
    <t>086/25</t>
  </si>
  <si>
    <t>Cantanhede</t>
  </si>
  <si>
    <t>081/25</t>
  </si>
  <si>
    <t>Rio Maior</t>
  </si>
  <si>
    <t>M228/25</t>
  </si>
  <si>
    <t>Bombarral</t>
  </si>
  <si>
    <t>M291/25</t>
  </si>
  <si>
    <t>Pinhel</t>
  </si>
  <si>
    <t>M031/25</t>
  </si>
  <si>
    <t>FR</t>
  </si>
  <si>
    <t>ZOOM</t>
  </si>
  <si>
    <t>A DECORRER</t>
  </si>
  <si>
    <t>049/25</t>
  </si>
  <si>
    <t>M263/25</t>
  </si>
  <si>
    <t>M311/25</t>
  </si>
  <si>
    <t>M201/25</t>
  </si>
  <si>
    <t>Caldas da Rainha</t>
  </si>
  <si>
    <t>M244/25</t>
  </si>
  <si>
    <t>M148/25</t>
  </si>
  <si>
    <t>M294/25</t>
  </si>
  <si>
    <t>M326/25</t>
  </si>
  <si>
    <t>Figueira da Foz</t>
  </si>
  <si>
    <t>M312/25</t>
  </si>
  <si>
    <t>Casével</t>
  </si>
  <si>
    <t>M319/25</t>
  </si>
  <si>
    <t>Casais de Advagar</t>
  </si>
  <si>
    <t>M335/25</t>
  </si>
  <si>
    <t>M322/25</t>
  </si>
  <si>
    <t>Arouca</t>
  </si>
  <si>
    <t>076/25</t>
  </si>
  <si>
    <t>087/25</t>
  </si>
  <si>
    <t>Águeda</t>
  </si>
  <si>
    <t>M231/25</t>
  </si>
  <si>
    <t>M124/25</t>
  </si>
  <si>
    <t>Oliveira de Azemeis</t>
  </si>
  <si>
    <t>M293/25</t>
  </si>
  <si>
    <t>005/25</t>
  </si>
  <si>
    <t>M275/25</t>
  </si>
  <si>
    <t>Cernache</t>
  </si>
  <si>
    <t>089/25</t>
  </si>
  <si>
    <t>Monte Redondo </t>
  </si>
  <si>
    <t>pp</t>
  </si>
  <si>
    <t>M310/25</t>
  </si>
  <si>
    <t>M179/25</t>
  </si>
  <si>
    <t>GS</t>
  </si>
  <si>
    <t>M336/25</t>
  </si>
  <si>
    <t>006/25</t>
  </si>
  <si>
    <t>M338/25</t>
  </si>
  <si>
    <t>090/25</t>
  </si>
  <si>
    <t>SMDA</t>
  </si>
  <si>
    <t>M320/25</t>
  </si>
  <si>
    <t>Mangualde</t>
  </si>
  <si>
    <t>M264/25</t>
  </si>
  <si>
    <t>091/25</t>
  </si>
  <si>
    <t>RPS</t>
  </si>
  <si>
    <t>Porto</t>
  </si>
  <si>
    <t>FALTA PAG</t>
  </si>
  <si>
    <t>M321/25</t>
  </si>
  <si>
    <t>M339/25</t>
  </si>
  <si>
    <t>092/25</t>
  </si>
  <si>
    <t>M340/25</t>
  </si>
  <si>
    <t>M316/25</t>
  </si>
  <si>
    <t>Vale de Cambra</t>
  </si>
  <si>
    <t>096/25</t>
  </si>
  <si>
    <t>Espinho</t>
  </si>
  <si>
    <t>M279/25</t>
  </si>
  <si>
    <t>M280/25</t>
  </si>
  <si>
    <t>M098/25</t>
  </si>
  <si>
    <t>M099/25</t>
  </si>
  <si>
    <t>M333/25</t>
  </si>
  <si>
    <t>Trofa</t>
  </si>
  <si>
    <t>M337/25</t>
  </si>
  <si>
    <t>Ferreira Do Alentejo</t>
  </si>
  <si>
    <t>093/25</t>
  </si>
  <si>
    <t>M298/25</t>
  </si>
  <si>
    <t>M288/25</t>
  </si>
  <si>
    <t>Chamusca</t>
  </si>
  <si>
    <t>M292/25</t>
  </si>
  <si>
    <t>M305/25</t>
  </si>
  <si>
    <t>Cinfães</t>
  </si>
  <si>
    <t>M334/25</t>
  </si>
  <si>
    <t>M257/25</t>
  </si>
  <si>
    <t>M258/25</t>
  </si>
  <si>
    <t>M259/25</t>
  </si>
  <si>
    <t>ATC</t>
  </si>
  <si>
    <t>M260/25</t>
  </si>
  <si>
    <t>ELPTMED_080/25</t>
  </si>
  <si>
    <t>GC E-learning</t>
  </si>
  <si>
    <t>ELPTMED_083/25</t>
  </si>
  <si>
    <t>CQA E-Learning</t>
  </si>
  <si>
    <t>ELPTMED_090/25</t>
  </si>
  <si>
    <t>ASPV(E-Learning)</t>
  </si>
  <si>
    <t>ELPTMED_091/25</t>
  </si>
  <si>
    <t>FG/SF</t>
  </si>
  <si>
    <t>ELPTMED_092/25</t>
  </si>
  <si>
    <t>TC -ELlearning</t>
  </si>
  <si>
    <t>ELPTMED_093/25</t>
  </si>
  <si>
    <t>ELPTMED_094/25</t>
  </si>
  <si>
    <t>PTR (E-Learning)</t>
  </si>
  <si>
    <t>ELPTMED_095/25</t>
  </si>
  <si>
    <t>SST E-Learning</t>
  </si>
  <si>
    <t>ELPTMED_096/25</t>
  </si>
  <si>
    <t>CE- e-Learning</t>
  </si>
  <si>
    <t>ELPTMED_097/25</t>
  </si>
  <si>
    <t>REDT- e-Learning</t>
  </si>
  <si>
    <t>ELPTMED_098/25</t>
  </si>
  <si>
    <t>PS E-Learning</t>
  </si>
  <si>
    <t>ELPTMED_099/25</t>
  </si>
  <si>
    <t>ELPTMED_100/25</t>
  </si>
  <si>
    <t>LS/MJ/PP</t>
  </si>
  <si>
    <t>AS/FG/SF</t>
  </si>
  <si>
    <t>ELPTMED_101/25</t>
  </si>
  <si>
    <t>e-Tacógrafos Digitais - V.25 - 8h elearning</t>
  </si>
  <si>
    <t>ELPTMED_102/25</t>
  </si>
  <si>
    <t>HST- e-Learning</t>
  </si>
  <si>
    <t>ELPTMED_103/25</t>
  </si>
  <si>
    <t>ELPTMED_104/25</t>
  </si>
  <si>
    <t>SST (e-learning)</t>
  </si>
  <si>
    <t>ELPTMED_105/25</t>
  </si>
  <si>
    <t>ELPTMED_106/25</t>
  </si>
  <si>
    <t>EMER E-learning</t>
  </si>
  <si>
    <t>ELPTMED_107/25</t>
  </si>
  <si>
    <t>TCA- elearning</t>
  </si>
  <si>
    <t>ELPTMED_108/25</t>
  </si>
  <si>
    <t>ISMET- Elearning</t>
  </si>
  <si>
    <t>ELPTMED_109/25</t>
  </si>
  <si>
    <t>ELPTMED_110/25</t>
  </si>
  <si>
    <t>TC E-Learning</t>
  </si>
  <si>
    <t>ELPTMED_111/25</t>
  </si>
  <si>
    <t>ELPTMED_112/25</t>
  </si>
  <si>
    <t>ELPTMED_113/25</t>
  </si>
  <si>
    <t>e-Trabalho em Altura (Andaimes, Escadas, Plataformas) 8h</t>
  </si>
  <si>
    <t>ELPTMED_114/25</t>
  </si>
  <si>
    <t>ESA E-Learning</t>
  </si>
  <si>
    <t>ELPTMED_115/25</t>
  </si>
  <si>
    <t>M5S E-learning</t>
  </si>
  <si>
    <t>ELPTMED_116/25</t>
  </si>
  <si>
    <t>ELPTMED_117/25</t>
  </si>
  <si>
    <t>ELPTMED_118/25</t>
  </si>
  <si>
    <t>ELPTMED_119/25</t>
  </si>
  <si>
    <t>e-Ergonomia</t>
  </si>
  <si>
    <t>ELPTMED_120/25</t>
  </si>
  <si>
    <t>TVNC E-learning</t>
  </si>
  <si>
    <t>ELPTMED_121/25</t>
  </si>
  <si>
    <t>AVP (E-Learning)</t>
  </si>
  <si>
    <t>ELPTMED_122/25</t>
  </si>
  <si>
    <t>Condutor/Manobrador de Máquinas 8h- E-learning</t>
  </si>
  <si>
    <t>ELPTMED_123/25</t>
  </si>
  <si>
    <t>ELPTMED_124/25</t>
  </si>
  <si>
    <t>ORTT_Organização e Registo dos Tempos de Trabalho_8h</t>
  </si>
  <si>
    <t>ELPTMED_125/25</t>
  </si>
  <si>
    <t>e-Pontes Rolantes 8h</t>
  </si>
  <si>
    <t>SF/AS</t>
  </si>
  <si>
    <t>ELPTMED_126/25</t>
  </si>
  <si>
    <t>PR - e-Learning</t>
  </si>
  <si>
    <t>ELPTMED_127/25</t>
  </si>
  <si>
    <t>LID (e-Learning)</t>
  </si>
  <si>
    <t>ELPTMED_128/25</t>
  </si>
  <si>
    <t>AS/SF/FG</t>
  </si>
  <si>
    <t>ELPTMED_129/25</t>
  </si>
  <si>
    <t>SHT(e-learning)</t>
  </si>
  <si>
    <t>ELPTMED_130/25</t>
  </si>
  <si>
    <t>e-HST - Higiene, Segurança do Trabalho 8h</t>
  </si>
  <si>
    <t>SF/A«FG</t>
  </si>
  <si>
    <t>ELPTMED_131/25</t>
  </si>
  <si>
    <t>ELPTMED_132/25</t>
  </si>
  <si>
    <t>TC - Elearning</t>
  </si>
  <si>
    <t>ELPTMED_133/25</t>
  </si>
  <si>
    <t>ELPTMED_134/25</t>
  </si>
  <si>
    <t>ELPTMED_135/25</t>
  </si>
  <si>
    <t>SF/AFG</t>
  </si>
  <si>
    <t>ELPTMED_136/25</t>
  </si>
  <si>
    <t>COI (e-learning)</t>
  </si>
  <si>
    <t>ELPTMED_137/25</t>
  </si>
  <si>
    <t>CI Elearning</t>
  </si>
  <si>
    <t>ELPTMED_138/25</t>
  </si>
  <si>
    <t>ELPTMED_139/25</t>
  </si>
  <si>
    <t>ELPTMED_140/25</t>
  </si>
  <si>
    <t>ELPTMED_141/25</t>
  </si>
  <si>
    <t>e-CMG_Condutor Manobrador de Gruas (Móveis e Fixas) 8 h</t>
  </si>
  <si>
    <t>ELPTMED_142/25</t>
  </si>
  <si>
    <t>e-IEA - Inteligência Emocional</t>
  </si>
  <si>
    <t>ELPTMED_143/25</t>
  </si>
  <si>
    <t>CQA (E-Learning)</t>
  </si>
  <si>
    <t>ELPTTCV_014/25</t>
  </si>
  <si>
    <t>ELPTTCV_015/25</t>
  </si>
  <si>
    <t>ELPTTCV_016/25</t>
  </si>
  <si>
    <t>AFC (e-Learning)</t>
  </si>
  <si>
    <t>ELPTTCV_017/25</t>
  </si>
  <si>
    <t>e-Tacógrafos</t>
  </si>
  <si>
    <t>ELPTTCV_018/25</t>
  </si>
  <si>
    <t>ELPTTCV_019/25</t>
  </si>
  <si>
    <t>e-Acondicionamento de Cargas</t>
  </si>
  <si>
    <t>ELPTTCV_020/25</t>
  </si>
  <si>
    <t>MET 5S E-Leaning</t>
  </si>
  <si>
    <t>ELPTTCV_021/25</t>
  </si>
  <si>
    <t>TA(E-Learning)</t>
  </si>
  <si>
    <t>ELPTTCV_022/25</t>
  </si>
  <si>
    <t>e-ORTT_Organização e Registo dos Tempos de Trabalho_8h</t>
  </si>
  <si>
    <t>ELPTTCV_023/25</t>
  </si>
  <si>
    <t>e-CDE</t>
  </si>
  <si>
    <t>ELPTTCV_024/25</t>
  </si>
  <si>
    <t>ELPTTCV_025/25</t>
  </si>
  <si>
    <t>M284/25</t>
  </si>
  <si>
    <t>V</t>
  </si>
  <si>
    <t>M341/25</t>
  </si>
  <si>
    <t>M327/25</t>
  </si>
  <si>
    <t>M328/25</t>
  </si>
  <si>
    <t>M329/25</t>
  </si>
  <si>
    <t>M100/25</t>
  </si>
  <si>
    <t>094/25</t>
  </si>
  <si>
    <t>M349/25</t>
  </si>
  <si>
    <t>GTRP</t>
  </si>
  <si>
    <t>M033/25</t>
  </si>
  <si>
    <t>Montijo</t>
  </si>
  <si>
    <t>LID</t>
  </si>
  <si>
    <t>M355/25</t>
  </si>
  <si>
    <t>M353/25</t>
  </si>
  <si>
    <t>Valongo</t>
  </si>
  <si>
    <t>M343/25</t>
  </si>
  <si>
    <t>074/25</t>
  </si>
  <si>
    <t>088/25</t>
  </si>
  <si>
    <t>M358/25</t>
  </si>
  <si>
    <t>M202/25</t>
  </si>
  <si>
    <t>M342/25</t>
  </si>
  <si>
    <t>M356/25</t>
  </si>
  <si>
    <t>NBMO</t>
  </si>
  <si>
    <t>Perulheira</t>
  </si>
  <si>
    <t>085/25</t>
  </si>
  <si>
    <t>Alandroal</t>
  </si>
  <si>
    <t>M229/25</t>
  </si>
  <si>
    <t>Moura</t>
  </si>
  <si>
    <t>Oeiras</t>
  </si>
  <si>
    <t>M350/25</t>
  </si>
  <si>
    <t>M351/25</t>
  </si>
  <si>
    <t>095/25</t>
  </si>
  <si>
    <t>M126/25</t>
  </si>
  <si>
    <t>Paredes de Coura</t>
  </si>
  <si>
    <t>M360/25</t>
  </si>
  <si>
    <t>M365/25</t>
  </si>
  <si>
    <t>112/25</t>
  </si>
  <si>
    <t>M354/25</t>
  </si>
  <si>
    <t>Paços de Ferreira</t>
  </si>
  <si>
    <t>104/25</t>
  </si>
  <si>
    <t>M221/25</t>
  </si>
  <si>
    <t>Gondomar</t>
  </si>
  <si>
    <t>M372/25</t>
  </si>
  <si>
    <t>Chão Pardo</t>
  </si>
  <si>
    <t>097/25</t>
  </si>
  <si>
    <t>Resende</t>
  </si>
  <si>
    <t>111/25</t>
  </si>
  <si>
    <t>Povoa de Varzim</t>
  </si>
  <si>
    <t>113/25</t>
  </si>
  <si>
    <t>M378/25</t>
  </si>
  <si>
    <t>066/25</t>
  </si>
  <si>
    <t>M387/25</t>
  </si>
  <si>
    <t>MC</t>
  </si>
  <si>
    <t>M388/25</t>
  </si>
  <si>
    <t>M386/25</t>
  </si>
  <si>
    <t>M391/25</t>
  </si>
  <si>
    <t>Vialonga</t>
  </si>
  <si>
    <t>M392/25</t>
  </si>
  <si>
    <t>M367/25</t>
  </si>
  <si>
    <t>M362/25</t>
  </si>
  <si>
    <t>Fornos de Algodres</t>
  </si>
  <si>
    <t>M402/25</t>
  </si>
  <si>
    <t>ELPTMED_144/25</t>
  </si>
  <si>
    <t>ELPTMED_145/25</t>
  </si>
  <si>
    <t>CED(e-learning)</t>
  </si>
  <si>
    <t>ELPTMED_146/25</t>
  </si>
  <si>
    <t>e-PS - Primeiros Socorros 8h</t>
  </si>
  <si>
    <t>MJ/LS/PP</t>
  </si>
  <si>
    <t>FG/AS/SF</t>
  </si>
  <si>
    <t>ELPTMED_147/25</t>
  </si>
  <si>
    <t>PS ELEARNING</t>
  </si>
  <si>
    <t>ELPTMED_148/25</t>
  </si>
  <si>
    <t>ELPTMED_149/25</t>
  </si>
  <si>
    <t>e-GTOT</t>
  </si>
  <si>
    <t>ELPTMED_150/25</t>
  </si>
  <si>
    <t>TA - e-Learning</t>
  </si>
  <si>
    <t>ELPTMED_151/25</t>
  </si>
  <si>
    <t>AS/SF</t>
  </si>
  <si>
    <t>ELPTMED_152/25</t>
  </si>
  <si>
    <t>SHT (E-Learning)</t>
  </si>
  <si>
    <t>ELPTMED_153/25</t>
  </si>
  <si>
    <t>ELPTMED_154/25</t>
  </si>
  <si>
    <t>PE (E-Learning)</t>
  </si>
  <si>
    <t>ELPTMED_155/25</t>
  </si>
  <si>
    <t>e- Tacógrafos Digitais - V.25 - 8h</t>
  </si>
  <si>
    <t>ELPTMED_156/25</t>
  </si>
  <si>
    <t>ELPTMED_157/25</t>
  </si>
  <si>
    <t>MGM (E-Learning)</t>
  </si>
  <si>
    <t>ELPTMED_158/25</t>
  </si>
  <si>
    <t>e-Gestão Tratamento Reclamações 8h</t>
  </si>
  <si>
    <t>ELPTMED_159/25</t>
  </si>
  <si>
    <t>PCBCFT - e-Learning</t>
  </si>
  <si>
    <t>ELPTMED_160/25</t>
  </si>
  <si>
    <t>e-Gestão de Tempo e de Stress</t>
  </si>
  <si>
    <t>ELPTMED_161/25</t>
  </si>
  <si>
    <t>ORTT e-Learning</t>
  </si>
  <si>
    <t>ELPTMED_162/25</t>
  </si>
  <si>
    <t>ELPTMED_163/25</t>
  </si>
  <si>
    <t>e-Condução Defensiva e Económica 8h</t>
  </si>
  <si>
    <t>ELPTMED_164/25</t>
  </si>
  <si>
    <t>e-Excel Avançado_50h</t>
  </si>
  <si>
    <t>ELPTMED_165/25</t>
  </si>
  <si>
    <t>GCOB (E-learning)</t>
  </si>
  <si>
    <t>ELPTMED_166/25</t>
  </si>
  <si>
    <t>ELPTMED_167/25</t>
  </si>
  <si>
    <t>ELPTMED_168/25</t>
  </si>
  <si>
    <t>ELPTMED_169/25</t>
  </si>
  <si>
    <t>ELPTMED_170/25</t>
  </si>
  <si>
    <t>ELPTMED_171/25</t>
  </si>
  <si>
    <t>ELPTMED_172/25</t>
  </si>
  <si>
    <t>SHT E-Learning</t>
  </si>
  <si>
    <t>ELPTMED_173/25</t>
  </si>
  <si>
    <t>EL - Tacógrafos Digitais - V.25</t>
  </si>
  <si>
    <t>ELPTMED_174/25</t>
  </si>
  <si>
    <t>e-Gtot- e-learning</t>
  </si>
  <si>
    <t>ELPTMED_175/25</t>
  </si>
  <si>
    <t>e-ORTT</t>
  </si>
  <si>
    <t>ELPTMED_176/25</t>
  </si>
  <si>
    <t>e-Gestão de Cobranças 8h</t>
  </si>
  <si>
    <t>ELPTMED_177/25</t>
  </si>
  <si>
    <t>ELPTMED_178/25</t>
  </si>
  <si>
    <t>e-Fidelização de Clientes_8h</t>
  </si>
  <si>
    <t>ELPTMED_179/25</t>
  </si>
  <si>
    <t>ATC E-Learning</t>
  </si>
  <si>
    <t>ELPTMED_180/25</t>
  </si>
  <si>
    <t>TA E-learning</t>
  </si>
  <si>
    <t>ELPTMED_181/25</t>
  </si>
  <si>
    <t>e-ARAT - Avaliação de Riscos por Atividade 2h</t>
  </si>
  <si>
    <t>ELPTMED_182/25</t>
  </si>
  <si>
    <t>MM (e-learning)</t>
  </si>
  <si>
    <t>ELPTMED_183/25</t>
  </si>
  <si>
    <t>ELPTMED_184/25</t>
  </si>
  <si>
    <t>ELPTMED_185/25</t>
  </si>
  <si>
    <t>ELPTMED_186/25</t>
  </si>
  <si>
    <t>ELPTMED_187/25</t>
  </si>
  <si>
    <t>ELPTMED_188/25</t>
  </si>
  <si>
    <t>ELPTMED_189/25</t>
  </si>
  <si>
    <t>e-Higiene e Segurança Alimentar 8h</t>
  </si>
  <si>
    <t>ELPTMED_190/25</t>
  </si>
  <si>
    <t>ELPTMED_191/25</t>
  </si>
  <si>
    <t>GTS (e-Learning)</t>
  </si>
  <si>
    <t>ELPTMED_192/25</t>
  </si>
  <si>
    <t>CIT (E-L)</t>
  </si>
  <si>
    <t>ELPTMED_193/25</t>
  </si>
  <si>
    <t>ELPTMED_194/25</t>
  </si>
  <si>
    <t>ELPTMED_195/25</t>
  </si>
  <si>
    <t>AFC (E-Learning)</t>
  </si>
  <si>
    <t>ELPTMED_196/25</t>
  </si>
  <si>
    <t>ARAT (e-learning)</t>
  </si>
  <si>
    <t>ELPTMED_197/25</t>
  </si>
  <si>
    <t>ELPTMED_198/25</t>
  </si>
  <si>
    <t>ELPTMED_199/25</t>
  </si>
  <si>
    <t>ELPTMED_200/25</t>
  </si>
  <si>
    <t>ELPTMED_201/25</t>
  </si>
  <si>
    <t>e-RETD24_Representante do empregador, empregador ou trabalhador designado_35h</t>
  </si>
  <si>
    <t>ELPTMED_202/25</t>
  </si>
  <si>
    <t>ERG (e-learning)</t>
  </si>
  <si>
    <t>ELPTMED_203/25</t>
  </si>
  <si>
    <t>GC (E-learning)</t>
  </si>
  <si>
    <t>ELPTMED_204/25</t>
  </si>
  <si>
    <t>GEC (e-Learning)</t>
  </si>
  <si>
    <t>ELPTMED_205/25</t>
  </si>
  <si>
    <t>ELPTMED_206/25</t>
  </si>
  <si>
    <t>ELPTMED_208/25</t>
  </si>
  <si>
    <t>ELPTMED_210/25</t>
  </si>
  <si>
    <t>M5S - e-Learning</t>
  </si>
  <si>
    <t>ELPTSEEP_002/25</t>
  </si>
  <si>
    <t>e-Excel Fundamental</t>
  </si>
  <si>
    <t>ELPTSEEP_003/25</t>
  </si>
  <si>
    <t>e-Excel Avançado</t>
  </si>
  <si>
    <t>ELPTSEEP_004/25</t>
  </si>
  <si>
    <t>e-Excel Fundamental 25h</t>
  </si>
  <si>
    <t>ELPTTCV_026/25</t>
  </si>
  <si>
    <t>LID E-Learning</t>
  </si>
  <si>
    <t>ELPTTCV_027/25</t>
  </si>
  <si>
    <t>ELPTTCV_028/25</t>
  </si>
  <si>
    <t>e-ORTT_Organização e Registo dos Tempos de Trabalho_4h</t>
  </si>
  <si>
    <t>ELPTTCV_029/25</t>
  </si>
  <si>
    <t>ELPTTCV_030/25</t>
  </si>
  <si>
    <t>ELPTTCV_031/25</t>
  </si>
  <si>
    <t>ELPTTCV_032/25</t>
  </si>
  <si>
    <t>ELPTTCV_033/25</t>
  </si>
  <si>
    <t>M325/25</t>
  </si>
  <si>
    <t>Batalha</t>
  </si>
  <si>
    <t>não</t>
  </si>
  <si>
    <t>M405/25</t>
  </si>
  <si>
    <t>sim</t>
  </si>
  <si>
    <t>M230/25</t>
  </si>
  <si>
    <t>M352/25</t>
  </si>
  <si>
    <t>M368/25</t>
  </si>
  <si>
    <t>Vila Nova de Poiares</t>
  </si>
  <si>
    <t>105/25</t>
  </si>
  <si>
    <t>SIM</t>
  </si>
  <si>
    <t>M395/25</t>
  </si>
  <si>
    <t>Aguiar da Beira</t>
  </si>
  <si>
    <t>M396/25</t>
  </si>
  <si>
    <t>M217/25</t>
  </si>
  <si>
    <t>Famalicão</t>
  </si>
  <si>
    <t>FL</t>
  </si>
  <si>
    <t>M373/25</t>
  </si>
  <si>
    <t>M174/25</t>
  </si>
  <si>
    <t>M185/25</t>
  </si>
  <si>
    <t>Carregado/VFXIRA</t>
  </si>
  <si>
    <t>079/25</t>
  </si>
  <si>
    <t>M414/25</t>
  </si>
  <si>
    <t>JM</t>
  </si>
  <si>
    <t>CB</t>
  </si>
  <si>
    <t>M415/25</t>
  </si>
  <si>
    <t>M416/25</t>
  </si>
  <si>
    <t>M399/25</t>
  </si>
  <si>
    <t>Sátão</t>
  </si>
  <si>
    <t>M266/25</t>
  </si>
  <si>
    <t>M375/25</t>
  </si>
  <si>
    <t>M369/25</t>
  </si>
  <si>
    <t>M393/25</t>
  </si>
  <si>
    <t>M371/25</t>
  </si>
  <si>
    <t>Vila Nova de Cerveira</t>
  </si>
  <si>
    <t>M374/25</t>
  </si>
  <si>
    <t>M429/25</t>
  </si>
  <si>
    <t>119/25</t>
  </si>
  <si>
    <t xml:space="preserve">Sim </t>
  </si>
  <si>
    <t>M404/25</t>
  </si>
  <si>
    <t>M287/25</t>
  </si>
  <si>
    <t>M344/25</t>
  </si>
  <si>
    <t>Vila Facaia</t>
  </si>
  <si>
    <t>JP</t>
  </si>
  <si>
    <t>116/25</t>
  </si>
  <si>
    <t>117/25</t>
  </si>
  <si>
    <t>106/25</t>
  </si>
  <si>
    <t>M424/25</t>
  </si>
  <si>
    <t>107/25</t>
  </si>
  <si>
    <t>108/25</t>
  </si>
  <si>
    <t>M345/25</t>
  </si>
  <si>
    <t>M439/25</t>
  </si>
  <si>
    <t>Paredes</t>
  </si>
  <si>
    <t>M440/25</t>
  </si>
  <si>
    <t>M400/25</t>
  </si>
  <si>
    <t>110/25</t>
  </si>
  <si>
    <t>M054/25</t>
  </si>
  <si>
    <t>Santa Comba Dão</t>
  </si>
  <si>
    <t>M419/25</t>
  </si>
  <si>
    <t>M446/25</t>
  </si>
  <si>
    <t>Ponte de Sôr</t>
  </si>
  <si>
    <t>M447/25</t>
  </si>
  <si>
    <t>M381/25</t>
  </si>
  <si>
    <t>M428/25</t>
  </si>
  <si>
    <t>M222/25</t>
  </si>
  <si>
    <t>098/25</t>
  </si>
  <si>
    <t>M394/25</t>
  </si>
  <si>
    <t>124/25</t>
  </si>
  <si>
    <t>M433/25</t>
  </si>
  <si>
    <t>Altura</t>
  </si>
  <si>
    <t>M434/25</t>
  </si>
  <si>
    <t>Palmela</t>
  </si>
  <si>
    <t>LDS</t>
  </si>
  <si>
    <t>M435/25</t>
  </si>
  <si>
    <t>M401/25</t>
  </si>
  <si>
    <t>Beja</t>
  </si>
  <si>
    <t>M382/25</t>
  </si>
  <si>
    <t>M380/25</t>
  </si>
  <si>
    <t>CMG</t>
  </si>
  <si>
    <t>Nazaré</t>
  </si>
  <si>
    <t>M379/25</t>
  </si>
  <si>
    <t>M436/25</t>
  </si>
  <si>
    <t>Oliveira do Hospital</t>
  </si>
  <si>
    <t>M442/25</t>
  </si>
  <si>
    <t>Canelas</t>
  </si>
  <si>
    <t>IF</t>
  </si>
  <si>
    <t>M421/25</t>
  </si>
  <si>
    <t xml:space="preserve">Não </t>
  </si>
  <si>
    <t>M422/25</t>
  </si>
  <si>
    <t>M423/25</t>
  </si>
  <si>
    <t>M203/25</t>
  </si>
  <si>
    <t>M376/25</t>
  </si>
  <si>
    <t>M032/25</t>
  </si>
  <si>
    <t>M406/25</t>
  </si>
  <si>
    <t>Valega/Ovar</t>
  </si>
  <si>
    <t>M427/25</t>
  </si>
  <si>
    <t>M418/25</t>
  </si>
  <si>
    <t>M407/25</t>
  </si>
  <si>
    <t>M437/25</t>
  </si>
  <si>
    <t>M449/25</t>
  </si>
  <si>
    <t>Povoa de Lanhoso</t>
  </si>
  <si>
    <t>M454/25</t>
  </si>
  <si>
    <t>M452/25</t>
  </si>
  <si>
    <t>FM</t>
  </si>
  <si>
    <t>M453/25</t>
  </si>
  <si>
    <t>M455/25</t>
  </si>
  <si>
    <t>M443/25</t>
  </si>
  <si>
    <t>M218/25</t>
  </si>
  <si>
    <t>M040/25</t>
  </si>
  <si>
    <t>AVP</t>
  </si>
  <si>
    <t>Gandra</t>
  </si>
  <si>
    <t>M389/25</t>
  </si>
  <si>
    <t>Felgueiras</t>
  </si>
  <si>
    <t>M313/25</t>
  </si>
  <si>
    <t>M252/25</t>
  </si>
  <si>
    <t xml:space="preserve">Pinhel </t>
  </si>
  <si>
    <t>M383/25</t>
  </si>
  <si>
    <t>118/25</t>
  </si>
  <si>
    <t>Arganil</t>
  </si>
  <si>
    <t>121/25</t>
  </si>
  <si>
    <t>M425/25</t>
  </si>
  <si>
    <t>067/25</t>
  </si>
  <si>
    <t>ELPTMED_211/25</t>
  </si>
  <si>
    <t>ELPTMED_212/25</t>
  </si>
  <si>
    <t>ELPTMED_213/25</t>
  </si>
  <si>
    <t>e-Tacógrafos Digitais</t>
  </si>
  <si>
    <t>ELPTMED_214/25</t>
  </si>
  <si>
    <t>ASPV (e-Learning)</t>
  </si>
  <si>
    <t>ELPTMED_215/25</t>
  </si>
  <si>
    <t>CDE (e-learning)</t>
  </si>
  <si>
    <t>ELPTMED_216/25</t>
  </si>
  <si>
    <t>e-Condução de Empilhadores 8h</t>
  </si>
  <si>
    <t>ELPTMED_217/25</t>
  </si>
  <si>
    <t>HSA -E learning</t>
  </si>
  <si>
    <t>ELPTMED_218/25</t>
  </si>
  <si>
    <t>ELPTMED_219/25</t>
  </si>
  <si>
    <t>ELPTMED_220/25</t>
  </si>
  <si>
    <t>ELPTMED_221/25</t>
  </si>
  <si>
    <t>ELPTMED_222/25</t>
  </si>
  <si>
    <t>ELPTMED_223/25</t>
  </si>
  <si>
    <t>M5S (E-Learning)</t>
  </si>
  <si>
    <t>ELPTMED_224/25</t>
  </si>
  <si>
    <t>EMR-E-learning</t>
  </si>
  <si>
    <t>ELPTMED_225/25</t>
  </si>
  <si>
    <t>ELPTMED_226/25</t>
  </si>
  <si>
    <t>e-Combate a Incêndios 8h</t>
  </si>
  <si>
    <t>ELPTMED_227/25</t>
  </si>
  <si>
    <t>ELPTMED_228/25</t>
  </si>
  <si>
    <t>E-learning ARAT</t>
  </si>
  <si>
    <t>ELPTMED_229/25</t>
  </si>
  <si>
    <t>ELPTMED_230/25</t>
  </si>
  <si>
    <t>GT (e-learning)</t>
  </si>
  <si>
    <t>ELPTMED_231/25</t>
  </si>
  <si>
    <t>SF/FG</t>
  </si>
  <si>
    <t>ELPTMED_232/25</t>
  </si>
  <si>
    <t>e-ISMET - Instruções de Segurança no Manuseamento de Equipamentos de Trabalho 8h</t>
  </si>
  <si>
    <t>ELPTMED_233/25</t>
  </si>
  <si>
    <t>CCR (E-learning)</t>
  </si>
  <si>
    <t>ELPTMED_234/25</t>
  </si>
  <si>
    <t>e-Plataformas Elevatórias 8h</t>
  </si>
  <si>
    <t>ELPTMED_235/25</t>
  </si>
  <si>
    <t>ELPTMED_236/25</t>
  </si>
  <si>
    <t>GRC (e-Learning)</t>
  </si>
  <si>
    <t>ELPTMED_237/25</t>
  </si>
  <si>
    <t>ELPTMED_238/25</t>
  </si>
  <si>
    <t>ELPTMED_239/25</t>
  </si>
  <si>
    <t>TVN (E-Learning)</t>
  </si>
  <si>
    <t>ELPTMED_240/25</t>
  </si>
  <si>
    <t>ELPTMED_241/25</t>
  </si>
  <si>
    <t>SF/AS/FG</t>
  </si>
  <si>
    <t>ELPTMED_242/25</t>
  </si>
  <si>
    <t>ELPTMED_243/25</t>
  </si>
  <si>
    <t>ELPTMED_244/25</t>
  </si>
  <si>
    <t>ORTT- ELEARNIG</t>
  </si>
  <si>
    <t>ELPTMED_245/25</t>
  </si>
  <si>
    <t>TC-Elearning</t>
  </si>
  <si>
    <t>ELPTMED_246/25</t>
  </si>
  <si>
    <t>e-EM-Emergência_8h</t>
  </si>
  <si>
    <t>ELPTMED_247/25</t>
  </si>
  <si>
    <t>ELPTMED_248/25</t>
  </si>
  <si>
    <t>ELPTMED_249/25</t>
  </si>
  <si>
    <t>GTOT (e-learning)</t>
  </si>
  <si>
    <t>ELPTMED_250/25</t>
  </si>
  <si>
    <t>e-Movimentação de Terras 8h</t>
  </si>
  <si>
    <t>ELPTMED_251/25</t>
  </si>
  <si>
    <t>Tacógrafos Digitais- Elearning</t>
  </si>
  <si>
    <t>ELPTMED_252/25</t>
  </si>
  <si>
    <t>ELPTMED_253/25</t>
  </si>
  <si>
    <t>ELPTMED_254/25</t>
  </si>
  <si>
    <t>PS- E-LEARNING</t>
  </si>
  <si>
    <t>ELPTMED_255/25</t>
  </si>
  <si>
    <t>ELPTMED_256/25</t>
  </si>
  <si>
    <t>e-Gestão e Resolução de Conflitos 8h</t>
  </si>
  <si>
    <t>ELPTMED_257/25</t>
  </si>
  <si>
    <t>EMER (E-Learning)</t>
  </si>
  <si>
    <t>ELPTMED_258/25</t>
  </si>
  <si>
    <t>ELPTMED_260/25</t>
  </si>
  <si>
    <t>e-Acondicionamento de Cargas 8h</t>
  </si>
  <si>
    <t>ELPTMED_261/25</t>
  </si>
  <si>
    <t>MMT- Elearning</t>
  </si>
  <si>
    <t>ELPTMED_262/25</t>
  </si>
  <si>
    <t>GTO (e-Learning)</t>
  </si>
  <si>
    <t>falta pagamento, o cliente não paga até ter a situação dos dois cursos que tinham os mesmos conteudos programáticos, resolvida</t>
  </si>
  <si>
    <t>ELPTMED_263/25</t>
  </si>
  <si>
    <t>e-Movimentação de Terras 16h</t>
  </si>
  <si>
    <t>ELPTTCV_036/25</t>
  </si>
  <si>
    <t>CI (e-Learning)</t>
  </si>
  <si>
    <t>ELPTTCV_037_25</t>
  </si>
  <si>
    <t>ELPTTCV_038_25</t>
  </si>
  <si>
    <t>ELPTTCV_039_25</t>
  </si>
  <si>
    <t>TA- Elearning</t>
  </si>
  <si>
    <t>ELPTTCV_040_25</t>
  </si>
  <si>
    <t>CMM E-Learning</t>
  </si>
  <si>
    <t>ELPTTCV_041_25</t>
  </si>
  <si>
    <t>CE- elearning</t>
  </si>
  <si>
    <t>ELPTTCV_042/25</t>
  </si>
  <si>
    <t>ELPTTCV_043_25</t>
  </si>
  <si>
    <t>ELPTTCV_044_25</t>
  </si>
  <si>
    <t>ELPTTCV_045/25</t>
  </si>
  <si>
    <t>ELPTTCV_046/25</t>
  </si>
  <si>
    <t>ELPTTCV_047/25</t>
  </si>
  <si>
    <t>ELPTTCV_048/25</t>
  </si>
  <si>
    <t>ELPTTCV_049/25</t>
  </si>
  <si>
    <t>ELPTTCV_050/25</t>
  </si>
  <si>
    <t>PR-elearning</t>
  </si>
  <si>
    <t>ELPTTCV_051/25</t>
  </si>
  <si>
    <t>AAC- elearning</t>
  </si>
  <si>
    <t>ELPTMED_264/25</t>
  </si>
  <si>
    <t>ELPTMED_265/25</t>
  </si>
  <si>
    <t>M366/25</t>
  </si>
  <si>
    <t>Alto de Estanqueiro / Jardia</t>
  </si>
  <si>
    <t>M438/25</t>
  </si>
  <si>
    <t>M426/25</t>
  </si>
  <si>
    <t>M377/25</t>
  </si>
  <si>
    <t>M451/25</t>
  </si>
  <si>
    <t>Albergaria a Nova</t>
  </si>
  <si>
    <t>M467/25</t>
  </si>
  <si>
    <t>Sanguedo, Sta Maria da Feira</t>
  </si>
  <si>
    <t>Falta pagar</t>
  </si>
  <si>
    <t>M014/25</t>
  </si>
  <si>
    <t>M219/25</t>
  </si>
  <si>
    <t>M253/25</t>
  </si>
  <si>
    <t>Ferreira do Zêzere</t>
  </si>
  <si>
    <t>M361/25</t>
  </si>
  <si>
    <t>M397/25</t>
  </si>
  <si>
    <t>Caxarias</t>
  </si>
  <si>
    <t>M409/25</t>
  </si>
  <si>
    <t>M016/25</t>
  </si>
  <si>
    <t xml:space="preserve">Serpa </t>
  </si>
  <si>
    <t>M303/25</t>
  </si>
  <si>
    <t>M430/25</t>
  </si>
  <si>
    <t>M477/25</t>
  </si>
  <si>
    <t xml:space="preserve">Mirandela </t>
  </si>
  <si>
    <t>Falta pagar Transportes morais e filho</t>
  </si>
  <si>
    <t>114/25</t>
  </si>
  <si>
    <t>Murteira</t>
  </si>
  <si>
    <t>115/25</t>
  </si>
  <si>
    <t>127/25</t>
  </si>
  <si>
    <t>Juncal</t>
  </si>
  <si>
    <t>078/25</t>
  </si>
  <si>
    <t>M476/25</t>
  </si>
  <si>
    <t>Marinha das Ondas</t>
  </si>
  <si>
    <t>M466/25</t>
  </si>
  <si>
    <t>M410/25</t>
  </si>
  <si>
    <t>Formador não enviou avaliações</t>
  </si>
  <si>
    <t>M463/25</t>
  </si>
  <si>
    <t>Lavre</t>
  </si>
  <si>
    <t>M460/25</t>
  </si>
  <si>
    <t>132/25</t>
  </si>
  <si>
    <t>M461/25</t>
  </si>
  <si>
    <t>131/25</t>
  </si>
  <si>
    <t>M390/25</t>
  </si>
  <si>
    <t xml:space="preserve">Setúbal </t>
  </si>
  <si>
    <t>133/25</t>
  </si>
  <si>
    <t>Vagos</t>
  </si>
  <si>
    <t>SC</t>
  </si>
  <si>
    <t>M223/25</t>
  </si>
  <si>
    <t>M472/25</t>
  </si>
  <si>
    <t>122/25</t>
  </si>
  <si>
    <t>016/25</t>
  </si>
  <si>
    <t>vários</t>
  </si>
  <si>
    <t>Vários</t>
  </si>
  <si>
    <t>M431/25</t>
  </si>
  <si>
    <t>Baltar/Porto</t>
  </si>
  <si>
    <t>RM</t>
  </si>
  <si>
    <t>M015/25</t>
  </si>
  <si>
    <t>Várzea/Santarém</t>
  </si>
  <si>
    <t>M059/25</t>
  </si>
  <si>
    <t>125/25</t>
  </si>
  <si>
    <t>Ourém</t>
  </si>
  <si>
    <t>M251/25</t>
  </si>
  <si>
    <t>M464/25</t>
  </si>
  <si>
    <t>Couto de Mosteiro</t>
  </si>
  <si>
    <t>M465/25</t>
  </si>
  <si>
    <t>M403/25</t>
  </si>
  <si>
    <t>Covilhã</t>
  </si>
  <si>
    <t>M450/25</t>
  </si>
  <si>
    <t>M420/25</t>
  </si>
  <si>
    <t>M458/25</t>
  </si>
  <si>
    <t xml:space="preserve">Celorico da Beira </t>
  </si>
  <si>
    <t>GG</t>
  </si>
  <si>
    <t>M468/25</t>
  </si>
  <si>
    <t>M417/25</t>
  </si>
  <si>
    <t>Castanheira do Ribatejo</t>
  </si>
  <si>
    <t>M482/25</t>
  </si>
  <si>
    <t>M483/25</t>
  </si>
  <si>
    <t>134/25</t>
  </si>
  <si>
    <t>M398/25</t>
  </si>
  <si>
    <t>M473/25</t>
  </si>
  <si>
    <t>IE</t>
  </si>
  <si>
    <t>e-SHT Segurança e Saúde no Trabalho 8h</t>
  </si>
  <si>
    <t>ELPTMED_266/25</t>
  </si>
  <si>
    <t>ELPTMED_267/25</t>
  </si>
  <si>
    <t>e-Gestão de Tempo 8h</t>
  </si>
  <si>
    <t>ELPTMED_268/25</t>
  </si>
  <si>
    <t>ELPTMED_270/25</t>
  </si>
  <si>
    <t>ELPTMED_271/25</t>
  </si>
  <si>
    <t>Arat (e-learning)</t>
  </si>
  <si>
    <t>ELPTMED_272/25</t>
  </si>
  <si>
    <t>ELPTMED_273/25</t>
  </si>
  <si>
    <t>ELPTMED_274/25</t>
  </si>
  <si>
    <t>ELPTMED_275/25</t>
  </si>
  <si>
    <t>ELPTMED_276/25</t>
  </si>
  <si>
    <t>SHT- Elearning</t>
  </si>
  <si>
    <t>ELPTMED_277/25</t>
  </si>
  <si>
    <t>Ainda não terminou</t>
  </si>
  <si>
    <t>ELPTMED_278/25</t>
  </si>
  <si>
    <t>ELPTMED_279/25</t>
  </si>
  <si>
    <t>Não tem dados</t>
  </si>
  <si>
    <t>ELPTMED_281/25</t>
  </si>
  <si>
    <t>ELPTMED_282/25</t>
  </si>
  <si>
    <t>ELPTMED_283/25</t>
  </si>
  <si>
    <t>ELPTMED_284/25</t>
  </si>
  <si>
    <t>AC- Elearning</t>
  </si>
  <si>
    <t>ELPTMED_285/25</t>
  </si>
  <si>
    <t>ELPTMED_286/25</t>
  </si>
  <si>
    <t>ELPTMED_287/25</t>
  </si>
  <si>
    <t>ELPTMED_288/25</t>
  </si>
  <si>
    <t>ELPTMED_289/25</t>
  </si>
  <si>
    <t>ELPTMED_290/25</t>
  </si>
  <si>
    <t>FC (E-Learning)</t>
  </si>
  <si>
    <t>ELPTMED_291/25</t>
  </si>
  <si>
    <t>ELPTMED_292/25</t>
  </si>
  <si>
    <t>ELPTMED_293/25</t>
  </si>
  <si>
    <t>ELPTMED_294/25</t>
  </si>
  <si>
    <t>e-GTT-EAB_Gestão do Tempo e do Trabalho - Estratégias Anti-Burnout_16h</t>
  </si>
  <si>
    <t>ELPTMED_295/25</t>
  </si>
  <si>
    <t>ELPTMED_296/25</t>
  </si>
  <si>
    <t>e-Prevenção Rodoviária 8h</t>
  </si>
  <si>
    <t>ELPTMED_297/25</t>
  </si>
  <si>
    <t>HST - e-Learning</t>
  </si>
  <si>
    <t>ELPTMED_298/25</t>
  </si>
  <si>
    <t>ELPTMED_299/25</t>
  </si>
  <si>
    <t>e-Comunicação Interpessoal 8h</t>
  </si>
  <si>
    <t>ELPTMED_300/25</t>
  </si>
  <si>
    <t>ELPTMED_301/25</t>
  </si>
  <si>
    <t>ELPTMED_302/25</t>
  </si>
  <si>
    <t>ELPTMED_303/25</t>
  </si>
  <si>
    <t>ELPTMED_304/25</t>
  </si>
  <si>
    <t>ELPTMED_305/25</t>
  </si>
  <si>
    <t>ELPTMED_307/25</t>
  </si>
  <si>
    <t>ELPTMED_308/25</t>
  </si>
  <si>
    <t>ELPTMED_309/25</t>
  </si>
  <si>
    <t>ELPTMED_310/25</t>
  </si>
  <si>
    <t>ELPTMED_311/25</t>
  </si>
  <si>
    <t>ELPTMED_312/25</t>
  </si>
  <si>
    <t>ELPTMED_313/25</t>
  </si>
  <si>
    <t>ELPTMED_314/25</t>
  </si>
  <si>
    <t>ELPTMED_315/25</t>
  </si>
  <si>
    <t>ELPTMED_316/25</t>
  </si>
  <si>
    <t>ELPTMED_317/25</t>
  </si>
  <si>
    <t>e-Técnica de vendas e negociação 8h</t>
  </si>
  <si>
    <t>ELPTMED_318/25</t>
  </si>
  <si>
    <t>e-IEA - Inteligência Emocional_8h</t>
  </si>
  <si>
    <t>ELPTMED_319/25</t>
  </si>
  <si>
    <t>ELPTMED_320/25</t>
  </si>
  <si>
    <t>ELPTTCV_052/25</t>
  </si>
  <si>
    <t>ELPTTCV_053/25</t>
  </si>
  <si>
    <t>ELPTTCV_054/25</t>
  </si>
  <si>
    <t>ELPTTCV_055/25</t>
  </si>
  <si>
    <t>ELPTTCV_056/25</t>
  </si>
  <si>
    <t>ELPTTCV_057/25</t>
  </si>
  <si>
    <t>ELPTTCV_058/25</t>
  </si>
  <si>
    <t>ELPTTCV_059/25</t>
  </si>
  <si>
    <t>ELPTTCV_060/25</t>
  </si>
  <si>
    <t>AAC- E-learning</t>
  </si>
  <si>
    <t>ELPTTCV_061/25</t>
  </si>
  <si>
    <t>ELPTTCV_062/25</t>
  </si>
  <si>
    <t>IS (E-Learning)</t>
  </si>
  <si>
    <t>ELPTTCV_063/25</t>
  </si>
  <si>
    <t>ELPTTCV_064/25</t>
  </si>
  <si>
    <t>CIE (E-Learning)</t>
  </si>
  <si>
    <t>CI (E-learning)</t>
  </si>
  <si>
    <t>ELPTMED_321/25</t>
  </si>
  <si>
    <t>PS (E-learning)</t>
  </si>
  <si>
    <t>ELPTMED_322/25</t>
  </si>
  <si>
    <t>TCD (E-learning)</t>
  </si>
  <si>
    <t>ELPTMED_323/25</t>
  </si>
  <si>
    <t>ELPTMED_324/25</t>
  </si>
  <si>
    <t>SMDA (E-Learning)</t>
  </si>
  <si>
    <t>ELPTTCV_065/25</t>
  </si>
  <si>
    <t>CE (E-learning)</t>
  </si>
  <si>
    <t>ELPTTCV_066/25</t>
  </si>
  <si>
    <t>M048/25</t>
  </si>
  <si>
    <t>M480/25</t>
  </si>
  <si>
    <t>Aldeia Gavinha</t>
  </si>
  <si>
    <t>M459/25</t>
  </si>
  <si>
    <t>M462/25</t>
  </si>
  <si>
    <t>M346/25</t>
  </si>
  <si>
    <t>M180/25</t>
  </si>
  <si>
    <t>COI</t>
  </si>
  <si>
    <t>M479/25</t>
  </si>
  <si>
    <t>M484/25</t>
  </si>
  <si>
    <t>M499/25</t>
  </si>
  <si>
    <t>M500/25</t>
  </si>
  <si>
    <t>M475/25</t>
  </si>
  <si>
    <t>M497/25</t>
  </si>
  <si>
    <t>Soure</t>
  </si>
  <si>
    <t>M498/25</t>
  </si>
  <si>
    <t>Falta enviar certificados por falta de pagamento</t>
  </si>
  <si>
    <t>M448/25</t>
  </si>
  <si>
    <t>Carnaxide</t>
  </si>
  <si>
    <t>141/25</t>
  </si>
  <si>
    <t>142/25</t>
  </si>
  <si>
    <t>M496/25</t>
  </si>
  <si>
    <t>Trancoso</t>
  </si>
  <si>
    <t>M508/25</t>
  </si>
  <si>
    <t>M509/25</t>
  </si>
  <si>
    <t>HF</t>
  </si>
  <si>
    <t>M502/25</t>
  </si>
  <si>
    <t>M493/25</t>
  </si>
  <si>
    <t>Alpiarça</t>
  </si>
  <si>
    <t>M506/25</t>
  </si>
  <si>
    <t>Falta enviar certificados Speesun por falta de pagamento</t>
  </si>
  <si>
    <t>M494/25</t>
  </si>
  <si>
    <t>140/25</t>
  </si>
  <si>
    <t>Certificados não enviados à Supertulhos por falta de pagamento</t>
  </si>
  <si>
    <t>M384/25</t>
  </si>
  <si>
    <t>SBV</t>
  </si>
  <si>
    <t>Oliveira de Frades</t>
  </si>
  <si>
    <t>FJ</t>
  </si>
  <si>
    <t>M505/25</t>
  </si>
  <si>
    <t>Pinhal Novo</t>
  </si>
  <si>
    <t>M261/25</t>
  </si>
  <si>
    <t>143/25</t>
  </si>
  <si>
    <t>144/25</t>
  </si>
  <si>
    <t>M411/25</t>
  </si>
  <si>
    <t>M519/25</t>
  </si>
  <si>
    <t>Mortágua</t>
  </si>
  <si>
    <t>M520/25</t>
  </si>
  <si>
    <t>M518/25</t>
  </si>
  <si>
    <t>M501/25</t>
  </si>
  <si>
    <t>Castelo de Paiva</t>
  </si>
  <si>
    <t>Falta enviar certificados de Otilogia, não enviaram os dados</t>
  </si>
  <si>
    <t>M474/25</t>
  </si>
  <si>
    <t>M213/25</t>
  </si>
  <si>
    <t>M521/25</t>
  </si>
  <si>
    <t>M486/25</t>
  </si>
  <si>
    <t>M487/25</t>
  </si>
  <si>
    <t>ELPTMED_325/25</t>
  </si>
  <si>
    <t>CB/PP</t>
  </si>
  <si>
    <t>IF/FG</t>
  </si>
  <si>
    <t>ELPTMED_326/25</t>
  </si>
  <si>
    <t>e-Ergonomia 8h</t>
  </si>
  <si>
    <t>ELPTMED_327/25</t>
  </si>
  <si>
    <t>ELPTMED_328/25</t>
  </si>
  <si>
    <t>PP/CB/SQ</t>
  </si>
  <si>
    <t>SF/IF/FG</t>
  </si>
  <si>
    <t>ELPTMED_329/25</t>
  </si>
  <si>
    <t>ELPTMED_330/25</t>
  </si>
  <si>
    <t>ELPTMED_331/25</t>
  </si>
  <si>
    <t>e-CSO - Coordenação de Segurança em Obra_35h</t>
  </si>
  <si>
    <t>ELPTMED_332/25</t>
  </si>
  <si>
    <t>ELPTMED_333/25</t>
  </si>
  <si>
    <t>ELPTMED_334/25</t>
  </si>
  <si>
    <t>CB/SQ</t>
  </si>
  <si>
    <t>ELPTMED_335/25</t>
  </si>
  <si>
    <t>ELPTMED_336/25</t>
  </si>
  <si>
    <t>ELPTMED_337/25</t>
  </si>
  <si>
    <t>ELPTMED_338/25</t>
  </si>
  <si>
    <t>ELPTMED_339/25</t>
  </si>
  <si>
    <t>Falta de pagamento</t>
  </si>
  <si>
    <t>ELPTMED_340/25</t>
  </si>
  <si>
    <t>Certificados de Agosto</t>
  </si>
  <si>
    <t>ELPTMED_341/25</t>
  </si>
  <si>
    <t>ELPTMED_342/25</t>
  </si>
  <si>
    <t>ELPTMED_343/25</t>
  </si>
  <si>
    <t>ELPTMED_344/25</t>
  </si>
  <si>
    <t>ELPTMED_345/25</t>
  </si>
  <si>
    <t>e-Tacógrafos Digitais - V.25 - 8h Presencial</t>
  </si>
  <si>
    <t>ELPTMED_346/25</t>
  </si>
  <si>
    <t>e-Gestão de Tempo e de Stress 8h</t>
  </si>
  <si>
    <t>ELPTMED_347/25</t>
  </si>
  <si>
    <t>IF/SF</t>
  </si>
  <si>
    <t>ELPTMED_348/25</t>
  </si>
  <si>
    <t>ELPTMED_349/25</t>
  </si>
  <si>
    <t>e-Máquinas de Movimentação de Terras 8h</t>
  </si>
  <si>
    <t>ELPTMED_350/25</t>
  </si>
  <si>
    <t>ELPTMED_351/25</t>
  </si>
  <si>
    <t>terminou a 24-08</t>
  </si>
  <si>
    <t>ELPTMED_352/25</t>
  </si>
  <si>
    <t>RETD - e-Learning</t>
  </si>
  <si>
    <t>ELPTMED_353/25</t>
  </si>
  <si>
    <t>ELPTMED_354/25</t>
  </si>
  <si>
    <t>ELPTMED_355/25</t>
  </si>
  <si>
    <t>ELPTMED_356/25</t>
  </si>
  <si>
    <t>e-Tacógrafos Digitais - V.25</t>
  </si>
  <si>
    <t>ELPTMED_357/25</t>
  </si>
  <si>
    <t>ELPTMED_358/25</t>
  </si>
  <si>
    <t>ELPTMED_359/25</t>
  </si>
  <si>
    <t>ELPTMED_360/25</t>
  </si>
  <si>
    <t>ELPTMED_361/25</t>
  </si>
  <si>
    <t>e-Comunicação e Qualidade no Atendimento 8h</t>
  </si>
  <si>
    <t>ELPTMED_362/25</t>
  </si>
  <si>
    <t>e-Finanças para Não Financeiros_8h</t>
  </si>
  <si>
    <t>ELPTMED_363/25</t>
  </si>
  <si>
    <t>ELPTMED_364/25</t>
  </si>
  <si>
    <t>ELPTMED_367/25</t>
  </si>
  <si>
    <t>SQ/PP</t>
  </si>
  <si>
    <t>ELPTMED_368/25</t>
  </si>
  <si>
    <t>ELPTMED_369/25</t>
  </si>
  <si>
    <t>e-Atendimento e Venda Presencial 8h</t>
  </si>
  <si>
    <t>ELPTMED_370/25</t>
  </si>
  <si>
    <t>ELPTMED_371/25</t>
  </si>
  <si>
    <t>ELPTMED_372/25</t>
  </si>
  <si>
    <t>HST (e-learning)</t>
  </si>
  <si>
    <t>ELPTMED_373/25</t>
  </si>
  <si>
    <t>ELPTMED_374/25</t>
  </si>
  <si>
    <t>ELPTMED_375/25</t>
  </si>
  <si>
    <t>ELPTTCV_067/25</t>
  </si>
  <si>
    <t>ELPTTCV_068/25</t>
  </si>
  <si>
    <t>E-Gestão de Stress e Conflitos</t>
  </si>
  <si>
    <t>ELPTTCV_069/25</t>
  </si>
  <si>
    <t>ELPTTCV_070/25</t>
  </si>
  <si>
    <t>ELPTTCV_071/25</t>
  </si>
  <si>
    <t>e-HST para motoristas 8h</t>
  </si>
  <si>
    <t>ELPTTCV_072/25</t>
  </si>
  <si>
    <t>ELPTTCV_073/25</t>
  </si>
  <si>
    <t>TVNC (e-Learning)</t>
  </si>
  <si>
    <t>Falta fazer SIGO</t>
  </si>
  <si>
    <t>ELPTTCV_074/25</t>
  </si>
  <si>
    <t>E-Primeiros Socorros</t>
  </si>
  <si>
    <t>O Nif do formando não está correto no SIGO</t>
  </si>
  <si>
    <t>ELPTTCV_075/25</t>
  </si>
  <si>
    <t>ELPTTCV_076/25</t>
  </si>
  <si>
    <t>E-Fidelização de Clientes</t>
  </si>
  <si>
    <t>ELPTTCV_077/25</t>
  </si>
  <si>
    <t>ELPTTCV_078/25</t>
  </si>
  <si>
    <t>HST-Elearning</t>
  </si>
  <si>
    <t>ELPTTCV_079/25</t>
  </si>
  <si>
    <t>CED (E-Learning)</t>
  </si>
  <si>
    <t>ELPTTCV_080/25</t>
  </si>
  <si>
    <t>E-Combate a incêndios</t>
  </si>
  <si>
    <t>ELPTTCV_082/25</t>
  </si>
  <si>
    <t>M309/25</t>
  </si>
  <si>
    <t>Almeirim</t>
  </si>
  <si>
    <t>M491/25</t>
  </si>
  <si>
    <t>SMUDA</t>
  </si>
  <si>
    <t>Peniche</t>
  </si>
  <si>
    <t>M492/25</t>
  </si>
  <si>
    <t>CSO</t>
  </si>
  <si>
    <t>M535/25</t>
  </si>
  <si>
    <t>M538/25</t>
  </si>
  <si>
    <t>M314/25</t>
  </si>
  <si>
    <t>MM</t>
  </si>
  <si>
    <t>Torres Vedras</t>
  </si>
  <si>
    <t>Faltam dados, enviei certificados dos dados que tinha.</t>
  </si>
  <si>
    <t>M408/25</t>
  </si>
  <si>
    <t>Aveiro</t>
  </si>
  <si>
    <t>Jorge Augusto</t>
  </si>
  <si>
    <t>M045/25</t>
  </si>
  <si>
    <t>São Jorge de Pevidem</t>
  </si>
  <si>
    <t>136/25</t>
  </si>
  <si>
    <t>Benavente</t>
  </si>
  <si>
    <t>M308/25</t>
  </si>
  <si>
    <t>138/25</t>
  </si>
  <si>
    <t>M524/25</t>
  </si>
  <si>
    <t>M525/25</t>
  </si>
  <si>
    <t>M526/25</t>
  </si>
  <si>
    <t>137/25</t>
  </si>
  <si>
    <t>João Gomes</t>
  </si>
  <si>
    <t>M539/25</t>
  </si>
  <si>
    <t>Faltam dados de uma empresa, mas os outros certificados estão feitos</t>
  </si>
  <si>
    <t>M315/25</t>
  </si>
  <si>
    <t>Sertã/Pedrgão</t>
  </si>
  <si>
    <t>SD</t>
  </si>
  <si>
    <t>M534/25</t>
  </si>
  <si>
    <t>M540/25</t>
  </si>
  <si>
    <t>GSC</t>
  </si>
  <si>
    <t>Óbidos</t>
  </si>
  <si>
    <t>139/25</t>
  </si>
  <si>
    <t>M503/25</t>
  </si>
  <si>
    <t>130/25</t>
  </si>
  <si>
    <t>Vila de Rei</t>
  </si>
  <si>
    <t>Hernani Francisco</t>
  </si>
  <si>
    <t>M546/25</t>
  </si>
  <si>
    <t>Venda do Pinheiro</t>
  </si>
  <si>
    <t>Vitor Brito</t>
  </si>
  <si>
    <t>M504/25</t>
  </si>
  <si>
    <t>M544/25</t>
  </si>
  <si>
    <t>M545/25</t>
  </si>
  <si>
    <t>M488/25</t>
  </si>
  <si>
    <t>M489/25</t>
  </si>
  <si>
    <t>M541/25</t>
  </si>
  <si>
    <t>Bruno Monteiro</t>
  </si>
  <si>
    <t>M364/25</t>
  </si>
  <si>
    <t>ELPTMED_376/25</t>
  </si>
  <si>
    <t>ELPTMED_377/25</t>
  </si>
  <si>
    <t>ELPTMED_378/25</t>
  </si>
  <si>
    <t>ELPTMED_379/25</t>
  </si>
  <si>
    <t>ELPTMED_380/25</t>
  </si>
  <si>
    <t>CB/PP/SQ</t>
  </si>
  <si>
    <t>IF/SF/FG</t>
  </si>
  <si>
    <t>ELPTMED_382/25</t>
  </si>
  <si>
    <t>ELPTMED_383/25</t>
  </si>
  <si>
    <t>ELPTMED_384/25</t>
  </si>
  <si>
    <t>SQ/CB</t>
  </si>
  <si>
    <t>FG/IF</t>
  </si>
  <si>
    <t>ELPTMED_385/25</t>
  </si>
  <si>
    <t>ELPTMED_386/25</t>
  </si>
  <si>
    <t>ELPTMED_387/25</t>
  </si>
  <si>
    <t>ELPTMED_388/25</t>
  </si>
  <si>
    <t>ELPTMED_389/25</t>
  </si>
  <si>
    <t>ELPTMED_390/25</t>
  </si>
  <si>
    <t>ELPTMED_391/25</t>
  </si>
  <si>
    <t>ELPTMED_392/25</t>
  </si>
  <si>
    <t>ELPTMED_393/25</t>
  </si>
  <si>
    <t>ELPTMED_394/25</t>
  </si>
  <si>
    <t>SPR (e-learning)</t>
  </si>
  <si>
    <t>ELPTMED_395/25</t>
  </si>
  <si>
    <t>MG (e-learning)</t>
  </si>
  <si>
    <t>ELPTMED_396/25</t>
  </si>
  <si>
    <t>ELPTMED_397/25</t>
  </si>
  <si>
    <t>ELPTMED_398/25</t>
  </si>
  <si>
    <t>ELPTMED_399/25</t>
  </si>
  <si>
    <t>ELPTMED_400/25</t>
  </si>
  <si>
    <t>e-Trabalho em Altura (Andaimes, Escadas, Plataformas) 16h</t>
  </si>
  <si>
    <t>ELPTMED_401/25</t>
  </si>
  <si>
    <t>ELPTMED_402/25</t>
  </si>
  <si>
    <t>ELPTMED_403/25</t>
  </si>
  <si>
    <t>ELPTMED_404/25</t>
  </si>
  <si>
    <t>ELPTMED_405/25</t>
  </si>
  <si>
    <t>ELPTMED_406/25</t>
  </si>
  <si>
    <t>ELPTMED_407/25</t>
  </si>
  <si>
    <t>ELPTMED_408/25</t>
  </si>
  <si>
    <t>ELPTMED_409/25</t>
  </si>
  <si>
    <t>GEC (E-Learning)</t>
  </si>
  <si>
    <t>ELPTMED_410/25</t>
  </si>
  <si>
    <t>Excel Fundamental 25h - el</t>
  </si>
  <si>
    <t>ELPTMED_411/25</t>
  </si>
  <si>
    <t>ELPTSEEP_005/25</t>
  </si>
  <si>
    <t>EXC (E-Learning)</t>
  </si>
  <si>
    <t>ELPTTCV_083/25</t>
  </si>
  <si>
    <t>ELPTTCV_084/25</t>
  </si>
  <si>
    <t>ELPTTCV_085/25</t>
  </si>
  <si>
    <t>ELPTTCV_086/25</t>
  </si>
  <si>
    <t>ELPTTCV_087/25</t>
  </si>
  <si>
    <t>ELPTTCV_088/25</t>
  </si>
  <si>
    <t>ELPTTCV_089/25</t>
  </si>
  <si>
    <t>E-Gestão de Cobranças 8h</t>
  </si>
  <si>
    <t>ELPTTCV_090/25</t>
  </si>
  <si>
    <t>ELPTTCV_091/25</t>
  </si>
  <si>
    <t>ELPTTCV_092/25</t>
  </si>
  <si>
    <t>FALTA SIGO</t>
  </si>
  <si>
    <t>ELPTTCV_093/25</t>
  </si>
  <si>
    <t>e-Liderança 8h</t>
  </si>
  <si>
    <t>065/25</t>
  </si>
  <si>
    <t>M549/25</t>
  </si>
  <si>
    <t>TS</t>
  </si>
  <si>
    <t>M550/25</t>
  </si>
  <si>
    <t>M359/25</t>
  </si>
  <si>
    <t>M490/25</t>
  </si>
  <si>
    <t>ID</t>
  </si>
  <si>
    <t>018/15</t>
  </si>
  <si>
    <t>M548/25</t>
  </si>
  <si>
    <t>M210/25</t>
  </si>
  <si>
    <t>147/25</t>
  </si>
  <si>
    <t>057/25</t>
  </si>
  <si>
    <t>M301/25</t>
  </si>
  <si>
    <t>M456/25</t>
  </si>
  <si>
    <t>M469/25</t>
  </si>
  <si>
    <t>Certificados feitos exceto MC - Manuel Carvalho</t>
  </si>
  <si>
    <t>M536/25</t>
  </si>
  <si>
    <t>Borda do Campo</t>
  </si>
  <si>
    <t>M537/25</t>
  </si>
  <si>
    <t>151/25</t>
  </si>
  <si>
    <t>M357/25</t>
  </si>
  <si>
    <t xml:space="preserve"> Não</t>
  </si>
  <si>
    <t>M304/25</t>
  </si>
  <si>
    <t>M554/25</t>
  </si>
  <si>
    <t>M556/25</t>
  </si>
  <si>
    <t>145/25</t>
  </si>
  <si>
    <t>M528/25</t>
  </si>
  <si>
    <t>GE</t>
  </si>
  <si>
    <t>M412/25</t>
  </si>
  <si>
    <t>149/25</t>
  </si>
  <si>
    <t>Ilhavo</t>
  </si>
  <si>
    <t>M457/25</t>
  </si>
  <si>
    <t>M523/25</t>
  </si>
  <si>
    <t>123/25</t>
  </si>
  <si>
    <t>154/25</t>
  </si>
  <si>
    <t>CAM MERC</t>
  </si>
  <si>
    <t>Várias</t>
  </si>
  <si>
    <t>M575/25</t>
  </si>
  <si>
    <t>Oliveira do Bairro</t>
  </si>
  <si>
    <t>M385/25</t>
  </si>
  <si>
    <t>M576/25</t>
  </si>
  <si>
    <t>M507/25</t>
  </si>
  <si>
    <t>Abrigada</t>
  </si>
  <si>
    <t>120/25</t>
  </si>
  <si>
    <t>M330/25</t>
  </si>
  <si>
    <t>MPQ</t>
  </si>
  <si>
    <t>M529/25</t>
  </si>
  <si>
    <t>M577/25</t>
  </si>
  <si>
    <t>M578/25</t>
  </si>
  <si>
    <t>M510/25</t>
  </si>
  <si>
    <t>155/25</t>
  </si>
  <si>
    <t>Vila Velha De Rodão</t>
  </si>
  <si>
    <t>M574/25</t>
  </si>
  <si>
    <t>Mação</t>
  </si>
  <si>
    <t>M573/25</t>
  </si>
  <si>
    <t>M604/25</t>
  </si>
  <si>
    <t>M265/25</t>
  </si>
  <si>
    <t>152/25</t>
  </si>
  <si>
    <t>156/25</t>
  </si>
  <si>
    <t>M597/25</t>
  </si>
  <si>
    <t>M599/25</t>
  </si>
  <si>
    <t>M603/25</t>
  </si>
  <si>
    <t>M485/25</t>
  </si>
  <si>
    <t>M608/25</t>
  </si>
  <si>
    <t>M587/25</t>
  </si>
  <si>
    <t>M552/25</t>
  </si>
  <si>
    <t>ELPTMED_412/25</t>
  </si>
  <si>
    <t>SF/CB/TS</t>
  </si>
  <si>
    <t>SP/IF/SD</t>
  </si>
  <si>
    <t>ELPTMED_413/25</t>
  </si>
  <si>
    <t>ELPTMED_414/25</t>
  </si>
  <si>
    <t>CB/SF</t>
  </si>
  <si>
    <t>IF/SP</t>
  </si>
  <si>
    <t>ELPTMED_415/25</t>
  </si>
  <si>
    <t>PTR Elearning</t>
  </si>
  <si>
    <t>ELPTMED_416/25</t>
  </si>
  <si>
    <t>SF/TS</t>
  </si>
  <si>
    <t>ELPTMED_417/25</t>
  </si>
  <si>
    <t>IS (e-learning)</t>
  </si>
  <si>
    <t>ELPTMED_418/25</t>
  </si>
  <si>
    <t>SF/CB</t>
  </si>
  <si>
    <t>SP/IF</t>
  </si>
  <si>
    <t>ELPTMED_420/25</t>
  </si>
  <si>
    <t>ELPTMED_421/25</t>
  </si>
  <si>
    <t>ELPTMED_422/25</t>
  </si>
  <si>
    <t>el Trabalhador Designado 8h</t>
  </si>
  <si>
    <t>ELPTMED_478/25</t>
  </si>
  <si>
    <t>ELPTMED_423/25</t>
  </si>
  <si>
    <t>Gestão de Cobranças (E-Learning)</t>
  </si>
  <si>
    <t>ELPTMED_424/25</t>
  </si>
  <si>
    <t>ELPTMED_425/25</t>
  </si>
  <si>
    <t>TC E-learning</t>
  </si>
  <si>
    <t>TS/SF/CB</t>
  </si>
  <si>
    <t>SD/SP/IF</t>
  </si>
  <si>
    <t>ELPTMED_426/25</t>
  </si>
  <si>
    <t>e-Fidelização de Clientes 16h</t>
  </si>
  <si>
    <t>ELPTMED_427/25</t>
  </si>
  <si>
    <t>ELPTMED_428/25</t>
  </si>
  <si>
    <t>SHT - e-learning</t>
  </si>
  <si>
    <t>TS/SF</t>
  </si>
  <si>
    <t>SF/IF</t>
  </si>
  <si>
    <t>ELPTMED_429/25</t>
  </si>
  <si>
    <t>ELPTMED_430/25</t>
  </si>
  <si>
    <t>ELPTMED_431/25</t>
  </si>
  <si>
    <t>ELPTMED_432/25</t>
  </si>
  <si>
    <t>ELPTMED_433/25</t>
  </si>
  <si>
    <t>ELPTMED_434/25</t>
  </si>
  <si>
    <t>AC E learning</t>
  </si>
  <si>
    <t>ELPTMED_435/25</t>
  </si>
  <si>
    <t>ELPTMED_436/25</t>
  </si>
  <si>
    <t>eLearnin-ORTT 1 S/CF</t>
  </si>
  <si>
    <t>ELPTMED_437/25</t>
  </si>
  <si>
    <t>SF/ID/TS</t>
  </si>
  <si>
    <t>SP/FG/SD</t>
  </si>
  <si>
    <t>ELPTMED_438/25</t>
  </si>
  <si>
    <t>3 euros</t>
  </si>
  <si>
    <t>ELPTMED_439/25</t>
  </si>
  <si>
    <t>ELPTMED_440/25</t>
  </si>
  <si>
    <t>e-ISMET - Instruções de Segurança no Manuseamento de Equipamentos de Trabalho 4h</t>
  </si>
  <si>
    <t>ELPTMED_441/25</t>
  </si>
  <si>
    <t>Segurança e Higiene no Trabalho 8h</t>
  </si>
  <si>
    <t>ELPTMED_442/25</t>
  </si>
  <si>
    <t>TVNC (E-Learning)</t>
  </si>
  <si>
    <t>ELPTMED_443/25</t>
  </si>
  <si>
    <t>SF/TS/CB</t>
  </si>
  <si>
    <t>SP/SD/IF</t>
  </si>
  <si>
    <t>ELPTMED_444/25</t>
  </si>
  <si>
    <t>ELPTMED_445/25</t>
  </si>
  <si>
    <t>ELPTMED_446/25</t>
  </si>
  <si>
    <t>ELPTMED_447/25</t>
  </si>
  <si>
    <t>ELPTMED_479/25</t>
  </si>
  <si>
    <t>ELPTMED_448/25</t>
  </si>
  <si>
    <t>ISMET- e-learning</t>
  </si>
  <si>
    <t>ELPTMED_449/25</t>
  </si>
  <si>
    <t>CB/TS</t>
  </si>
  <si>
    <t>IF/SD</t>
  </si>
  <si>
    <t>ELPTMED_450/25</t>
  </si>
  <si>
    <t>ELPTMED_451/25</t>
  </si>
  <si>
    <t>ELPTMED_452/25</t>
  </si>
  <si>
    <t>ELPTMED_453/25</t>
  </si>
  <si>
    <t>TD E-Learning</t>
  </si>
  <si>
    <t>ELPTMED_480/25</t>
  </si>
  <si>
    <t>ELPTMED_454/25</t>
  </si>
  <si>
    <t>ELPTMED_455/25</t>
  </si>
  <si>
    <t>ARA(E-Learning)</t>
  </si>
  <si>
    <t>ELPTMED_456/25</t>
  </si>
  <si>
    <t>ELPTMED_457/25</t>
  </si>
  <si>
    <t>SF/ID</t>
  </si>
  <si>
    <t>ELPTMED_458/25</t>
  </si>
  <si>
    <t>ELPTMED_459/25</t>
  </si>
  <si>
    <t>ELPTMED_460/25</t>
  </si>
  <si>
    <t>GTR (E-Learning)</t>
  </si>
  <si>
    <t>ELPTMED_461/25</t>
  </si>
  <si>
    <t>CB/ID</t>
  </si>
  <si>
    <t>ELPTMED_462/25</t>
  </si>
  <si>
    <t>ELPTMED_463/25</t>
  </si>
  <si>
    <t>ELPTMED_464/25</t>
  </si>
  <si>
    <t>ELPTMED_465/25</t>
  </si>
  <si>
    <t>SP/SD</t>
  </si>
  <si>
    <t>ELPTMED_466/25</t>
  </si>
  <si>
    <t>ELPTMED_467/25</t>
  </si>
  <si>
    <t>ELPTMED_468/25</t>
  </si>
  <si>
    <t>GQ ISSO(E-Learning)</t>
  </si>
  <si>
    <t>ELPTMED_469/25</t>
  </si>
  <si>
    <t>ELPTMED_470/25</t>
  </si>
  <si>
    <t>ELPTMED_471/25</t>
  </si>
  <si>
    <t>e-HST - Higiene, Segurança do Trabalho 16h</t>
  </si>
  <si>
    <t>ELPTMED_472/25</t>
  </si>
  <si>
    <t>e-M5S - Metodologia 5S_8h</t>
  </si>
  <si>
    <t>ID/TS</t>
  </si>
  <si>
    <t>FG/SD</t>
  </si>
  <si>
    <t>ELPTMED_473/25</t>
  </si>
  <si>
    <t>ELPTMED_474/25</t>
  </si>
  <si>
    <t>ELPTMED_475/25</t>
  </si>
  <si>
    <t>ELPTMED_476/25</t>
  </si>
  <si>
    <t>ELPTMED_477/25</t>
  </si>
  <si>
    <t>ELPTSEEP_006/25</t>
  </si>
  <si>
    <t>ELPTTCV_094/25</t>
  </si>
  <si>
    <t>ELPTTCV_095/25</t>
  </si>
  <si>
    <t>AFC elearning</t>
  </si>
  <si>
    <t>ELPTTCV_096/25</t>
  </si>
  <si>
    <t>ELPTTCV_097/25</t>
  </si>
  <si>
    <t>ELPTTCV_098/25</t>
  </si>
  <si>
    <t>ID/SF</t>
  </si>
  <si>
    <t>ELPTTCV_099/25</t>
  </si>
  <si>
    <t>E-Gestão do Tempo e Organização do Trabalho</t>
  </si>
  <si>
    <t>ELPTTCV_100/25</t>
  </si>
  <si>
    <t>ELPTTCV_101/25</t>
  </si>
  <si>
    <t>ELPTTCV_102/25</t>
  </si>
  <si>
    <t>ID/CB</t>
  </si>
  <si>
    <t>ELPTTCV_103/25</t>
  </si>
  <si>
    <t>ELPTTCV_104/25</t>
  </si>
  <si>
    <t>ELPTTCV_105/25</t>
  </si>
  <si>
    <t>Tacógrafos Digitais - V.25 - 8h e-learning</t>
  </si>
  <si>
    <t>ELPTTCV_106/25</t>
  </si>
  <si>
    <t>ELPTTCV_107/25</t>
  </si>
  <si>
    <t>ELPTTCV_108/25</t>
  </si>
  <si>
    <t>ELPTTCV_109/25</t>
  </si>
  <si>
    <t>M209/25</t>
  </si>
  <si>
    <t>M588/25</t>
  </si>
  <si>
    <t>M413/25</t>
  </si>
  <si>
    <t>M542/25</t>
  </si>
  <si>
    <t>Nelas</t>
  </si>
  <si>
    <t>M598/25</t>
  </si>
  <si>
    <t>Gouveia</t>
  </si>
  <si>
    <t>M211/25</t>
  </si>
  <si>
    <t>157/25</t>
  </si>
  <si>
    <t>Estremoz</t>
  </si>
  <si>
    <t>Faltam dados do Mun. Estremoz</t>
  </si>
  <si>
    <t>M560/25</t>
  </si>
  <si>
    <t>Viana do Alentejo</t>
  </si>
  <si>
    <t>148/25</t>
  </si>
  <si>
    <t>M553/25</t>
  </si>
  <si>
    <t>M610/25</t>
  </si>
  <si>
    <t>M558/25</t>
  </si>
  <si>
    <t>M606/25</t>
  </si>
  <si>
    <t>M562/25</t>
  </si>
  <si>
    <t>017/25</t>
  </si>
  <si>
    <t>EXCEL</t>
  </si>
  <si>
    <t>Termina em janeiro</t>
  </si>
  <si>
    <t>160/25</t>
  </si>
  <si>
    <t>M589/25</t>
  </si>
  <si>
    <t>M432/25</t>
  </si>
  <si>
    <t>146/25</t>
  </si>
  <si>
    <t>Guifões</t>
  </si>
  <si>
    <t>202/25</t>
  </si>
  <si>
    <t>Viana do Castelo</t>
  </si>
  <si>
    <t>M557/25</t>
  </si>
  <si>
    <t>159/25</t>
  </si>
  <si>
    <t>M581/25</t>
  </si>
  <si>
    <t>Nem dossier nem notas.</t>
  </si>
  <si>
    <t>126/25</t>
  </si>
  <si>
    <t>M613/25</t>
  </si>
  <si>
    <t>Figueiró dos Vinhos</t>
  </si>
  <si>
    <t>M363/25</t>
  </si>
  <si>
    <t>M621/25</t>
  </si>
  <si>
    <t>M564/25</t>
  </si>
  <si>
    <t>100/25</t>
  </si>
  <si>
    <t>M611/25</t>
  </si>
  <si>
    <t>M616/25</t>
  </si>
  <si>
    <t>M478/25</t>
  </si>
  <si>
    <t>Amadora</t>
  </si>
  <si>
    <t>M638/25</t>
  </si>
  <si>
    <t xml:space="preserve">Maia </t>
  </si>
  <si>
    <t>M639/25</t>
  </si>
  <si>
    <t>M571/25</t>
  </si>
  <si>
    <t>HSA</t>
  </si>
  <si>
    <t>Póvoa de Santa Iria</t>
  </si>
  <si>
    <t>M331/25</t>
  </si>
  <si>
    <t>M723/25</t>
  </si>
  <si>
    <t>M623/25</t>
  </si>
  <si>
    <t>109/25</t>
  </si>
  <si>
    <t>162/25</t>
  </si>
  <si>
    <t>Miranda do Corvo</t>
  </si>
  <si>
    <t>M245/25_170</t>
  </si>
  <si>
    <t>Não enviados porque não está pago</t>
  </si>
  <si>
    <t>M584/25</t>
  </si>
  <si>
    <t>M585/25</t>
  </si>
  <si>
    <t>M590/25_184</t>
  </si>
  <si>
    <t>M635/25</t>
  </si>
  <si>
    <t>M569/25</t>
  </si>
  <si>
    <t>M568/25</t>
  </si>
  <si>
    <t>M620/25</t>
  </si>
  <si>
    <t>M586/25_164</t>
  </si>
  <si>
    <t>M615/25</t>
  </si>
  <si>
    <t>163/25</t>
  </si>
  <si>
    <t>M039/25</t>
  </si>
  <si>
    <t>153/25</t>
  </si>
  <si>
    <t>204/25</t>
  </si>
  <si>
    <t>M531/25</t>
  </si>
  <si>
    <t>M622/25_189/25</t>
  </si>
  <si>
    <t>207/25</t>
  </si>
  <si>
    <t>M181/25</t>
  </si>
  <si>
    <t>206/25</t>
  </si>
  <si>
    <t>M602/25_176</t>
  </si>
  <si>
    <t>173/25</t>
  </si>
  <si>
    <t>M511/25</t>
  </si>
  <si>
    <t>195/25</t>
  </si>
  <si>
    <t>M053/25</t>
  </si>
  <si>
    <t>186/25</t>
  </si>
  <si>
    <t>161/25</t>
  </si>
  <si>
    <t>004/25</t>
  </si>
  <si>
    <t>ING</t>
  </si>
  <si>
    <t>M561/25</t>
  </si>
  <si>
    <t>019/25</t>
  </si>
  <si>
    <t>M602/25_196</t>
  </si>
  <si>
    <t>196/25</t>
  </si>
  <si>
    <t>M565/25</t>
  </si>
  <si>
    <t>Vila Pouca de Aguiar</t>
  </si>
  <si>
    <t>190/25</t>
  </si>
  <si>
    <t>177/25</t>
  </si>
  <si>
    <t>M624/25</t>
  </si>
  <si>
    <t>197/25</t>
  </si>
  <si>
    <t>169/25</t>
  </si>
  <si>
    <t>M631/25</t>
  </si>
  <si>
    <t>Setubal</t>
  </si>
  <si>
    <t>201/25</t>
  </si>
  <si>
    <t>Corroios</t>
  </si>
  <si>
    <t>185/25</t>
  </si>
  <si>
    <t>174/25</t>
  </si>
  <si>
    <t>175/25</t>
  </si>
  <si>
    <t>Vila Nova de Paiva</t>
  </si>
  <si>
    <t>135/25</t>
  </si>
  <si>
    <t>DL 50/2005</t>
  </si>
  <si>
    <t>M644/25</t>
  </si>
  <si>
    <t xml:space="preserve">M245/25 </t>
  </si>
  <si>
    <t>179/25</t>
  </si>
  <si>
    <t>193/25</t>
  </si>
  <si>
    <t>180/25</t>
  </si>
  <si>
    <t>M656/25</t>
  </si>
  <si>
    <t>M646/25</t>
  </si>
  <si>
    <t>191/25</t>
  </si>
  <si>
    <t>101/25</t>
  </si>
  <si>
    <t>M634/25</t>
  </si>
  <si>
    <t>192/25</t>
  </si>
  <si>
    <t>M582/25</t>
  </si>
  <si>
    <t>M566/25</t>
  </si>
  <si>
    <t>165/25</t>
  </si>
  <si>
    <t>M444/25_168</t>
  </si>
  <si>
    <t>Bobadela</t>
  </si>
  <si>
    <t>M532/25</t>
  </si>
  <si>
    <t>209/25</t>
  </si>
  <si>
    <t>198/25</t>
  </si>
  <si>
    <t>Forte da Casa</t>
  </si>
  <si>
    <t>210/25</t>
  </si>
  <si>
    <t>172/25</t>
  </si>
  <si>
    <t>200/25</t>
  </si>
  <si>
    <t>Vila Franca de Xira</t>
  </si>
  <si>
    <t>Manuel Nascimento - confirmado</t>
  </si>
  <si>
    <t>SQ #27.10.2025 Enviada</t>
  </si>
  <si>
    <t>SQ #29.10.2025 Enviada</t>
  </si>
  <si>
    <t>Sala cliente, projetor nosso</t>
  </si>
  <si>
    <t xml:space="preserve"> </t>
  </si>
  <si>
    <t>João Gomes - confirmado</t>
  </si>
  <si>
    <t>SQ #03.11.2025 Enviada</t>
  </si>
  <si>
    <t>M551/25</t>
  </si>
  <si>
    <t xml:space="preserve">SD </t>
  </si>
  <si>
    <t>Francisco Lima - confirmado</t>
  </si>
  <si>
    <t>SQ #28.10.2025 Enviada</t>
  </si>
  <si>
    <t>Sala cliente, projetor formador</t>
  </si>
  <si>
    <t>SQ #12.11.2025</t>
  </si>
  <si>
    <t>239/25</t>
  </si>
  <si>
    <t>José Brites - confirmado</t>
  </si>
  <si>
    <t>SQ #04.11.2025 Enviada</t>
  </si>
  <si>
    <t>240/25</t>
  </si>
  <si>
    <t>M514/25_M696</t>
  </si>
  <si>
    <t xml:space="preserve">IF </t>
  </si>
  <si>
    <t>Luis da Silva - confirmado</t>
  </si>
  <si>
    <t>SQ #24.10.2025 Enviada</t>
  </si>
  <si>
    <t>SQ #19.11.2025</t>
  </si>
  <si>
    <t>M668/25</t>
  </si>
  <si>
    <t>SQ #06.11.2025 Enviada</t>
  </si>
  <si>
    <t>AM #30.12.2025</t>
  </si>
  <si>
    <t>M547/25</t>
  </si>
  <si>
    <t>Certificados feitos, mas faltam dados do Arlindo.</t>
  </si>
  <si>
    <t>Diogo Duarte - confirmado</t>
  </si>
  <si>
    <t>247/25_M706/25</t>
  </si>
  <si>
    <t>Luis Casquinha - confirmado</t>
  </si>
  <si>
    <t>SQ #05.11.2025 Enviada</t>
  </si>
  <si>
    <t>M567/25</t>
  </si>
  <si>
    <t>224/25</t>
  </si>
  <si>
    <t>AS #30.12.2025</t>
  </si>
  <si>
    <t>171/25</t>
  </si>
  <si>
    <t>Diogo Gomes - confirmado</t>
  </si>
  <si>
    <t>Sala cliente, projetor cliente</t>
  </si>
  <si>
    <t>222/25</t>
  </si>
  <si>
    <t>Jorge Augusto - confirmado</t>
  </si>
  <si>
    <t>M683/25</t>
  </si>
  <si>
    <t>José Fernandes - confirmado</t>
  </si>
  <si>
    <t>Alugada (School House Gaia)</t>
  </si>
  <si>
    <t>Não pedir os dados.</t>
  </si>
  <si>
    <t>217/25</t>
  </si>
  <si>
    <t>M689/25</t>
  </si>
  <si>
    <t>Mauro Silva - confirmado</t>
  </si>
  <si>
    <t>SQ #07.11.2025 Enviada</t>
  </si>
  <si>
    <t>250/25</t>
  </si>
  <si>
    <t>M347/25</t>
  </si>
  <si>
    <t>Ana Isabel Sousa - confirmado</t>
  </si>
  <si>
    <t>M636/25</t>
  </si>
  <si>
    <t>José Lopez - confirmado</t>
  </si>
  <si>
    <t>231/25</t>
  </si>
  <si>
    <t>Vitor Sousa - confirmado</t>
  </si>
  <si>
    <t>M286/25</t>
  </si>
  <si>
    <t>João Antunes - confirmado</t>
  </si>
  <si>
    <t>M655/25</t>
  </si>
  <si>
    <t>Falta pagar o Transquim.</t>
  </si>
  <si>
    <t>Alugada (Cowork)</t>
  </si>
  <si>
    <t>223/25_M533/25</t>
  </si>
  <si>
    <t>Samora Correia</t>
  </si>
  <si>
    <t>Ricardo Vinhais - confirmado</t>
  </si>
  <si>
    <t>216/25</t>
  </si>
  <si>
    <t>Faltam dados.</t>
  </si>
  <si>
    <t>Alugada (Hotel Lis batalha)</t>
  </si>
  <si>
    <t>212/25</t>
  </si>
  <si>
    <t>Fernando Galvão Jesus - confirmado</t>
  </si>
  <si>
    <t>219/25</t>
  </si>
  <si>
    <t>João Martinho - confirmado</t>
  </si>
  <si>
    <t>Alugada (Movalmeirim)</t>
  </si>
  <si>
    <t>M629/25</t>
  </si>
  <si>
    <t>M643/25</t>
  </si>
  <si>
    <t>Isabel Fernandes - confirmado</t>
  </si>
  <si>
    <t>Alugada (Talentus Figueira da Foz)</t>
  </si>
  <si>
    <t>M682/25</t>
  </si>
  <si>
    <t>Certificados feitos, mas faltam dados.</t>
  </si>
  <si>
    <t>Ricardo Pimentel - confirmado</t>
  </si>
  <si>
    <t>M645/25</t>
  </si>
  <si>
    <t>Certificados foram feitos, mas falta dados Silvarui.</t>
  </si>
  <si>
    <t>Miguel Perdigão - confirmado</t>
  </si>
  <si>
    <t>194/25</t>
  </si>
  <si>
    <t>228/25</t>
  </si>
  <si>
    <t>Donas</t>
  </si>
  <si>
    <t>Bruno Gomes - confirmado</t>
  </si>
  <si>
    <t>Alugada (GADonas)</t>
  </si>
  <si>
    <t>M445/25</t>
  </si>
  <si>
    <t>226/25</t>
  </si>
  <si>
    <t>M680/25</t>
  </si>
  <si>
    <t>Frederico Moreira - confirmado</t>
  </si>
  <si>
    <t>Alugada (Ginasios Da Vinci)</t>
  </si>
  <si>
    <t>M693/25_220</t>
  </si>
  <si>
    <t>254/25</t>
  </si>
  <si>
    <t>M694/25_246/25</t>
  </si>
  <si>
    <t>Paulo Correia - confirmado</t>
  </si>
  <si>
    <t>M691/25_252/25</t>
  </si>
  <si>
    <t>Marcelo Fernandes - confirmado</t>
  </si>
  <si>
    <t>M513/25</t>
  </si>
  <si>
    <t>M699/25</t>
  </si>
  <si>
    <t>Pedro Osório - Confirmado</t>
  </si>
  <si>
    <t>SQ #12.11.2025 Enviada</t>
  </si>
  <si>
    <t xml:space="preserve">não </t>
  </si>
  <si>
    <t>199/25</t>
  </si>
  <si>
    <t>M692/25_253/25</t>
  </si>
  <si>
    <t>238/25</t>
  </si>
  <si>
    <t>M659/25</t>
  </si>
  <si>
    <t>SQ #13.11.2025 Enviada</t>
  </si>
  <si>
    <t>241/25</t>
  </si>
  <si>
    <t>242/25</t>
  </si>
  <si>
    <t>M701/25</t>
  </si>
  <si>
    <t>M625/25</t>
  </si>
  <si>
    <t>Alugada (Comunilog Loures)</t>
  </si>
  <si>
    <t>M712/25</t>
  </si>
  <si>
    <t>Macedo de Cavaleiros</t>
  </si>
  <si>
    <t>M695/25</t>
  </si>
  <si>
    <t>Carregado</t>
  </si>
  <si>
    <t>Mayara Viegas - confirmado</t>
  </si>
  <si>
    <t>SQ #13.11.2025 ENVIAR</t>
  </si>
  <si>
    <t>178/25</t>
  </si>
  <si>
    <t>Certificados feitos, mas faltam dados de duas empresas.</t>
  </si>
  <si>
    <t>Sala nossa, projetor nosso</t>
  </si>
  <si>
    <t>M715/25</t>
  </si>
  <si>
    <t>Não tem lista de formandos.</t>
  </si>
  <si>
    <t>M628/25</t>
  </si>
  <si>
    <t>Rúben Branco - confirmado</t>
  </si>
  <si>
    <t>M514/25</t>
  </si>
  <si>
    <t>M348/25</t>
  </si>
  <si>
    <t>M590/25</t>
  </si>
  <si>
    <t>102/25</t>
  </si>
  <si>
    <t>Enviei certificados mas faltam 2 dados.</t>
  </si>
  <si>
    <t>M572/25</t>
  </si>
  <si>
    <t>Mondim de Basto</t>
  </si>
  <si>
    <t>259/25</t>
  </si>
  <si>
    <t>Póvoa de Varzim</t>
  </si>
  <si>
    <t>Pedro Pereira - confirmado</t>
  </si>
  <si>
    <t>M651/25</t>
  </si>
  <si>
    <t>Alugada (Bombeiros)</t>
  </si>
  <si>
    <t>M612/25</t>
  </si>
  <si>
    <t>Vilar Formoso</t>
  </si>
  <si>
    <t>Alugada (Junta)</t>
  </si>
  <si>
    <t>M530/25</t>
  </si>
  <si>
    <t>M666/25</t>
  </si>
  <si>
    <t>PE</t>
  </si>
  <si>
    <t>M698/25</t>
  </si>
  <si>
    <t>M667/25</t>
  </si>
  <si>
    <t>Certificados feitos, mas não enviados os do Casimiro.</t>
  </si>
  <si>
    <t>M619/25</t>
  </si>
  <si>
    <t>Alugada (Associação INE)</t>
  </si>
  <si>
    <t>M617/25</t>
  </si>
  <si>
    <t>Miguel Mota - confirmado</t>
  </si>
  <si>
    <t>M702/25</t>
  </si>
  <si>
    <t>187/25</t>
  </si>
  <si>
    <t>Fiz certificados, mas faltam dados de alguns formandos.</t>
  </si>
  <si>
    <t>208/25</t>
  </si>
  <si>
    <t>SQ #14.11.2025 Enviada</t>
  </si>
  <si>
    <t>M710/25</t>
  </si>
  <si>
    <t>Coruche</t>
  </si>
  <si>
    <t>Pedro Carriço - confirmado</t>
  </si>
  <si>
    <t>233/25</t>
  </si>
  <si>
    <t>Manuela Trepado - confirmado</t>
  </si>
  <si>
    <t>Sala cliente, cliente com tv</t>
  </si>
  <si>
    <t>018/25</t>
  </si>
  <si>
    <t>255/25</t>
  </si>
  <si>
    <t>M726/25</t>
  </si>
  <si>
    <t>CB #17.11.2025 Enviada</t>
  </si>
  <si>
    <t>SQ #18.11.2025 Enviada</t>
  </si>
  <si>
    <t>M727/25</t>
  </si>
  <si>
    <t>Não há pasta</t>
  </si>
  <si>
    <t>M607/25</t>
  </si>
  <si>
    <t>M630/25</t>
  </si>
  <si>
    <t>M676/25</t>
  </si>
  <si>
    <t>SQ #19.11.2025 Enviada</t>
  </si>
  <si>
    <t>M609/25</t>
  </si>
  <si>
    <t>M515/25</t>
  </si>
  <si>
    <t>M512/25</t>
  </si>
  <si>
    <t>Aveleda</t>
  </si>
  <si>
    <t>Pedro Costa - confirmado</t>
  </si>
  <si>
    <t>M697/25</t>
  </si>
  <si>
    <t>223/25</t>
  </si>
  <si>
    <t>Não tem dados.</t>
  </si>
  <si>
    <t>Cláudia Gomes - confirmado</t>
  </si>
  <si>
    <t>SQ #20.11.2025 Enviada</t>
  </si>
  <si>
    <t>258/25</t>
  </si>
  <si>
    <t>M648/25</t>
  </si>
  <si>
    <t>CIE</t>
  </si>
  <si>
    <t>Não tenho dossier nem notas.</t>
  </si>
  <si>
    <t>M671/25</t>
  </si>
  <si>
    <t>Arcozelo</t>
  </si>
  <si>
    <t>Adolfo Moreira - confirmado</t>
  </si>
  <si>
    <t>232/25</t>
  </si>
  <si>
    <t>SHA</t>
  </si>
  <si>
    <t>M246/25</t>
  </si>
  <si>
    <t>Certificados feitos, mas não enviados por falta de pagamento.</t>
  </si>
  <si>
    <t>103/25</t>
  </si>
  <si>
    <t>São Cosme</t>
  </si>
  <si>
    <t>Certificados feitos, mas faltam 2 dados.</t>
  </si>
  <si>
    <t>M725/25</t>
  </si>
  <si>
    <t>M471/25</t>
  </si>
  <si>
    <t>Luis Milheiro - confirmado</t>
  </si>
  <si>
    <t>Alugada (Tecmaia)</t>
  </si>
  <si>
    <t>M736/25</t>
  </si>
  <si>
    <t>M735/25</t>
  </si>
  <si>
    <t>Alugada (Zona Verde)</t>
  </si>
  <si>
    <t>251/25</t>
  </si>
  <si>
    <t>Certificados feito, mas faltam dados.</t>
  </si>
  <si>
    <t>SQ #21.11.2025 Enviada</t>
  </si>
  <si>
    <t>Alugada (Eptoliva)</t>
  </si>
  <si>
    <t>FG e SF</t>
  </si>
  <si>
    <t>267/25</t>
  </si>
  <si>
    <t>077/25</t>
  </si>
  <si>
    <t>M720/25</t>
  </si>
  <si>
    <t>Gafanha da Nazaré</t>
  </si>
  <si>
    <t>Alugada (Ilhavos)</t>
  </si>
  <si>
    <t>M579/25</t>
  </si>
  <si>
    <t>Alcanede</t>
  </si>
  <si>
    <t>252/25</t>
  </si>
  <si>
    <t>M703/25</t>
  </si>
  <si>
    <t>M711/25</t>
  </si>
  <si>
    <t>Susana Soares - confirmado</t>
  </si>
  <si>
    <t>247/25</t>
  </si>
  <si>
    <t>Paulo Carvalho - confirmado</t>
  </si>
  <si>
    <t>M673/25</t>
  </si>
  <si>
    <t>M704/25</t>
  </si>
  <si>
    <t>Ermesinde</t>
  </si>
  <si>
    <t>Fernando Loureiro Jesus - confirmado</t>
  </si>
  <si>
    <t>M705/25</t>
  </si>
  <si>
    <t>Alugada (URBE)</t>
  </si>
  <si>
    <t>M633/25</t>
  </si>
  <si>
    <t>Certificados feitos, mas não há dados numa empresa.</t>
  </si>
  <si>
    <t>235/25</t>
  </si>
  <si>
    <t>Juliana Miranda - confirmado</t>
  </si>
  <si>
    <t>M637/25</t>
  </si>
  <si>
    <t>Alugada (Cowork Malvarosa)</t>
  </si>
  <si>
    <t>M660/25</t>
  </si>
  <si>
    <t>M047/25</t>
  </si>
  <si>
    <t>M570/25</t>
  </si>
  <si>
    <t>M728/25</t>
  </si>
  <si>
    <t>234/25</t>
  </si>
  <si>
    <t>Joaquim Álvaro - confirmado</t>
  </si>
  <si>
    <t>256/25</t>
  </si>
  <si>
    <t>257/25</t>
  </si>
  <si>
    <t>M650/25</t>
  </si>
  <si>
    <t>Esposende</t>
  </si>
  <si>
    <t>M657/25</t>
  </si>
  <si>
    <t>M441/25</t>
  </si>
  <si>
    <t>214/25</t>
  </si>
  <si>
    <t>SQ #24.11.2025 Enviada</t>
  </si>
  <si>
    <t>M719/25</t>
  </si>
  <si>
    <t>M717/25</t>
  </si>
  <si>
    <t>Odivelas</t>
  </si>
  <si>
    <t>Vitor Brito - confirmado</t>
  </si>
  <si>
    <t>M595/25</t>
  </si>
  <si>
    <t>Ana Rita Teixeira - confirmado</t>
  </si>
  <si>
    <t>SQ #28.11.2025 Enviada</t>
  </si>
  <si>
    <t>SQ #29.11.2025</t>
  </si>
  <si>
    <t>M594/25</t>
  </si>
  <si>
    <t>M679/25</t>
  </si>
  <si>
    <t>SQ #26.11.2025 Enviada</t>
  </si>
  <si>
    <t>M580/25</t>
  </si>
  <si>
    <t>Sala cliente, projetor</t>
  </si>
  <si>
    <t>M647/25</t>
  </si>
  <si>
    <t>QEA</t>
  </si>
  <si>
    <t>M747/25</t>
  </si>
  <si>
    <t>SQ #27.11.2025 Enviada</t>
  </si>
  <si>
    <t>Alugada (Da Vinci Viana)</t>
  </si>
  <si>
    <t>M741/25</t>
  </si>
  <si>
    <t>Fernando Pinto - confirmado</t>
  </si>
  <si>
    <t>Alugada (Quasimprovavel)</t>
  </si>
  <si>
    <t>277/25</t>
  </si>
  <si>
    <t>281/25</t>
  </si>
  <si>
    <t>Nuno Marques - confirmado</t>
  </si>
  <si>
    <t>M661/25</t>
  </si>
  <si>
    <t>M664/25</t>
  </si>
  <si>
    <t>Luis Custódio - confirmado</t>
  </si>
  <si>
    <t>M721/25</t>
  </si>
  <si>
    <t>M675/25</t>
  </si>
  <si>
    <t>Camarate</t>
  </si>
  <si>
    <t>M652/25</t>
  </si>
  <si>
    <t>M046/25</t>
  </si>
  <si>
    <t>José Pires - confirmado</t>
  </si>
  <si>
    <t>M737/25</t>
  </si>
  <si>
    <t>Alugada (Bombeiros Fátima)</t>
  </si>
  <si>
    <t>M522/25</t>
  </si>
  <si>
    <t>Ansião</t>
  </si>
  <si>
    <t>150/25</t>
  </si>
  <si>
    <t>Alugada (Bombeiros Ourem)</t>
  </si>
  <si>
    <t>280/25</t>
  </si>
  <si>
    <t>Alugada (Hotel Caldas da Rainha)</t>
  </si>
  <si>
    <t>243/25</t>
  </si>
  <si>
    <t>M674/25</t>
  </si>
  <si>
    <t>M654/25</t>
  </si>
  <si>
    <t>Alugada (Hotel SJ Tondela)</t>
  </si>
  <si>
    <t>M748/25</t>
  </si>
  <si>
    <t>M672/25</t>
  </si>
  <si>
    <t>Alugada (Junta Vilar Formoso)</t>
  </si>
  <si>
    <t>M744/25</t>
  </si>
  <si>
    <t>E-learning</t>
  </si>
  <si>
    <t>ELPTMED_543/25</t>
  </si>
  <si>
    <t>ELPTMED_544/25</t>
  </si>
  <si>
    <t>SF/CB/TS/JM</t>
  </si>
  <si>
    <t>ELPTMED_545/25</t>
  </si>
  <si>
    <t>ELPTMED_546/25</t>
  </si>
  <si>
    <t>ELPTMED_547/25</t>
  </si>
  <si>
    <t>ELPTMED_548/25</t>
  </si>
  <si>
    <t>e-IEA - Inteligência Emocional no Atendimento_16h</t>
  </si>
  <si>
    <t>ELPTMED_549/25</t>
  </si>
  <si>
    <t>ELPTMED_550/25</t>
  </si>
  <si>
    <t>EL - Pontes Rolantes 8h</t>
  </si>
  <si>
    <t>ELPTMED_551/25</t>
  </si>
  <si>
    <t>ELPTMED_552/25</t>
  </si>
  <si>
    <t>ELPTMED_553/25</t>
  </si>
  <si>
    <t>ELPTMED_554/25</t>
  </si>
  <si>
    <t>e-Eco-Condução 8h</t>
  </si>
  <si>
    <t>ELPTMED_555/25</t>
  </si>
  <si>
    <t>FNF (E-Learning)</t>
  </si>
  <si>
    <t>ELPTMED_556/25</t>
  </si>
  <si>
    <t>ELPTMED_557/25</t>
  </si>
  <si>
    <t>ELPTMED_558/25</t>
  </si>
  <si>
    <t>e-Gestão do Tempo e Organização do Trabalho 8h</t>
  </si>
  <si>
    <t>ELPTMED_559/25</t>
  </si>
  <si>
    <t>ELPTMED_560/25</t>
  </si>
  <si>
    <t>ELPTMED_561/25</t>
  </si>
  <si>
    <t>ELPTMED_562/25</t>
  </si>
  <si>
    <t>ELPTMED_563/25</t>
  </si>
  <si>
    <t>ELPTMED_564/25</t>
  </si>
  <si>
    <t>ELPTMED_565/25</t>
  </si>
  <si>
    <t>e-Atendimento e Serviço Pós-venda 8h</t>
  </si>
  <si>
    <t>ELPTMED_566/25</t>
  </si>
  <si>
    <t>e-Higiene e Segurança Alimentar_4h</t>
  </si>
  <si>
    <t>ELPTMED_568/25</t>
  </si>
  <si>
    <t>EL - TVNC</t>
  </si>
  <si>
    <t>ELPTMED_569/25</t>
  </si>
  <si>
    <t>e - Pontes Rolantes 8h</t>
  </si>
  <si>
    <t>TS/JM</t>
  </si>
  <si>
    <t>ELPTMED_570/25</t>
  </si>
  <si>
    <t>e - Tacógrafos Digitais - V.25 - 8h</t>
  </si>
  <si>
    <t>ELPTMED_571/25</t>
  </si>
  <si>
    <t>ELPTMED_572/25</t>
  </si>
  <si>
    <t>ELPTMED_573/25</t>
  </si>
  <si>
    <t>ELPTMED_574/25</t>
  </si>
  <si>
    <t>ELPTMED_575/25</t>
  </si>
  <si>
    <t>ELPTMED_576/25</t>
  </si>
  <si>
    <t>ELPTMED_577/25</t>
  </si>
  <si>
    <t>ELPTMED_578/25</t>
  </si>
  <si>
    <t>e-Condução económica e defensiva 8h</t>
  </si>
  <si>
    <t>CB/JM</t>
  </si>
  <si>
    <t>ELPTMED_579/25</t>
  </si>
  <si>
    <t>e-Gestão do Trabalho e Riscos Psicossociais 16h</t>
  </si>
  <si>
    <t>ELPTMED_580/25</t>
  </si>
  <si>
    <t>e-Gestão de Tempo e de Stress 16h</t>
  </si>
  <si>
    <t>ELPTMED_581/25</t>
  </si>
  <si>
    <t>e-IELE - Inteligencia Emocional na Liderança de Equipas_16h</t>
  </si>
  <si>
    <t>ELPTMED_582/25</t>
  </si>
  <si>
    <t>ELPTMED_583/25</t>
  </si>
  <si>
    <t>ELPTMED_584/25</t>
  </si>
  <si>
    <t>ELPTMED_585/25</t>
  </si>
  <si>
    <t>e-Primeiros Socorros 4h</t>
  </si>
  <si>
    <t>ELPTMED_586/25</t>
  </si>
  <si>
    <t>ELPTMED_587/25</t>
  </si>
  <si>
    <t>ELPTMED_588/25</t>
  </si>
  <si>
    <t>e- Tacógrafos Digitais</t>
  </si>
  <si>
    <t>ELPTMED_589/25</t>
  </si>
  <si>
    <t>e-HST - Higiene, Segurança do Trabalho 8h 2</t>
  </si>
  <si>
    <t>TS/CB</t>
  </si>
  <si>
    <t>ELPTMED_590/25</t>
  </si>
  <si>
    <t>ELPTMED_591/25</t>
  </si>
  <si>
    <t>Gestão do Tempo e Organização do Trabalho 8h</t>
  </si>
  <si>
    <t>ELPTMED_592/25</t>
  </si>
  <si>
    <t>ELPTMED_593/25</t>
  </si>
  <si>
    <t>e-Competências de Liderança_8h</t>
  </si>
  <si>
    <t>ELPTMED_594/25</t>
  </si>
  <si>
    <t>ELPTMED_595/25</t>
  </si>
  <si>
    <t>ELPTMED_596/25</t>
  </si>
  <si>
    <t>e-ISO 9001:2015 - Sistema de Gestão da Qualidade_8h</t>
  </si>
  <si>
    <t>ELPTMED_597/25</t>
  </si>
  <si>
    <t>e-Motivação e Otimização de Equipas_16h</t>
  </si>
  <si>
    <t>ELPTMED_598/25</t>
  </si>
  <si>
    <t>E - Pontes Rolantes 8h</t>
  </si>
  <si>
    <t>ELPTMED_599/25</t>
  </si>
  <si>
    <t>ELPTMED_600/25</t>
  </si>
  <si>
    <t>ELPTMED_601/25</t>
  </si>
  <si>
    <t>ELPTMED_602/25</t>
  </si>
  <si>
    <t>e-Combate a Incêndios 16h</t>
  </si>
  <si>
    <t>ELPTMED_603/25</t>
  </si>
  <si>
    <t>Contratos e Garantias do Crédito e-learning</t>
  </si>
  <si>
    <t>ELPTMED_604/25</t>
  </si>
  <si>
    <t>ELPTMED_605/25</t>
  </si>
  <si>
    <t>ELPTMED_606/25</t>
  </si>
  <si>
    <t>ELPTMED_607/25</t>
  </si>
  <si>
    <t>ELPTMED_608/25</t>
  </si>
  <si>
    <t>ELPTMED_609/25</t>
  </si>
  <si>
    <t>Ainda estão a fazer o curso.</t>
  </si>
  <si>
    <t>ELPTMED_610/25</t>
  </si>
  <si>
    <t>ELPTMED_611/25</t>
  </si>
  <si>
    <t>e-Gestão do Trabalho e Riscos Psicossociais 8h</t>
  </si>
  <si>
    <t>ELPTMED_612/25</t>
  </si>
  <si>
    <t>EL - - Segurança e Higiene no Trabalho 8h</t>
  </si>
  <si>
    <t>JM/TS/CB</t>
  </si>
  <si>
    <t>ELPTMED_613/25</t>
  </si>
  <si>
    <t>ELPTMED_614/25</t>
  </si>
  <si>
    <t>JM/TS/CB/SF</t>
  </si>
  <si>
    <t>ELPTMED_615/25</t>
  </si>
  <si>
    <t>ELPTMED_616/25</t>
  </si>
  <si>
    <t>MGM (e-learning)</t>
  </si>
  <si>
    <t>ELPTMED_617/25</t>
  </si>
  <si>
    <t>Primeiros Socorros 16h</t>
  </si>
  <si>
    <t>ELPTMED_618/25</t>
  </si>
  <si>
    <t>TD- E-learning</t>
  </si>
  <si>
    <t>ELPTMED_619/25</t>
  </si>
  <si>
    <t>Certificados feitos não enviados</t>
  </si>
  <si>
    <t>ELPTMED_620/25</t>
  </si>
  <si>
    <t>NÃO</t>
  </si>
  <si>
    <t>ELPTMED_621/25</t>
  </si>
  <si>
    <t>e-RAP_Regulamentação da atividade – Transporte Rodoviário de Passageiros 50h</t>
  </si>
  <si>
    <t>ELPTMED_622/25</t>
  </si>
  <si>
    <t>ELPTMED_623/25</t>
  </si>
  <si>
    <t>e-Atendimento e Serviço Pós-venda</t>
  </si>
  <si>
    <t>ELPTMED_624/25</t>
  </si>
  <si>
    <t>ELPTMED_625/25</t>
  </si>
  <si>
    <t>ELPTMED_626/25</t>
  </si>
  <si>
    <t>ELPTMED_627/25</t>
  </si>
  <si>
    <t>Tacógrafos Digitais - V.25 - 8h Presencial + el</t>
  </si>
  <si>
    <t>JM/SF</t>
  </si>
  <si>
    <t>ELPTMED_631/25</t>
  </si>
  <si>
    <t>ELPTMED_632/25</t>
  </si>
  <si>
    <t>GRC(E-Learning)</t>
  </si>
  <si>
    <t>02/012026</t>
  </si>
  <si>
    <t>ELPTSEEP_011/25</t>
  </si>
  <si>
    <t>ELPTSEEP_012/25</t>
  </si>
  <si>
    <t>ELPTTCV_160/25</t>
  </si>
  <si>
    <t>ELPTTCV_160/25 (Seep)</t>
  </si>
  <si>
    <t>E - Combate a incêndios 8h</t>
  </si>
  <si>
    <t>ELPTTCV_161/25 (Seep)</t>
  </si>
  <si>
    <t>Certificados feitos mas faltam dados.</t>
  </si>
  <si>
    <t>ELPTTCV_162/25 (Seep)</t>
  </si>
  <si>
    <t>ELPTTCV_163/25 (Seep)</t>
  </si>
  <si>
    <t>ELPTTCV_164/25 (Seep)</t>
  </si>
  <si>
    <t>ELPTTCV_165/25 (Seep)</t>
  </si>
  <si>
    <t>ELPTTCV_166/25 (Seep)</t>
  </si>
  <si>
    <t>EL - ISMET</t>
  </si>
  <si>
    <t>ELPTTCV_175/25 (SEEP)</t>
  </si>
  <si>
    <t>E - Primeiros Socorros 8h</t>
  </si>
  <si>
    <t>ELPTTCV_178/25 (SEEP)</t>
  </si>
  <si>
    <t>ELPTTCV_168/25</t>
  </si>
  <si>
    <t>EL - ORTT</t>
  </si>
  <si>
    <t>ELPTTCV_169/25</t>
  </si>
  <si>
    <t>ELPTTCV_170/25</t>
  </si>
  <si>
    <t>e- TC</t>
  </si>
  <si>
    <t>TS/CB/JM</t>
  </si>
  <si>
    <t>ELPTTCV_171/25</t>
  </si>
  <si>
    <t>ELPTTCV_172/25</t>
  </si>
  <si>
    <t>GTOT (E-Learning)</t>
  </si>
  <si>
    <t>ELPTTCV_174/25</t>
  </si>
  <si>
    <t>ELPTTCV_175/25</t>
  </si>
  <si>
    <t>e-Primeiros Socorros 8h</t>
  </si>
  <si>
    <t>SF/JM</t>
  </si>
  <si>
    <t>ELPTTCV_176/25</t>
  </si>
  <si>
    <t>ELPTTCV_177/25</t>
  </si>
  <si>
    <t>ELPTTCV_178/25</t>
  </si>
  <si>
    <t>ELPTTCV_179/25</t>
  </si>
  <si>
    <t>E - Gestão do Tempo e Organização do Trabalho 8h</t>
  </si>
  <si>
    <t>ELPTTCV_180/25</t>
  </si>
  <si>
    <t>e - Liderança 8h</t>
  </si>
  <si>
    <t>ELPTTCV_184/25</t>
  </si>
  <si>
    <t>ELPTTCV_185/25</t>
  </si>
  <si>
    <t>ELPTTCV_186/25</t>
  </si>
  <si>
    <t>e-Tacógrafos Digitais - V.25 - 4h elearning</t>
  </si>
  <si>
    <t>ELPTTCV_187/25</t>
  </si>
  <si>
    <t>ELPTTCV_188/25</t>
  </si>
  <si>
    <t>ELPTTCV_189/25</t>
  </si>
  <si>
    <t>e - Segurança e Higiene no Trabalho 8h</t>
  </si>
  <si>
    <t>ELPTTCV_190/25</t>
  </si>
  <si>
    <t>E - Gestão de Stress e Conflitos 8h</t>
  </si>
  <si>
    <t>ELPTTCV_191/25</t>
  </si>
  <si>
    <t>ELPTTCV_192/25</t>
  </si>
  <si>
    <t>ELPTTCV_193/25</t>
  </si>
  <si>
    <t>ELPTTCV_194/25</t>
  </si>
  <si>
    <t>e-Segurança e Higiene no Trabalho 8h</t>
  </si>
  <si>
    <t>ELPTTCV_195/25</t>
  </si>
  <si>
    <t>e-Gestão e Tratamento de Reclamações 8h</t>
  </si>
  <si>
    <t>ELPTTCV_196/25</t>
  </si>
  <si>
    <t>e-Gestão de Stress e Conflitos 8h</t>
  </si>
  <si>
    <t>ELPTTCV_197/25</t>
  </si>
  <si>
    <t>Amarração e Fixação de Cargas 8h</t>
  </si>
  <si>
    <t>ELPTTCV_198/25</t>
  </si>
  <si>
    <t>ELPTTCV_199/25</t>
  </si>
  <si>
    <t>ELPTTCV_200/25</t>
  </si>
  <si>
    <t>PS E-learning</t>
  </si>
  <si>
    <t>ELPTTCV_201/25</t>
  </si>
  <si>
    <t>ELPTTCV_202/25</t>
  </si>
  <si>
    <t>ELPTTCV_203/25</t>
  </si>
  <si>
    <t>ELPTTCV_204/25</t>
  </si>
  <si>
    <t>236/25</t>
  </si>
  <si>
    <t>167/25</t>
  </si>
  <si>
    <t>M729/25</t>
  </si>
  <si>
    <t>SQ #02.12.2025 Enviada</t>
  </si>
  <si>
    <t>M734/25</t>
  </si>
  <si>
    <t>M640/25</t>
  </si>
  <si>
    <t>Não tem dossier, nem notas.</t>
  </si>
  <si>
    <t>#AM 20/01/2026 Enviei email</t>
  </si>
  <si>
    <t>M749/25</t>
  </si>
  <si>
    <t>268/25</t>
  </si>
  <si>
    <t>#AM 21/01/2026 Enviei email</t>
  </si>
  <si>
    <t>269/25</t>
  </si>
  <si>
    <t>M516/25</t>
  </si>
  <si>
    <t>AS #04.12.2025 Enviada</t>
  </si>
  <si>
    <t>M714/25</t>
  </si>
  <si>
    <t>DL50</t>
  </si>
  <si>
    <t>Frielas</t>
  </si>
  <si>
    <t>SQ #04.12.2025 Enviada</t>
  </si>
  <si>
    <t>M750/25</t>
  </si>
  <si>
    <t>Agueda de Cima</t>
  </si>
  <si>
    <t>#SQ 03.12.2025 Enviada</t>
  </si>
  <si>
    <t>M626/25</t>
  </si>
  <si>
    <t>SQ #05.12.2025 Enviada</t>
  </si>
  <si>
    <t>M662/25</t>
  </si>
  <si>
    <t>278/25</t>
  </si>
  <si>
    <t>158/25</t>
  </si>
  <si>
    <t>Campo Maior</t>
  </si>
  <si>
    <t>M669/25</t>
  </si>
  <si>
    <t>Entroncamento</t>
  </si>
  <si>
    <t>Alugada (Bomb. Entrocamento)</t>
  </si>
  <si>
    <t>M591/25</t>
  </si>
  <si>
    <t>270/25</t>
  </si>
  <si>
    <t>M718/25</t>
  </si>
  <si>
    <t>Ferreira do Zezere</t>
  </si>
  <si>
    <t>IM #05.12.2025 Enviada</t>
  </si>
  <si>
    <t>Alugada (Escuteiros)</t>
  </si>
  <si>
    <t>M730/25</t>
  </si>
  <si>
    <t>181/25</t>
  </si>
  <si>
    <t>Falta pagar.</t>
  </si>
  <si>
    <t>M740/25</t>
  </si>
  <si>
    <t>Bruno Monteiro - confirmado</t>
  </si>
  <si>
    <t>Sala cliente, cliente tem TV</t>
  </si>
  <si>
    <t>M641/25</t>
  </si>
  <si>
    <t>Dossier não está no servidor.</t>
  </si>
  <si>
    <t>M751/25</t>
  </si>
  <si>
    <t>265/25</t>
  </si>
  <si>
    <t>SQ #06.12.2025 Enviada</t>
  </si>
  <si>
    <t>SQ #09.12.2025 Enviada</t>
  </si>
  <si>
    <t>M733/25</t>
  </si>
  <si>
    <t>M754/25</t>
  </si>
  <si>
    <t>M765/25</t>
  </si>
  <si>
    <t>Vouzela</t>
  </si>
  <si>
    <t>Luis Caetano - confirmado</t>
  </si>
  <si>
    <t>SQ #10.12.2025 Enviada</t>
  </si>
  <si>
    <t>SQ #11.12.2025 Enviada</t>
  </si>
  <si>
    <t>M743/25</t>
  </si>
  <si>
    <t>Julieta Messena - confirmado</t>
  </si>
  <si>
    <t>128/25</t>
  </si>
  <si>
    <t>M653/25</t>
  </si>
  <si>
    <t>M658/25</t>
  </si>
  <si>
    <t>M663/25</t>
  </si>
  <si>
    <t>M670/25</t>
  </si>
  <si>
    <t>Vítor Brito - confirmado</t>
  </si>
  <si>
    <t>M632/25</t>
  </si>
  <si>
    <t>M752/25</t>
  </si>
  <si>
    <t>SQ #12.12.2025 Enviada</t>
  </si>
  <si>
    <t>266/25</t>
  </si>
  <si>
    <t>182/25</t>
  </si>
  <si>
    <t>M618/25</t>
  </si>
  <si>
    <t>Alugada (Junta Aguas Belas)</t>
  </si>
  <si>
    <t>M773/25</t>
  </si>
  <si>
    <t>Alugada (INES)</t>
  </si>
  <si>
    <t>M777/25</t>
  </si>
  <si>
    <t>Oleiros</t>
  </si>
  <si>
    <t>272/25</t>
  </si>
  <si>
    <t>M555/25</t>
  </si>
  <si>
    <t>Alugada (Talentus Pombal)</t>
  </si>
  <si>
    <t>M793/25</t>
  </si>
  <si>
    <t>M783/25</t>
  </si>
  <si>
    <t>M614/25</t>
  </si>
  <si>
    <t>M757/25</t>
  </si>
  <si>
    <t>275/25</t>
  </si>
  <si>
    <t>188/25</t>
  </si>
  <si>
    <t>M517/25</t>
  </si>
  <si>
    <t>M593/25</t>
  </si>
  <si>
    <t>RICE</t>
  </si>
  <si>
    <t>M778/25</t>
  </si>
  <si>
    <t>M786/25</t>
  </si>
  <si>
    <t>Vila Verde</t>
  </si>
  <si>
    <t>M685/25</t>
  </si>
  <si>
    <t>M742/25</t>
  </si>
  <si>
    <t>07-012026</t>
  </si>
  <si>
    <t>M686/25</t>
  </si>
  <si>
    <t>M753/25</t>
  </si>
  <si>
    <t>SQ #15.12.2025 Enviada</t>
  </si>
  <si>
    <t>SQ #13.12.2025 Enviada</t>
  </si>
  <si>
    <t>M687/25</t>
  </si>
  <si>
    <t>M332/25</t>
  </si>
  <si>
    <t>SQ #17.12.2025 Enviada</t>
  </si>
  <si>
    <t>M724/25</t>
  </si>
  <si>
    <t>ATEquipas</t>
  </si>
  <si>
    <t>Alenquer</t>
  </si>
  <si>
    <t>Conceição Figueiredo - confirmado</t>
  </si>
  <si>
    <t>M543/25</t>
  </si>
  <si>
    <t>Alugada (Osca Hotel)</t>
  </si>
  <si>
    <t>M756/25</t>
  </si>
  <si>
    <t>M681/25</t>
  </si>
  <si>
    <t>#AM 29/01/2026 Enviei email</t>
  </si>
  <si>
    <t>M684/25</t>
  </si>
  <si>
    <t>203/25</t>
  </si>
  <si>
    <t>M716/25</t>
  </si>
  <si>
    <t>M815/25</t>
  </si>
  <si>
    <t>IM #18.12.2025 Enviada</t>
  </si>
  <si>
    <t>M785/25</t>
  </si>
  <si>
    <t>M760/25</t>
  </si>
  <si>
    <t>M784/25</t>
  </si>
  <si>
    <t>M688/25</t>
  </si>
  <si>
    <t>M267/25</t>
  </si>
  <si>
    <t>M797/25</t>
  </si>
  <si>
    <t>M779/25</t>
  </si>
  <si>
    <t>M795/25</t>
  </si>
  <si>
    <t>279/25</t>
  </si>
  <si>
    <t>Ansiao</t>
  </si>
  <si>
    <t>SQ #19.12.2025 Enviada</t>
  </si>
  <si>
    <t>M804/25</t>
  </si>
  <si>
    <t>Alugada (B &amp; B Avenida)</t>
  </si>
  <si>
    <t>246/25</t>
  </si>
  <si>
    <t>M700/25</t>
  </si>
  <si>
    <t>SQ #16.12.2025 Enviada</t>
  </si>
  <si>
    <t>M722/25</t>
  </si>
  <si>
    <t>GC</t>
  </si>
  <si>
    <t xml:space="preserve">Évora </t>
  </si>
  <si>
    <t xml:space="preserve">TA </t>
  </si>
  <si>
    <t>M745/25</t>
  </si>
  <si>
    <t>Serôa</t>
  </si>
  <si>
    <t>M798/25</t>
  </si>
  <si>
    <t>M787/25</t>
  </si>
  <si>
    <t>M583/25</t>
  </si>
  <si>
    <t>M817/25</t>
  </si>
  <si>
    <t>André Rodrigues  - confirmado</t>
  </si>
  <si>
    <t> SQ #17.12.2025 Enviada</t>
  </si>
  <si>
    <t>M746/25</t>
  </si>
  <si>
    <t>M805/25</t>
  </si>
  <si>
    <t>M806/25</t>
  </si>
  <si>
    <t>M762/25</t>
  </si>
  <si>
    <t>M769/25</t>
  </si>
  <si>
    <t>Mealhada</t>
  </si>
  <si>
    <t>M780/25</t>
  </si>
  <si>
    <t>285/25</t>
  </si>
  <si>
    <t>Viseu - Cardoso</t>
  </si>
  <si>
    <t>213/25</t>
  </si>
  <si>
    <t>286/25</t>
  </si>
  <si>
    <t>218/25</t>
  </si>
  <si>
    <t>Não fazer.</t>
  </si>
  <si>
    <t>276/25</t>
  </si>
  <si>
    <t>M759/25</t>
  </si>
  <si>
    <t>Fafe</t>
  </si>
  <si>
    <t>Sandro Sá - confirmado</t>
  </si>
  <si>
    <t>Alugada (Bombeiros Fafe)</t>
  </si>
  <si>
    <t>M713/25</t>
  </si>
  <si>
    <t>M601/25</t>
  </si>
  <si>
    <t>M761/25</t>
  </si>
  <si>
    <t>273/25</t>
  </si>
  <si>
    <t>Ouressa</t>
  </si>
  <si>
    <t>M770/25</t>
  </si>
  <si>
    <t>Danielle Rufino - confirmado</t>
  </si>
  <si>
    <t>M807/25</t>
  </si>
  <si>
    <t>Rui Machado - confirmado</t>
  </si>
  <si>
    <t>SQ #22.12.2025 Enviada</t>
  </si>
  <si>
    <t>NOVA2</t>
  </si>
  <si>
    <t>M808/25</t>
  </si>
  <si>
    <t>M592/25</t>
  </si>
  <si>
    <t>M800/25</t>
  </si>
  <si>
    <t>Alugada (Bombeiros Lousada)</t>
  </si>
  <si>
    <t>M002/25</t>
  </si>
  <si>
    <t>Bolho</t>
  </si>
  <si>
    <t>M771/25</t>
  </si>
  <si>
    <t>Castro Daire</t>
  </si>
  <si>
    <t>M781/25</t>
  </si>
  <si>
    <t>M820/25</t>
  </si>
  <si>
    <t>M768/25</t>
  </si>
  <si>
    <t>M789/25</t>
  </si>
  <si>
    <t>Santana</t>
  </si>
  <si>
    <t>221/25</t>
  </si>
  <si>
    <t>227/25</t>
  </si>
  <si>
    <t>287/25</t>
  </si>
  <si>
    <t>288/25</t>
  </si>
  <si>
    <t>M665/25</t>
  </si>
  <si>
    <t>M767/25</t>
  </si>
  <si>
    <t>215/25</t>
  </si>
  <si>
    <t>SQ #23.12.2025 Enviada</t>
  </si>
  <si>
    <t>M299/25</t>
  </si>
  <si>
    <t>M731/25</t>
  </si>
  <si>
    <t>M774/25</t>
  </si>
  <si>
    <t>Portalegre</t>
  </si>
  <si>
    <t>271/25</t>
  </si>
  <si>
    <t>SQ #24.12.2025 Enviada</t>
  </si>
  <si>
    <t>M709/25</t>
  </si>
  <si>
    <t>M801/25</t>
  </si>
  <si>
    <t>M794/25</t>
  </si>
  <si>
    <t>Alugada (Bombeiros Caxarias)</t>
  </si>
  <si>
    <t>229/25</t>
  </si>
  <si>
    <t>290/25</t>
  </si>
  <si>
    <t>289/25</t>
  </si>
  <si>
    <t>260/25</t>
  </si>
  <si>
    <t>M470/25</t>
  </si>
  <si>
    <t>Cabeceiras de Basto</t>
  </si>
  <si>
    <t>SQ #26.12.2025 Enviada</t>
  </si>
  <si>
    <t>M822/25</t>
  </si>
  <si>
    <t>M758/25</t>
  </si>
  <si>
    <t>M764/25</t>
  </si>
  <si>
    <t>Alugada (CESAE Digital)</t>
  </si>
  <si>
    <t>M300/25</t>
  </si>
  <si>
    <t>M799/25</t>
  </si>
  <si>
    <t>M821/25</t>
  </si>
  <si>
    <t>253/25</t>
  </si>
  <si>
    <t>Santarem</t>
  </si>
  <si>
    <t>284/25</t>
  </si>
  <si>
    <t>M824/25</t>
  </si>
  <si>
    <t>M739/25</t>
  </si>
  <si>
    <t>M068/25</t>
  </si>
  <si>
    <t>M788/25</t>
  </si>
  <si>
    <t>Alugada (Bombeiros Castro Daire)</t>
  </si>
  <si>
    <t>M605/25</t>
  </si>
  <si>
    <t>M796/25</t>
  </si>
  <si>
    <t>M600/25</t>
  </si>
  <si>
    <t>Alugada (Hotel BB Felgueiras)</t>
  </si>
  <si>
    <t>M818/25</t>
  </si>
  <si>
    <t>Alugada (Alpha21)</t>
  </si>
  <si>
    <t>220/25</t>
  </si>
  <si>
    <t>248/25</t>
  </si>
  <si>
    <t>Nâo</t>
  </si>
  <si>
    <t>129/25</t>
  </si>
  <si>
    <t>Alugada (Bombeiros Estarreja)</t>
  </si>
  <si>
    <t>M816/25</t>
  </si>
  <si>
    <t>M809/25</t>
  </si>
  <si>
    <t>M810/25</t>
  </si>
  <si>
    <t>M268/25</t>
  </si>
  <si>
    <t>Alugada (Bombeiros Sátao)</t>
  </si>
  <si>
    <t>M495/25</t>
  </si>
  <si>
    <t>M559/25</t>
  </si>
  <si>
    <t>M803/25</t>
  </si>
  <si>
    <t>M707/25</t>
  </si>
  <si>
    <t>M792/25</t>
  </si>
  <si>
    <t>Alugada (Clube recreativo)</t>
  </si>
  <si>
    <t>M790/25</t>
  </si>
  <si>
    <t>M690/25</t>
  </si>
  <si>
    <t>NOVA1</t>
  </si>
  <si>
    <t>M755/25</t>
  </si>
  <si>
    <t>M596/25</t>
  </si>
  <si>
    <t>249/25</t>
  </si>
  <si>
    <t>Alugada (Bombeiros Mangualde)</t>
  </si>
  <si>
    <t>244/25</t>
  </si>
  <si>
    <t>Alugada (ACR Chão Pardo)</t>
  </si>
  <si>
    <t>237/25</t>
  </si>
  <si>
    <t>261/25</t>
  </si>
  <si>
    <t>291/25</t>
  </si>
  <si>
    <t>292/25</t>
  </si>
  <si>
    <t>262/25</t>
  </si>
  <si>
    <t>M813/25</t>
  </si>
  <si>
    <t>Jorge Moleiro</t>
  </si>
  <si>
    <t>SQ #29.12.2025 Enviada</t>
  </si>
  <si>
    <t>M563/25</t>
  </si>
  <si>
    <t>M814/25</t>
  </si>
  <si>
    <t>M766/25</t>
  </si>
  <si>
    <t>M823/25</t>
  </si>
  <si>
    <t>Alugada (Da Vinci Guimarães)</t>
  </si>
  <si>
    <t>M819/25</t>
  </si>
  <si>
    <t>M811/25</t>
  </si>
  <si>
    <t>M812/25</t>
  </si>
  <si>
    <t>M775/25</t>
  </si>
  <si>
    <t>M791/25</t>
  </si>
  <si>
    <t>M708/25</t>
  </si>
  <si>
    <t>M317/25</t>
  </si>
  <si>
    <t>M318/25</t>
  </si>
  <si>
    <t>263/25</t>
  </si>
  <si>
    <t>294/25</t>
  </si>
  <si>
    <t>264/25</t>
  </si>
  <si>
    <t>293/25</t>
  </si>
  <si>
    <t>M642/25</t>
  </si>
  <si>
    <t>282/25</t>
  </si>
  <si>
    <t>SQ #30.12.2025 Enviada</t>
  </si>
  <si>
    <t>283/25</t>
  </si>
  <si>
    <t>274/25</t>
  </si>
  <si>
    <t>M782/25</t>
  </si>
  <si>
    <t>PTCI</t>
  </si>
  <si>
    <t>Alugada (EUROSOL)</t>
  </si>
  <si>
    <t>M776/25</t>
  </si>
  <si>
    <t>ELPTTCV_205/25</t>
  </si>
  <si>
    <t>e-Combate a incêndios 8h</t>
  </si>
  <si>
    <t>ELPTTCV_206/25</t>
  </si>
  <si>
    <t>e-Qualidade e Excelência no Atendimento 8h</t>
  </si>
  <si>
    <t>ELPTTCV_207/25</t>
  </si>
  <si>
    <t>e-Fidelização de Clientes 8h</t>
  </si>
  <si>
    <t>ELPTTCV_208/25</t>
  </si>
  <si>
    <t>ELPTTCV_209/25</t>
  </si>
  <si>
    <t>e- Segurança e Higiene no Trabalho 8h</t>
  </si>
  <si>
    <t>IM/CB</t>
  </si>
  <si>
    <t>ELPTTCV_210/25</t>
  </si>
  <si>
    <t>TRS (E-Learning)</t>
  </si>
  <si>
    <t>ELPTTCV_211/25</t>
  </si>
  <si>
    <t>e -Amarração e Fixação de Cargas 8h</t>
  </si>
  <si>
    <t>IM/TS</t>
  </si>
  <si>
    <t>ELPTTCV_213/25</t>
  </si>
  <si>
    <t>E - Qualidade e Excelência no Atendimento 8h</t>
  </si>
  <si>
    <t>ELPTTCV_214/25</t>
  </si>
  <si>
    <t>EL - Prevenção Rodoviária 8h</t>
  </si>
  <si>
    <t>ELPTTCV_216/25</t>
  </si>
  <si>
    <t>EL-Plataformas elevatorias</t>
  </si>
  <si>
    <t>ELPTTCV_217/25</t>
  </si>
  <si>
    <t>EL - TC</t>
  </si>
  <si>
    <t>ELPTTCV_218/25</t>
  </si>
  <si>
    <t>ELPTTCV_219/25</t>
  </si>
  <si>
    <t>ELPTTCV_220/25</t>
  </si>
  <si>
    <t>ELPTTCV_221/25</t>
  </si>
  <si>
    <t>e-RAM_Regulamentação da atividade – Transporte Rodoviário de Mercadorias 50h</t>
  </si>
  <si>
    <t>ELPTTCV_222/25</t>
  </si>
  <si>
    <t>e- Combate a incêndios 8h</t>
  </si>
  <si>
    <t>CB/IM/TS</t>
  </si>
  <si>
    <t>ELPTTCV_223/25</t>
  </si>
  <si>
    <t>ELPTTCV_224/25</t>
  </si>
  <si>
    <t>E - Manipulação de Plataformas Elevatórias 8h</t>
  </si>
  <si>
    <t>ELPTTCV_225/25</t>
  </si>
  <si>
    <t>El - MM</t>
  </si>
  <si>
    <t>ELPTTCV_226/25</t>
  </si>
  <si>
    <t>CONTA</t>
  </si>
  <si>
    <t>ELPTTCV_227/25</t>
  </si>
  <si>
    <t>ELPTTCV_228/25</t>
  </si>
  <si>
    <t>ELPTTCV_229/25</t>
  </si>
  <si>
    <t>ELPTTCV_230/25</t>
  </si>
  <si>
    <t>ELPTTCV_231/25</t>
  </si>
  <si>
    <t>ELPTTCV_232/25</t>
  </si>
  <si>
    <t>ELPTTCV_233/25</t>
  </si>
  <si>
    <t>ELPTTCV_234/25</t>
  </si>
  <si>
    <t>ELPTTCV_236/25</t>
  </si>
  <si>
    <t>ELPTTCV_237/25</t>
  </si>
  <si>
    <t>Combate a incêndios 8h</t>
  </si>
  <si>
    <t>ELPTTCV_238/25</t>
  </si>
  <si>
    <t>ELPTTCV_239/25</t>
  </si>
  <si>
    <t>ELPTTCV_240/25</t>
  </si>
  <si>
    <t>ELPTTCV_241/25</t>
  </si>
  <si>
    <t>ELPTTCV_242/25</t>
  </si>
  <si>
    <t>ELPTTCV_243/25</t>
  </si>
  <si>
    <t>ELPTTCV_244/25</t>
  </si>
  <si>
    <t>ELPTTCV_245/25</t>
  </si>
  <si>
    <t>ELPTTCV_246/25</t>
  </si>
  <si>
    <t>ELPTMED_629/25</t>
  </si>
  <si>
    <t>el - Segurança e Higiene no Trabalho 8h</t>
  </si>
  <si>
    <t>ELPTMED_630/25</t>
  </si>
  <si>
    <t>e-Gestão de conflitos-8h</t>
  </si>
  <si>
    <t>e-Gestão de reclamação e conflitos_8h</t>
  </si>
  <si>
    <t>ELPTMED_633/25</t>
  </si>
  <si>
    <t>ELPTMED_634/25</t>
  </si>
  <si>
    <t>TCD elearning</t>
  </si>
  <si>
    <t>ELPTMED_635/25</t>
  </si>
  <si>
    <t>ELPTMED_636/25</t>
  </si>
  <si>
    <t>TS/CB/SF</t>
  </si>
  <si>
    <t>ELPTMED_638/25</t>
  </si>
  <si>
    <t>e- Condução económica e defensiva 8h</t>
  </si>
  <si>
    <t>CB/IM</t>
  </si>
  <si>
    <t>ELPTMED_639/25</t>
  </si>
  <si>
    <t>ELPTMED_640/25</t>
  </si>
  <si>
    <t>e-Técnica de vendas e negociação 16h</t>
  </si>
  <si>
    <t>ELPTMED_641/25</t>
  </si>
  <si>
    <t>ELPTMED_642/25</t>
  </si>
  <si>
    <t>SF/IM/CB</t>
  </si>
  <si>
    <t>ELPTMED_643/25</t>
  </si>
  <si>
    <t>ELPTMED_644/25</t>
  </si>
  <si>
    <t>LATE(E-Learning)</t>
  </si>
  <si>
    <t>ELPTMED_645/25</t>
  </si>
  <si>
    <t>ELPTMED_646/25</t>
  </si>
  <si>
    <t>ELPTMED_647/25</t>
  </si>
  <si>
    <t>ELPTMED_648/25</t>
  </si>
  <si>
    <t>ELPTMED_649/25</t>
  </si>
  <si>
    <t>e - Combate a incêndios 8h</t>
  </si>
  <si>
    <t>ELPTMED_650/25</t>
  </si>
  <si>
    <t>ELPTMED_651/25</t>
  </si>
  <si>
    <t>ELPTMED_652/25</t>
  </si>
  <si>
    <t>ELPTMED_653/25</t>
  </si>
  <si>
    <t>Prevenção Rodoviária 8h</t>
  </si>
  <si>
    <t>ELPTMED_654/25</t>
  </si>
  <si>
    <t>ELPTMED_655/25</t>
  </si>
  <si>
    <t>ELPTMED_656/25</t>
  </si>
  <si>
    <t>ELPTMED_657/25</t>
  </si>
  <si>
    <t>ELPTMED_658/25</t>
  </si>
  <si>
    <t>ELPTMED_659/25</t>
  </si>
  <si>
    <t>ELPTMED_660/25</t>
  </si>
  <si>
    <t>e-Movimentação de carga 8h</t>
  </si>
  <si>
    <t>SF/CB/IM</t>
  </si>
  <si>
    <t>ELPTMED_661/25</t>
  </si>
  <si>
    <t>ELPTMED_662/25</t>
  </si>
  <si>
    <t>ELPTMED_663/25</t>
  </si>
  <si>
    <t>ELPTMED_664/25</t>
  </si>
  <si>
    <t>ELPTMED_665/25</t>
  </si>
  <si>
    <t>ELPTMED_666/25</t>
  </si>
  <si>
    <t>e- Primeiros Socorros 8h</t>
  </si>
  <si>
    <t>CB/TS/SF</t>
  </si>
  <si>
    <t>ELPTMED_667/25</t>
  </si>
  <si>
    <t>ELPTMED_668/25</t>
  </si>
  <si>
    <t>ELPTMED_669/25</t>
  </si>
  <si>
    <t>ELPTMED_670/25</t>
  </si>
  <si>
    <t>ELPTMED_671/25</t>
  </si>
  <si>
    <t>ELPTMED_672/25</t>
  </si>
  <si>
    <t>el - Instruções de Segurança 8h</t>
  </si>
  <si>
    <t>ELPTMED_673/25</t>
  </si>
  <si>
    <t>ELPTMED_674/25</t>
  </si>
  <si>
    <t>ELPTMED_675/25</t>
  </si>
  <si>
    <t>Curso a fazer até final do ano.</t>
  </si>
  <si>
    <t>ELPTMED_676/25</t>
  </si>
  <si>
    <t>ELPTMED_677/25</t>
  </si>
  <si>
    <t>ELPTMED_678/25</t>
  </si>
  <si>
    <t>ELPTMED_679/25</t>
  </si>
  <si>
    <t>ELPTMED_680/25</t>
  </si>
  <si>
    <t>ELPTMED_681/25</t>
  </si>
  <si>
    <t>ELPTMED_682/25</t>
  </si>
  <si>
    <t>CB/TS/IM</t>
  </si>
  <si>
    <t>ELPTMED_683/25</t>
  </si>
  <si>
    <t>ELPTMED_684/25</t>
  </si>
  <si>
    <t>ELPTMED_685/25</t>
  </si>
  <si>
    <t>ELPTMED_686/25</t>
  </si>
  <si>
    <t>ELPTMED_687/25</t>
  </si>
  <si>
    <t>e-MPE</t>
  </si>
  <si>
    <t>ELPTMED_688/25</t>
  </si>
  <si>
    <t>ELPTMED_689/25</t>
  </si>
  <si>
    <t>ELPTMED_690/25</t>
  </si>
  <si>
    <t>e-ARAT - Avaliação de Riscos por Atividade 8h</t>
  </si>
  <si>
    <t>ELPTMED_691/25</t>
  </si>
  <si>
    <t>EL - EMER</t>
  </si>
  <si>
    <t>TS/IM</t>
  </si>
  <si>
    <t>ELPTMED_692/25</t>
  </si>
  <si>
    <t>e- Pontes Rolantes 8h</t>
  </si>
  <si>
    <t>ELPTMED_693/25</t>
  </si>
  <si>
    <t>ELPTMED_694/25</t>
  </si>
  <si>
    <t>ELPTMED_695/25</t>
  </si>
  <si>
    <t>ELPTMED_696/25</t>
  </si>
  <si>
    <t>ELPTMED_697/25</t>
  </si>
  <si>
    <t>ELPTMED_698/25</t>
  </si>
  <si>
    <t>e-ST_Sinistralidade Rodoviária_8h</t>
  </si>
  <si>
    <t>ELPTMED_699/25</t>
  </si>
  <si>
    <t>CB/IM/SF</t>
  </si>
  <si>
    <t>ELPTMED_700/25</t>
  </si>
  <si>
    <t>IM/SF/TS/CB</t>
  </si>
  <si>
    <t>ELPTMED_701/25</t>
  </si>
  <si>
    <t>ELPTMED_702/25</t>
  </si>
  <si>
    <t>Sofia Fonseca</t>
  </si>
  <si>
    <t>ELPTMED_703/25</t>
  </si>
  <si>
    <t>IM/CB/TS</t>
  </si>
  <si>
    <t>ELPTMED_704/25</t>
  </si>
  <si>
    <t>IM/SF</t>
  </si>
  <si>
    <t>ELPTMED_705/25</t>
  </si>
  <si>
    <t>ELPTMED_706/25</t>
  </si>
  <si>
    <t>EME E-learning</t>
  </si>
  <si>
    <t>ELPTMED_707/25</t>
  </si>
  <si>
    <t>ELPTMED_708/25</t>
  </si>
  <si>
    <t>ELPTMED_709/25</t>
  </si>
  <si>
    <t>ELPTMED_710/25</t>
  </si>
  <si>
    <t>im/cb/sf</t>
  </si>
  <si>
    <t>ELPTMED_711/25</t>
  </si>
  <si>
    <t>ELPTMED_712/25</t>
  </si>
  <si>
    <t>ts</t>
  </si>
  <si>
    <t>ELPTMED_713/25</t>
  </si>
  <si>
    <t>e-CMM</t>
  </si>
  <si>
    <t>ELPTMED_714/25</t>
  </si>
  <si>
    <t>EL - ARAT</t>
  </si>
  <si>
    <t>ELPTMED_715/25</t>
  </si>
  <si>
    <t>ELPTMED_716/25</t>
  </si>
  <si>
    <t>RGPD - Regulamento Geral de Proteção de Dados 25h</t>
  </si>
  <si>
    <t>ELPTMED_717/25</t>
  </si>
  <si>
    <t>Tânia Sousa</t>
  </si>
  <si>
    <t>ELPTMED_718/25</t>
  </si>
  <si>
    <t>ELPTMED_719/25</t>
  </si>
  <si>
    <t>Barraqueiro - terminam a 15/02</t>
  </si>
  <si>
    <t>ELPTMED_720/25</t>
  </si>
  <si>
    <t>ELPTMED_721/25</t>
  </si>
  <si>
    <t>ELPTMED_722/25</t>
  </si>
  <si>
    <t>ELPTMED_723/25</t>
  </si>
  <si>
    <t>ELPTMED_724/25</t>
  </si>
  <si>
    <t>EL - Tacógrafos Digitais - V.25 - 8h</t>
  </si>
  <si>
    <t>ELPTMED_725/25</t>
  </si>
  <si>
    <t>ELPTMED_726/25</t>
  </si>
  <si>
    <t>ELPTMED_727/25</t>
  </si>
  <si>
    <t>ELPTMED_728/25</t>
  </si>
  <si>
    <t>ELPTMED_729/25</t>
  </si>
  <si>
    <t>ELPTMED_730/25</t>
  </si>
  <si>
    <t>ELPTMED_731/25</t>
  </si>
  <si>
    <t>ELPTMED_732/25</t>
  </si>
  <si>
    <t>ELPTMED_734/25</t>
  </si>
  <si>
    <t>ELPTMED_735/25</t>
  </si>
  <si>
    <t>ELPTSEEP_013/25</t>
  </si>
  <si>
    <t>ELPTSEEP_014/25</t>
  </si>
  <si>
    <t>ELPTSEEP_015/25</t>
  </si>
  <si>
    <t>Excel Fundamental 25h</t>
  </si>
  <si>
    <t>DTP Digitalizado</t>
  </si>
  <si>
    <t>Lista formandos</t>
  </si>
  <si>
    <t>Mat. Pedagógico</t>
  </si>
  <si>
    <t>Plano de sessão</t>
  </si>
  <si>
    <t>Programa</t>
  </si>
  <si>
    <t>Avaliação</t>
  </si>
  <si>
    <t>Certificados</t>
  </si>
  <si>
    <t>Enviei email formador</t>
  </si>
  <si>
    <t>Contar Data</t>
  </si>
  <si>
    <t>VER/OBS</t>
  </si>
  <si>
    <t>Confirmação cliente</t>
  </si>
  <si>
    <t>Adjudicação formador</t>
  </si>
  <si>
    <t>Sala</t>
  </si>
  <si>
    <t>&gt; acima de 15</t>
  </si>
  <si>
    <t>DTP - Entrada</t>
  </si>
  <si>
    <t>Folha presenças</t>
  </si>
  <si>
    <t>Digitalizado</t>
  </si>
  <si>
    <t>CV</t>
  </si>
  <si>
    <t>Ficha curricular</t>
  </si>
  <si>
    <t>CCP</t>
  </si>
  <si>
    <t>Teste</t>
  </si>
  <si>
    <t>Quest. formandos</t>
  </si>
  <si>
    <t>Rel. Estatística</t>
  </si>
  <si>
    <t>Registos e resultados</t>
  </si>
  <si>
    <t xml:space="preserve">Aval. Formador </t>
  </si>
  <si>
    <t>Pauta</t>
  </si>
  <si>
    <t>MD</t>
  </si>
  <si>
    <t>M012/26</t>
  </si>
  <si>
    <t>INT</t>
  </si>
  <si>
    <t>M028/26</t>
  </si>
  <si>
    <t>005/26</t>
  </si>
  <si>
    <t>#AM 16/02/2026 Enviei email.</t>
  </si>
  <si>
    <t>015/26</t>
  </si>
  <si>
    <t>EXT</t>
  </si>
  <si>
    <t>M020/26</t>
  </si>
  <si>
    <t>Alugada (Lisotel)</t>
  </si>
  <si>
    <t>M034/26</t>
  </si>
  <si>
    <t>SQ #31.12.2025 Enviada</t>
  </si>
  <si>
    <t>013/26</t>
  </si>
  <si>
    <t>#AM 19/02/2026 Enviei email.</t>
  </si>
  <si>
    <t>M021/26</t>
  </si>
  <si>
    <t>012/26</t>
  </si>
  <si>
    <t>SQ #02.01.2026 Enviada</t>
  </si>
  <si>
    <t>M031/26</t>
  </si>
  <si>
    <t>#AM 18/02/2026 Enviei email.</t>
  </si>
  <si>
    <t>M030/26</t>
  </si>
  <si>
    <t>M044/26</t>
  </si>
  <si>
    <t>Alugada (Bombeiros Paredes)</t>
  </si>
  <si>
    <t>M041/26</t>
  </si>
  <si>
    <t>TA - 16H</t>
  </si>
  <si>
    <t>M040/26</t>
  </si>
  <si>
    <t>SQ #06.01.2026 Enviada</t>
  </si>
  <si>
    <t>016/26</t>
  </si>
  <si>
    <t>Hernani Francisco - confirmado</t>
  </si>
  <si>
    <t>014/26</t>
  </si>
  <si>
    <t>M005/26</t>
  </si>
  <si>
    <t>SQ #07.01.2026 Enviada</t>
  </si>
  <si>
    <t>M047/26</t>
  </si>
  <si>
    <t>M038/26</t>
  </si>
  <si>
    <t>M008/26</t>
  </si>
  <si>
    <t>M016/26</t>
  </si>
  <si>
    <t>M029/26</t>
  </si>
  <si>
    <t>IM ENVIOU</t>
  </si>
  <si>
    <t>023/26</t>
  </si>
  <si>
    <t>024/26</t>
  </si>
  <si>
    <t>Falta dados.</t>
  </si>
  <si>
    <t>M042/26</t>
  </si>
  <si>
    <t>022/26</t>
  </si>
  <si>
    <t>M018/26</t>
  </si>
  <si>
    <t>Santarém</t>
  </si>
  <si>
    <t>SQ #12.01.2026 Enviada</t>
  </si>
  <si>
    <t>017/26</t>
  </si>
  <si>
    <t>M059/26</t>
  </si>
  <si>
    <t>SQ #14.01.2026 Enviada</t>
  </si>
  <si>
    <t>M054/26</t>
  </si>
  <si>
    <t>M052/26</t>
  </si>
  <si>
    <t>Alugada (In Gold Hotel)</t>
  </si>
  <si>
    <t>M003/26</t>
  </si>
  <si>
    <t>#AM 13/02/2026 Enviei email.</t>
  </si>
  <si>
    <t>M004/26</t>
  </si>
  <si>
    <t>003/26</t>
  </si>
  <si>
    <t>SQ #13.01.2026 Enviada</t>
  </si>
  <si>
    <t>M065/26</t>
  </si>
  <si>
    <t xml:space="preserve">Tarouca </t>
  </si>
  <si>
    <t>Sem dossier e sem notas.</t>
  </si>
  <si>
    <t>SQ #15.01.2026 Enviada</t>
  </si>
  <si>
    <t>SQ #16.01.2026 Enviada</t>
  </si>
  <si>
    <t>Alugada (Bombeiros Tarouca)</t>
  </si>
  <si>
    <t>M074/26</t>
  </si>
  <si>
    <t>036/26</t>
  </si>
  <si>
    <t>M049/26</t>
  </si>
  <si>
    <t>M050/26</t>
  </si>
  <si>
    <t>M068/26</t>
  </si>
  <si>
    <t>027/26</t>
  </si>
  <si>
    <t>Sernancelhe</t>
  </si>
  <si>
    <t>Alugada (Opus Securiti)</t>
  </si>
  <si>
    <t>M060/26</t>
  </si>
  <si>
    <t>M009/26</t>
  </si>
  <si>
    <t>Alugada (Hotel Premium Maia)</t>
  </si>
  <si>
    <t>018/26</t>
  </si>
  <si>
    <t>025/26</t>
  </si>
  <si>
    <t>Beloura/Cabriz</t>
  </si>
  <si>
    <t>M053/26</t>
  </si>
  <si>
    <t>Não tem dossier no servidor.</t>
  </si>
  <si>
    <t>M046/26</t>
  </si>
  <si>
    <t>Falta pagamento.</t>
  </si>
  <si>
    <t>Alugada (Bombeiros Santo André)</t>
  </si>
  <si>
    <t>M043/26</t>
  </si>
  <si>
    <t>Falta a segunda parte.</t>
  </si>
  <si>
    <t>001/26</t>
  </si>
  <si>
    <t>TCC</t>
  </si>
  <si>
    <t>-</t>
  </si>
  <si>
    <t>SQ #19.01.2026 Enviada</t>
  </si>
  <si>
    <t>SQ #20.01.2026 Enviada</t>
  </si>
  <si>
    <t>M035/26</t>
  </si>
  <si>
    <t>M001/26</t>
  </si>
  <si>
    <t>040/26</t>
  </si>
  <si>
    <t>M027/26</t>
  </si>
  <si>
    <t>Pavia</t>
  </si>
  <si>
    <t>SQ #23.01.2026 Enviada</t>
  </si>
  <si>
    <t>M045/26</t>
  </si>
  <si>
    <t>SQ #22.01.2026 Enviada</t>
  </si>
  <si>
    <t>M061/26</t>
  </si>
  <si>
    <t>M062/26</t>
  </si>
  <si>
    <t>M069/26</t>
  </si>
  <si>
    <t>Alugada (Talentus)</t>
  </si>
  <si>
    <t>035/26</t>
  </si>
  <si>
    <t>SQ #21.01.2026 Enviada</t>
  </si>
  <si>
    <t>037/26</t>
  </si>
  <si>
    <t>M075/26</t>
  </si>
  <si>
    <t>M048/26</t>
  </si>
  <si>
    <t>SQ #17.01.2026 Enviada</t>
  </si>
  <si>
    <t>#AM 18/02/2026</t>
  </si>
  <si>
    <t>M010/26</t>
  </si>
  <si>
    <t>Alugada (Aveiro Business Center)</t>
  </si>
  <si>
    <t>M086/26</t>
  </si>
  <si>
    <t>043/26</t>
  </si>
  <si>
    <t>M066/26</t>
  </si>
  <si>
    <t>Alugada (Da Vinci Braga)</t>
  </si>
  <si>
    <t>M078/26</t>
  </si>
  <si>
    <t>Falta dossier.</t>
  </si>
  <si>
    <t>042/26</t>
  </si>
  <si>
    <t>M067/26</t>
  </si>
  <si>
    <t>033/26</t>
  </si>
  <si>
    <t>002/26</t>
  </si>
  <si>
    <t>004/26</t>
  </si>
  <si>
    <t>M051/26</t>
  </si>
  <si>
    <t>Almada</t>
  </si>
  <si>
    <t>João Coelho - confirmado</t>
  </si>
  <si>
    <t>038/26</t>
  </si>
  <si>
    <t>M036/26</t>
  </si>
  <si>
    <t>Santa Marta de Penaguião</t>
  </si>
  <si>
    <t>M097/26</t>
  </si>
  <si>
    <t>SQ #26.01.2026 Enviada</t>
  </si>
  <si>
    <t>Alugada (Hotel Pombalense)</t>
  </si>
  <si>
    <t>031/26</t>
  </si>
  <si>
    <t>SQ #27.01.2026 Enviada</t>
  </si>
  <si>
    <t>032/26</t>
  </si>
  <si>
    <t>M099/26</t>
  </si>
  <si>
    <t>SSTSA</t>
  </si>
  <si>
    <t>SQ #28.01.2026 Enviada</t>
  </si>
  <si>
    <t>M057/26</t>
  </si>
  <si>
    <t>Alcoitão</t>
  </si>
  <si>
    <t>Rui Dias - confirmado</t>
  </si>
  <si>
    <t>M014/26</t>
  </si>
  <si>
    <t>MRS</t>
  </si>
  <si>
    <t>M094/26</t>
  </si>
  <si>
    <t>SQ #29.01.2026 Enviada</t>
  </si>
  <si>
    <t>Barreiro</t>
  </si>
  <si>
    <t>M070/26</t>
  </si>
  <si>
    <t>#AM 16/02/2026 Enviei email. Diz que enviou as avaliações por ctt no dossier.</t>
  </si>
  <si>
    <t>M079/26</t>
  </si>
  <si>
    <t>SQ #30.01.2026 Enviada</t>
  </si>
  <si>
    <t>M076/26</t>
  </si>
  <si>
    <t>M056/26</t>
  </si>
  <si>
    <t>M096/26</t>
  </si>
  <si>
    <t>044/26</t>
  </si>
  <si>
    <t>045/26</t>
  </si>
  <si>
    <t>M022/26</t>
  </si>
  <si>
    <t>M104/26</t>
  </si>
  <si>
    <t>052/26</t>
  </si>
  <si>
    <t>006/26</t>
  </si>
  <si>
    <t>Alcino Ferreira - confirmado</t>
  </si>
  <si>
    <t>M007/26</t>
  </si>
  <si>
    <t>M108/26</t>
  </si>
  <si>
    <t>054/26</t>
  </si>
  <si>
    <t>ELPTMED_001/26</t>
  </si>
  <si>
    <t>NA</t>
  </si>
  <si>
    <t>ELPTMED_002/26</t>
  </si>
  <si>
    <t>ELPTMED_003/26</t>
  </si>
  <si>
    <t>ELPTMED_004/26</t>
  </si>
  <si>
    <t>ELPTMED_005/26</t>
  </si>
  <si>
    <t>e - Primeiros Socorros 8h</t>
  </si>
  <si>
    <t>CB/SF/TS</t>
  </si>
  <si>
    <t>ELPTMED_006/26</t>
  </si>
  <si>
    <t>ELPTMED_007/26</t>
  </si>
  <si>
    <t>TS/IM/CB</t>
  </si>
  <si>
    <t>ELPTMED_008/26</t>
  </si>
  <si>
    <t>ELPTMED_009/26</t>
  </si>
  <si>
    <t>e-Mecânica Fundamental - 8h</t>
  </si>
  <si>
    <t>ELPTMED_010/26</t>
  </si>
  <si>
    <t>ELPTMED_012/26</t>
  </si>
  <si>
    <t>ELPTMED_013/26</t>
  </si>
  <si>
    <t>ELPTMED_014/26</t>
  </si>
  <si>
    <t>ELPTMED_015/26</t>
  </si>
  <si>
    <t>TVN - e-Learning</t>
  </si>
  <si>
    <t>ELPTMED_016/26</t>
  </si>
  <si>
    <t>ELPTMED_017/26</t>
  </si>
  <si>
    <t>ELPTMED_018/26</t>
  </si>
  <si>
    <t>ELPTMED_019/26</t>
  </si>
  <si>
    <t>ELPTMED_020/26</t>
  </si>
  <si>
    <t>e-TC</t>
  </si>
  <si>
    <t>ELPTMED_021/26</t>
  </si>
  <si>
    <t>ELPTMED_022/26</t>
  </si>
  <si>
    <t>EL - Condutor/Manobrador de Máquinas 8h</t>
  </si>
  <si>
    <t>ELPTMED_023/26</t>
  </si>
  <si>
    <t>ELPTMED_024/26</t>
  </si>
  <si>
    <t>ELPTMED_025/26</t>
  </si>
  <si>
    <t>ELPTMED_026/26</t>
  </si>
  <si>
    <t>SF/IM/CB/TS</t>
  </si>
  <si>
    <t>ELPTMED_027/26</t>
  </si>
  <si>
    <t>ELPTMED_028/26</t>
  </si>
  <si>
    <t>ELPTMED_029/26</t>
  </si>
  <si>
    <t>ELPTMED_030/26</t>
  </si>
  <si>
    <t>ELPTMED_031/26</t>
  </si>
  <si>
    <t>E - Condutor/Manobrador de Máquinas 8h</t>
  </si>
  <si>
    <t>ELPTMED_032/26</t>
  </si>
  <si>
    <t>ELPTMED_033/26</t>
  </si>
  <si>
    <t>ELPTMED_034/26</t>
  </si>
  <si>
    <t>ELPTMED_035/26</t>
  </si>
  <si>
    <t>e-CiberCrime 8h</t>
  </si>
  <si>
    <t>ELPTMED_036/26</t>
  </si>
  <si>
    <t>ELPTMED_037/26</t>
  </si>
  <si>
    <t>El - Combate a incêndios 8h</t>
  </si>
  <si>
    <t>ELPTMED_038/26</t>
  </si>
  <si>
    <t>ELPTMED_039/26</t>
  </si>
  <si>
    <t>ELPTMED_040/26</t>
  </si>
  <si>
    <t>ELPTMED_041/26</t>
  </si>
  <si>
    <t>ELPTMED_042/26</t>
  </si>
  <si>
    <t>Faltam dados. Faltam fazer 1.</t>
  </si>
  <si>
    <t>ELPTMED_043/26</t>
  </si>
  <si>
    <t>ELPTMED_044/26</t>
  </si>
  <si>
    <t>ELPTMED_045/26</t>
  </si>
  <si>
    <t>ELPTMED_046/26</t>
  </si>
  <si>
    <t>ELPTMED_047/26</t>
  </si>
  <si>
    <t>ELPTMED_048/26</t>
  </si>
  <si>
    <t>ELPTMED_049/26</t>
  </si>
  <si>
    <t>ELPTMED_050/26</t>
  </si>
  <si>
    <t>ELPTMED_051/26</t>
  </si>
  <si>
    <t>ELPTMED_052/26</t>
  </si>
  <si>
    <t>ELPTMED_054/26</t>
  </si>
  <si>
    <t>ELPTMED_055/26</t>
  </si>
  <si>
    <t>Faltam dados. Faltam fazer 17.</t>
  </si>
  <si>
    <t>ELPTMED_056/26</t>
  </si>
  <si>
    <t>ELPTMED_057/26</t>
  </si>
  <si>
    <t>ELPTMED_058/26</t>
  </si>
  <si>
    <t>ELPTMED_059/26</t>
  </si>
  <si>
    <t>IM/TS/CB/SF</t>
  </si>
  <si>
    <t>Faltam fazer 2.</t>
  </si>
  <si>
    <t>ELPTMED_060/26</t>
  </si>
  <si>
    <t>ELPTMED_061/26</t>
  </si>
  <si>
    <t>ELPTMED_062/26</t>
  </si>
  <si>
    <t>ELPTMED_063/26</t>
  </si>
  <si>
    <t>Faltam fazer 5.</t>
  </si>
  <si>
    <t>ELPTMED_064/26</t>
  </si>
  <si>
    <t>ELPTMED_065/26</t>
  </si>
  <si>
    <t>ELPTMED_066/26</t>
  </si>
  <si>
    <t>ELPTMED_067/26</t>
  </si>
  <si>
    <t>ELPTMED_068/26</t>
  </si>
  <si>
    <t>ELPTMED_069/26</t>
  </si>
  <si>
    <t>ELPTMED_070/26</t>
  </si>
  <si>
    <t>E- Segurança e Higiene no Trabalho 8h</t>
  </si>
  <si>
    <t>ELPTMED_071/26</t>
  </si>
  <si>
    <t>ELPTMED_084/26</t>
  </si>
  <si>
    <t>ELPTTCV_001/26</t>
  </si>
  <si>
    <t>ELPTTCV_002/26</t>
  </si>
  <si>
    <t>ELPTTCV_003/26</t>
  </si>
  <si>
    <t>ELPTTCV_004/26</t>
  </si>
  <si>
    <t>ELPTTCV_005/26</t>
  </si>
  <si>
    <t>ELPTTCV_006/26</t>
  </si>
  <si>
    <t>ELPTTCV_007/26</t>
  </si>
  <si>
    <t>El - Tacógrafos Digitais - V.25 - 4h</t>
  </si>
  <si>
    <t>ELPTTCV_008/26</t>
  </si>
  <si>
    <t>ELPTTCV_009/26</t>
  </si>
  <si>
    <t>ELPTTCV_010/26</t>
  </si>
  <si>
    <t>ELPTTCV_011/26</t>
  </si>
  <si>
    <t>ELPTTCV_013/26</t>
  </si>
  <si>
    <t>E - Segurança e Higiene no Trabalho 8h</t>
  </si>
  <si>
    <t>ELPTTCV_014/26</t>
  </si>
  <si>
    <t>ELPTTCV_015/26</t>
  </si>
  <si>
    <t>E - TC</t>
  </si>
  <si>
    <t>ELPTTCV_016/26</t>
  </si>
  <si>
    <t>M037/26</t>
  </si>
  <si>
    <t>M082/26</t>
  </si>
  <si>
    <t>SQ #01.02.2026 Enviada</t>
  </si>
  <si>
    <t>M055/26</t>
  </si>
  <si>
    <t>TCC ON REC</t>
  </si>
  <si>
    <t>SQ #02.02.2026 Enviada</t>
  </si>
  <si>
    <t>M084/26</t>
  </si>
  <si>
    <t>M100/26</t>
  </si>
  <si>
    <t>Cascais</t>
  </si>
  <si>
    <t>Filipe Folgado - confirmado</t>
  </si>
  <si>
    <t>M058/26</t>
  </si>
  <si>
    <t>TRS</t>
  </si>
  <si>
    <t>SQ #03.02.2026 Enviada</t>
  </si>
  <si>
    <t>M116/26</t>
  </si>
  <si>
    <t>SQ #04.02.2026 Enviada</t>
  </si>
  <si>
    <t>MS</t>
  </si>
  <si>
    <t>M117/26</t>
  </si>
  <si>
    <t>M063/26</t>
  </si>
  <si>
    <t>M002/26</t>
  </si>
  <si>
    <t>Alugada (Hotel BB Porto)</t>
  </si>
  <si>
    <t>M124/26</t>
  </si>
  <si>
    <t>SQ #05.02.2026 Enviada</t>
  </si>
  <si>
    <t>SQ #06.02.2026 Enviada</t>
  </si>
  <si>
    <t>Alugada (Hotel BB Famalicao)</t>
  </si>
  <si>
    <t>059/26</t>
  </si>
  <si>
    <t>M107/26</t>
  </si>
  <si>
    <t>Falar com Sara</t>
  </si>
  <si>
    <t>M115/26</t>
  </si>
  <si>
    <t>Alugada (Hotel BB Talentus)</t>
  </si>
  <si>
    <t>M017/26</t>
  </si>
  <si>
    <t>053/26</t>
  </si>
  <si>
    <t>M090/26</t>
  </si>
  <si>
    <t>M013/26</t>
  </si>
  <si>
    <t>SQ #09.02.2026 Enviada</t>
  </si>
  <si>
    <t>M101/26</t>
  </si>
  <si>
    <t>PEDI AVALIAÇÕES</t>
  </si>
  <si>
    <t>M137/26</t>
  </si>
  <si>
    <t>IM #09.02.2026 Enviada</t>
  </si>
  <si>
    <t>048/26</t>
  </si>
  <si>
    <t>M113/26</t>
  </si>
  <si>
    <t>SMEQ</t>
  </si>
  <si>
    <t>SQ #10.02.2026 Enviada</t>
  </si>
  <si>
    <t>M083/26</t>
  </si>
  <si>
    <t>Sara Queiroz - Confirmada</t>
  </si>
  <si>
    <t>049/26</t>
  </si>
  <si>
    <t>039/26</t>
  </si>
  <si>
    <t>IM #11.02.2026 Enviada</t>
  </si>
  <si>
    <t>Ana Queiroz - confirmado</t>
  </si>
  <si>
    <t>064/26</t>
  </si>
  <si>
    <t>Penamacor</t>
  </si>
  <si>
    <t>IM #13.02.2026 Enviada</t>
  </si>
  <si>
    <t>050/26</t>
  </si>
  <si>
    <t>SQ #11.02.2026 Enviada</t>
  </si>
  <si>
    <t>M077/26</t>
  </si>
  <si>
    <t>Rui Nogueira - confirmado</t>
  </si>
  <si>
    <t>SQ #24.03.2026 Enviei</t>
  </si>
  <si>
    <t>M081/26</t>
  </si>
  <si>
    <t>M109/26</t>
  </si>
  <si>
    <t>Alugada (INFINIX)</t>
  </si>
  <si>
    <t>007/26</t>
  </si>
  <si>
    <t>M093/26</t>
  </si>
  <si>
    <t>SQ #16.02.2026 Enviada</t>
  </si>
  <si>
    <t>M087/26</t>
  </si>
  <si>
    <t>IM #14.02.2026 Enviada</t>
  </si>
  <si>
    <t>M088/26</t>
  </si>
  <si>
    <t>Não enviei email.</t>
  </si>
  <si>
    <t>M006/26</t>
  </si>
  <si>
    <t>M112/26</t>
  </si>
  <si>
    <t>Vera Basto - confirmado</t>
  </si>
  <si>
    <t>034/26</t>
  </si>
  <si>
    <t>SQ #18.02.2026 Enviada</t>
  </si>
  <si>
    <t>M129/26</t>
  </si>
  <si>
    <t>SQ #20.02.2026 Enviada</t>
  </si>
  <si>
    <t>sq #24.03.2026</t>
  </si>
  <si>
    <t>M025/26</t>
  </si>
  <si>
    <t>058/26</t>
  </si>
  <si>
    <t>M019/26</t>
  </si>
  <si>
    <t>M139/26</t>
  </si>
  <si>
    <t>Albergaria-a-Velha</t>
  </si>
  <si>
    <t>Jorge Augusto  - confirmado</t>
  </si>
  <si>
    <t>Alugada (Bombeiros Albergaria a Velha)</t>
  </si>
  <si>
    <t>M125/26</t>
  </si>
  <si>
    <t>SQ #19.02.2026 Enviada</t>
  </si>
  <si>
    <t>M064/26</t>
  </si>
  <si>
    <t>SQ #12.02.2026 Enviada</t>
  </si>
  <si>
    <t>Alugada (Bombeiros Azemeis)</t>
  </si>
  <si>
    <t>M</t>
  </si>
  <si>
    <t>M147/26</t>
  </si>
  <si>
    <t>046/26</t>
  </si>
  <si>
    <t>M106/26</t>
  </si>
  <si>
    <t xml:space="preserve">Guarda </t>
  </si>
  <si>
    <t>Alugada (NERGA)</t>
  </si>
  <si>
    <t>062/26</t>
  </si>
  <si>
    <t>M095/26</t>
  </si>
  <si>
    <t>M134/26</t>
  </si>
  <si>
    <t>M102/26</t>
  </si>
  <si>
    <t>SQ #23.02.2026 Enviada</t>
  </si>
  <si>
    <t>069/26</t>
  </si>
  <si>
    <t>Cadaval</t>
  </si>
  <si>
    <t>008/26</t>
  </si>
  <si>
    <t>IM #24.02.2026 Enviada</t>
  </si>
  <si>
    <t>M118/26</t>
  </si>
  <si>
    <t>Cacém</t>
  </si>
  <si>
    <t>IM #25.02.2026 Enviada</t>
  </si>
  <si>
    <t>M130/26</t>
  </si>
  <si>
    <t>M085/26</t>
  </si>
  <si>
    <t>IM #26.02.2026 Enviada</t>
  </si>
  <si>
    <t>M152/26</t>
  </si>
  <si>
    <t>Santiago de Cacém</t>
  </si>
  <si>
    <t>Sala alugada, projector da sala</t>
  </si>
  <si>
    <t>M132/26</t>
  </si>
  <si>
    <t>Mourão</t>
  </si>
  <si>
    <t>IM #27.02.2026 Enviada</t>
  </si>
  <si>
    <t>M144/26</t>
  </si>
  <si>
    <t>Alugada ( Quasimprovavel)</t>
  </si>
  <si>
    <t>070/26</t>
  </si>
  <si>
    <t>*</t>
  </si>
  <si>
    <t>M026/26</t>
  </si>
  <si>
    <t>Sala cliente, Projector nosso</t>
  </si>
  <si>
    <t>056/26</t>
  </si>
  <si>
    <t>M149/26</t>
  </si>
  <si>
    <t xml:space="preserve">Alugada Grupo de Convívio e Amizade nas Donas </t>
  </si>
  <si>
    <t>068/26</t>
  </si>
  <si>
    <t>FALTA INSERIR FORMANDOS CRM</t>
  </si>
  <si>
    <t>065/26</t>
  </si>
  <si>
    <t>ELPTTCV_017/26</t>
  </si>
  <si>
    <t>ELPTTCV_018/26</t>
  </si>
  <si>
    <t>ELPTTCV_019/26</t>
  </si>
  <si>
    <t>ELPTTCV_020/26</t>
  </si>
  <si>
    <t>ELPTTCV_021/26</t>
  </si>
  <si>
    <t>ELPTTCV_022/26</t>
  </si>
  <si>
    <t>ELPTTCV_023/26</t>
  </si>
  <si>
    <t>E - Liderança 8h</t>
  </si>
  <si>
    <t>ELPTTCV_024/26</t>
  </si>
  <si>
    <t>ELPTTCV_025/26</t>
  </si>
  <si>
    <t>ELPTTCV_026/26</t>
  </si>
  <si>
    <t>ELPTTCV_027/26</t>
  </si>
  <si>
    <t>ELPTTCV_028/26</t>
  </si>
  <si>
    <t>ELPTTCV_029/26</t>
  </si>
  <si>
    <t>Amarração e Fixação de Cargas 8h EL</t>
  </si>
  <si>
    <t>ELPTTCV_030/26</t>
  </si>
  <si>
    <t>ELPTMED_053/26</t>
  </si>
  <si>
    <t>CB/SF/MD</t>
  </si>
  <si>
    <t>ELPTMED_072/26</t>
  </si>
  <si>
    <t>ELPTMED_073/26</t>
  </si>
  <si>
    <t>ELPTMED_074/26</t>
  </si>
  <si>
    <t>ELPTMED_075/26</t>
  </si>
  <si>
    <t>ELPTMED_076/26</t>
  </si>
  <si>
    <t>ELPTMED_077/26</t>
  </si>
  <si>
    <t>MD/SF</t>
  </si>
  <si>
    <t>ELPTMED_078/26</t>
  </si>
  <si>
    <t>ELPTMED_079/26</t>
  </si>
  <si>
    <t>E - Acondicionamento de carga 8h</t>
  </si>
  <si>
    <t>ELPTMED_080/26</t>
  </si>
  <si>
    <t>Não está dossier no for adm.</t>
  </si>
  <si>
    <t>ELPTMED_081/26</t>
  </si>
  <si>
    <t>#AM 13/02/2026 Email enviado.</t>
  </si>
  <si>
    <t>ELPTMED_082/26</t>
  </si>
  <si>
    <t>Perguntar Sara</t>
  </si>
  <si>
    <t>ELPTMED_083/26</t>
  </si>
  <si>
    <t>ELPTMED_085/26</t>
  </si>
  <si>
    <t>ELPTMED_086/26</t>
  </si>
  <si>
    <t>ELPTMED_087/26</t>
  </si>
  <si>
    <t>ELPTMED_088/26</t>
  </si>
  <si>
    <t>ELPTMED_089/26</t>
  </si>
  <si>
    <t>MD/CB/SF</t>
  </si>
  <si>
    <t>ELPTMED_090/26</t>
  </si>
  <si>
    <t>ELPTMED_091/26</t>
  </si>
  <si>
    <t>ELPTMED_092/26</t>
  </si>
  <si>
    <t>e-Combate a Incêndios 8h_</t>
  </si>
  <si>
    <t>MD/CB</t>
  </si>
  <si>
    <t>ELPTMED_093/26</t>
  </si>
  <si>
    <t>ELPTMED_094/26</t>
  </si>
  <si>
    <t>e-Condução de Empilhadores 8h</t>
  </si>
  <si>
    <t>ELPTMED_095/26</t>
  </si>
  <si>
    <t>ELPTMED_097/26</t>
  </si>
  <si>
    <t>ASV (E-Learning)</t>
  </si>
  <si>
    <t>ELPTMED_098/26</t>
  </si>
  <si>
    <t>ELPTMED_100/26</t>
  </si>
  <si>
    <t>LID (e-learning)</t>
  </si>
  <si>
    <t>ELPTMED_101/26</t>
  </si>
  <si>
    <t>e-Exposição ao Gás Radão - 8h</t>
  </si>
  <si>
    <t>ELPTMED_102/26</t>
  </si>
  <si>
    <t>EL - Ergonomia 8h</t>
  </si>
  <si>
    <t>ELPTMED_103/26</t>
  </si>
  <si>
    <t>e- Gestão do Tempo e Organização do Trabalho 8h</t>
  </si>
  <si>
    <t>ELPTMED_104/26</t>
  </si>
  <si>
    <t>ELPTMED_105/26</t>
  </si>
  <si>
    <t>e-Acondicionamento de Cargas 16h</t>
  </si>
  <si>
    <t>ELPTMED_106/26</t>
  </si>
  <si>
    <t>E - Condução económica e defensiva 8h</t>
  </si>
  <si>
    <t>ELPTMED_107/26</t>
  </si>
  <si>
    <t>ELPTMED_108/26</t>
  </si>
  <si>
    <t>ELPTMED_109/26</t>
  </si>
  <si>
    <t>ELPTMED_110/26</t>
  </si>
  <si>
    <t>e-HST</t>
  </si>
  <si>
    <t>ELPTMED_111/26</t>
  </si>
  <si>
    <t>ELPTMED_112/26</t>
  </si>
  <si>
    <t>ELPTMED_113/26</t>
  </si>
  <si>
    <t>ELPTMED_114/26</t>
  </si>
  <si>
    <t>ELPTMED_115/26</t>
  </si>
  <si>
    <t>ELPTMED_116/26</t>
  </si>
  <si>
    <t>ELPTMED_117/26</t>
  </si>
  <si>
    <t>ASPV (E-Learning)</t>
  </si>
  <si>
    <t>ELPTMED_118/26</t>
  </si>
  <si>
    <t>ELPTMED_119/26</t>
  </si>
  <si>
    <t>ELPTMED_120/26</t>
  </si>
  <si>
    <t>ELPTMED_122/26</t>
  </si>
  <si>
    <t>ELPTMED_123/26</t>
  </si>
  <si>
    <t>ELPTMED_124/26</t>
  </si>
  <si>
    <t>ELPTMED_125/26</t>
  </si>
  <si>
    <t>ELPTMED_126/26</t>
  </si>
  <si>
    <t>TS/MD/CB/SF</t>
  </si>
  <si>
    <t>ELPTMED_127/26</t>
  </si>
  <si>
    <t>ELPTMED_129/26</t>
  </si>
  <si>
    <t>ELPTMED_130/26</t>
  </si>
  <si>
    <t>ELPTMED_131/26</t>
  </si>
  <si>
    <t>ELPTMED_132/26</t>
  </si>
  <si>
    <t>EL - Metodologia 5S 8h</t>
  </si>
  <si>
    <t>ELPTMED_133/26</t>
  </si>
  <si>
    <t>ELPTMED_134/26</t>
  </si>
  <si>
    <t>ELPTMED_135/26</t>
  </si>
  <si>
    <t>ELPTMED_136/26</t>
  </si>
  <si>
    <t>ELPTMED_137/26</t>
  </si>
  <si>
    <t>ELPTMED_139/26</t>
  </si>
  <si>
    <t>e- CED 8h</t>
  </si>
  <si>
    <t>ELPTMED_140/26</t>
  </si>
  <si>
    <t>ELPTMED_141/26</t>
  </si>
  <si>
    <t>ELPTMED_142/26</t>
  </si>
  <si>
    <t>e-Liderança - Animação e Treino de Equipas_8h</t>
  </si>
  <si>
    <t>ELPTMED_143/26</t>
  </si>
  <si>
    <t>ELPTMED_144/26</t>
  </si>
  <si>
    <t>EL - Formação Higiene e Segurança Alimentar 8h</t>
  </si>
  <si>
    <t>ELPTSEEP_001/26</t>
  </si>
  <si>
    <t>EXC (e-learning)</t>
  </si>
  <si>
    <t>ELPTMED_145/26</t>
  </si>
  <si>
    <t>CB/MD/TS/SF</t>
  </si>
  <si>
    <t>IF/FG/SD</t>
  </si>
  <si>
    <t>Conta-</t>
  </si>
  <si>
    <t>ELPTMED_178/26</t>
  </si>
  <si>
    <t>e-HSA -Higiene, Segurança do Alimentar 8h</t>
  </si>
  <si>
    <t>CM</t>
  </si>
  <si>
    <t>ELPTMED_146/26</t>
  </si>
  <si>
    <t>AM</t>
  </si>
  <si>
    <t>ELPTMED_147/26</t>
  </si>
  <si>
    <t>IF/AM/FG</t>
  </si>
  <si>
    <t>ELPTMED_148/26</t>
  </si>
  <si>
    <t>e-Condutor/Manobrador de Máquinas 8h</t>
  </si>
  <si>
    <t>ELPTMED_149/26</t>
  </si>
  <si>
    <t>ELPTMED_150/26</t>
  </si>
  <si>
    <t>ELPTMED_151/26</t>
  </si>
  <si>
    <t>MD/TS</t>
  </si>
  <si>
    <t>ELPTMED_152/26</t>
  </si>
  <si>
    <t xml:space="preserve">e-Pontes Rolantes 8h </t>
  </si>
  <si>
    <t>ELPTMED_153/26</t>
  </si>
  <si>
    <t>ELPTMED_154/26</t>
  </si>
  <si>
    <t>ELPTMED_155/26</t>
  </si>
  <si>
    <t>ELPTMED_156/26</t>
  </si>
  <si>
    <t>ELPTMED_157/26</t>
  </si>
  <si>
    <t xml:space="preserve"> E-Condutor/Manobrador de Máquinas 16h</t>
  </si>
  <si>
    <t>ELPTMED_158/26</t>
  </si>
  <si>
    <t>ELPTMED_159/26</t>
  </si>
  <si>
    <t>ELPTMED_160/26</t>
  </si>
  <si>
    <t>e-Excel Fundamental 25h F e FCT</t>
  </si>
  <si>
    <t>ELPTMED_161/26</t>
  </si>
  <si>
    <t>ELPTTCV_031/26</t>
  </si>
  <si>
    <t>ELPTTCV_032/26</t>
  </si>
  <si>
    <t>ELPTTCV_033/26</t>
  </si>
  <si>
    <t>ELPTTCV_034/26</t>
  </si>
  <si>
    <t>ELPTTCV_035/26</t>
  </si>
  <si>
    <t>ELPTTCV_036/26</t>
  </si>
  <si>
    <t>M138/26</t>
  </si>
  <si>
    <t>Luis Silva - confirmado</t>
  </si>
  <si>
    <t>Sala Cliente, projector cliente</t>
  </si>
  <si>
    <t>M024/26</t>
  </si>
  <si>
    <t>M157/26</t>
  </si>
  <si>
    <t>João Antunes- confirmado</t>
  </si>
  <si>
    <t>IM #02/03/2026 Enviada</t>
  </si>
  <si>
    <t>Sala cliente, Projector?</t>
  </si>
  <si>
    <t>063/26</t>
  </si>
  <si>
    <t>SS</t>
  </si>
  <si>
    <t>Claudia Gomes - confirmado</t>
  </si>
  <si>
    <t>M128/26</t>
  </si>
  <si>
    <t>Sala cliente, televisor c/HDMI</t>
  </si>
  <si>
    <t>M153/26</t>
  </si>
  <si>
    <t>IM #05/03/2026 Enviada</t>
  </si>
  <si>
    <t>IM #04/03/2026 Enviada</t>
  </si>
  <si>
    <t>Sala Alugada Hotel Turismo Trancoso</t>
  </si>
  <si>
    <t>M111/26</t>
  </si>
  <si>
    <t>LM</t>
  </si>
  <si>
    <t>020/26</t>
  </si>
  <si>
    <t>dfia 7 e 09</t>
  </si>
  <si>
    <t>026/26</t>
  </si>
  <si>
    <t>MF</t>
  </si>
  <si>
    <t>Sala alugada B&amp;B HOTEL Porto Expo Aeroporto</t>
  </si>
  <si>
    <t>M173/26</t>
  </si>
  <si>
    <t>057/26</t>
  </si>
  <si>
    <t>Sala alugada Junta Freguesia Mondim de Basto</t>
  </si>
  <si>
    <t>009/26</t>
  </si>
  <si>
    <t>IM #06/03/2026 Enviada</t>
  </si>
  <si>
    <t>ELPTMED_163/26</t>
  </si>
  <si>
    <t xml:space="preserve">e-PS - Primeiros Socorros 8h </t>
  </si>
  <si>
    <t>Moodle</t>
  </si>
  <si>
    <t>CB/MD/SF</t>
  </si>
  <si>
    <t>IF/FG/AM</t>
  </si>
  <si>
    <t>ELPTMED_164/26</t>
  </si>
  <si>
    <t>ELPTMED_165/26</t>
  </si>
  <si>
    <t>FG/AM</t>
  </si>
  <si>
    <t>ELPTMED_166/26</t>
  </si>
  <si>
    <t>IF/MS</t>
  </si>
  <si>
    <t>ELPTMED_167/26</t>
  </si>
  <si>
    <t>ELPTMED_168/26</t>
  </si>
  <si>
    <t>CB/MD</t>
  </si>
  <si>
    <t>ELPTMED_169/26</t>
  </si>
  <si>
    <t>ELPTMED_170/26</t>
  </si>
  <si>
    <t>ELPTMED_171/26</t>
  </si>
  <si>
    <t>JM/MD</t>
  </si>
  <si>
    <t>MS/FG</t>
  </si>
  <si>
    <t>ELPTMED_172/26</t>
  </si>
  <si>
    <t>ELPTMED_173/26</t>
  </si>
  <si>
    <t>ELPTMED_174/26</t>
  </si>
  <si>
    <t>ELPTMED_175/26</t>
  </si>
  <si>
    <t>ELPTMED_176/26</t>
  </si>
  <si>
    <t>ELPTMED_177/26</t>
  </si>
  <si>
    <t>ELPTMED_179/26</t>
  </si>
  <si>
    <t>e-Gestão das equipas</t>
  </si>
  <si>
    <t>ELPTMED_180/26</t>
  </si>
  <si>
    <t>ELPTMED_181/26</t>
  </si>
  <si>
    <t>e -Metodologia 5S 8h</t>
  </si>
  <si>
    <t>ELPTSEEP_002/26</t>
  </si>
  <si>
    <t>e- Excel Avançado</t>
  </si>
  <si>
    <t>ELPTTCV_037/26</t>
  </si>
  <si>
    <t>ELPTTCV_038/26</t>
  </si>
  <si>
    <t>ELPTTCV_039/26</t>
  </si>
  <si>
    <t>ELPTTCV_040/26</t>
  </si>
  <si>
    <t>M156/26</t>
  </si>
  <si>
    <t>M091/26</t>
  </si>
  <si>
    <t>M182/26</t>
  </si>
  <si>
    <t>M103/26</t>
  </si>
  <si>
    <t>GR</t>
  </si>
  <si>
    <t>Sala cliente, projetor ?</t>
  </si>
  <si>
    <t>010/26</t>
  </si>
  <si>
    <t>IM #11/03/2026 Enviada</t>
  </si>
  <si>
    <t>M183/26</t>
  </si>
  <si>
    <t>M197/26</t>
  </si>
  <si>
    <t>André Rodrigues - confirmado</t>
  </si>
  <si>
    <t>Nossa sala, projector nosso</t>
  </si>
  <si>
    <t>M198/26</t>
  </si>
  <si>
    <t>IM #12/03/2026 Enviada</t>
  </si>
  <si>
    <t>M140/26</t>
  </si>
  <si>
    <t>Azambuja</t>
  </si>
  <si>
    <t>M164/26</t>
  </si>
  <si>
    <t>SQ #12/03/2026 Enviada</t>
  </si>
  <si>
    <t>M071/26</t>
  </si>
  <si>
    <t>Cartaxo</t>
  </si>
  <si>
    <t>021/26</t>
  </si>
  <si>
    <t>João Coelho confirmado</t>
  </si>
  <si>
    <t>SQ #13/03/2026 Enviada</t>
  </si>
  <si>
    <t>Sala nossa, projector nosso</t>
  </si>
  <si>
    <t>M199/26</t>
  </si>
  <si>
    <t>Freixo Espada Cinta</t>
  </si>
  <si>
    <t>Pedro Pereira- confirmada</t>
  </si>
  <si>
    <t>Sala cliente, Projecto cliente</t>
  </si>
  <si>
    <t>066/26</t>
  </si>
  <si>
    <t>Sala alugada Meeting Space</t>
  </si>
  <si>
    <t>073/26</t>
  </si>
  <si>
    <t>Jose Lopez - confirmado</t>
  </si>
  <si>
    <t>Sala Alugada Desmor</t>
  </si>
  <si>
    <t>074/26</t>
  </si>
  <si>
    <t>#IM 13/03/2026</t>
  </si>
  <si>
    <t>Sala alugada Junta Freguesia Tondela</t>
  </si>
  <si>
    <t>M194/26</t>
  </si>
  <si>
    <t>M110/26</t>
  </si>
  <si>
    <t>Lourel</t>
  </si>
  <si>
    <t>4h</t>
  </si>
  <si>
    <t>M193/26</t>
  </si>
  <si>
    <t>C/ TEAMS</t>
  </si>
  <si>
    <t>João Antunes -  confirmado</t>
  </si>
  <si>
    <t>ELPTMED_183/26</t>
  </si>
  <si>
    <t>FG/AC</t>
  </si>
  <si>
    <t>1 da sofia</t>
  </si>
  <si>
    <t>ELPTMED_184/26</t>
  </si>
  <si>
    <t>MD/SF/CB</t>
  </si>
  <si>
    <t>FG/AC/IF</t>
  </si>
  <si>
    <t>3 da MD , 2 SF, 39 BAETA</t>
  </si>
  <si>
    <t>ELPTMED_185/26</t>
  </si>
  <si>
    <t>e-Comunicação e Qualidade no Atendimento 16h</t>
  </si>
  <si>
    <t>ELPTMED_186/26</t>
  </si>
  <si>
    <t>ELPTMED_187/26</t>
  </si>
  <si>
    <t>ELPTMED_188/26</t>
  </si>
  <si>
    <t>ELPTMED_189/26</t>
  </si>
  <si>
    <t>ELPTMED_190/26</t>
  </si>
  <si>
    <t>ELPTMED_191/26</t>
  </si>
  <si>
    <t>ELPTMED_192/26</t>
  </si>
  <si>
    <t>ELPTMED_193/26</t>
  </si>
  <si>
    <t>ELPTMED_194/26</t>
  </si>
  <si>
    <t>EL - Gestão e Tratamento de Reclamações 8h</t>
  </si>
  <si>
    <t>ELPTMED_195/26</t>
  </si>
  <si>
    <t>ELPTMED_196/26</t>
  </si>
  <si>
    <t>1 de cada</t>
  </si>
  <si>
    <t>ELPTMED_197/26</t>
  </si>
  <si>
    <t>e- Condutor/Manobrador de Máquinas 16h</t>
  </si>
  <si>
    <t>ELPTMED_198/26</t>
  </si>
  <si>
    <t>e-Sinistralidade Rodoviária</t>
  </si>
  <si>
    <t>ELPTMED_199/26</t>
  </si>
  <si>
    <t>ELPTMED_200/26</t>
  </si>
  <si>
    <t>ELPTTCV_041/26</t>
  </si>
  <si>
    <t>ELPTTCV_042/26</t>
  </si>
  <si>
    <t>ELPTTCV_043/26</t>
  </si>
  <si>
    <t>ELPTTCV_044/26</t>
  </si>
  <si>
    <t>e-HSA - Higiene, Segurança Alimentar 8h</t>
  </si>
  <si>
    <t>ELPTTCV_045/26</t>
  </si>
  <si>
    <t>Teams</t>
  </si>
  <si>
    <t>MS/SD/AC</t>
  </si>
  <si>
    <t>M092/26</t>
  </si>
  <si>
    <t>Diogo Duarte - Confirmado</t>
  </si>
  <si>
    <t>#SQ 13/03/2026</t>
  </si>
  <si>
    <t>Sala cliente, projector cliente</t>
  </si>
  <si>
    <t>M131/26</t>
  </si>
  <si>
    <t>M5S</t>
  </si>
  <si>
    <t>Marcelo Fernades Confirmado</t>
  </si>
  <si>
    <t>Sala cliente, projector nosso</t>
  </si>
  <si>
    <t>M208/26</t>
  </si>
  <si>
    <t>Formador ainda não enviou a pausa. Email a solicitar 31/03/2026</t>
  </si>
  <si>
    <t>#IM 16/03/2026</t>
  </si>
  <si>
    <t>M133/26</t>
  </si>
  <si>
    <t>Povoa de Santo Adriao</t>
  </si>
  <si>
    <t>Luis Casquinha-confirmado</t>
  </si>
  <si>
    <t>Sala cliente, projector ?</t>
  </si>
  <si>
    <t>M114/26</t>
  </si>
  <si>
    <t>Pedro Costa- confirmado</t>
  </si>
  <si>
    <t>M189/26</t>
  </si>
  <si>
    <t>Miguel Perdigão - Confirmadio</t>
  </si>
  <si>
    <t>Sala cliente, tv c/hdmi</t>
  </si>
  <si>
    <t>M190/26</t>
  </si>
  <si>
    <t xml:space="preserve">TVNC </t>
  </si>
  <si>
    <t>M202/26</t>
  </si>
  <si>
    <t>Ponte de Lima</t>
  </si>
  <si>
    <t>Manuel Dias- Confirmado</t>
  </si>
  <si>
    <t>#IM 17/03/2026</t>
  </si>
  <si>
    <t>076/26</t>
  </si>
  <si>
    <t>BRUNO GOMES INDICOU SUSANA SOARES</t>
  </si>
  <si>
    <t>#IM 18/03/2026</t>
  </si>
  <si>
    <t>M203/26</t>
  </si>
  <si>
    <t>M072/26</t>
  </si>
  <si>
    <t>#IM 20/03/2026</t>
  </si>
  <si>
    <t>M195/26</t>
  </si>
  <si>
    <t>Amares</t>
  </si>
  <si>
    <t>Pedro Pereira-confirmado</t>
  </si>
  <si>
    <t>M217/26</t>
  </si>
  <si>
    <t>#IM 19/03/2026</t>
  </si>
  <si>
    <t>Alugada, Zona Verde</t>
  </si>
  <si>
    <t>079/26</t>
  </si>
  <si>
    <t>051/26</t>
  </si>
  <si>
    <t>Nuno Marques - Confirmado</t>
  </si>
  <si>
    <t>#SQ 19/03/2026</t>
  </si>
  <si>
    <t>047/26</t>
  </si>
  <si>
    <t>Bruno Gomes - combinado com o cliente</t>
  </si>
  <si>
    <t>M205/26</t>
  </si>
  <si>
    <t>Vandoma</t>
  </si>
  <si>
    <t>4 horas</t>
  </si>
  <si>
    <t>M180/26</t>
  </si>
  <si>
    <t>DTP impresso</t>
  </si>
  <si>
    <t>Joao Coelho - confirmado</t>
  </si>
  <si>
    <t>M201/26</t>
  </si>
  <si>
    <t>Vidigueira</t>
  </si>
  <si>
    <t>levar a formação numa pen</t>
  </si>
  <si>
    <t>082/26</t>
  </si>
  <si>
    <t xml:space="preserve">M219/26 </t>
  </si>
  <si>
    <t>Moimenta da Beira</t>
  </si>
  <si>
    <t>Alugada Opus Securiti</t>
  </si>
  <si>
    <t>080/26</t>
  </si>
  <si>
    <t>Miguel Perdigão-confirmado</t>
  </si>
  <si>
    <t>M155/26</t>
  </si>
  <si>
    <t>029/26</t>
  </si>
  <si>
    <t>Ainda sem DTP</t>
  </si>
  <si>
    <t>Alugada Bombeiros De Caxarias</t>
  </si>
  <si>
    <t>M212/26</t>
  </si>
  <si>
    <t>078/26</t>
  </si>
  <si>
    <t>Nossa Sala, nosso projector</t>
  </si>
  <si>
    <t>M209/26</t>
  </si>
  <si>
    <t>M098/26</t>
  </si>
  <si>
    <t>Alugada, Hotel Pombalense</t>
  </si>
  <si>
    <t>ELPTMED_201/26</t>
  </si>
  <si>
    <t>ELPTMED_202/26</t>
  </si>
  <si>
    <t>e-SHT - Segurança e Higiene no Trabalho 8h</t>
  </si>
  <si>
    <t>ELPTMED_203/26</t>
  </si>
  <si>
    <t>IF/AC</t>
  </si>
  <si>
    <t>ELPTMED_204/26</t>
  </si>
  <si>
    <t>ELPTMED_205/26</t>
  </si>
  <si>
    <t>ELPTMED_206/26</t>
  </si>
  <si>
    <t>ELPTMED_208/26</t>
  </si>
  <si>
    <t>e-Gestão de Equipas 8h</t>
  </si>
  <si>
    <t>ELPTMED_209/26</t>
  </si>
  <si>
    <t>ELPTMED_210/26</t>
  </si>
  <si>
    <t>ELPTMED_211/26</t>
  </si>
  <si>
    <t>MPE (E-Learning)</t>
  </si>
  <si>
    <t>ELPTMED_212/26</t>
  </si>
  <si>
    <t>TVNC (e-learning)</t>
  </si>
  <si>
    <t>ELPTMED_213/26</t>
  </si>
  <si>
    <t>ELPTMED_214/26</t>
  </si>
  <si>
    <t>ELPTMED_215/26</t>
  </si>
  <si>
    <t>ELPTMED_216/26</t>
  </si>
  <si>
    <t>ELPTMED_217/26</t>
  </si>
  <si>
    <t>MD/JM</t>
  </si>
  <si>
    <t>FG/MS</t>
  </si>
  <si>
    <t>ELPTMED_218/26</t>
  </si>
  <si>
    <t>ELPTMED_219/26</t>
  </si>
  <si>
    <t>ELPTTCV_046/26</t>
  </si>
  <si>
    <t>ELPTTCV_047/26</t>
  </si>
  <si>
    <t>ELPTTCV_048/26</t>
  </si>
  <si>
    <t>ELPTTCV_049/26</t>
  </si>
  <si>
    <t>EL - Segurança e Higiene no Trabalho 8h</t>
  </si>
  <si>
    <t>ELPTTCV_050/26</t>
  </si>
  <si>
    <t>M210/26</t>
  </si>
  <si>
    <t>Alugada, (Associação Cultural e Desportiva “Os Ílhavos”)</t>
  </si>
  <si>
    <t>M033/26</t>
  </si>
  <si>
    <t>Ana Beatriz Teixeira</t>
  </si>
  <si>
    <t>#IM 24/03/2026</t>
  </si>
  <si>
    <t>M186/26</t>
  </si>
  <si>
    <t xml:space="preserve">enviei email </t>
  </si>
  <si>
    <t>M222/26</t>
  </si>
  <si>
    <t>M163/26</t>
  </si>
  <si>
    <t>Diogo Duarte- Confirmado</t>
  </si>
  <si>
    <t>M196/26</t>
  </si>
  <si>
    <t>Formador ainda não enviou as presenças nem DTP</t>
  </si>
  <si>
    <t>Sala cliente, TV C/HDMI</t>
  </si>
  <si>
    <t>M226/26</t>
  </si>
  <si>
    <t>#IM 25/03/2026</t>
  </si>
  <si>
    <t>M089/26</t>
  </si>
  <si>
    <t>M123/26</t>
  </si>
  <si>
    <t>M148/26</t>
  </si>
  <si>
    <t>#IM 26/03/2026</t>
  </si>
  <si>
    <t>Sala nossa, projector nosso (coimbra)</t>
  </si>
  <si>
    <t>M165/26</t>
  </si>
  <si>
    <t>Sala alugadaTECMAIA</t>
  </si>
  <si>
    <t>M166/26</t>
  </si>
  <si>
    <t>Sala alugada Cowork Malvarosa</t>
  </si>
  <si>
    <t>M168/26</t>
  </si>
  <si>
    <t>Frederico Moreira - confrimado</t>
  </si>
  <si>
    <t>Sala alugada Politecnico de Setubal</t>
  </si>
  <si>
    <t>M200/26</t>
  </si>
  <si>
    <t>Sala Cliente , projecto???</t>
  </si>
  <si>
    <t>081/26</t>
  </si>
  <si>
    <t>M221/26</t>
  </si>
  <si>
    <t>Leixões</t>
  </si>
  <si>
    <t>Jorge Augusto -confirmado</t>
  </si>
  <si>
    <t>030/26</t>
  </si>
  <si>
    <t>Sines</t>
  </si>
  <si>
    <t>M220/26</t>
  </si>
  <si>
    <t>Sala Alugada Quasimprovavel</t>
  </si>
  <si>
    <t>085/26</t>
  </si>
  <si>
    <t>M218/26</t>
  </si>
  <si>
    <t>AC/MS</t>
  </si>
  <si>
    <t>Sala alugada CESAE Digital do Marco de Canavezes.</t>
  </si>
  <si>
    <t>M227/26</t>
  </si>
  <si>
    <t>Sala alugada Junta de Freguesia de Tondela</t>
  </si>
  <si>
    <t>M230/26</t>
  </si>
  <si>
    <t>Amarante</t>
  </si>
  <si>
    <t>4 horas das 14h ás 18h00</t>
  </si>
  <si>
    <t>ELPTMED_220/26</t>
  </si>
  <si>
    <t>ELPTMED_221/26</t>
  </si>
  <si>
    <t>ELPTMED_222/26</t>
  </si>
  <si>
    <t>ELPTMED_223/26</t>
  </si>
  <si>
    <t>ELPTMED_224/26</t>
  </si>
  <si>
    <t>JM/CB/MD</t>
  </si>
  <si>
    <t>MS/IF/FG</t>
  </si>
  <si>
    <t>ELPTMED_225/26</t>
  </si>
  <si>
    <t>ELPTMED_226/26</t>
  </si>
  <si>
    <t>ELPTMED_227/26</t>
  </si>
  <si>
    <t>ELPTMED_228/26</t>
  </si>
  <si>
    <t>e- Condução Económica e Defensiva</t>
  </si>
  <si>
    <t>ELPTMED_229/26</t>
  </si>
  <si>
    <t>ELPTMED_230/26</t>
  </si>
  <si>
    <t>ELPTMED_231/26</t>
  </si>
  <si>
    <t>ELPTTCV_051/26</t>
  </si>
  <si>
    <t>ELPTTCV_052/26</t>
  </si>
  <si>
    <t>EL - Tacógrafos Digitais - V.25 - 8</t>
  </si>
  <si>
    <t>ELPTTCV_053/26</t>
  </si>
  <si>
    <t>ELPTTCV_054/26</t>
  </si>
  <si>
    <t>088/26</t>
  </si>
  <si>
    <t>2 dias - 02/04 e 09/04</t>
  </si>
  <si>
    <t>Pedro Carriço-confirmado</t>
  </si>
  <si>
    <t>028/26</t>
  </si>
  <si>
    <t>ELPTMED_232/26</t>
  </si>
  <si>
    <t>AC/IF</t>
  </si>
  <si>
    <t>ELPTMED_233/26</t>
  </si>
  <si>
    <t>ELPTMED_234/26</t>
  </si>
  <si>
    <t>ELPTMED_235/26</t>
  </si>
  <si>
    <t>ELPTMED_236/26</t>
  </si>
  <si>
    <t>ELPTMED_237/26</t>
  </si>
  <si>
    <t>ELPTMED_238/26</t>
  </si>
  <si>
    <t>ELPTMED_239/26</t>
  </si>
  <si>
    <t>ELPTMED_240/26</t>
  </si>
  <si>
    <t>ELPTMED_241/26</t>
  </si>
  <si>
    <t>ELPTTCV_055/26</t>
  </si>
  <si>
    <t>ELPTTCV_056/26</t>
  </si>
  <si>
    <t>ELPTTCV_057/26</t>
  </si>
  <si>
    <t>M122/26</t>
  </si>
  <si>
    <t>Penela</t>
  </si>
  <si>
    <t xml:space="preserve">JM </t>
  </si>
  <si>
    <t>#IM 27/03/2026</t>
  </si>
  <si>
    <t>089/26</t>
  </si>
  <si>
    <t>#IM 02/04/2026</t>
  </si>
  <si>
    <t>M246/26</t>
  </si>
  <si>
    <t>Sala Alugada Hotel Quinta Cedros</t>
  </si>
  <si>
    <t>M247/26</t>
  </si>
  <si>
    <t>M188/26</t>
  </si>
  <si>
    <t>Castelo Paiva</t>
  </si>
  <si>
    <t>2 Manhãs 07 e 09/04 - DTP FEITO</t>
  </si>
  <si>
    <t>#SQ 06/04/2026</t>
  </si>
  <si>
    <t>M269/26</t>
  </si>
  <si>
    <t>#SQ 07/04/2026</t>
  </si>
  <si>
    <t>#SP 08/04/2026</t>
  </si>
  <si>
    <t>Sala cliente, tem tv</t>
  </si>
  <si>
    <t>093/26</t>
  </si>
  <si>
    <t>Ricardo Pimentel</t>
  </si>
  <si>
    <t>#SQ 08/04/2026</t>
  </si>
  <si>
    <t>#SP 09/04/2026</t>
  </si>
  <si>
    <t>M270/26</t>
  </si>
  <si>
    <t>Danielle Rufino</t>
  </si>
  <si>
    <t>Sala alugada - GADE</t>
  </si>
  <si>
    <t>M170/26</t>
  </si>
  <si>
    <t>João Antunes</t>
  </si>
  <si>
    <t>M172/26</t>
  </si>
  <si>
    <t>João Martinho</t>
  </si>
  <si>
    <t>#SQ 09/04/2026</t>
  </si>
  <si>
    <t>Sala alugada - Bmbeiros de Ferreira do Alentejo</t>
  </si>
  <si>
    <t>019/26</t>
  </si>
  <si>
    <t>M184/26</t>
  </si>
  <si>
    <t>Sandro Sá</t>
  </si>
  <si>
    <t>M181/26</t>
  </si>
  <si>
    <t xml:space="preserve">Pedro Pereira </t>
  </si>
  <si>
    <t>083/26</t>
  </si>
  <si>
    <t>Bruno Gomes</t>
  </si>
  <si>
    <t>Sala alugada Solar da Rainha</t>
  </si>
  <si>
    <t>M268/26</t>
  </si>
  <si>
    <t>M254/26</t>
  </si>
  <si>
    <t>Marcelo Fernandes</t>
  </si>
  <si>
    <t>M265/26</t>
  </si>
  <si>
    <t>Monção</t>
  </si>
  <si>
    <t xml:space="preserve">José Fernandes </t>
  </si>
  <si>
    <t>Sala cliente e projetor cliente</t>
  </si>
  <si>
    <t>096/26</t>
  </si>
  <si>
    <t>Frederico Moreira</t>
  </si>
  <si>
    <t>#SP 10/04/2026</t>
  </si>
  <si>
    <t>Sala Cliente, projetor nosso</t>
  </si>
  <si>
    <t>M274/26</t>
  </si>
  <si>
    <t>092/26</t>
  </si>
  <si>
    <t xml:space="preserve">José Lopez </t>
  </si>
  <si>
    <t>Sala Alugada - ACR Chão Pardo</t>
  </si>
  <si>
    <t>M266/26</t>
  </si>
  <si>
    <t>M275/26</t>
  </si>
  <si>
    <t>MGM</t>
  </si>
  <si>
    <t>Susana Vaz</t>
  </si>
  <si>
    <t>ELPTMED_242/26</t>
  </si>
  <si>
    <t>ELPTMED_243/26</t>
  </si>
  <si>
    <t>CB/JM/MD</t>
  </si>
  <si>
    <t>IF/MS/FG</t>
  </si>
  <si>
    <t>ELPTMED_244/26</t>
  </si>
  <si>
    <t>ELPTMED_245/26</t>
  </si>
  <si>
    <t>IF/AC/FG</t>
  </si>
  <si>
    <t>ELPTMED_246/26</t>
  </si>
  <si>
    <t>ELPTMED_247/26</t>
  </si>
  <si>
    <t>ELPTMED_248/26</t>
  </si>
  <si>
    <t>ELPTMED_249/26</t>
  </si>
  <si>
    <t>ELPTMED_250/26</t>
  </si>
  <si>
    <t>ELPTMED_251/26</t>
  </si>
  <si>
    <t>ELPTMED_252/26</t>
  </si>
  <si>
    <t>ELPTMED_253/26</t>
  </si>
  <si>
    <t>ELPTMED_254/26</t>
  </si>
  <si>
    <t>ELPTMED_255/26</t>
  </si>
  <si>
    <t>ELPTMED_256/26</t>
  </si>
  <si>
    <t>ELPTMED_257/26</t>
  </si>
  <si>
    <t>ELPTMED_258/26</t>
  </si>
  <si>
    <t>ELPTTCV_058/26</t>
  </si>
  <si>
    <t>ELPTTCV_059/26</t>
  </si>
  <si>
    <t>ELPTTCV_060/26</t>
  </si>
  <si>
    <t>e - Metodologia 5S 8h</t>
  </si>
  <si>
    <t>ELPTTCV_061/26</t>
  </si>
  <si>
    <t>ELPTTCV_062/26</t>
  </si>
  <si>
    <t>ELPTTCV_063/26</t>
  </si>
  <si>
    <t>M187/26</t>
  </si>
  <si>
    <t>Luís Milheiro</t>
  </si>
  <si>
    <t>090/26</t>
  </si>
  <si>
    <t>José Lopez</t>
  </si>
  <si>
    <t>Sala Cliente, projector nosso</t>
  </si>
  <si>
    <t>M248/26</t>
  </si>
  <si>
    <t xml:space="preserve">Francisco Lima </t>
  </si>
  <si>
    <t>M240/26</t>
  </si>
  <si>
    <t>Pedro Carriço</t>
  </si>
  <si>
    <t>#SQ 10/04/2026</t>
  </si>
  <si>
    <t>086/26</t>
  </si>
  <si>
    <t>Pedro Silva</t>
  </si>
  <si>
    <t>#SP 13/04/2026</t>
  </si>
  <si>
    <t>M150/26</t>
  </si>
  <si>
    <t>#IM 13/04/2026</t>
  </si>
  <si>
    <t>#SQ 10/04/2027</t>
  </si>
  <si>
    <t>#IM 13/04/2027</t>
  </si>
  <si>
    <t>M175/26</t>
  </si>
  <si>
    <t>Sala cliente??, projector formador</t>
  </si>
  <si>
    <t>M191/26</t>
  </si>
  <si>
    <t xml:space="preserve">Cláudia Gomes </t>
  </si>
  <si>
    <t>M192/26</t>
  </si>
  <si>
    <t>Cláudia Gomes</t>
  </si>
  <si>
    <t>M258/26</t>
  </si>
  <si>
    <t>Francisco Lima</t>
  </si>
  <si>
    <t>M176/26</t>
  </si>
  <si>
    <t>084/26</t>
  </si>
  <si>
    <t>Sala cliente, tem tv sem cabo hdmi</t>
  </si>
  <si>
    <t>M228/26</t>
  </si>
  <si>
    <t>Miguel Perdigão</t>
  </si>
  <si>
    <t>M259/26</t>
  </si>
  <si>
    <t>M141/26</t>
  </si>
  <si>
    <t>Ricardo Vinhais</t>
  </si>
  <si>
    <t>#SP 15/04/2026</t>
  </si>
  <si>
    <t>M167/26</t>
  </si>
  <si>
    <t>094/26</t>
  </si>
  <si>
    <t>M171/26</t>
  </si>
  <si>
    <t>SALA ALUGADA - lisotel, projetor nosso</t>
  </si>
  <si>
    <t>067/26</t>
  </si>
  <si>
    <t xml:space="preserve">Sala cliente, projetor nosso </t>
  </si>
  <si>
    <t>103/26</t>
  </si>
  <si>
    <t xml:space="preserve">Susana Vaz </t>
  </si>
  <si>
    <t>#SP 16/04/2026</t>
  </si>
  <si>
    <t>041/26</t>
  </si>
  <si>
    <t xml:space="preserve">Nuno Marques </t>
  </si>
  <si>
    <t>Sala cliente projetor nosso</t>
  </si>
  <si>
    <t>M264/26</t>
  </si>
  <si>
    <t>Pedroso</t>
  </si>
  <si>
    <t>091/26</t>
  </si>
  <si>
    <t>Frederico</t>
  </si>
  <si>
    <t>M263/26</t>
  </si>
  <si>
    <t>095/26</t>
  </si>
  <si>
    <t>PUBB</t>
  </si>
  <si>
    <t>M281/26</t>
  </si>
  <si>
    <t>SALA ALUGADA - BOMBEIROS TORRES NOVAS, projetor nosso</t>
  </si>
  <si>
    <t>102/26</t>
  </si>
  <si>
    <t>M251/26</t>
  </si>
  <si>
    <t>M296</t>
  </si>
  <si>
    <t>Pedro Pereira</t>
  </si>
  <si>
    <t>SALA ALUGADA - QUASIMPROVAVEL, projetor nosso</t>
  </si>
  <si>
    <t>ELPTTCV_064/26</t>
  </si>
  <si>
    <t>ELPTTCV_065/26</t>
  </si>
  <si>
    <t>ELPTTCV_066/26</t>
  </si>
  <si>
    <t>e-CMG_Condutor Manobrador de Gruas (Móveis e Fixas) 8h</t>
  </si>
  <si>
    <t>ELPTTCV_067/26</t>
  </si>
  <si>
    <t>EL - Condução de Empilhadores 8h</t>
  </si>
  <si>
    <t>ELPTTCV_068/26</t>
  </si>
  <si>
    <t>ELPTTCV_069/26</t>
  </si>
  <si>
    <t>ELPTMED_264/26</t>
  </si>
  <si>
    <t>ELPTMED_265/26</t>
  </si>
  <si>
    <t>ELPTMED_266/26</t>
  </si>
  <si>
    <t>ELPTMED_267/26</t>
  </si>
  <si>
    <t>ELPTMED_268/26</t>
  </si>
  <si>
    <t>ELPTMED_269/26</t>
  </si>
  <si>
    <t>ELPTMED_271/26</t>
  </si>
  <si>
    <t>ELPTMED_272/26</t>
  </si>
  <si>
    <t>ELPTMED_273/26</t>
  </si>
  <si>
    <t>ELPTMED_274/26</t>
  </si>
  <si>
    <t>ELPTMED_275/26</t>
  </si>
  <si>
    <t>ELPTMED_276/26</t>
  </si>
  <si>
    <t>ELPTMED_277/26</t>
  </si>
  <si>
    <t>ELPTMED_279/26</t>
  </si>
  <si>
    <t>ELPTMED_280/26</t>
  </si>
  <si>
    <t>ELPTMED_281/26</t>
  </si>
  <si>
    <t xml:space="preserve">e-Trabalho em Altura (Andaimes, Escadas, Plataformas) </t>
  </si>
  <si>
    <t>ELPTMED_282/26</t>
  </si>
  <si>
    <t>Excel Avançado_50h</t>
  </si>
  <si>
    <t>ELPTMED_283/26</t>
  </si>
  <si>
    <t>e-Gestão de Stress e Conflitos</t>
  </si>
  <si>
    <t>M235/26</t>
  </si>
  <si>
    <t>#IM 15/04/2026</t>
  </si>
  <si>
    <t>M241/26</t>
  </si>
  <si>
    <t xml:space="preserve">Pedro Carriço </t>
  </si>
  <si>
    <t>Sala cliente, projector nosso (ele tem)</t>
  </si>
  <si>
    <t>M039/26</t>
  </si>
  <si>
    <t>#SP 20/04/2026</t>
  </si>
  <si>
    <t>M308/26</t>
  </si>
  <si>
    <t>Sala cliente projetor ???</t>
  </si>
  <si>
    <t>M154/26</t>
  </si>
  <si>
    <t>Adriano</t>
  </si>
  <si>
    <t>Sala cliente??, projector cliente</t>
  </si>
  <si>
    <t>M231/26</t>
  </si>
  <si>
    <t>DTP FEITO - falta info de fomandos</t>
  </si>
  <si>
    <t>M177/26</t>
  </si>
  <si>
    <t>Sala cliente, projector formador</t>
  </si>
  <si>
    <t>M290/26</t>
  </si>
  <si>
    <t>ingles</t>
  </si>
  <si>
    <t>vitor costa???</t>
  </si>
  <si>
    <t>M293/26</t>
  </si>
  <si>
    <t>M073/26</t>
  </si>
  <si>
    <t>DTP FEITO - falta info de fomandos - deixar no cliente</t>
  </si>
  <si>
    <t>Sala cliente, projector ??</t>
  </si>
  <si>
    <t>M119/26</t>
  </si>
  <si>
    <t>M280/26</t>
  </si>
  <si>
    <t>Oliveira de Azeméis</t>
  </si>
  <si>
    <t xml:space="preserve">Luís Milheiro </t>
  </si>
  <si>
    <t>Sala cliente</t>
  </si>
  <si>
    <t>M276/26</t>
  </si>
  <si>
    <t>neste dia e dia 15 mesma formaçao</t>
  </si>
  <si>
    <t>???</t>
  </si>
  <si>
    <t>011/26</t>
  </si>
  <si>
    <t>DTP FEITO - confrimar pagamento e formandos</t>
  </si>
  <si>
    <t>José Brites</t>
  </si>
  <si>
    <t>M225/26</t>
  </si>
  <si>
    <t>Cadafais</t>
  </si>
  <si>
    <t xml:space="preserve">DTPFEITO - enviar conteudos por email e imprimir tudo para o joao martinho entregar - </t>
  </si>
  <si>
    <t>Sala cliente, projetor do formador</t>
  </si>
  <si>
    <t>108/26</t>
  </si>
  <si>
    <t>DTP FEITO - o cliente quer mesmo o José Lopez</t>
  </si>
  <si>
    <t>Sala alugada Bombeiros Chamusca</t>
  </si>
  <si>
    <t>M307/26</t>
  </si>
  <si>
    <t>ALUGAR SALA</t>
  </si>
  <si>
    <t>M206/26</t>
  </si>
  <si>
    <t>M236/26</t>
  </si>
  <si>
    <t>Albufeira</t>
  </si>
  <si>
    <t>João Martinho???</t>
  </si>
  <si>
    <t>M253/26</t>
  </si>
  <si>
    <t>M256/26</t>
  </si>
  <si>
    <t>Marcelo</t>
  </si>
  <si>
    <t>Sala cliente, projector nosso??</t>
  </si>
  <si>
    <t>M151/26</t>
  </si>
  <si>
    <t>4h manha</t>
  </si>
  <si>
    <t>Maria Honorio Santos</t>
  </si>
  <si>
    <t>M305/26</t>
  </si>
  <si>
    <t>Sala cliente, projetor nossso?</t>
  </si>
  <si>
    <t>M306/26</t>
  </si>
  <si>
    <t>099/26</t>
  </si>
  <si>
    <t>Sabrosa/Paredes</t>
  </si>
  <si>
    <t>M255/26</t>
  </si>
  <si>
    <t>075/26</t>
  </si>
  <si>
    <t>Bruno Gomes - NÃO PODE SER OUTRO!</t>
  </si>
  <si>
    <t>M273/26</t>
  </si>
  <si>
    <t>Cliente quer 4h de teórica e 4h de prática</t>
  </si>
  <si>
    <t>José Lopez???</t>
  </si>
  <si>
    <t>Sala cliente, nosso projetor</t>
  </si>
  <si>
    <t>4 Horas - 9h ás 13h00</t>
  </si>
  <si>
    <t>M234/26</t>
  </si>
  <si>
    <t>Horta (vila nova de foz coa)</t>
  </si>
  <si>
    <t>4H</t>
  </si>
  <si>
    <t>Sala cliente, não é preciso projector</t>
  </si>
  <si>
    <t>M233/26</t>
  </si>
  <si>
    <t>M216/26</t>
  </si>
  <si>
    <t>M179/26</t>
  </si>
  <si>
    <t>MERCH</t>
  </si>
  <si>
    <t>Sala cliente??, projector ??</t>
  </si>
  <si>
    <t>M232/26</t>
  </si>
  <si>
    <t>Sala cliente, projector ???</t>
  </si>
  <si>
    <t>M291/26</t>
  </si>
  <si>
    <t>M299/26</t>
  </si>
  <si>
    <t>M303/26</t>
  </si>
  <si>
    <t>Bustos</t>
  </si>
  <si>
    <t>M304/26</t>
  </si>
  <si>
    <t>Veleda</t>
  </si>
  <si>
    <t>2 dias 14h ás 17h30  - II PARTE</t>
  </si>
  <si>
    <t>Sala cliente, projetor ???</t>
  </si>
  <si>
    <t>M178/26</t>
  </si>
  <si>
    <t>COM PARTE PRÁTICA - esclarecer máquinas </t>
  </si>
  <si>
    <t>097/26</t>
  </si>
  <si>
    <t>lid</t>
  </si>
  <si>
    <t>Sala cliente, confirmar projetor</t>
  </si>
  <si>
    <t>M169/26</t>
  </si>
  <si>
    <t>M244/26</t>
  </si>
  <si>
    <t>Aguardar confirmação da Joaquina Mourato</t>
  </si>
  <si>
    <t>João Antunes ???</t>
  </si>
  <si>
    <t>CAM</t>
  </si>
  <si>
    <t>6/6/26 ONDE COLOCAR?</t>
  </si>
  <si>
    <t>M249/26</t>
  </si>
  <si>
    <t>M285/26</t>
  </si>
  <si>
    <t>A gerência pediu para o formador falarem na importância dos deveres dos motoristas no cumprimento de horários de acordo com o tacógrafo.</t>
  </si>
  <si>
    <t>M286/26</t>
  </si>
  <si>
    <t>ALERTA: COM PARTE PRÁTICA</t>
  </si>
  <si>
    <t>M287/26</t>
  </si>
  <si>
    <t>104/26</t>
  </si>
  <si>
    <t>Sala cliente, projector cliente - vai confirmar</t>
  </si>
  <si>
    <t>M297/26</t>
  </si>
  <si>
    <t>Vila Nova Famalicão</t>
  </si>
  <si>
    <t>M213/26</t>
  </si>
  <si>
    <t>M242/26</t>
  </si>
  <si>
    <t>Excel 25h</t>
  </si>
  <si>
    <t>?</t>
  </si>
  <si>
    <t>Ainda sem data definida</t>
  </si>
  <si>
    <t>M257/26</t>
  </si>
  <si>
    <t>Confrimar 2ª dia 20-4</t>
  </si>
  <si>
    <t>M105</t>
  </si>
  <si>
    <t>ATE</t>
  </si>
  <si>
    <t>071/26</t>
  </si>
  <si>
    <t>M288/26</t>
  </si>
  <si>
    <t>M229/26</t>
  </si>
  <si>
    <t xml:space="preserve">4H DE MANHÃ </t>
  </si>
  <si>
    <t>Sílvia Lopes - confirmado</t>
  </si>
  <si>
    <t>M080/26</t>
  </si>
  <si>
    <t>Alugada Bombeiros Voluntário Vialonga</t>
  </si>
  <si>
    <t>M245/26</t>
  </si>
  <si>
    <t>M279/26</t>
  </si>
  <si>
    <t>Alugar sala</t>
  </si>
  <si>
    <t>M282/26</t>
  </si>
  <si>
    <t>4h e repete-se no dia 27/06 - aula pática,levar boneco</t>
  </si>
  <si>
    <t>Sala cliente, projector???</t>
  </si>
  <si>
    <t>060/26</t>
  </si>
  <si>
    <t>Tem que ser o Bruno Gomes a dar esta formação</t>
  </si>
  <si>
    <t>Bruno Gome</t>
  </si>
  <si>
    <t>Olival de Bastos</t>
  </si>
  <si>
    <t>Aguardar confirmação da Carolina</t>
  </si>
  <si>
    <t>072/26</t>
  </si>
  <si>
    <t>EXCEL 16H</t>
  </si>
  <si>
    <t>M292</t>
  </si>
  <si>
    <t>M237/26</t>
  </si>
  <si>
    <t>das8h as 17h</t>
  </si>
  <si>
    <t>M277/26</t>
  </si>
  <si>
    <t>M301/26</t>
  </si>
  <si>
    <t>PSETEC</t>
  </si>
  <si>
    <t>23/05/2026  </t>
  </si>
  <si>
    <t>Lisboa</t>
  </si>
  <si>
    <t>M302/26</t>
  </si>
  <si>
    <t>Sala cliente, não tem projetor mas tem tv</t>
  </si>
  <si>
    <t>087/26</t>
  </si>
  <si>
    <t>M272/26</t>
  </si>
  <si>
    <t>098/26</t>
  </si>
  <si>
    <t>Lid</t>
  </si>
  <si>
    <t>M250/26</t>
  </si>
  <si>
    <t>105/26</t>
  </si>
  <si>
    <t>Sala cliente, tem TV</t>
  </si>
  <si>
    <t>M158</t>
  </si>
  <si>
    <t>Rio de Mouro</t>
  </si>
  <si>
    <t>M310/26</t>
  </si>
  <si>
    <t>106/26</t>
  </si>
  <si>
    <t>077/26</t>
  </si>
  <si>
    <t>M293</t>
  </si>
  <si>
    <t>M298/26</t>
  </si>
  <si>
    <t>M159/26</t>
  </si>
  <si>
    <t>M160/26</t>
  </si>
  <si>
    <t>M260/26</t>
  </si>
  <si>
    <t>2 DIAS - 12/06 e 19/06 _ 4H__14h ás 17h30</t>
  </si>
  <si>
    <t>M211/26</t>
  </si>
  <si>
    <t>Figueira Castelo Rodrigo</t>
  </si>
  <si>
    <t>João Antunes????</t>
  </si>
  <si>
    <t>POR CONFIRMAR</t>
  </si>
  <si>
    <t>107/26</t>
  </si>
  <si>
    <t>M289/26</t>
  </si>
  <si>
    <t>M294</t>
  </si>
  <si>
    <t>M223/26</t>
  </si>
  <si>
    <t>Vaongo</t>
  </si>
  <si>
    <t>Sandro Sá -confirmado</t>
  </si>
  <si>
    <t>4h - aula pática,levar boneco</t>
  </si>
  <si>
    <t>M295</t>
  </si>
  <si>
    <t>M214/26</t>
  </si>
  <si>
    <t>M278/26</t>
  </si>
  <si>
    <t>M161/26</t>
  </si>
  <si>
    <t>M162/26</t>
  </si>
  <si>
    <t>M300</t>
  </si>
  <si>
    <t>M238/26</t>
  </si>
  <si>
    <t>M224/26</t>
  </si>
  <si>
    <t>M215/26</t>
  </si>
  <si>
    <t>M283/26</t>
  </si>
  <si>
    <t>4h e repete-se no dia 31/10</t>
  </si>
  <si>
    <t>M261/26</t>
  </si>
  <si>
    <t>100/26</t>
  </si>
  <si>
    <t>M262/26</t>
  </si>
  <si>
    <t>2 DIAS - 13/11 e 20/11 _ 4H__14h ás 17h30</t>
  </si>
  <si>
    <t>101/27</t>
  </si>
  <si>
    <t>M239/26</t>
  </si>
  <si>
    <t>M284/26</t>
  </si>
  <si>
    <t>4h e repete-se no dia 05/12</t>
  </si>
  <si>
    <t>COM PARTE PRATICA - ver se têm extintores / têm local para atear fogo</t>
  </si>
  <si>
    <t>Variação</t>
  </si>
  <si>
    <t>Ações</t>
  </si>
  <si>
    <t>Formandos</t>
  </si>
  <si>
    <t>Análise</t>
  </si>
  <si>
    <t>Presenciais</t>
  </si>
  <si>
    <t>Elearning</t>
  </si>
  <si>
    <t>TOTAL Nº AÇÕES</t>
  </si>
  <si>
    <t>TOTAL Nº FORMANDOS</t>
  </si>
  <si>
    <t>Nº Vend</t>
  </si>
  <si>
    <t>Média Ação/Vendedor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</si>
  <si>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</si>
  <si>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</si>
  <si>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</si>
  <si>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</si>
  <si>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</si>
  <si>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</si>
  <si>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</si>
  <si>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</si>
  <si>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</si>
  <si>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</si>
  <si>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</si>
  <si>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</si>
  <si>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ACUMULADO</t>
  </si>
  <si>
    <t>01/04 a 04/04</t>
  </si>
  <si>
    <t>06/04 a 11/04</t>
  </si>
  <si>
    <t>13/04 a 18/04</t>
  </si>
  <si>
    <t>20/04 a 25/04</t>
  </si>
  <si>
    <t>27/04 a 30/04</t>
  </si>
  <si>
    <t>TOTAL</t>
  </si>
  <si>
    <t>Acima de 15</t>
  </si>
  <si>
    <t>SF/MC</t>
  </si>
  <si>
    <t>MD/FG</t>
  </si>
  <si>
    <t>JM/MS</t>
  </si>
  <si>
    <t>CB/IF</t>
  </si>
  <si>
    <t>TS/SD</t>
  </si>
  <si>
    <t>Alunos Presencial</t>
  </si>
  <si>
    <t>Alunos Elearning</t>
  </si>
  <si>
    <t>Departamento Formação</t>
  </si>
  <si>
    <t>APURAMENTOS</t>
  </si>
  <si>
    <t>Prémio de produtividade de acordo com a seguinte tabela;</t>
  </si>
  <si>
    <t>Prémio de produtividade do mês fevereiro com tudo feito até 31/03</t>
  </si>
  <si>
    <t>Totais</t>
  </si>
  <si>
    <t>Contam para o prémio</t>
  </si>
  <si>
    <t>Parelha</t>
  </si>
  <si>
    <t>euros</t>
  </si>
  <si>
    <t>Grupo</t>
  </si>
  <si>
    <t>Total</t>
  </si>
  <si>
    <t>Parelhas</t>
  </si>
  <si>
    <t>ADM</t>
  </si>
  <si>
    <t>ALL</t>
  </si>
  <si>
    <t>&gt;15</t>
  </si>
  <si>
    <t>Minimo ações</t>
  </si>
  <si>
    <t>Máximo ações</t>
  </si>
  <si>
    <t>Prémios por parelha</t>
  </si>
  <si>
    <t>1+2</t>
  </si>
  <si>
    <t>Dias Mês</t>
  </si>
  <si>
    <t>Nº Formandos</t>
  </si>
  <si>
    <t>Ações N-1</t>
  </si>
  <si>
    <t>Formandos N-1</t>
  </si>
  <si>
    <t>Var % - 1</t>
  </si>
  <si>
    <t>&gt;14 N-1</t>
  </si>
  <si>
    <t>Fromandos N-1</t>
  </si>
  <si>
    <t>Var % - 1 &gt;14</t>
  </si>
  <si>
    <t>Nº ações</t>
  </si>
  <si>
    <t>Dias Trabalhados</t>
  </si>
  <si>
    <t>Nomes</t>
  </si>
  <si>
    <t>Tania Sousa</t>
  </si>
  <si>
    <t>Soraia Dias</t>
  </si>
  <si>
    <t>Mafalda Duque</t>
  </si>
  <si>
    <t>Filipa Gomes</t>
  </si>
  <si>
    <t>Carolina</t>
  </si>
  <si>
    <t>Ines Ferreira</t>
  </si>
  <si>
    <t>Joaquina</t>
  </si>
  <si>
    <t>Margarida</t>
  </si>
  <si>
    <t>Inês</t>
  </si>
  <si>
    <t>Andresa</t>
  </si>
  <si>
    <t>Sara</t>
  </si>
  <si>
    <t>Equipa</t>
  </si>
  <si>
    <t>A Receber</t>
  </si>
  <si>
    <t>4 equipas</t>
  </si>
  <si>
    <t>Avaliação mensal, Condições complementares</t>
  </si>
  <si>
    <t>Nº Açoes</t>
  </si>
  <si>
    <t>Valor Ação</t>
  </si>
  <si>
    <t>Nº colegas</t>
  </si>
  <si>
    <t>Valor individual</t>
  </si>
  <si>
    <t>NORTE</t>
  </si>
  <si>
    <t>Inicio no 1º dia do mês até ao ultimo dia do mês para a realização das ações</t>
  </si>
  <si>
    <t>Individual/Parelha</t>
  </si>
  <si>
    <t>Sofia /Andresa</t>
  </si>
  <si>
    <t>Fecho completo das ações até ao final do mês seguinte</t>
  </si>
  <si>
    <t>Atribuido</t>
  </si>
  <si>
    <t>Pago no mês seguinte ao da realização das mesmas</t>
  </si>
  <si>
    <t>Prémios</t>
  </si>
  <si>
    <t>Valor minimo de 50 euros</t>
  </si>
  <si>
    <t>Area administrativa em dia</t>
  </si>
  <si>
    <t xml:space="preserve">CENTRO </t>
  </si>
  <si>
    <t>Area pedagogica em dia</t>
  </si>
  <si>
    <t>Mês que vem</t>
  </si>
  <si>
    <t>Tânia/Soraia</t>
  </si>
  <si>
    <t>Area operacional/vendas</t>
  </si>
  <si>
    <t xml:space="preserve">Joaquina </t>
  </si>
  <si>
    <t>Média mensal de 15 alunos por ação</t>
  </si>
  <si>
    <t>Minimo possível</t>
  </si>
  <si>
    <t>prémio de parelha recebe-se se o de grupo for atribuido</t>
  </si>
  <si>
    <t>NORTE MED</t>
  </si>
  <si>
    <t>O prémio de grupo implica o fecho de todas as ações do mês</t>
  </si>
  <si>
    <t>Mafalda/Filipa</t>
  </si>
  <si>
    <t>Para receber o prémio terá de estar presente nos 2 meses de operacionalização</t>
  </si>
  <si>
    <t>Todas as ações e não apenas as que contam para o prémio têm de estar fechadas</t>
  </si>
  <si>
    <t>A Atribuição do prémio (grupo + invidivual) é proporcional aos dias trabalhados (premio a / por 20 dias * nº dias trabalhado)</t>
  </si>
  <si>
    <t>CENTRO SUL</t>
  </si>
  <si>
    <t>*Verificado no servidor, calendário, CRM</t>
  </si>
  <si>
    <t>Carolina/Inês</t>
  </si>
  <si>
    <t>A verificação é efetuada por departamento autonomo</t>
  </si>
  <si>
    <t>As ações elearning são seguidas pelas operacionais</t>
  </si>
  <si>
    <t>Os certificados das ações elearning são efetuados pela parelha/grupo (ou por divisão da SQ)</t>
  </si>
  <si>
    <t>Não podem existir chamadas em atraso à data do fecho do mês</t>
  </si>
  <si>
    <t>TACOVIA</t>
  </si>
  <si>
    <t>Não podem existir formações com datas passadas à data do fecho do mês</t>
  </si>
  <si>
    <t>Joaquina/Margarida</t>
  </si>
  <si>
    <t>As formações elarning contam para o acumulado das ações, quanto ao prédio conta como 1, mesmo que tenham sido mais do que 1 colega a colocar, e é dividido por regra 3/simples</t>
  </si>
  <si>
    <t>Equipa estável e com 5 parelhas</t>
  </si>
  <si>
    <t>Mensal</t>
  </si>
  <si>
    <t>Euros</t>
  </si>
  <si>
    <t>Nº de ações acima do nº das do ano anterior em 10%</t>
  </si>
  <si>
    <t>Média de nº de alunos acima do ano anterior 10%</t>
  </si>
  <si>
    <t>Aumento do nº de ações elarning comparativa a N-1 em 20%</t>
  </si>
  <si>
    <t>Aumento de alunos acima do N-1 - em 20%</t>
  </si>
  <si>
    <t>10% - Sobre os prémios da equipa</t>
  </si>
  <si>
    <t>Prémio qualitativo avaliado pelo JF mensalmente</t>
  </si>
  <si>
    <t>Prémio de produtividade do mês março com tudo feito até 30/04</t>
  </si>
  <si>
    <t>Ana</t>
  </si>
  <si>
    <t>Sofia /Ana</t>
  </si>
  <si>
    <t>cvbgbh</t>
  </si>
  <si>
    <t>CENTRO</t>
  </si>
  <si>
    <t>PRESENCIAIS</t>
  </si>
  <si>
    <t>E-LEARNING</t>
  </si>
  <si>
    <t>TOTAL formandos</t>
  </si>
  <si>
    <t>Média</t>
  </si>
  <si>
    <t>Vendedores</t>
  </si>
  <si>
    <t>Ações em aberto</t>
  </si>
  <si>
    <t>Média ações p/vendedor</t>
  </si>
  <si>
    <t>Ações/vendedor</t>
  </si>
  <si>
    <t>Percentagem de fecho</t>
  </si>
  <si>
    <t>%/Todo</t>
  </si>
  <si>
    <t>Formandos/Ação</t>
  </si>
  <si>
    <t>Seepmode</t>
  </si>
  <si>
    <t>Tacovia</t>
  </si>
  <si>
    <t>%</t>
  </si>
  <si>
    <t>TOP OP</t>
  </si>
  <si>
    <t>Norte Mode</t>
  </si>
  <si>
    <t>Sofia/Ana</t>
  </si>
  <si>
    <t>Centro Sul</t>
  </si>
  <si>
    <t>Carolina/Inês Ferreira</t>
  </si>
  <si>
    <t>Centro</t>
  </si>
  <si>
    <t>Norte Med</t>
  </si>
  <si>
    <t>ROTAS DEPARTAMENTO FORMAÇÃO</t>
  </si>
  <si>
    <t>Empresa</t>
  </si>
  <si>
    <t>Nome</t>
  </si>
  <si>
    <t>ZONA</t>
  </si>
  <si>
    <t>OPERACIONAL</t>
  </si>
  <si>
    <t>ADMINISTRATIVA</t>
  </si>
  <si>
    <t>Telemóvel</t>
  </si>
  <si>
    <t>Email</t>
  </si>
  <si>
    <t>Seepmed</t>
  </si>
  <si>
    <t>Carla Joaquim</t>
  </si>
  <si>
    <t>Vendas SST Lx Centro</t>
  </si>
  <si>
    <t>Carolina Baeta</t>
  </si>
  <si>
    <t>Inês Ferreira</t>
  </si>
  <si>
    <t xml:space="preserve">carlajoaquim@seepmed.pt </t>
  </si>
  <si>
    <t>Carlos Malarranha</t>
  </si>
  <si>
    <t>Vendas SST Lx Oeste II</t>
  </si>
  <si>
    <t>914 023 033</t>
  </si>
  <si>
    <t xml:space="preserve">joaopires@seepmed.pt </t>
  </si>
  <si>
    <t>Carlos Pinheiro</t>
  </si>
  <si>
    <t>Vendas SM Lx Norte</t>
  </si>
  <si>
    <t>933 500 133    </t>
  </si>
  <si>
    <t>carlospinheiro@seepmode.com</t>
  </si>
  <si>
    <t>Casimiro Gomes</t>
  </si>
  <si>
    <t>Vendas SM Norte Braga Norte</t>
  </si>
  <si>
    <t>Ana Castanheira</t>
  </si>
  <si>
    <t xml:space="preserve">casimirogomes@seepmode.com </t>
  </si>
  <si>
    <t>Taco</t>
  </si>
  <si>
    <t>Claudia Gomes</t>
  </si>
  <si>
    <t>Vendas TcV Centro Oeste</t>
  </si>
  <si>
    <t xml:space="preserve">cgomes@tacovia.eu </t>
  </si>
  <si>
    <t>Cristina Trindade</t>
  </si>
  <si>
    <t>Vendas TcV Lx Oeste</t>
  </si>
  <si>
    <t xml:space="preserve">ctrindade@tacovia.eu </t>
  </si>
  <si>
    <t>Dália Sousa</t>
  </si>
  <si>
    <t>Vendas SST Porto Cidade</t>
  </si>
  <si>
    <t xml:space="preserve">daliasousa@seepmed.pt </t>
  </si>
  <si>
    <t>Feizal Mayet</t>
  </si>
  <si>
    <t>Vendas SST Lx Oeste</t>
  </si>
  <si>
    <t>933 595 616</t>
  </si>
  <si>
    <t xml:space="preserve">feizalmayet@seepmed.pt </t>
  </si>
  <si>
    <t>Filipe Coelho</t>
  </si>
  <si>
    <t>Vendas SST Lx Centro Oeste</t>
  </si>
  <si>
    <t>910 202 421</t>
  </si>
  <si>
    <t xml:space="preserve">filipecoelho@seepmed.pt </t>
  </si>
  <si>
    <t>Filipe Folgado</t>
  </si>
  <si>
    <t>Vendas TcV Lx Norte</t>
  </si>
  <si>
    <t xml:space="preserve">ffolgado@tacovia.eu </t>
  </si>
  <si>
    <t>Filipe Sousa</t>
  </si>
  <si>
    <t>Vendas TcV Porto Norte Minho</t>
  </si>
  <si>
    <t xml:space="preserve">fsousa@tacovia.eu </t>
  </si>
  <si>
    <t>Francisco Andrade</t>
  </si>
  <si>
    <t>Vendas SST Braga Barcelos</t>
  </si>
  <si>
    <t xml:space="preserve">franciscoandrade@seepmed.pt </t>
  </si>
  <si>
    <t>Gustavo Azevedo</t>
  </si>
  <si>
    <t>Vendas SM Centro Leiria</t>
  </si>
  <si>
    <t>gustavazevedo@seepmode.com </t>
  </si>
  <si>
    <t>Hélder Emídio</t>
  </si>
  <si>
    <t>Vendas SM Centro Coimbra Interior</t>
  </si>
  <si>
    <t>Joaquina Mourato</t>
  </si>
  <si>
    <t>Margarida Silva</t>
  </si>
  <si>
    <t xml:space="preserve">helderemidio@seepmode.com </t>
  </si>
  <si>
    <t>Herculano Dias</t>
  </si>
  <si>
    <t>Vendas SM Norte Porto Aveiro</t>
  </si>
  <si>
    <t xml:space="preserve">herculanodias@seepmode.com </t>
  </si>
  <si>
    <t>Inês Viegas</t>
  </si>
  <si>
    <t>Vendas SM Centro Viseu</t>
  </si>
  <si>
    <t xml:space="preserve">joaoantunes@seepmode.com </t>
  </si>
  <si>
    <t>Isabel Fernandes</t>
  </si>
  <si>
    <t>Vendas SM Centro Coimbra</t>
  </si>
  <si>
    <t xml:space="preserve">isabelfernandes@seepmode.com </t>
  </si>
  <si>
    <t>João Coelho</t>
  </si>
  <si>
    <t>Vendas SM Lx Margem Sul</t>
  </si>
  <si>
    <t xml:space="preserve">joaocoelho@seepmode.com </t>
  </si>
  <si>
    <t>Vendas SST Lx Sul</t>
  </si>
  <si>
    <t>937 010 267</t>
  </si>
  <si>
    <t xml:space="preserve">joaogomes@seepmed.pt </t>
  </si>
  <si>
    <t>Vendas SM Lx</t>
  </si>
  <si>
    <t>Vendas SM Norte Braga Sul</t>
  </si>
  <si>
    <t xml:space="preserve"> jorgeaugusto@seepmode.com</t>
  </si>
  <si>
    <t>José Fernandes</t>
  </si>
  <si>
    <t>Vendas SM Norte Porto Interior</t>
  </si>
  <si>
    <t>josefernandes@seepmode.com</t>
  </si>
  <si>
    <t>José Pires</t>
  </si>
  <si>
    <t>josepires@seepmode.com</t>
  </si>
  <si>
    <t>Luis Candeias</t>
  </si>
  <si>
    <t>Vendas TcV Lx MSul</t>
  </si>
  <si>
    <t xml:space="preserve">rbranco@tacovia.eu </t>
  </si>
  <si>
    <t>Luis Oliveira</t>
  </si>
  <si>
    <t>Vendas TcV Centro Norte Interior</t>
  </si>
  <si>
    <t xml:space="preserve">loliveira@tacovia.eu </t>
  </si>
  <si>
    <t>Vendas SST Braga Centro</t>
  </si>
  <si>
    <t xml:space="preserve">marcelofernandes@seepmed.pt </t>
  </si>
  <si>
    <t>Maria Fernandes</t>
  </si>
  <si>
    <t xml:space="preserve">mariafernandes@seepmode.com </t>
  </si>
  <si>
    <t>Mauro Silva</t>
  </si>
  <si>
    <t>Vendas SM Norte Porto Sul</t>
  </si>
  <si>
    <t>maurosilva@seepmode.com</t>
  </si>
  <si>
    <t>Miguel Loureiro</t>
  </si>
  <si>
    <t>Vendas TcV Porto Sul</t>
  </si>
  <si>
    <t xml:space="preserve">mloureiro@tacovia.eu </t>
  </si>
  <si>
    <t>Vendas SM Centro Coimbra Norte</t>
  </si>
  <si>
    <t>miguelperdigao@seepmode.com</t>
  </si>
  <si>
    <t>Miguel Pinto</t>
  </si>
  <si>
    <t>Vendas SST Porto Sul</t>
  </si>
  <si>
    <t xml:space="preserve">miguelpinto@seepmed.pt </t>
  </si>
  <si>
    <t>Nuno Costa</t>
  </si>
  <si>
    <t>Vendas TcV Lx Alentejo</t>
  </si>
  <si>
    <t xml:space="preserve">ncosta@tacovia.eu </t>
  </si>
  <si>
    <t>Nuno Freitas</t>
  </si>
  <si>
    <t>Vendas TcV Porto Norte Interior</t>
  </si>
  <si>
    <t>nfreitas@tacovia.eu</t>
  </si>
  <si>
    <t>Nuno Marques</t>
  </si>
  <si>
    <t>Vendas TcV Porto Centro Norte</t>
  </si>
  <si>
    <t xml:space="preserve">nmarques@tacovia.eu </t>
  </si>
  <si>
    <t>Paulo L Algarve</t>
  </si>
  <si>
    <t>Vendas SM Lx Algarve</t>
  </si>
  <si>
    <t xml:space="preserve">joaomartinho@seepmode.com </t>
  </si>
  <si>
    <t>Paulo Livramento</t>
  </si>
  <si>
    <t>Vendas SM Lx Alentejo</t>
  </si>
  <si>
    <t>paulolivramento@seepmode.com</t>
  </si>
  <si>
    <t>Paulo Martins</t>
  </si>
  <si>
    <t>Vendas SST Porto Litoral</t>
  </si>
  <si>
    <t xml:space="preserve">paulomartins@seepmed.pt </t>
  </si>
  <si>
    <t>Pedro Moura</t>
  </si>
  <si>
    <t>Vendas SM Norte Braga</t>
  </si>
  <si>
    <t>pedromoura@seepmode.com</t>
  </si>
  <si>
    <t>Vendas SM Norte Porto Norte</t>
  </si>
  <si>
    <t>pedropereira@seepmode.com</t>
  </si>
  <si>
    <t>Vendas TcV Centro Norte</t>
  </si>
  <si>
    <t xml:space="preserve">rpimentel@tacovia.eu </t>
  </si>
  <si>
    <t>Rúben Amaral</t>
  </si>
  <si>
    <t>Vendas TcV Centro Este</t>
  </si>
  <si>
    <t xml:space="preserve">ramaral@tacovia.eu </t>
  </si>
  <si>
    <t>Rui Castro</t>
  </si>
  <si>
    <t>Vendas SST Porto Este</t>
  </si>
  <si>
    <t xml:space="preserve">ruicastro@seepmed.pt </t>
  </si>
  <si>
    <t>Rui Machado</t>
  </si>
  <si>
    <t>Vendas SST Braga Guimarães</t>
  </si>
  <si>
    <t xml:space="preserve">ruimachado@seepmed.pt </t>
  </si>
  <si>
    <t>Rute Bastos</t>
  </si>
  <si>
    <t>Vendas SST Lx Norte</t>
  </si>
  <si>
    <t>928 060 211</t>
  </si>
  <si>
    <t>rutebastos@seepmed.pt</t>
  </si>
  <si>
    <t>Susana Soares</t>
  </si>
  <si>
    <t>Vendas TcV Centro Sul</t>
  </si>
  <si>
    <t xml:space="preserve">ssoares@tacovia.eu </t>
  </si>
  <si>
    <t>Vendas TcV Porto Centro</t>
  </si>
  <si>
    <t>svaz@tacovia.eu</t>
  </si>
  <si>
    <t>Tiago Rodrigues</t>
  </si>
  <si>
    <t>Vendas SM Centro Viseu Interior</t>
  </si>
  <si>
    <t xml:space="preserve"> tiagorodrigues@seepmode.com </t>
  </si>
  <si>
    <t>Vitor Sousa</t>
  </si>
  <si>
    <t xml:space="preserve">vitorsousa@seepmode.com </t>
  </si>
  <si>
    <t>Vendedores Norte - Sofia Fonseca</t>
  </si>
  <si>
    <t>Vendedores Norte Med - Mafalda Duque</t>
  </si>
  <si>
    <t>Vendedores Centro  - Tânia Sousa</t>
  </si>
  <si>
    <t>Vendedores Centro Sul - Carolina Baeta</t>
  </si>
  <si>
    <t>Vendedores Tacovia - Joaquina Mourato</t>
  </si>
  <si>
    <t>RESPONSÁVEL</t>
  </si>
  <si>
    <t>Coluna1</t>
  </si>
  <si>
    <t>Coluna2</t>
  </si>
  <si>
    <t>NACIONAL</t>
  </si>
  <si>
    <r>
      <rPr>
        <b/>
        <sz val="12"/>
        <color theme="1"/>
        <rFont val="Calibri"/>
        <family val="2"/>
        <scheme val="minor"/>
      </rPr>
      <t>Fernando Pinto</t>
    </r>
    <r>
      <rPr>
        <sz val="12"/>
        <color theme="1"/>
        <rFont val="Calibri"/>
        <family val="2"/>
        <scheme val="minor"/>
      </rPr>
      <t xml:space="preserve"> - </t>
    </r>
    <r>
      <rPr>
        <b/>
        <sz val="12"/>
        <color theme="1"/>
        <rFont val="Calibri"/>
        <family val="2"/>
        <scheme val="minor"/>
      </rPr>
      <t>933886415</t>
    </r>
  </si>
  <si>
    <t>Bruno Gomes - 932650959</t>
  </si>
  <si>
    <t>André Rodrigues - 932628949</t>
  </si>
  <si>
    <t>BRAGA</t>
  </si>
  <si>
    <r>
      <rPr>
        <b/>
        <sz val="12"/>
        <color theme="1"/>
        <rFont val="Calibri"/>
        <family val="2"/>
        <scheme val="minor"/>
      </rPr>
      <t>Jorge Augusto</t>
    </r>
    <r>
      <rPr>
        <sz val="12"/>
        <color theme="1"/>
        <rFont val="Calibri"/>
        <family val="2"/>
        <scheme val="minor"/>
      </rPr>
      <t xml:space="preserve"> - 936957077</t>
    </r>
  </si>
  <si>
    <r>
      <rPr>
        <b/>
        <sz val="12"/>
        <color theme="1"/>
        <rFont val="Calibri"/>
        <family val="2"/>
        <scheme val="minor"/>
      </rPr>
      <t xml:space="preserve">Sandro Sá </t>
    </r>
    <r>
      <rPr>
        <sz val="12"/>
        <color theme="1"/>
        <rFont val="Calibri"/>
        <family val="2"/>
        <scheme val="minor"/>
      </rPr>
      <t>- 933500127</t>
    </r>
  </si>
  <si>
    <t>PORTO</t>
  </si>
  <si>
    <r>
      <t>Bruno Gomes</t>
    </r>
    <r>
      <rPr>
        <sz val="12"/>
        <color theme="1"/>
        <rFont val="Calibri"/>
        <family val="2"/>
        <scheme val="minor"/>
      </rPr>
      <t xml:space="preserve"> - 932650959</t>
    </r>
  </si>
  <si>
    <r>
      <rPr>
        <b/>
        <sz val="12"/>
        <color theme="1"/>
        <rFont val="Calibri"/>
        <family val="2"/>
        <scheme val="minor"/>
      </rPr>
      <t>Sandro Sá</t>
    </r>
    <r>
      <rPr>
        <sz val="12"/>
        <color theme="1"/>
        <rFont val="Calibri"/>
        <family val="2"/>
        <scheme val="minor"/>
      </rPr>
      <t xml:space="preserve"> - 933500127</t>
    </r>
  </si>
  <si>
    <t>centrosul</t>
  </si>
  <si>
    <t>COIMBRA</t>
  </si>
  <si>
    <r>
      <rPr>
        <b/>
        <sz val="12"/>
        <color theme="1"/>
        <rFont val="Calibri"/>
        <family val="2"/>
        <scheme val="minor"/>
      </rPr>
      <t>João Antunes</t>
    </r>
    <r>
      <rPr>
        <sz val="12"/>
        <color theme="1"/>
        <rFont val="Calibri"/>
        <family val="2"/>
        <scheme val="minor"/>
      </rPr>
      <t xml:space="preserve"> - 933521952</t>
    </r>
  </si>
  <si>
    <r>
      <rPr>
        <b/>
        <sz val="12"/>
        <color theme="1"/>
        <rFont val="Calibri"/>
        <family val="2"/>
        <scheme val="minor"/>
      </rPr>
      <t>José Lopez</t>
    </r>
    <r>
      <rPr>
        <sz val="12"/>
        <color theme="1"/>
        <rFont val="Calibri"/>
        <family val="2"/>
        <scheme val="minor"/>
      </rPr>
      <t xml:space="preserve"> - 928115354</t>
    </r>
  </si>
  <si>
    <t>cnorte</t>
  </si>
  <si>
    <t>VISEU</t>
  </si>
  <si>
    <t>smed norte</t>
  </si>
  <si>
    <t>LEIRIA</t>
  </si>
  <si>
    <r>
      <rPr>
        <b/>
        <sz val="12"/>
        <color theme="1"/>
        <rFont val="Calibri"/>
        <family val="2"/>
        <scheme val="minor"/>
      </rPr>
      <t>José Pires</t>
    </r>
    <r>
      <rPr>
        <sz val="12"/>
        <color theme="1"/>
        <rFont val="Calibri"/>
        <family val="2"/>
        <scheme val="minor"/>
      </rPr>
      <t xml:space="preserve"> - 930583422</t>
    </r>
  </si>
  <si>
    <t>sm norte</t>
  </si>
  <si>
    <t>LISBOA</t>
  </si>
  <si>
    <r>
      <rPr>
        <b/>
        <sz val="12"/>
        <color theme="1"/>
        <rFont val="Calibri"/>
        <family val="2"/>
        <scheme val="minor"/>
      </rPr>
      <t xml:space="preserve">João Coelho </t>
    </r>
    <r>
      <rPr>
        <sz val="12"/>
        <color theme="1"/>
        <rFont val="Calibri"/>
        <family val="2"/>
        <scheme val="minor"/>
      </rPr>
      <t>- 932572199</t>
    </r>
  </si>
  <si>
    <r>
      <rPr>
        <b/>
        <sz val="12"/>
        <color theme="1"/>
        <rFont val="Calibri"/>
        <family val="2"/>
        <scheme val="minor"/>
      </rPr>
      <t>Frederico Moreira</t>
    </r>
    <r>
      <rPr>
        <sz val="12"/>
        <color theme="1"/>
        <rFont val="Calibri"/>
        <family val="2"/>
        <scheme val="minor"/>
      </rPr>
      <t xml:space="preserve"> - 932650968</t>
    </r>
  </si>
  <si>
    <t>tac</t>
  </si>
  <si>
    <t>MED</t>
  </si>
  <si>
    <t>MOD</t>
  </si>
  <si>
    <t>TcV</t>
  </si>
  <si>
    <t>MED norte</t>
  </si>
  <si>
    <t>MODE</t>
  </si>
  <si>
    <t>Norte</t>
  </si>
  <si>
    <t>Patricia Pereira</t>
  </si>
  <si>
    <t>BRG</t>
  </si>
  <si>
    <t>Maria João</t>
  </si>
  <si>
    <t>Luis Milheiro</t>
  </si>
  <si>
    <t>Sul</t>
  </si>
  <si>
    <t>PRT</t>
  </si>
  <si>
    <t>A</t>
  </si>
  <si>
    <t>Com 4 avançamos assim, com 3 fica o que esta acima</t>
  </si>
  <si>
    <t>VIS</t>
  </si>
  <si>
    <t>Centro Norte</t>
  </si>
  <si>
    <t>MED Sul</t>
  </si>
  <si>
    <t>LRA</t>
  </si>
  <si>
    <t>Ruben Branco</t>
  </si>
  <si>
    <t>LX</t>
  </si>
  <si>
    <t>Inês Diogo</t>
  </si>
  <si>
    <t>Gustav Azevedo</t>
  </si>
  <si>
    <t>NC</t>
  </si>
  <si>
    <t>B</t>
  </si>
  <si>
    <t>Norte MED</t>
  </si>
  <si>
    <t>Formações</t>
  </si>
  <si>
    <t>cb</t>
  </si>
  <si>
    <t>LVT</t>
  </si>
  <si>
    <t>Sofia</t>
  </si>
  <si>
    <t>Mafalda</t>
  </si>
  <si>
    <t xml:space="preserve">Centro </t>
  </si>
  <si>
    <t>Tania</t>
  </si>
  <si>
    <t>venas nacionais</t>
  </si>
  <si>
    <t>porto cidade</t>
  </si>
  <si>
    <t>FORMAÇÃO - Sites importntes</t>
  </si>
  <si>
    <t>Entidade</t>
  </si>
  <si>
    <t>User</t>
  </si>
  <si>
    <t>password</t>
  </si>
  <si>
    <t>NIF</t>
  </si>
  <si>
    <t>IMT</t>
  </si>
  <si>
    <t>ttps://servicos.imtt.pt/Login.aspx 507743997</t>
  </si>
  <si>
    <t>http://plc.imtt.pt/plcweb/online/userhomepage.zul 507743997</t>
  </si>
  <si>
    <t>PATRICIACOSTA</t>
  </si>
  <si>
    <t>AaseeP18-</t>
  </si>
  <si>
    <t xml:space="preserve">http://plc.imtt.pt/plcweb/online/userhomepage.zul          </t>
  </si>
  <si>
    <t xml:space="preserve">JOAOFERREIRA    </t>
  </si>
  <si>
    <t>seepmode</t>
  </si>
  <si>
    <t>TACOVIA_</t>
  </si>
  <si>
    <t>IEFP</t>
  </si>
  <si>
    <t>joaoferreira@seepmode.com</t>
  </si>
  <si>
    <t>ondiophe111</t>
  </si>
  <si>
    <t xml:space="preserve">[08/11/16, 12:03:14] Helena Fernandes: http://sigo.gepe.min-edu.pt/areareservada/ </t>
  </si>
  <si>
    <t>• Utilizador: 10821</t>
  </si>
  <si>
    <t>DGERT</t>
  </si>
  <si>
    <t xml:space="preserve">  http://certifica.dgert.gov.pt/               </t>
  </si>
  <si>
    <t>• Senha: vcx5827527</t>
  </si>
  <si>
    <t>SEEPMODE</t>
  </si>
  <si>
    <t xml:space="preserve">User: usr44771        </t>
  </si>
  <si>
    <t>pass: 840419</t>
  </si>
  <si>
    <t>[08/11/16, 12:03:29] Helena Fernandes: Pass Balcão 2020 - SEEP</t>
  </si>
  <si>
    <t>SEEPFORM</t>
  </si>
  <si>
    <t>usr48810</t>
  </si>
  <si>
    <t>SEEPMED</t>
  </si>
  <si>
    <t xml:space="preserve">usr48707 </t>
  </si>
  <si>
    <t>SIGO_Seepmode</t>
  </si>
  <si>
    <t xml:space="preserve">http://sigo.gepe.min-edu.pt/areareservada/ </t>
  </si>
  <si>
    <t>Seepmode2017</t>
  </si>
  <si>
    <t>Utilizador Nominal do Sigo para proceder a alterações (#JN 10/12/20)</t>
  </si>
  <si>
    <t xml:space="preserve">seepmode2020 </t>
  </si>
  <si>
    <t>Pass Balcão 2020 - Golden</t>
  </si>
  <si>
    <t>SIGO_Seepmed</t>
  </si>
  <si>
    <t>https://www.sigo.pt/Login.jsp</t>
  </si>
  <si>
    <t>Seepmed2022</t>
  </si>
  <si>
    <t>Utilizador Nominal do Sigo para proceder a alterações (#JN 16/03/22)</t>
  </si>
  <si>
    <t>seepmed22</t>
  </si>
  <si>
    <t>SIGO_Tacovia</t>
  </si>
  <si>
    <t>Tacovia2022</t>
  </si>
  <si>
    <t>tacovia22</t>
  </si>
  <si>
    <t>FORMA TE</t>
  </si>
  <si>
    <t>https://www.forma-te.com/</t>
  </si>
  <si>
    <t>USER: formacaoseepmode</t>
  </si>
  <si>
    <t>PASS: formacaoseepmode</t>
  </si>
  <si>
    <t>User: 508427827</t>
  </si>
  <si>
    <t>Ferreira13</t>
  </si>
  <si>
    <t>Linkdin Seepmode</t>
  </si>
  <si>
    <t>www.linkdin.com</t>
  </si>
  <si>
    <t>seepmodept@gmail.com</t>
  </si>
  <si>
    <t>seepmode2016</t>
  </si>
  <si>
    <t>Analise de Cv de formadores</t>
  </si>
  <si>
    <t>CNQ - Registo</t>
  </si>
  <si>
    <t>www.cqn.pt</t>
  </si>
  <si>
    <t>User Seepmode</t>
  </si>
  <si>
    <t>Password - seepmode16</t>
  </si>
  <si>
    <t>Código de Registo: 4479</t>
  </si>
  <si>
    <t>Registo obrigatorio para efeito das modulares</t>
  </si>
  <si>
    <t>Balcao2020</t>
  </si>
  <si>
    <t>https://balcao.portugal2020.pt/Balcao2020.idp/RequestLoginAndPassword.aspx</t>
  </si>
  <si>
    <t>POISE</t>
  </si>
  <si>
    <t>Golden</t>
  </si>
  <si>
    <t>NETFORCE</t>
  </si>
  <si>
    <t>FORMACAO@SEEPMODE.COM</t>
  </si>
  <si>
    <t>https://netforce.iefp.pt/pt-PT/ENT/Home/CreateMenu</t>
  </si>
  <si>
    <t>info@seepmode.com</t>
  </si>
  <si>
    <t>stanvehe11</t>
  </si>
  <si>
    <t>OPP</t>
  </si>
  <si>
    <t>recrutamento@seepmode.com</t>
  </si>
  <si>
    <t>5HLECUAD</t>
  </si>
  <si>
    <t>Plataforma TEAMS - CAM IMT</t>
  </si>
  <si>
    <t>ef.302.seepmode@imtformacao.onmicrosoft.com</t>
  </si>
  <si>
    <t>g22Seep-P</t>
  </si>
  <si>
    <t>Google form Seepmode</t>
  </si>
  <si>
    <t>seepform2@gmail.com</t>
  </si>
  <si>
    <t>seepgroup18%</t>
  </si>
  <si>
    <t>user</t>
  </si>
  <si>
    <t>pass</t>
  </si>
  <si>
    <t>http://www.net-empregos.com/LoginE.asp</t>
  </si>
  <si>
    <t xml:space="preserve"> seepmode </t>
  </si>
  <si>
    <t>seepjob</t>
  </si>
  <si>
    <t>https://login.sapo.pt</t>
  </si>
  <si>
    <t xml:space="preserve">info@seepmode.com </t>
  </si>
  <si>
    <t>https://www.net-empregos.com/LoginE.asp</t>
  </si>
  <si>
    <t xml:space="preserve">info@seepform.pt </t>
  </si>
  <si>
    <t>Seepform18</t>
  </si>
  <si>
    <t>https://login.sapo.pt/</t>
  </si>
  <si>
    <t>Seepform18FT%</t>
  </si>
  <si>
    <t>TIPO AÇÃO</t>
  </si>
  <si>
    <t>Nº AÇÃO</t>
  </si>
  <si>
    <t>NOME AÇÃO</t>
  </si>
  <si>
    <t>DATA</t>
  </si>
  <si>
    <t>LOCAL</t>
  </si>
  <si>
    <t>Nº FORMANDOS</t>
  </si>
  <si>
    <t>ANOTAÇÕES</t>
  </si>
  <si>
    <t>FORMADOR</t>
  </si>
  <si>
    <t>SALA/PROJETOR</t>
  </si>
  <si>
    <t>FAZER DTP</t>
  </si>
  <si>
    <t>Sala cliente projetor? Confirmar</t>
  </si>
  <si>
    <t>DTP feito - enviar conteudos por email e imprimir tudo para o joao martinho entregar</t>
  </si>
  <si>
    <t xml:space="preserve">Vitor Costa </t>
  </si>
  <si>
    <t>neste dia e dia 22 - 4h manhã</t>
  </si>
  <si>
    <t>Sílvia Lopes enviar o quanto antes os documentos e power point e dizer que o dtp será entregue</t>
  </si>
  <si>
    <t>4h manhã</t>
  </si>
  <si>
    <t xml:space="preserve">Sílvia Lopes </t>
  </si>
  <si>
    <t>neste dia e dia 15 de maio  - 4h manhã</t>
  </si>
  <si>
    <t>4 h manhã</t>
  </si>
  <si>
    <t>Sílvia Lopes</t>
  </si>
  <si>
    <t>Sala cliente, projector?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</si>
</sst>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dd\-mm\-yyyy;@"/>
    <numFmt numFmtId="166" formatCode="#,##0.00\ &quot;€&quot;"/>
    <numFmt numFmtId="167" formatCode="0.0%"/>
    <numFmt numFmtId="168" formatCode="#,##0.00\ _€"/>
    <numFmt numFmtId="169" formatCode="[$€-2]\ #,##0.00"/>
    <numFmt numFmtId="170" formatCode="[$-816]mmmm\ yy;@"/>
  </numFmts>
  <fonts count="7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-webkit-standard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-webkit-standard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323130"/>
      <name val="Arial"/>
      <family val="2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7030A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sz val="11"/>
      <color rgb="FF1F1F1F"/>
      <name val="Calibri"/>
      <family val="2"/>
      <scheme val="minor"/>
    </font>
    <font>
      <u/>
      <sz val="12"/>
      <color theme="10"/>
      <name val="Calibri"/>
      <family val="2"/>
    </font>
    <font>
      <b/>
      <i/>
      <sz val="14"/>
      <color theme="0"/>
      <name val="Calibri"/>
      <family val="2"/>
      <scheme val="minor"/>
    </font>
    <font>
      <b/>
      <sz val="11"/>
      <color rgb="FF534D64"/>
      <name val="Calibri"/>
      <family val="2"/>
      <scheme val="minor"/>
    </font>
    <font>
      <sz val="11"/>
      <color rgb="FF534D64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0"/>
      <color rgb="FF7030A0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9" fontId="11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164" fontId="11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</cellStyleXfs>
  <cellXfs count="948">
    <xf numFmtId="0" fontId="0" fillId="0" borderId="0" xfId="0"/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165" fontId="0" fillId="0" borderId="0" xfId="0" applyNumberFormat="1"/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9" fillId="0" borderId="0" xfId="0" applyFont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4" fontId="14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165" fontId="13" fillId="0" borderId="2" xfId="0" applyNumberFormat="1" applyFont="1" applyBorder="1" applyAlignment="1">
      <alignment horizontal="left"/>
    </xf>
    <xf numFmtId="165" fontId="13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2" xfId="0" applyNumberFormat="1" applyBorder="1"/>
    <xf numFmtId="0" fontId="12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3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165" fontId="0" fillId="3" borderId="0" xfId="0" applyNumberFormat="1" applyFill="1"/>
    <xf numFmtId="165" fontId="13" fillId="3" borderId="0" xfId="0" applyNumberFormat="1" applyFont="1" applyFill="1" applyAlignment="1">
      <alignment horizontal="left"/>
    </xf>
    <xf numFmtId="0" fontId="12" fillId="3" borderId="0" xfId="0" applyFont="1" applyFill="1"/>
    <xf numFmtId="0" fontId="12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4" fontId="12" fillId="2" borderId="8" xfId="0" applyNumberFormat="1" applyFont="1" applyFill="1" applyBorder="1" applyAlignment="1">
      <alignment horizontal="center"/>
    </xf>
    <xf numFmtId="1" fontId="12" fillId="2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4" fontId="12" fillId="0" borderId="10" xfId="0" applyNumberFormat="1" applyFont="1" applyBorder="1" applyAlignment="1">
      <alignment horizontal="center"/>
    </xf>
    <xf numFmtId="4" fontId="12" fillId="3" borderId="0" xfId="0" applyNumberFormat="1" applyFont="1" applyFill="1" applyAlignment="1">
      <alignment horizontal="center"/>
    </xf>
    <xf numFmtId="10" fontId="12" fillId="3" borderId="0" xfId="1" applyNumberFormat="1" applyFont="1" applyFill="1" applyAlignment="1">
      <alignment horizontal="center"/>
    </xf>
    <xf numFmtId="4" fontId="12" fillId="3" borderId="10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4" fontId="12" fillId="3" borderId="2" xfId="0" applyNumberFormat="1" applyFont="1" applyFill="1" applyBorder="1" applyAlignment="1">
      <alignment horizontal="center"/>
    </xf>
    <xf numFmtId="1" fontId="12" fillId="3" borderId="2" xfId="0" applyNumberFormat="1" applyFont="1" applyFill="1" applyBorder="1" applyAlignment="1">
      <alignment horizontal="center"/>
    </xf>
    <xf numFmtId="4" fontId="12" fillId="3" borderId="0" xfId="0" applyNumberFormat="1" applyFont="1" applyFill="1"/>
    <xf numFmtId="4" fontId="0" fillId="3" borderId="0" xfId="0" applyNumberFormat="1" applyFill="1"/>
    <xf numFmtId="10" fontId="13" fillId="3" borderId="0" xfId="1" applyNumberFormat="1" applyFont="1" applyFill="1" applyAlignment="1">
      <alignment horizontal="left"/>
    </xf>
    <xf numFmtId="165" fontId="12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0" xfId="7" applyFont="1"/>
    <xf numFmtId="164" fontId="0" fillId="0" borderId="0" xfId="7" applyFont="1" applyAlignment="1">
      <alignment horizontal="center"/>
    </xf>
    <xf numFmtId="164" fontId="14" fillId="0" borderId="0" xfId="7" applyFont="1" applyAlignment="1">
      <alignment horizontal="center" vertical="center" wrapText="1"/>
    </xf>
    <xf numFmtId="1" fontId="12" fillId="4" borderId="10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4" fontId="13" fillId="3" borderId="1" xfId="0" applyNumberFormat="1" applyFont="1" applyFill="1" applyBorder="1" applyAlignment="1">
      <alignment horizontal="left"/>
    </xf>
    <xf numFmtId="1" fontId="12" fillId="3" borderId="10" xfId="0" applyNumberFormat="1" applyFont="1" applyFill="1" applyBorder="1" applyAlignment="1">
      <alignment horizontal="center"/>
    </xf>
    <xf numFmtId="166" fontId="0" fillId="0" borderId="0" xfId="0" applyNumberFormat="1"/>
    <xf numFmtId="0" fontId="0" fillId="0" borderId="1" xfId="0" applyBorder="1"/>
    <xf numFmtId="0" fontId="12" fillId="3" borderId="0" xfId="0" applyFont="1" applyFill="1" applyAlignment="1">
      <alignment horizontal="left"/>
    </xf>
    <xf numFmtId="4" fontId="0" fillId="0" borderId="0" xfId="0" applyNumberFormat="1"/>
    <xf numFmtId="167" fontId="11" fillId="3" borderId="0" xfId="1" quotePrefix="1" applyNumberFormat="1" applyFont="1" applyFill="1" applyAlignment="1">
      <alignment horizontal="center"/>
    </xf>
    <xf numFmtId="167" fontId="11" fillId="0" borderId="0" xfId="1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1" xfId="0" applyFont="1" applyBorder="1"/>
    <xf numFmtId="14" fontId="20" fillId="0" borderId="1" xfId="0" applyNumberFormat="1" applyFont="1" applyBorder="1" applyAlignment="1">
      <alignment horizontal="left"/>
    </xf>
    <xf numFmtId="0" fontId="10" fillId="0" borderId="1" xfId="0" applyFont="1" applyBorder="1"/>
    <xf numFmtId="14" fontId="20" fillId="3" borderId="1" xfId="0" applyNumberFormat="1" applyFont="1" applyFill="1" applyBorder="1" applyAlignment="1">
      <alignment horizontal="left"/>
    </xf>
    <xf numFmtId="0" fontId="10" fillId="3" borderId="1" xfId="0" applyFont="1" applyFill="1" applyBorder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quotePrefix="1"/>
    <xf numFmtId="0" fontId="0" fillId="0" borderId="0" xfId="0" quotePrefix="1" applyAlignment="1">
      <alignment vertical="center"/>
    </xf>
    <xf numFmtId="0" fontId="10" fillId="0" borderId="1" xfId="0" applyFont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0" fontId="25" fillId="0" borderId="1" xfId="0" applyFont="1" applyBorder="1"/>
    <xf numFmtId="168" fontId="0" fillId="0" borderId="0" xfId="0" applyNumberFormat="1"/>
    <xf numFmtId="168" fontId="13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27" fillId="0" borderId="1" xfId="0" applyFont="1" applyBorder="1"/>
    <xf numFmtId="165" fontId="26" fillId="0" borderId="1" xfId="0" applyNumberFormat="1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27" fillId="0" borderId="0" xfId="0" applyFont="1"/>
    <xf numFmtId="0" fontId="26" fillId="0" borderId="1" xfId="0" applyFont="1" applyBorder="1" applyAlignment="1">
      <alignment horizontal="left"/>
    </xf>
    <xf numFmtId="0" fontId="12" fillId="3" borderId="14" xfId="0" applyFont="1" applyFill="1" applyBorder="1" applyAlignment="1">
      <alignment horizontal="center"/>
    </xf>
    <xf numFmtId="0" fontId="27" fillId="0" borderId="7" xfId="0" applyFont="1" applyBorder="1"/>
    <xf numFmtId="165" fontId="25" fillId="0" borderId="1" xfId="0" applyNumberFormat="1" applyFont="1" applyBorder="1" applyAlignment="1">
      <alignment horizontal="left"/>
    </xf>
    <xf numFmtId="166" fontId="12" fillId="0" borderId="0" xfId="0" applyNumberFormat="1" applyFont="1"/>
    <xf numFmtId="168" fontId="12" fillId="0" borderId="0" xfId="0" applyNumberFormat="1" applyFont="1"/>
    <xf numFmtId="0" fontId="27" fillId="3" borderId="7" xfId="0" applyFont="1" applyFill="1" applyBorder="1"/>
    <xf numFmtId="0" fontId="27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23" fillId="3" borderId="1" xfId="0" applyFont="1" applyFill="1" applyBorder="1" applyAlignment="1">
      <alignment horizontal="left"/>
    </xf>
    <xf numFmtId="0" fontId="25" fillId="0" borderId="1" xfId="0" applyFont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165" fontId="31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33" fillId="0" borderId="1" xfId="0" applyNumberFormat="1" applyFont="1" applyBorder="1" applyAlignment="1">
      <alignment horizontal="left"/>
    </xf>
    <xf numFmtId="165" fontId="27" fillId="0" borderId="1" xfId="0" applyNumberFormat="1" applyFont="1" applyBorder="1" applyAlignment="1">
      <alignment horizontal="left"/>
    </xf>
    <xf numFmtId="14" fontId="33" fillId="0" borderId="1" xfId="0" applyNumberFormat="1" applyFont="1" applyBorder="1" applyAlignment="1">
      <alignment horizontal="left"/>
    </xf>
    <xf numFmtId="0" fontId="27" fillId="9" borderId="1" xfId="0" applyFont="1" applyFill="1" applyBorder="1"/>
    <xf numFmtId="0" fontId="25" fillId="9" borderId="1" xfId="0" applyFont="1" applyFill="1" applyBorder="1"/>
    <xf numFmtId="165" fontId="25" fillId="9" borderId="1" xfId="0" applyNumberFormat="1" applyFont="1" applyFill="1" applyBorder="1" applyAlignment="1">
      <alignment horizontal="left"/>
    </xf>
    <xf numFmtId="165" fontId="10" fillId="9" borderId="1" xfId="0" applyNumberFormat="1" applyFont="1" applyFill="1" applyBorder="1" applyAlignment="1">
      <alignment horizontal="left"/>
    </xf>
    <xf numFmtId="14" fontId="23" fillId="0" borderId="1" xfId="0" applyNumberFormat="1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1" fillId="3" borderId="1" xfId="0" applyFont="1" applyFill="1" applyBorder="1" applyAlignment="1">
      <alignment horizontal="left"/>
    </xf>
    <xf numFmtId="0" fontId="0" fillId="3" borderId="0" xfId="0" applyFill="1" applyAlignment="1">
      <alignment horizontal="left" vertical="center" wrapText="1"/>
    </xf>
    <xf numFmtId="0" fontId="12" fillId="2" borderId="0" xfId="0" applyFont="1" applyFill="1" applyAlignment="1">
      <alignment horizontal="left"/>
    </xf>
    <xf numFmtId="0" fontId="29" fillId="3" borderId="1" xfId="0" applyFont="1" applyFill="1" applyBorder="1" applyAlignment="1">
      <alignment horizontal="left"/>
    </xf>
    <xf numFmtId="0" fontId="12" fillId="0" borderId="1" xfId="0" quotePrefix="1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7" borderId="2" xfId="0" quotePrefix="1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166" fontId="34" fillId="0" borderId="0" xfId="0" applyNumberFormat="1" applyFont="1"/>
    <xf numFmtId="168" fontId="34" fillId="0" borderId="0" xfId="0" applyNumberFormat="1" applyFont="1"/>
    <xf numFmtId="0" fontId="23" fillId="0" borderId="1" xfId="0" applyFont="1" applyBorder="1" applyAlignment="1">
      <alignment horizontal="left"/>
    </xf>
    <xf numFmtId="0" fontId="35" fillId="6" borderId="1" xfId="0" applyFont="1" applyFill="1" applyBorder="1" applyAlignment="1">
      <alignment horizontal="center" vertical="center"/>
    </xf>
    <xf numFmtId="10" fontId="36" fillId="7" borderId="1" xfId="0" applyNumberFormat="1" applyFont="1" applyFill="1" applyBorder="1" applyAlignment="1">
      <alignment horizontal="center" vertical="center" wrapText="1"/>
    </xf>
    <xf numFmtId="1" fontId="35" fillId="6" borderId="1" xfId="0" applyNumberFormat="1" applyFont="1" applyFill="1" applyBorder="1" applyAlignment="1">
      <alignment horizontal="center" vertical="center"/>
    </xf>
    <xf numFmtId="10" fontId="36" fillId="3" borderId="8" xfId="0" applyNumberFormat="1" applyFont="1" applyFill="1" applyBorder="1" applyAlignment="1">
      <alignment horizontal="center" vertical="center" wrapText="1"/>
    </xf>
    <xf numFmtId="10" fontId="36" fillId="7" borderId="13" xfId="0" applyNumberFormat="1" applyFont="1" applyFill="1" applyBorder="1" applyAlignment="1">
      <alignment horizontal="center" vertical="center" wrapText="1"/>
    </xf>
    <xf numFmtId="0" fontId="35" fillId="6" borderId="16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vertical="center"/>
    </xf>
    <xf numFmtId="0" fontId="35" fillId="6" borderId="18" xfId="0" applyFont="1" applyFill="1" applyBorder="1" applyAlignment="1">
      <alignment horizontal="center" vertical="center"/>
    </xf>
    <xf numFmtId="0" fontId="35" fillId="6" borderId="19" xfId="0" applyFont="1" applyFill="1" applyBorder="1" applyAlignment="1">
      <alignment horizontal="center" vertical="center"/>
    </xf>
    <xf numFmtId="10" fontId="36" fillId="3" borderId="2" xfId="0" applyNumberFormat="1" applyFont="1" applyFill="1" applyBorder="1" applyAlignment="1">
      <alignment horizontal="center" vertical="center" wrapText="1"/>
    </xf>
    <xf numFmtId="10" fontId="36" fillId="7" borderId="0" xfId="0" applyNumberFormat="1" applyFont="1" applyFill="1" applyAlignment="1">
      <alignment horizontal="center" vertical="center" wrapText="1"/>
    </xf>
    <xf numFmtId="10" fontId="36" fillId="7" borderId="11" xfId="0" applyNumberFormat="1" applyFont="1" applyFill="1" applyBorder="1" applyAlignment="1">
      <alignment horizontal="center" vertical="center" wrapText="1"/>
    </xf>
    <xf numFmtId="10" fontId="36" fillId="7" borderId="22" xfId="0" applyNumberFormat="1" applyFont="1" applyFill="1" applyBorder="1" applyAlignment="1">
      <alignment horizontal="center" vertical="center" wrapText="1"/>
    </xf>
    <xf numFmtId="10" fontId="36" fillId="10" borderId="0" xfId="0" applyNumberFormat="1" applyFont="1" applyFill="1" applyAlignment="1">
      <alignment horizontal="center" vertical="center" wrapText="1"/>
    </xf>
    <xf numFmtId="0" fontId="36" fillId="11" borderId="24" xfId="0" applyFont="1" applyFill="1" applyBorder="1" applyAlignment="1">
      <alignment horizontal="center" vertical="center" wrapText="1"/>
    </xf>
    <xf numFmtId="0" fontId="36" fillId="7" borderId="17" xfId="0" applyFont="1" applyFill="1" applyBorder="1" applyAlignment="1">
      <alignment horizontal="center" vertical="center" wrapText="1"/>
    </xf>
    <xf numFmtId="0" fontId="36" fillId="11" borderId="25" xfId="0" applyFont="1" applyFill="1" applyBorder="1" applyAlignment="1">
      <alignment horizontal="center" vertical="center" wrapText="1"/>
    </xf>
    <xf numFmtId="0" fontId="36" fillId="7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5" fillId="8" borderId="6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 vertical="center"/>
    </xf>
    <xf numFmtId="10" fontId="35" fillId="0" borderId="1" xfId="0" applyNumberFormat="1" applyFont="1" applyBorder="1" applyAlignment="1">
      <alignment horizontal="center" vertical="center"/>
    </xf>
    <xf numFmtId="0" fontId="35" fillId="6" borderId="1" xfId="0" applyFont="1" applyFill="1" applyBorder="1" applyAlignment="1">
      <alignment horizontal="center"/>
    </xf>
    <xf numFmtId="1" fontId="35" fillId="8" borderId="1" xfId="0" applyNumberFormat="1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10" fontId="35" fillId="3" borderId="10" xfId="0" applyNumberFormat="1" applyFont="1" applyFill="1" applyBorder="1" applyAlignment="1">
      <alignment horizontal="center" vertical="center"/>
    </xf>
    <xf numFmtId="0" fontId="35" fillId="7" borderId="7" xfId="0" applyFont="1" applyFill="1" applyBorder="1" applyAlignment="1">
      <alignment horizontal="center"/>
    </xf>
    <xf numFmtId="0" fontId="35" fillId="7" borderId="27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10" fontId="35" fillId="0" borderId="28" xfId="0" applyNumberFormat="1" applyFont="1" applyBorder="1" applyAlignment="1">
      <alignment horizontal="center" vertical="center"/>
    </xf>
    <xf numFmtId="0" fontId="35" fillId="6" borderId="27" xfId="0" applyFont="1" applyFill="1" applyBorder="1" applyAlignment="1">
      <alignment horizontal="center" vertical="center"/>
    </xf>
    <xf numFmtId="10" fontId="35" fillId="10" borderId="0" xfId="0" applyNumberFormat="1" applyFont="1" applyFill="1" applyAlignment="1">
      <alignment horizontal="center" vertical="center"/>
    </xf>
    <xf numFmtId="0" fontId="35" fillId="11" borderId="27" xfId="0" applyFont="1" applyFill="1" applyBorder="1" applyAlignment="1">
      <alignment horizontal="center" vertical="center"/>
    </xf>
    <xf numFmtId="2" fontId="37" fillId="12" borderId="1" xfId="0" applyNumberFormat="1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/>
    </xf>
    <xf numFmtId="2" fontId="37" fillId="12" borderId="28" xfId="0" applyNumberFormat="1" applyFont="1" applyFill="1" applyBorder="1" applyAlignment="1">
      <alignment horizontal="center" vertical="center"/>
    </xf>
    <xf numFmtId="0" fontId="35" fillId="4" borderId="27" xfId="0" applyFont="1" applyFill="1" applyBorder="1" applyAlignment="1">
      <alignment horizontal="center" vertical="center"/>
    </xf>
    <xf numFmtId="2" fontId="37" fillId="4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2" fontId="37" fillId="4" borderId="28" xfId="0" applyNumberFormat="1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2" fontId="37" fillId="0" borderId="28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5" fillId="7" borderId="6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7" borderId="12" xfId="0" applyFont="1" applyFill="1" applyBorder="1" applyAlignment="1">
      <alignment horizontal="center"/>
    </xf>
    <xf numFmtId="0" fontId="35" fillId="7" borderId="29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35" fillId="7" borderId="11" xfId="0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/>
    </xf>
    <xf numFmtId="0" fontId="35" fillId="6" borderId="29" xfId="0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0" fontId="35" fillId="4" borderId="0" xfId="0" applyNumberFormat="1" applyFont="1" applyFill="1" applyAlignment="1">
      <alignment horizontal="center" vertical="center"/>
    </xf>
    <xf numFmtId="0" fontId="35" fillId="4" borderId="30" xfId="0" applyFont="1" applyFill="1" applyBorder="1" applyAlignment="1">
      <alignment horizontal="center" vertical="center"/>
    </xf>
    <xf numFmtId="2" fontId="37" fillId="4" borderId="31" xfId="0" applyNumberFormat="1" applyFont="1" applyFill="1" applyBorder="1" applyAlignment="1">
      <alignment horizontal="center" vertical="center"/>
    </xf>
    <xf numFmtId="0" fontId="35" fillId="4" borderId="31" xfId="0" applyFont="1" applyFill="1" applyBorder="1" applyAlignment="1">
      <alignment horizontal="center" vertical="center"/>
    </xf>
    <xf numFmtId="2" fontId="37" fillId="4" borderId="32" xfId="0" applyNumberFormat="1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0" fontId="35" fillId="3" borderId="2" xfId="0" applyNumberFormat="1" applyFont="1" applyFill="1" applyBorder="1" applyAlignment="1">
      <alignment horizontal="center" vertical="center"/>
    </xf>
    <xf numFmtId="1" fontId="10" fillId="3" borderId="33" xfId="0" applyNumberFormat="1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1" fontId="10" fillId="0" borderId="35" xfId="0" applyNumberFormat="1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1" fontId="10" fillId="0" borderId="38" xfId="0" applyNumberFormat="1" applyFont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65" fontId="20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7" fillId="0" borderId="1" xfId="9" applyBorder="1"/>
    <xf numFmtId="14" fontId="7" fillId="0" borderId="1" xfId="9" applyNumberFormat="1" applyBorder="1" applyAlignment="1">
      <alignment horizontal="center"/>
    </xf>
    <xf numFmtId="0" fontId="7" fillId="0" borderId="1" xfId="9" applyBorder="1" applyAlignment="1">
      <alignment horizontal="center"/>
    </xf>
    <xf numFmtId="0" fontId="25" fillId="0" borderId="0" xfId="0" applyFont="1"/>
    <xf numFmtId="0" fontId="13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8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0" fillId="0" borderId="6" xfId="0" applyFont="1" applyBorder="1"/>
    <xf numFmtId="0" fontId="22" fillId="0" borderId="1" xfId="0" applyFont="1" applyBorder="1" applyAlignment="1">
      <alignment horizontal="left"/>
    </xf>
    <xf numFmtId="14" fontId="25" fillId="0" borderId="1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left"/>
    </xf>
    <xf numFmtId="14" fontId="22" fillId="0" borderId="1" xfId="0" applyNumberFormat="1" applyFont="1" applyBorder="1" applyAlignment="1">
      <alignment horizontal="left"/>
    </xf>
    <xf numFmtId="0" fontId="10" fillId="0" borderId="8" xfId="0" applyFont="1" applyBorder="1"/>
    <xf numFmtId="165" fontId="30" fillId="0" borderId="1" xfId="0" applyNumberFormat="1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14" fontId="29" fillId="0" borderId="1" xfId="0" applyNumberFormat="1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165" fontId="13" fillId="0" borderId="1" xfId="0" applyNumberFormat="1" applyFont="1" applyBorder="1"/>
    <xf numFmtId="0" fontId="29" fillId="0" borderId="0" xfId="0" applyFont="1" applyAlignment="1">
      <alignment horizontal="left"/>
    </xf>
    <xf numFmtId="0" fontId="33" fillId="0" borderId="1" xfId="0" applyFont="1" applyBorder="1"/>
    <xf numFmtId="165" fontId="31" fillId="0" borderId="1" xfId="0" applyNumberFormat="1" applyFont="1" applyBorder="1"/>
    <xf numFmtId="165" fontId="23" fillId="0" borderId="1" xfId="0" applyNumberFormat="1" applyFont="1" applyBorder="1"/>
    <xf numFmtId="0" fontId="29" fillId="0" borderId="1" xfId="0" applyFont="1" applyBorder="1"/>
    <xf numFmtId="0" fontId="26" fillId="0" borderId="1" xfId="0" applyFont="1" applyBorder="1"/>
    <xf numFmtId="165" fontId="26" fillId="0" borderId="1" xfId="0" applyNumberFormat="1" applyFont="1" applyBorder="1"/>
    <xf numFmtId="14" fontId="32" fillId="7" borderId="1" xfId="0" applyNumberFormat="1" applyFont="1" applyFill="1" applyBorder="1" applyAlignment="1">
      <alignment horizontal="left" vertical="center" wrapText="1"/>
    </xf>
    <xf numFmtId="164" fontId="32" fillId="7" borderId="1" xfId="7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/>
    </xf>
    <xf numFmtId="0" fontId="5" fillId="0" borderId="0" xfId="11"/>
    <xf numFmtId="0" fontId="10" fillId="2" borderId="40" xfId="11" applyFont="1" applyFill="1" applyBorder="1" applyAlignment="1">
      <alignment horizontal="center"/>
    </xf>
    <xf numFmtId="0" fontId="10" fillId="2" borderId="41" xfId="11" applyFont="1" applyFill="1" applyBorder="1" applyAlignment="1">
      <alignment horizontal="center"/>
    </xf>
    <xf numFmtId="0" fontId="10" fillId="2" borderId="42" xfId="11" applyFont="1" applyFill="1" applyBorder="1" applyAlignment="1">
      <alignment horizontal="center"/>
    </xf>
    <xf numFmtId="0" fontId="10" fillId="2" borderId="43" xfId="11" applyFont="1" applyFill="1" applyBorder="1" applyAlignment="1">
      <alignment horizontal="center"/>
    </xf>
    <xf numFmtId="0" fontId="10" fillId="2" borderId="44" xfId="11" applyFont="1" applyFill="1" applyBorder="1" applyAlignment="1">
      <alignment horizontal="center" wrapText="1"/>
    </xf>
    <xf numFmtId="0" fontId="10" fillId="4" borderId="1" xfId="11" applyFont="1" applyFill="1" applyBorder="1" applyAlignment="1">
      <alignment horizontal="center"/>
    </xf>
    <xf numFmtId="0" fontId="10" fillId="3" borderId="7" xfId="11" applyFont="1" applyFill="1" applyBorder="1" applyAlignment="1">
      <alignment horizontal="center"/>
    </xf>
    <xf numFmtId="0" fontId="39" fillId="2" borderId="7" xfId="11" applyFont="1" applyFill="1" applyBorder="1" applyAlignment="1">
      <alignment horizontal="center"/>
    </xf>
    <xf numFmtId="0" fontId="5" fillId="2" borderId="1" xfId="11" applyFill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21" fillId="2" borderId="1" xfId="2" applyFill="1" applyBorder="1" applyAlignment="1" applyProtection="1">
      <alignment horizontal="center" wrapText="1"/>
    </xf>
    <xf numFmtId="0" fontId="38" fillId="13" borderId="1" xfId="11" applyFont="1" applyFill="1" applyBorder="1" applyAlignment="1">
      <alignment horizontal="center"/>
    </xf>
    <xf numFmtId="0" fontId="10" fillId="7" borderId="7" xfId="11" applyFont="1" applyFill="1" applyBorder="1" applyAlignment="1">
      <alignment horizontal="center"/>
    </xf>
    <xf numFmtId="0" fontId="5" fillId="7" borderId="1" xfId="11" applyFill="1" applyBorder="1" applyAlignment="1">
      <alignment horizontal="center"/>
    </xf>
    <xf numFmtId="0" fontId="10" fillId="7" borderId="1" xfId="11" applyFont="1" applyFill="1" applyBorder="1" applyAlignment="1">
      <alignment horizontal="center"/>
    </xf>
    <xf numFmtId="0" fontId="21" fillId="7" borderId="1" xfId="2" applyFill="1" applyBorder="1" applyAlignment="1" applyProtection="1">
      <alignment horizontal="center" wrapText="1"/>
    </xf>
    <xf numFmtId="3" fontId="5" fillId="7" borderId="1" xfId="11" applyNumberFormat="1" applyFill="1" applyBorder="1" applyAlignment="1">
      <alignment horizontal="center"/>
    </xf>
    <xf numFmtId="0" fontId="38" fillId="14" borderId="1" xfId="11" applyFont="1" applyFill="1" applyBorder="1" applyAlignment="1">
      <alignment horizontal="center"/>
    </xf>
    <xf numFmtId="0" fontId="10" fillId="5" borderId="7" xfId="11" applyFont="1" applyFill="1" applyBorder="1" applyAlignment="1">
      <alignment horizontal="center"/>
    </xf>
    <xf numFmtId="0" fontId="5" fillId="5" borderId="1" xfId="11" applyFill="1" applyBorder="1" applyAlignment="1">
      <alignment horizontal="center"/>
    </xf>
    <xf numFmtId="0" fontId="10" fillId="5" borderId="1" xfId="11" applyFont="1" applyFill="1" applyBorder="1" applyAlignment="1">
      <alignment horizontal="center"/>
    </xf>
    <xf numFmtId="0" fontId="21" fillId="5" borderId="1" xfId="2" applyFill="1" applyBorder="1" applyAlignment="1" applyProtection="1">
      <alignment horizontal="center" wrapText="1"/>
    </xf>
    <xf numFmtId="0" fontId="10" fillId="2" borderId="7" xfId="11" applyFont="1" applyFill="1" applyBorder="1" applyAlignment="1">
      <alignment horizontal="center"/>
    </xf>
    <xf numFmtId="3" fontId="5" fillId="2" borderId="1" xfId="11" applyNumberFormat="1" applyFill="1" applyBorder="1" applyAlignment="1">
      <alignment horizontal="center"/>
    </xf>
    <xf numFmtId="0" fontId="21" fillId="2" borderId="1" xfId="2" applyFill="1" applyBorder="1" applyAlignment="1" applyProtection="1">
      <alignment horizontal="center" vertical="center" wrapText="1"/>
    </xf>
    <xf numFmtId="0" fontId="39" fillId="8" borderId="7" xfId="11" applyFont="1" applyFill="1" applyBorder="1" applyAlignment="1">
      <alignment horizontal="center"/>
    </xf>
    <xf numFmtId="0" fontId="5" fillId="8" borderId="1" xfId="11" applyFill="1" applyBorder="1" applyAlignment="1">
      <alignment horizontal="center"/>
    </xf>
    <xf numFmtId="0" fontId="10" fillId="8" borderId="1" xfId="11" applyFont="1" applyFill="1" applyBorder="1" applyAlignment="1">
      <alignment horizontal="center"/>
    </xf>
    <xf numFmtId="0" fontId="21" fillId="8" borderId="1" xfId="2" applyFill="1" applyBorder="1" applyAlignment="1" applyProtection="1">
      <alignment horizontal="center" wrapText="1"/>
    </xf>
    <xf numFmtId="0" fontId="10" fillId="4" borderId="1" xfId="11" applyFont="1" applyFill="1" applyBorder="1" applyAlignment="1">
      <alignment horizontal="center" vertical="center" wrapText="1"/>
    </xf>
    <xf numFmtId="0" fontId="39" fillId="8" borderId="7" xfId="11" applyFont="1" applyFill="1" applyBorder="1" applyAlignment="1">
      <alignment horizontal="center" vertical="center" wrapText="1"/>
    </xf>
    <xf numFmtId="0" fontId="5" fillId="8" borderId="1" xfId="11" applyFill="1" applyBorder="1" applyAlignment="1">
      <alignment horizontal="center" vertical="center" wrapText="1"/>
    </xf>
    <xf numFmtId="0" fontId="10" fillId="8" borderId="1" xfId="11" applyFont="1" applyFill="1" applyBorder="1" applyAlignment="1">
      <alignment horizontal="center" vertical="center" wrapText="1"/>
    </xf>
    <xf numFmtId="0" fontId="21" fillId="8" borderId="1" xfId="2" applyFill="1" applyBorder="1" applyAlignment="1" applyProtection="1">
      <alignment horizontal="center" vertical="center" wrapText="1"/>
    </xf>
    <xf numFmtId="0" fontId="10" fillId="8" borderId="7" xfId="11" applyFont="1" applyFill="1" applyBorder="1" applyAlignment="1">
      <alignment horizontal="center"/>
    </xf>
    <xf numFmtId="0" fontId="5" fillId="0" borderId="0" xfId="11" applyAlignment="1">
      <alignment vertical="center" wrapText="1"/>
    </xf>
    <xf numFmtId="0" fontId="39" fillId="6" borderId="7" xfId="11" applyFont="1" applyFill="1" applyBorder="1" applyAlignment="1">
      <alignment horizontal="center"/>
    </xf>
    <xf numFmtId="0" fontId="5" fillId="6" borderId="1" xfId="11" applyFill="1" applyBorder="1" applyAlignment="1">
      <alignment horizontal="center"/>
    </xf>
    <xf numFmtId="0" fontId="10" fillId="6" borderId="1" xfId="11" applyFont="1" applyFill="1" applyBorder="1" applyAlignment="1">
      <alignment horizontal="center"/>
    </xf>
    <xf numFmtId="0" fontId="21" fillId="6" borderId="1" xfId="2" applyFill="1" applyBorder="1" applyAlignment="1" applyProtection="1">
      <alignment horizontal="center" wrapText="1"/>
    </xf>
    <xf numFmtId="0" fontId="39" fillId="5" borderId="7" xfId="11" applyFont="1" applyFill="1" applyBorder="1" applyAlignment="1">
      <alignment horizontal="center"/>
    </xf>
    <xf numFmtId="3" fontId="5" fillId="5" borderId="1" xfId="11" applyNumberFormat="1" applyFill="1" applyBorder="1" applyAlignment="1">
      <alignment horizontal="center"/>
    </xf>
    <xf numFmtId="0" fontId="21" fillId="5" borderId="1" xfId="2" applyFill="1" applyBorder="1" applyAlignment="1" applyProtection="1">
      <alignment horizontal="center" vertical="center" wrapText="1"/>
    </xf>
    <xf numFmtId="0" fontId="5" fillId="0" borderId="0" xfId="11" applyAlignment="1">
      <alignment wrapText="1"/>
    </xf>
    <xf numFmtId="0" fontId="5" fillId="0" borderId="24" xfId="11" applyBorder="1" applyAlignment="1">
      <alignment horizontal="center"/>
    </xf>
    <xf numFmtId="0" fontId="5" fillId="0" borderId="26" xfId="11" applyBorder="1" applyAlignment="1">
      <alignment horizontal="center"/>
    </xf>
    <xf numFmtId="0" fontId="5" fillId="0" borderId="0" xfId="11" applyAlignment="1">
      <alignment horizontal="center"/>
    </xf>
    <xf numFmtId="0" fontId="5" fillId="0" borderId="49" xfId="11" applyBorder="1" applyAlignment="1">
      <alignment horizontal="center"/>
    </xf>
    <xf numFmtId="0" fontId="5" fillId="0" borderId="50" xfId="11" applyBorder="1" applyAlignment="1">
      <alignment horizontal="center"/>
    </xf>
    <xf numFmtId="0" fontId="5" fillId="0" borderId="27" xfId="11" applyBorder="1" applyAlignment="1">
      <alignment horizontal="center"/>
    </xf>
    <xf numFmtId="0" fontId="5" fillId="0" borderId="28" xfId="11" applyBorder="1" applyAlignment="1">
      <alignment horizontal="center"/>
    </xf>
    <xf numFmtId="0" fontId="5" fillId="0" borderId="29" xfId="11" applyBorder="1" applyAlignment="1">
      <alignment horizontal="center"/>
    </xf>
    <xf numFmtId="0" fontId="5" fillId="0" borderId="22" xfId="11" applyBorder="1" applyAlignment="1">
      <alignment horizontal="center"/>
    </xf>
    <xf numFmtId="0" fontId="5" fillId="0" borderId="32" xfId="11" applyBorder="1" applyAlignment="1">
      <alignment horizontal="center"/>
    </xf>
    <xf numFmtId="0" fontId="11" fillId="0" borderId="0" xfId="11" applyFont="1" applyAlignment="1">
      <alignment horizontal="center"/>
    </xf>
    <xf numFmtId="0" fontId="11" fillId="0" borderId="0" xfId="11" applyFont="1" applyAlignment="1">
      <alignment horizontal="center" vertical="center"/>
    </xf>
    <xf numFmtId="0" fontId="5" fillId="0" borderId="0" xfId="11" applyAlignment="1">
      <alignment vertical="center"/>
    </xf>
    <xf numFmtId="0" fontId="12" fillId="0" borderId="0" xfId="11" applyFont="1" applyAlignment="1">
      <alignment horizontal="center" vertical="center"/>
    </xf>
    <xf numFmtId="0" fontId="41" fillId="0" borderId="0" xfId="11" applyFont="1" applyAlignment="1">
      <alignment horizontal="center" vertical="center"/>
    </xf>
    <xf numFmtId="4" fontId="0" fillId="0" borderId="0" xfId="0" applyNumberFormat="1" applyAlignment="1">
      <alignment horizontal="center"/>
    </xf>
    <xf numFmtId="9" fontId="12" fillId="0" borderId="0" xfId="1" applyFont="1" applyFill="1" applyBorder="1" applyAlignment="1">
      <alignment horizontal="center"/>
    </xf>
    <xf numFmtId="9" fontId="42" fillId="0" borderId="0" xfId="1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16" fontId="0" fillId="0" borderId="0" xfId="0" applyNumberFormat="1"/>
    <xf numFmtId="0" fontId="0" fillId="10" borderId="0" xfId="0" applyFill="1"/>
    <xf numFmtId="0" fontId="0" fillId="10" borderId="0" xfId="0" applyFill="1" applyAlignment="1">
      <alignment horizontal="center"/>
    </xf>
    <xf numFmtId="4" fontId="0" fillId="10" borderId="0" xfId="0" applyNumberFormat="1" applyFill="1" applyAlignment="1">
      <alignment horizontal="center"/>
    </xf>
    <xf numFmtId="4" fontId="0" fillId="10" borderId="0" xfId="0" applyNumberFormat="1" applyFill="1"/>
    <xf numFmtId="0" fontId="12" fillId="10" borderId="0" xfId="0" applyFont="1" applyFill="1" applyAlignment="1">
      <alignment horizontal="center"/>
    </xf>
    <xf numFmtId="9" fontId="12" fillId="10" borderId="0" xfId="1" applyFont="1" applyFill="1" applyAlignment="1">
      <alignment horizontal="center"/>
    </xf>
    <xf numFmtId="0" fontId="12" fillId="10" borderId="0" xfId="0" applyFont="1" applyFill="1"/>
    <xf numFmtId="9" fontId="42" fillId="10" borderId="0" xfId="1" applyFont="1" applyFill="1" applyAlignment="1">
      <alignment horizontal="center"/>
    </xf>
    <xf numFmtId="9" fontId="0" fillId="10" borderId="0" xfId="1" applyFont="1" applyFill="1" applyAlignment="1">
      <alignment horizontal="center"/>
    </xf>
    <xf numFmtId="16" fontId="0" fillId="10" borderId="0" xfId="0" applyNumberFormat="1" applyFill="1"/>
    <xf numFmtId="0" fontId="0" fillId="15" borderId="53" xfId="0" applyFill="1" applyBorder="1"/>
    <xf numFmtId="0" fontId="0" fillId="15" borderId="52" xfId="0" applyFill="1" applyBorder="1"/>
    <xf numFmtId="0" fontId="0" fillId="15" borderId="51" xfId="0" applyFill="1" applyBorder="1"/>
    <xf numFmtId="0" fontId="0" fillId="16" borderId="53" xfId="0" applyFill="1" applyBorder="1"/>
    <xf numFmtId="0" fontId="0" fillId="16" borderId="52" xfId="0" applyFill="1" applyBorder="1"/>
    <xf numFmtId="0" fontId="0" fillId="16" borderId="0" xfId="0" applyFill="1"/>
    <xf numFmtId="0" fontId="0" fillId="16" borderId="51" xfId="0" applyFill="1" applyBorder="1"/>
    <xf numFmtId="0" fontId="0" fillId="17" borderId="53" xfId="0" applyFill="1" applyBorder="1"/>
    <xf numFmtId="0" fontId="0" fillId="17" borderId="52" xfId="0" applyFill="1" applyBorder="1"/>
    <xf numFmtId="0" fontId="0" fillId="17" borderId="51" xfId="0" applyFill="1" applyBorder="1"/>
    <xf numFmtId="0" fontId="0" fillId="15" borderId="48" xfId="0" applyFill="1" applyBorder="1"/>
    <xf numFmtId="0" fontId="0" fillId="15" borderId="0" xfId="0" applyFill="1"/>
    <xf numFmtId="0" fontId="0" fillId="15" borderId="47" xfId="0" applyFill="1" applyBorder="1"/>
    <xf numFmtId="0" fontId="0" fillId="16" borderId="48" xfId="0" applyFill="1" applyBorder="1"/>
    <xf numFmtId="0" fontId="0" fillId="16" borderId="47" xfId="0" applyFill="1" applyBorder="1"/>
    <xf numFmtId="0" fontId="0" fillId="17" borderId="48" xfId="0" applyFill="1" applyBorder="1"/>
    <xf numFmtId="0" fontId="0" fillId="17" borderId="0" xfId="0" applyFill="1"/>
    <xf numFmtId="0" fontId="0" fillId="17" borderId="47" xfId="0" applyFill="1" applyBorder="1"/>
    <xf numFmtId="0" fontId="0" fillId="15" borderId="54" xfId="0" applyFill="1" applyBorder="1"/>
    <xf numFmtId="0" fontId="0" fillId="15" borderId="46" xfId="0" applyFill="1" applyBorder="1"/>
    <xf numFmtId="0" fontId="0" fillId="17" borderId="46" xfId="0" applyFill="1" applyBorder="1"/>
    <xf numFmtId="0" fontId="0" fillId="17" borderId="45" xfId="0" applyFill="1" applyBorder="1"/>
    <xf numFmtId="0" fontId="0" fillId="16" borderId="54" xfId="0" applyFill="1" applyBorder="1"/>
    <xf numFmtId="0" fontId="0" fillId="16" borderId="46" xfId="0" applyFill="1" applyBorder="1"/>
    <xf numFmtId="0" fontId="0" fillId="15" borderId="45" xfId="0" applyFill="1" applyBorder="1"/>
    <xf numFmtId="0" fontId="0" fillId="17" borderId="15" xfId="0" applyFill="1" applyBorder="1"/>
    <xf numFmtId="9" fontId="12" fillId="0" borderId="0" xfId="1" applyFont="1" applyAlignment="1">
      <alignment horizontal="center"/>
    </xf>
    <xf numFmtId="9" fontId="42" fillId="0" borderId="0" xfId="1" applyFont="1" applyAlignment="1">
      <alignment horizontal="center"/>
    </xf>
    <xf numFmtId="9" fontId="0" fillId="16" borderId="0" xfId="1" applyFont="1" applyFill="1" applyAlignment="1">
      <alignment horizontal="center"/>
    </xf>
    <xf numFmtId="9" fontId="0" fillId="18" borderId="0" xfId="1" applyFont="1" applyFill="1" applyAlignment="1">
      <alignment horizontal="center"/>
    </xf>
    <xf numFmtId="0" fontId="0" fillId="17" borderId="54" xfId="0" applyFill="1" applyBorder="1"/>
    <xf numFmtId="9" fontId="0" fillId="0" borderId="0" xfId="1" applyFont="1" applyAlignment="1">
      <alignment horizontal="center"/>
    </xf>
    <xf numFmtId="0" fontId="0" fillId="16" borderId="45" xfId="0" applyFill="1" applyBorder="1"/>
    <xf numFmtId="16" fontId="0" fillId="18" borderId="0" xfId="0" applyNumberFormat="1" applyFill="1"/>
    <xf numFmtId="16" fontId="19" fillId="10" borderId="0" xfId="0" applyNumberFormat="1" applyFont="1" applyFill="1"/>
    <xf numFmtId="14" fontId="12" fillId="0" borderId="0" xfId="0" applyNumberFormat="1" applyFont="1" applyAlignment="1">
      <alignment horizontal="center"/>
    </xf>
    <xf numFmtId="0" fontId="12" fillId="19" borderId="0" xfId="0" applyFont="1" applyFill="1"/>
    <xf numFmtId="0" fontId="12" fillId="19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43" fillId="0" borderId="0" xfId="0" applyFont="1" applyAlignment="1">
      <alignment horizontal="right"/>
    </xf>
    <xf numFmtId="0" fontId="44" fillId="0" borderId="0" xfId="12"/>
    <xf numFmtId="0" fontId="45" fillId="0" borderId="0" xfId="0" applyFont="1"/>
    <xf numFmtId="0" fontId="47" fillId="0" borderId="1" xfId="0" applyFont="1" applyBorder="1" applyAlignment="1">
      <alignment horizontal="left"/>
    </xf>
    <xf numFmtId="0" fontId="0" fillId="4" borderId="0" xfId="0" applyFill="1"/>
    <xf numFmtId="0" fontId="49" fillId="0" borderId="0" xfId="0" applyFont="1"/>
    <xf numFmtId="0" fontId="51" fillId="0" borderId="1" xfId="0" applyFont="1" applyBorder="1" applyAlignment="1">
      <alignment horizontal="left"/>
    </xf>
    <xf numFmtId="14" fontId="52" fillId="0" borderId="1" xfId="0" applyNumberFormat="1" applyFont="1" applyBorder="1" applyAlignment="1">
      <alignment horizontal="left"/>
    </xf>
    <xf numFmtId="0" fontId="51" fillId="0" borderId="1" xfId="0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169" fontId="23" fillId="0" borderId="1" xfId="0" applyNumberFormat="1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/>
    </xf>
    <xf numFmtId="0" fontId="23" fillId="3" borderId="5" xfId="0" applyFont="1" applyFill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54" fillId="7" borderId="56" xfId="0" applyFont="1" applyFill="1" applyBorder="1" applyAlignment="1">
      <alignment horizontal="center" vertical="center"/>
    </xf>
    <xf numFmtId="0" fontId="54" fillId="7" borderId="56" xfId="0" applyFont="1" applyFill="1" applyBorder="1" applyAlignment="1">
      <alignment horizontal="center"/>
    </xf>
    <xf numFmtId="0" fontId="19" fillId="7" borderId="57" xfId="0" applyFont="1" applyFill="1" applyBorder="1" applyAlignment="1">
      <alignment horizontal="center"/>
    </xf>
    <xf numFmtId="0" fontId="40" fillId="7" borderId="55" xfId="0" applyFont="1" applyFill="1" applyBorder="1" applyAlignment="1">
      <alignment horizontal="center" vertical="top"/>
    </xf>
    <xf numFmtId="0" fontId="12" fillId="7" borderId="56" xfId="0" applyFont="1" applyFill="1" applyBorder="1" applyAlignment="1">
      <alignment horizontal="center" vertical="center"/>
    </xf>
    <xf numFmtId="0" fontId="12" fillId="7" borderId="56" xfId="0" applyFont="1" applyFill="1" applyBorder="1" applyAlignment="1">
      <alignment horizontal="center"/>
    </xf>
    <xf numFmtId="0" fontId="55" fillId="20" borderId="55" xfId="0" applyFont="1" applyFill="1" applyBorder="1" applyAlignment="1">
      <alignment horizontal="center" vertical="center"/>
    </xf>
    <xf numFmtId="0" fontId="55" fillId="20" borderId="56" xfId="0" applyFont="1" applyFill="1" applyBorder="1" applyAlignment="1">
      <alignment horizontal="center" vertical="center"/>
    </xf>
    <xf numFmtId="0" fontId="55" fillId="21" borderId="56" xfId="0" applyFont="1" applyFill="1" applyBorder="1" applyAlignment="1">
      <alignment horizontal="center" vertical="center"/>
    </xf>
    <xf numFmtId="0" fontId="55" fillId="22" borderId="56" xfId="0" applyFont="1" applyFill="1" applyBorder="1" applyAlignment="1">
      <alignment horizontal="center" vertical="center"/>
    </xf>
    <xf numFmtId="0" fontId="55" fillId="23" borderId="56" xfId="0" applyFont="1" applyFill="1" applyBorder="1" applyAlignment="1">
      <alignment horizontal="center" vertical="center"/>
    </xf>
    <xf numFmtId="0" fontId="55" fillId="24" borderId="56" xfId="0" applyFont="1" applyFill="1" applyBorder="1" applyAlignment="1">
      <alignment horizontal="center" vertical="center"/>
    </xf>
    <xf numFmtId="0" fontId="55" fillId="25" borderId="56" xfId="0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left" vertical="center" wrapText="1"/>
    </xf>
    <xf numFmtId="165" fontId="23" fillId="0" borderId="1" xfId="0" applyNumberFormat="1" applyFont="1" applyBorder="1" applyAlignment="1">
      <alignment horizontal="left"/>
    </xf>
    <xf numFmtId="0" fontId="56" fillId="10" borderId="0" xfId="0" applyFont="1" applyFill="1"/>
    <xf numFmtId="0" fontId="57" fillId="10" borderId="0" xfId="0" applyFont="1" applyFill="1"/>
    <xf numFmtId="170" fontId="58" fillId="0" borderId="0" xfId="0" applyNumberFormat="1" applyFont="1" applyAlignment="1">
      <alignment horizontal="center"/>
    </xf>
    <xf numFmtId="0" fontId="57" fillId="0" borderId="0" xfId="0" applyFont="1"/>
    <xf numFmtId="0" fontId="59" fillId="0" borderId="0" xfId="0" applyFont="1" applyAlignment="1">
      <alignment horizontal="center"/>
    </xf>
    <xf numFmtId="0" fontId="56" fillId="0" borderId="0" xfId="0" applyFont="1"/>
    <xf numFmtId="0" fontId="60" fillId="10" borderId="0" xfId="0" applyFont="1" applyFill="1" applyAlignment="1">
      <alignment horizontal="left" vertical="center"/>
    </xf>
    <xf numFmtId="0" fontId="56" fillId="0" borderId="45" xfId="0" applyFont="1" applyBorder="1" applyAlignment="1">
      <alignment horizontal="center" vertical="center" wrapText="1"/>
    </xf>
    <xf numFmtId="0" fontId="56" fillId="2" borderId="59" xfId="0" applyFont="1" applyFill="1" applyBorder="1" applyAlignment="1">
      <alignment horizontal="center" vertical="center" wrapText="1"/>
    </xf>
    <xf numFmtId="0" fontId="56" fillId="6" borderId="59" xfId="0" applyFont="1" applyFill="1" applyBorder="1" applyAlignment="1">
      <alignment horizontal="center" vertical="center" wrapText="1"/>
    </xf>
    <xf numFmtId="0" fontId="57" fillId="27" borderId="61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0" borderId="0" xfId="0" applyFont="1" applyAlignment="1">
      <alignment horizontal="right"/>
    </xf>
    <xf numFmtId="0" fontId="56" fillId="8" borderId="45" xfId="0" applyFont="1" applyFill="1" applyBorder="1" applyAlignment="1">
      <alignment horizontal="center"/>
    </xf>
    <xf numFmtId="0" fontId="56" fillId="8" borderId="54" xfId="0" applyFont="1" applyFill="1" applyBorder="1" applyAlignment="1">
      <alignment horizontal="center"/>
    </xf>
    <xf numFmtId="0" fontId="56" fillId="8" borderId="59" xfId="0" applyFont="1" applyFill="1" applyBorder="1" applyAlignment="1">
      <alignment horizontal="center"/>
    </xf>
    <xf numFmtId="17" fontId="57" fillId="0" borderId="0" xfId="0" applyNumberFormat="1" applyFont="1" applyAlignment="1">
      <alignment horizontal="center" vertical="center" wrapText="1"/>
    </xf>
    <xf numFmtId="0" fontId="61" fillId="0" borderId="58" xfId="0" applyFont="1" applyBorder="1" applyAlignment="1">
      <alignment horizontal="center" vertical="center" wrapText="1"/>
    </xf>
    <xf numFmtId="0" fontId="61" fillId="2" borderId="58" xfId="0" applyFont="1" applyFill="1" applyBorder="1" applyAlignment="1">
      <alignment horizontal="center" vertical="center" wrapText="1"/>
    </xf>
    <xf numFmtId="0" fontId="61" fillId="2" borderId="60" xfId="0" applyFont="1" applyFill="1" applyBorder="1" applyAlignment="1">
      <alignment horizontal="center" vertical="center" wrapText="1"/>
    </xf>
    <xf numFmtId="0" fontId="61" fillId="2" borderId="61" xfId="0" applyFont="1" applyFill="1" applyBorder="1" applyAlignment="1">
      <alignment horizontal="center" vertical="center" wrapText="1"/>
    </xf>
    <xf numFmtId="0" fontId="61" fillId="6" borderId="58" xfId="0" applyFont="1" applyFill="1" applyBorder="1" applyAlignment="1">
      <alignment horizontal="center" vertical="center" wrapText="1"/>
    </xf>
    <xf numFmtId="0" fontId="61" fillId="6" borderId="60" xfId="0" applyFont="1" applyFill="1" applyBorder="1" applyAlignment="1">
      <alignment horizontal="center" vertical="center" wrapText="1"/>
    </xf>
    <xf numFmtId="0" fontId="61" fillId="6" borderId="61" xfId="0" applyFont="1" applyFill="1" applyBorder="1" applyAlignment="1">
      <alignment horizontal="center" vertical="center" wrapText="1"/>
    </xf>
    <xf numFmtId="0" fontId="59" fillId="27" borderId="62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6" fillId="0" borderId="0" xfId="0" applyFont="1" applyAlignment="1">
      <alignment horizontal="right"/>
    </xf>
    <xf numFmtId="0" fontId="57" fillId="0" borderId="47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8" borderId="45" xfId="0" applyFont="1" applyFill="1" applyBorder="1" applyAlignment="1">
      <alignment horizontal="center"/>
    </xf>
    <xf numFmtId="0" fontId="61" fillId="8" borderId="54" xfId="0" applyFont="1" applyFill="1" applyBorder="1" applyAlignment="1">
      <alignment horizontal="center"/>
    </xf>
    <xf numFmtId="0" fontId="61" fillId="6" borderId="45" xfId="0" applyFont="1" applyFill="1" applyBorder="1" applyAlignment="1">
      <alignment horizontal="center"/>
    </xf>
    <xf numFmtId="0" fontId="61" fillId="6" borderId="54" xfId="0" applyFont="1" applyFill="1" applyBorder="1" applyAlignment="1">
      <alignment horizontal="center"/>
    </xf>
    <xf numFmtId="0" fontId="61" fillId="27" borderId="45" xfId="0" applyFont="1" applyFill="1" applyBorder="1" applyAlignment="1">
      <alignment horizontal="center"/>
    </xf>
    <xf numFmtId="0" fontId="61" fillId="27" borderId="54" xfId="0" applyFont="1" applyFill="1" applyBorder="1" applyAlignment="1">
      <alignment horizontal="center"/>
    </xf>
    <xf numFmtId="0" fontId="61" fillId="0" borderId="46" xfId="0" applyFont="1" applyBorder="1" applyAlignment="1">
      <alignment horizontal="center"/>
    </xf>
    <xf numFmtId="0" fontId="57" fillId="2" borderId="47" xfId="0" applyFont="1" applyFill="1" applyBorder="1" applyAlignment="1">
      <alignment horizontal="center"/>
    </xf>
    <xf numFmtId="0" fontId="57" fillId="2" borderId="48" xfId="0" applyFont="1" applyFill="1" applyBorder="1" applyAlignment="1">
      <alignment horizontal="center"/>
    </xf>
    <xf numFmtId="0" fontId="57" fillId="2" borderId="63" xfId="0" applyFont="1" applyFill="1" applyBorder="1" applyAlignment="1">
      <alignment horizontal="center"/>
    </xf>
    <xf numFmtId="0" fontId="57" fillId="6" borderId="47" xfId="0" applyFont="1" applyFill="1" applyBorder="1" applyAlignment="1">
      <alignment horizontal="center"/>
    </xf>
    <xf numFmtId="0" fontId="57" fillId="6" borderId="48" xfId="0" applyFont="1" applyFill="1" applyBorder="1" applyAlignment="1">
      <alignment horizontal="center"/>
    </xf>
    <xf numFmtId="0" fontId="57" fillId="27" borderId="63" xfId="0" applyFont="1" applyFill="1" applyBorder="1" applyAlignment="1">
      <alignment horizontal="center"/>
    </xf>
    <xf numFmtId="0" fontId="57" fillId="0" borderId="48" xfId="0" applyFont="1" applyBorder="1" applyAlignment="1">
      <alignment horizontal="center"/>
    </xf>
    <xf numFmtId="0" fontId="57" fillId="0" borderId="63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7" fillId="8" borderId="47" xfId="0" applyFont="1" applyFill="1" applyBorder="1" applyAlignment="1">
      <alignment horizontal="center"/>
    </xf>
    <xf numFmtId="0" fontId="57" fillId="8" borderId="48" xfId="0" applyFont="1" applyFill="1" applyBorder="1" applyAlignment="1">
      <alignment horizontal="center"/>
    </xf>
    <xf numFmtId="9" fontId="57" fillId="27" borderId="47" xfId="1" applyFont="1" applyFill="1" applyBorder="1" applyAlignment="1">
      <alignment horizontal="center"/>
    </xf>
    <xf numFmtId="9" fontId="57" fillId="27" borderId="48" xfId="1" applyFont="1" applyFill="1" applyBorder="1" applyAlignment="1">
      <alignment horizontal="center"/>
    </xf>
    <xf numFmtId="9" fontId="57" fillId="0" borderId="0" xfId="1" applyFont="1" applyBorder="1" applyAlignment="1">
      <alignment horizontal="center"/>
    </xf>
    <xf numFmtId="0" fontId="56" fillId="0" borderId="0" xfId="0" applyFont="1" applyAlignment="1">
      <alignment horizontal="center"/>
    </xf>
    <xf numFmtId="0" fontId="56" fillId="0" borderId="1" xfId="0" applyFont="1" applyBorder="1"/>
    <xf numFmtId="0" fontId="56" fillId="0" borderId="6" xfId="0" applyFont="1" applyBorder="1"/>
    <xf numFmtId="0" fontId="56" fillId="0" borderId="56" xfId="0" applyFont="1" applyBorder="1"/>
    <xf numFmtId="0" fontId="56" fillId="0" borderId="7" xfId="0" applyFont="1" applyBorder="1"/>
    <xf numFmtId="0" fontId="57" fillId="8" borderId="51" xfId="0" applyFont="1" applyFill="1" applyBorder="1" applyAlignment="1">
      <alignment horizontal="center"/>
    </xf>
    <xf numFmtId="0" fontId="57" fillId="8" borderId="53" xfId="0" applyFont="1" applyFill="1" applyBorder="1" applyAlignment="1">
      <alignment horizontal="center"/>
    </xf>
    <xf numFmtId="0" fontId="57" fillId="8" borderId="52" xfId="0" applyFont="1" applyFill="1" applyBorder="1" applyAlignment="1">
      <alignment horizontal="center"/>
    </xf>
    <xf numFmtId="0" fontId="57" fillId="8" borderId="62" xfId="0" applyFont="1" applyFill="1" applyBorder="1" applyAlignment="1">
      <alignment horizontal="center"/>
    </xf>
    <xf numFmtId="0" fontId="57" fillId="2" borderId="51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62" xfId="0" applyFont="1" applyFill="1" applyBorder="1" applyAlignment="1">
      <alignment horizontal="center"/>
    </xf>
    <xf numFmtId="0" fontId="57" fillId="6" borderId="51" xfId="0" applyFont="1" applyFill="1" applyBorder="1" applyAlignment="1">
      <alignment horizontal="center"/>
    </xf>
    <xf numFmtId="0" fontId="57" fillId="6" borderId="53" xfId="0" applyFont="1" applyFill="1" applyBorder="1" applyAlignment="1">
      <alignment horizontal="center"/>
    </xf>
    <xf numFmtId="0" fontId="57" fillId="27" borderId="62" xfId="0" applyFont="1" applyFill="1" applyBorder="1" applyAlignment="1">
      <alignment horizontal="center"/>
    </xf>
    <xf numFmtId="4" fontId="57" fillId="0" borderId="0" xfId="0" applyNumberFormat="1" applyFont="1" applyAlignment="1">
      <alignment horizontal="center"/>
    </xf>
    <xf numFmtId="4" fontId="57" fillId="8" borderId="47" xfId="0" applyNumberFormat="1" applyFont="1" applyFill="1" applyBorder="1" applyAlignment="1">
      <alignment horizontal="center"/>
    </xf>
    <xf numFmtId="4" fontId="57" fillId="8" borderId="48" xfId="0" applyNumberFormat="1" applyFont="1" applyFill="1" applyBorder="1" applyAlignment="1">
      <alignment horizontal="center"/>
    </xf>
    <xf numFmtId="4" fontId="57" fillId="8" borderId="63" xfId="0" applyNumberFormat="1" applyFont="1" applyFill="1" applyBorder="1" applyAlignment="1">
      <alignment horizontal="center"/>
    </xf>
    <xf numFmtId="4" fontId="57" fillId="8" borderId="58" xfId="0" applyNumberFormat="1" applyFont="1" applyFill="1" applyBorder="1" applyAlignment="1">
      <alignment horizontal="center"/>
    </xf>
    <xf numFmtId="4" fontId="57" fillId="8" borderId="60" xfId="0" applyNumberFormat="1" applyFont="1" applyFill="1" applyBorder="1" applyAlignment="1">
      <alignment horizontal="center"/>
    </xf>
    <xf numFmtId="4" fontId="57" fillId="0" borderId="0" xfId="0" applyNumberFormat="1" applyFont="1"/>
    <xf numFmtId="0" fontId="57" fillId="27" borderId="47" xfId="0" applyFont="1" applyFill="1" applyBorder="1" applyAlignment="1">
      <alignment horizontal="center"/>
    </xf>
    <xf numFmtId="0" fontId="57" fillId="27" borderId="48" xfId="0" applyFont="1" applyFill="1" applyBorder="1" applyAlignment="1">
      <alignment horizontal="center"/>
    </xf>
    <xf numFmtId="0" fontId="56" fillId="8" borderId="0" xfId="0" applyFont="1" applyFill="1"/>
    <xf numFmtId="0" fontId="57" fillId="8" borderId="0" xfId="0" applyFont="1" applyFill="1"/>
    <xf numFmtId="0" fontId="62" fillId="0" borderId="0" xfId="0" applyFont="1" applyAlignment="1">
      <alignment vertical="center"/>
    </xf>
    <xf numFmtId="9" fontId="57" fillId="27" borderId="51" xfId="1" applyFont="1" applyFill="1" applyBorder="1" applyAlignment="1">
      <alignment horizontal="center"/>
    </xf>
    <xf numFmtId="9" fontId="57" fillId="27" borderId="53" xfId="1" applyFont="1" applyFill="1" applyBorder="1" applyAlignment="1">
      <alignment horizontal="center"/>
    </xf>
    <xf numFmtId="9" fontId="57" fillId="0" borderId="52" xfId="1" applyFont="1" applyBorder="1" applyAlignment="1">
      <alignment horizontal="center"/>
    </xf>
    <xf numFmtId="0" fontId="14" fillId="0" borderId="0" xfId="0" applyFont="1" applyAlignment="1">
      <alignment vertical="center"/>
    </xf>
    <xf numFmtId="0" fontId="56" fillId="3" borderId="0" xfId="0" applyFont="1" applyFill="1"/>
    <xf numFmtId="4" fontId="57" fillId="8" borderId="0" xfId="0" applyNumberFormat="1" applyFont="1" applyFill="1"/>
    <xf numFmtId="0" fontId="14" fillId="0" borderId="0" xfId="0" applyFont="1"/>
    <xf numFmtId="0" fontId="57" fillId="3" borderId="0" xfId="0" applyFont="1" applyFill="1"/>
    <xf numFmtId="4" fontId="56" fillId="0" borderId="0" xfId="0" applyNumberFormat="1" applyFont="1"/>
    <xf numFmtId="0" fontId="57" fillId="4" borderId="0" xfId="0" applyFont="1" applyFill="1"/>
    <xf numFmtId="4" fontId="56" fillId="8" borderId="0" xfId="0" applyNumberFormat="1" applyFont="1" applyFill="1"/>
    <xf numFmtId="0" fontId="14" fillId="8" borderId="0" xfId="0" applyFont="1" applyFill="1"/>
    <xf numFmtId="4" fontId="57" fillId="4" borderId="0" xfId="0" applyNumberFormat="1" applyFont="1" applyFill="1" applyAlignment="1">
      <alignment horizontal="center"/>
    </xf>
    <xf numFmtId="0" fontId="14" fillId="8" borderId="0" xfId="0" applyFont="1" applyFill="1" applyAlignment="1">
      <alignment vertical="center"/>
    </xf>
    <xf numFmtId="0" fontId="57" fillId="8" borderId="0" xfId="0" applyFont="1" applyFill="1" applyAlignment="1">
      <alignment horizontal="center"/>
    </xf>
    <xf numFmtId="0" fontId="57" fillId="6" borderId="0" xfId="0" applyFont="1" applyFill="1" applyAlignment="1">
      <alignment horizontal="center"/>
    </xf>
    <xf numFmtId="9" fontId="57" fillId="27" borderId="0" xfId="1" applyFont="1" applyFill="1" applyBorder="1" applyAlignment="1">
      <alignment horizontal="center"/>
    </xf>
    <xf numFmtId="0" fontId="61" fillId="3" borderId="46" xfId="0" applyFont="1" applyFill="1" applyBorder="1" applyAlignment="1">
      <alignment horizontal="center"/>
    </xf>
    <xf numFmtId="9" fontId="57" fillId="3" borderId="0" xfId="1" applyFont="1" applyFill="1" applyBorder="1" applyAlignment="1">
      <alignment horizontal="center"/>
    </xf>
    <xf numFmtId="0" fontId="57" fillId="28" borderId="0" xfId="0" applyFont="1" applyFill="1" applyAlignment="1">
      <alignment horizontal="center"/>
    </xf>
    <xf numFmtId="0" fontId="57" fillId="28" borderId="0" xfId="0" applyFont="1" applyFill="1"/>
    <xf numFmtId="0" fontId="59" fillId="0" borderId="0" xfId="0" applyFont="1"/>
    <xf numFmtId="0" fontId="57" fillId="3" borderId="0" xfId="0" applyFont="1" applyFill="1" applyAlignment="1">
      <alignment horizontal="center"/>
    </xf>
    <xf numFmtId="9" fontId="57" fillId="3" borderId="52" xfId="1" applyFont="1" applyFill="1" applyBorder="1" applyAlignment="1">
      <alignment horizontal="center"/>
    </xf>
    <xf numFmtId="4" fontId="63" fillId="0" borderId="0" xfId="0" applyNumberFormat="1" applyFont="1"/>
    <xf numFmtId="4" fontId="56" fillId="0" borderId="0" xfId="0" quotePrefix="1" applyNumberFormat="1" applyFont="1"/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0" fontId="34" fillId="0" borderId="0" xfId="0" applyFont="1"/>
    <xf numFmtId="0" fontId="50" fillId="0" borderId="0" xfId="0" applyFont="1"/>
    <xf numFmtId="166" fontId="50" fillId="0" borderId="0" xfId="0" applyNumberFormat="1" applyFont="1"/>
    <xf numFmtId="168" fontId="50" fillId="0" borderId="0" xfId="0" applyNumberFormat="1" applyFont="1"/>
    <xf numFmtId="14" fontId="0" fillId="0" borderId="0" xfId="0" applyNumberForma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 wrapText="1"/>
    </xf>
    <xf numFmtId="4" fontId="0" fillId="3" borderId="0" xfId="0" applyNumberFormat="1" applyFill="1" applyAlignment="1">
      <alignment horizontal="center"/>
    </xf>
    <xf numFmtId="0" fontId="12" fillId="3" borderId="1" xfId="0" quotePrefix="1" applyFont="1" applyFill="1" applyBorder="1" applyAlignment="1">
      <alignment horizontal="center"/>
    </xf>
    <xf numFmtId="9" fontId="0" fillId="3" borderId="0" xfId="1" applyFont="1" applyFill="1" applyAlignment="1">
      <alignment horizontal="center" vertical="center"/>
    </xf>
    <xf numFmtId="0" fontId="12" fillId="7" borderId="64" xfId="0" applyFont="1" applyFill="1" applyBorder="1" applyAlignment="1">
      <alignment horizontal="center"/>
    </xf>
    <xf numFmtId="0" fontId="54" fillId="7" borderId="64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0" fillId="0" borderId="1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168" fontId="0" fillId="0" borderId="0" xfId="0" applyNumberFormat="1" applyFill="1"/>
    <xf numFmtId="0" fontId="5" fillId="0" borderId="0" xfId="11"/>
    <xf numFmtId="0" fontId="5" fillId="2" borderId="0" xfId="11" applyFill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27" fillId="0" borderId="1" xfId="0" applyFont="1" applyFill="1" applyBorder="1" applyAlignment="1">
      <alignment horizontal="left"/>
    </xf>
    <xf numFmtId="0" fontId="40" fillId="7" borderId="19" xfId="0" applyFont="1" applyFill="1" applyBorder="1" applyAlignment="1">
      <alignment horizontal="center" vertical="top"/>
    </xf>
    <xf numFmtId="0" fontId="40" fillId="7" borderId="1" xfId="0" applyFont="1" applyFill="1" applyBorder="1" applyAlignment="1">
      <alignment horizontal="center" vertical="top"/>
    </xf>
    <xf numFmtId="0" fontId="25" fillId="0" borderId="1" xfId="0" applyFont="1" applyFill="1" applyBorder="1"/>
    <xf numFmtId="0" fontId="27" fillId="0" borderId="1" xfId="0" applyFont="1" applyFill="1" applyBorder="1"/>
    <xf numFmtId="0" fontId="27" fillId="0" borderId="1" xfId="0" applyFont="1" applyFill="1" applyBorder="1" applyAlignment="1">
      <alignment vertical="center"/>
    </xf>
    <xf numFmtId="0" fontId="49" fillId="0" borderId="0" xfId="0" applyFont="1" applyFill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168" fontId="0" fillId="0" borderId="1" xfId="0" applyNumberFormat="1" applyFill="1" applyBorder="1"/>
    <xf numFmtId="0" fontId="0" fillId="0" borderId="1" xfId="0" applyBorder="1" applyAlignment="1">
      <alignment horizontal="center" vertical="center"/>
    </xf>
    <xf numFmtId="168" fontId="0" fillId="0" borderId="1" xfId="0" applyNumberFormat="1" applyBorder="1"/>
    <xf numFmtId="165" fontId="23" fillId="0" borderId="1" xfId="0" applyNumberFormat="1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vertical="center"/>
    </xf>
    <xf numFmtId="0" fontId="23" fillId="0" borderId="8" xfId="0" applyFont="1" applyFill="1" applyBorder="1" applyAlignment="1">
      <alignment horizontal="left"/>
    </xf>
    <xf numFmtId="0" fontId="65" fillId="8" borderId="1" xfId="13" applyFill="1" applyBorder="1" applyAlignment="1" applyProtection="1">
      <alignment horizontal="center" wrapText="1"/>
    </xf>
    <xf numFmtId="0" fontId="65" fillId="7" borderId="1" xfId="13" applyFill="1" applyBorder="1" applyAlignment="1" applyProtection="1">
      <alignment horizontal="center" wrapText="1"/>
    </xf>
    <xf numFmtId="14" fontId="23" fillId="0" borderId="1" xfId="0" applyNumberFormat="1" applyFont="1" applyFill="1" applyBorder="1" applyAlignment="1">
      <alignment horizontal="left"/>
    </xf>
    <xf numFmtId="14" fontId="23" fillId="0" borderId="8" xfId="0" applyNumberFormat="1" applyFont="1" applyFill="1" applyBorder="1" applyAlignment="1">
      <alignment horizontal="left"/>
    </xf>
    <xf numFmtId="0" fontId="10" fillId="3" borderId="5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1" xfId="0" applyFont="1" applyFill="1" applyBorder="1"/>
    <xf numFmtId="165" fontId="23" fillId="0" borderId="8" xfId="0" applyNumberFormat="1" applyFont="1" applyFill="1" applyBorder="1" applyAlignment="1">
      <alignment horizontal="left"/>
    </xf>
    <xf numFmtId="0" fontId="23" fillId="0" borderId="0" xfId="0" applyFont="1" applyFill="1"/>
    <xf numFmtId="0" fontId="23" fillId="0" borderId="0" xfId="0" applyFont="1" applyFill="1" applyAlignment="1">
      <alignment horizontal="center" vertical="center"/>
    </xf>
    <xf numFmtId="168" fontId="23" fillId="0" borderId="0" xfId="0" applyNumberFormat="1" applyFont="1" applyFill="1"/>
    <xf numFmtId="0" fontId="29" fillId="0" borderId="1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center" vertical="center"/>
    </xf>
    <xf numFmtId="168" fontId="23" fillId="0" borderId="1" xfId="0" applyNumberFormat="1" applyFont="1" applyFill="1" applyBorder="1"/>
    <xf numFmtId="0" fontId="29" fillId="0" borderId="1" xfId="0" applyFont="1" applyFill="1" applyBorder="1"/>
    <xf numFmtId="0" fontId="51" fillId="0" borderId="1" xfId="0" applyFont="1" applyFill="1" applyBorder="1" applyAlignment="1">
      <alignment horizontal="left"/>
    </xf>
    <xf numFmtId="0" fontId="64" fillId="0" borderId="1" xfId="0" applyFont="1" applyFill="1" applyBorder="1"/>
    <xf numFmtId="165" fontId="51" fillId="0" borderId="1" xfId="0" applyNumberFormat="1" applyFont="1" applyFill="1" applyBorder="1" applyAlignment="1">
      <alignment horizontal="left"/>
    </xf>
    <xf numFmtId="0" fontId="23" fillId="0" borderId="8" xfId="0" applyFont="1" applyFill="1" applyBorder="1"/>
    <xf numFmtId="0" fontId="23" fillId="0" borderId="8" xfId="0" applyFont="1" applyFill="1" applyBorder="1" applyAlignment="1">
      <alignment vertical="center"/>
    </xf>
    <xf numFmtId="0" fontId="4" fillId="0" borderId="8" xfId="0" applyFont="1" applyFill="1" applyBorder="1"/>
    <xf numFmtId="165" fontId="29" fillId="0" borderId="1" xfId="0" applyNumberFormat="1" applyFont="1" applyFill="1" applyBorder="1" applyAlignment="1">
      <alignment horizontal="left"/>
    </xf>
    <xf numFmtId="0" fontId="27" fillId="0" borderId="1" xfId="0" applyFont="1" applyFill="1" applyBorder="1" applyAlignment="1">
      <alignment horizontal="center"/>
    </xf>
    <xf numFmtId="0" fontId="25" fillId="0" borderId="1" xfId="0" applyFont="1" applyFill="1" applyBorder="1" applyAlignment="1"/>
    <xf numFmtId="0" fontId="23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27" fillId="0" borderId="8" xfId="0" applyFont="1" applyFill="1" applyBorder="1" applyAlignment="1">
      <alignment horizontal="left"/>
    </xf>
    <xf numFmtId="0" fontId="25" fillId="0" borderId="8" xfId="0" applyFont="1" applyFill="1" applyBorder="1"/>
    <xf numFmtId="0" fontId="66" fillId="23" borderId="56" xfId="0" applyFont="1" applyFill="1" applyBorder="1" applyAlignment="1">
      <alignment horizontal="center" vertical="center"/>
    </xf>
    <xf numFmtId="0" fontId="66" fillId="20" borderId="56" xfId="0" applyFont="1" applyFill="1" applyBorder="1" applyAlignment="1">
      <alignment horizontal="center" vertical="center"/>
    </xf>
    <xf numFmtId="0" fontId="66" fillId="21" borderId="56" xfId="0" applyFont="1" applyFill="1" applyBorder="1" applyAlignment="1">
      <alignment horizontal="center" vertical="center"/>
    </xf>
    <xf numFmtId="0" fontId="66" fillId="22" borderId="56" xfId="0" applyFont="1" applyFill="1" applyBorder="1" applyAlignment="1">
      <alignment horizontal="center" vertical="center"/>
    </xf>
    <xf numFmtId="0" fontId="66" fillId="24" borderId="56" xfId="0" applyFont="1" applyFill="1" applyBorder="1" applyAlignment="1">
      <alignment horizontal="center" vertical="center"/>
    </xf>
    <xf numFmtId="0" fontId="49" fillId="0" borderId="0" xfId="0" applyFont="1" applyFill="1" applyBorder="1"/>
    <xf numFmtId="0" fontId="49" fillId="0" borderId="0" xfId="0" applyFont="1" applyFill="1" applyBorder="1" applyAlignment="1">
      <alignment horizontal="center" vertical="center"/>
    </xf>
    <xf numFmtId="168" fontId="49" fillId="0" borderId="0" xfId="0" applyNumberFormat="1" applyFont="1" applyFill="1" applyBorder="1"/>
    <xf numFmtId="0" fontId="25" fillId="0" borderId="1" xfId="0" applyFont="1" applyFill="1" applyBorder="1" applyAlignment="1">
      <alignment horizontal="left"/>
    </xf>
    <xf numFmtId="0" fontId="25" fillId="0" borderId="1" xfId="0" applyFont="1" applyFill="1" applyBorder="1" applyAlignment="1">
      <alignment vertical="center"/>
    </xf>
    <xf numFmtId="0" fontId="23" fillId="0" borderId="2" xfId="0" applyFont="1" applyFill="1" applyBorder="1" applyAlignment="1">
      <alignment horizontal="left"/>
    </xf>
    <xf numFmtId="14" fontId="23" fillId="0" borderId="2" xfId="0" applyNumberFormat="1" applyFont="1" applyFill="1" applyBorder="1" applyAlignment="1">
      <alignment horizontal="left"/>
    </xf>
    <xf numFmtId="0" fontId="29" fillId="0" borderId="2" xfId="0" applyFont="1" applyFill="1" applyBorder="1"/>
    <xf numFmtId="0" fontId="4" fillId="0" borderId="0" xfId="0" applyFont="1" applyFill="1"/>
    <xf numFmtId="0" fontId="23" fillId="0" borderId="8" xfId="0" applyFont="1" applyFill="1" applyBorder="1" applyAlignment="1">
      <alignment wrapText="1"/>
    </xf>
    <xf numFmtId="0" fontId="29" fillId="0" borderId="8" xfId="0" applyFont="1" applyFill="1" applyBorder="1"/>
    <xf numFmtId="0" fontId="25" fillId="0" borderId="1" xfId="0" applyFont="1" applyFill="1" applyBorder="1" applyAlignment="1">
      <alignment wrapText="1"/>
    </xf>
    <xf numFmtId="14" fontId="25" fillId="0" borderId="1" xfId="0" applyNumberFormat="1" applyFont="1" applyFill="1" applyBorder="1" applyAlignment="1">
      <alignment horizontal="left"/>
    </xf>
    <xf numFmtId="165" fontId="25" fillId="0" borderId="1" xfId="0" applyNumberFormat="1" applyFont="1" applyFill="1" applyBorder="1" applyAlignment="1">
      <alignment horizontal="left"/>
    </xf>
    <xf numFmtId="0" fontId="25" fillId="0" borderId="1" xfId="0" applyFont="1" applyFill="1" applyBorder="1" applyAlignment="1">
      <alignment horizontal="center" vertical="center"/>
    </xf>
    <xf numFmtId="0" fontId="10" fillId="0" borderId="8" xfId="0" applyFont="1" applyFill="1" applyBorder="1"/>
    <xf numFmtId="0" fontId="10" fillId="0" borderId="8" xfId="0" applyFont="1" applyFill="1" applyBorder="1" applyAlignment="1">
      <alignment vertical="center"/>
    </xf>
    <xf numFmtId="0" fontId="32" fillId="30" borderId="1" xfId="0" applyFont="1" applyFill="1" applyBorder="1" applyAlignment="1">
      <alignment horizontal="left" vertical="center" wrapText="1"/>
    </xf>
    <xf numFmtId="165" fontId="32" fillId="30" borderId="1" xfId="0" applyNumberFormat="1" applyFont="1" applyFill="1" applyBorder="1" applyAlignment="1">
      <alignment horizontal="left" vertical="center" wrapText="1"/>
    </xf>
    <xf numFmtId="14" fontId="10" fillId="0" borderId="1" xfId="0" applyNumberFormat="1" applyFont="1" applyFill="1" applyBorder="1" applyAlignment="1">
      <alignment horizontal="left"/>
    </xf>
    <xf numFmtId="0" fontId="0" fillId="0" borderId="0" xfId="0" applyFill="1" applyAlignment="1">
      <alignment vertical="center"/>
    </xf>
    <xf numFmtId="166" fontId="0" fillId="0" borderId="0" xfId="0" applyNumberFormat="1" applyFill="1"/>
    <xf numFmtId="168" fontId="50" fillId="0" borderId="0" xfId="0" applyNumberFormat="1" applyFont="1" applyFill="1"/>
    <xf numFmtId="168" fontId="12" fillId="0" borderId="0" xfId="0" applyNumberFormat="1" applyFont="1" applyFill="1"/>
    <xf numFmtId="169" fontId="23" fillId="0" borderId="1" xfId="0" applyNumberFormat="1" applyFont="1" applyFill="1" applyBorder="1" applyAlignment="1">
      <alignment horizontal="left" vertical="center" wrapText="1"/>
    </xf>
    <xf numFmtId="0" fontId="46" fillId="0" borderId="1" xfId="0" applyFont="1" applyFill="1" applyBorder="1" applyAlignment="1">
      <alignment horizontal="left"/>
    </xf>
    <xf numFmtId="0" fontId="47" fillId="0" borderId="1" xfId="0" applyFont="1" applyFill="1" applyBorder="1" applyAlignment="1">
      <alignment horizontal="left"/>
    </xf>
    <xf numFmtId="0" fontId="50" fillId="0" borderId="0" xfId="0" applyFont="1" applyFill="1"/>
    <xf numFmtId="166" fontId="50" fillId="0" borderId="0" xfId="0" applyNumberFormat="1" applyFont="1" applyFill="1"/>
    <xf numFmtId="0" fontId="34" fillId="0" borderId="0" xfId="0" applyFont="1" applyFill="1"/>
    <xf numFmtId="166" fontId="34" fillId="0" borderId="0" xfId="0" applyNumberFormat="1" applyFont="1" applyFill="1"/>
    <xf numFmtId="168" fontId="34" fillId="0" borderId="0" xfId="0" applyNumberFormat="1" applyFont="1" applyFill="1"/>
    <xf numFmtId="0" fontId="42" fillId="0" borderId="0" xfId="0" applyFont="1" applyFill="1"/>
    <xf numFmtId="0" fontId="23" fillId="0" borderId="1" xfId="0" applyFont="1" applyFill="1" applyBorder="1" applyAlignment="1">
      <alignment horizontal="center"/>
    </xf>
    <xf numFmtId="0" fontId="51" fillId="0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68" fontId="0" fillId="0" borderId="0" xfId="0" applyNumberFormat="1" applyBorder="1"/>
    <xf numFmtId="0" fontId="10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left"/>
    </xf>
    <xf numFmtId="0" fontId="23" fillId="3" borderId="13" xfId="0" applyFont="1" applyFill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1" fillId="0" borderId="0" xfId="0" applyFont="1"/>
    <xf numFmtId="0" fontId="31" fillId="0" borderId="0" xfId="0" quotePrefix="1" applyFont="1"/>
    <xf numFmtId="165" fontId="10" fillId="0" borderId="0" xfId="0" applyNumberFormat="1" applyFont="1" applyAlignment="1">
      <alignment horizontal="center" vertical="center"/>
    </xf>
    <xf numFmtId="0" fontId="27" fillId="0" borderId="0" xfId="0" applyFont="1" applyFill="1"/>
    <xf numFmtId="0" fontId="27" fillId="0" borderId="0" xfId="0" quotePrefix="1" applyFont="1" applyFill="1"/>
    <xf numFmtId="0" fontId="31" fillId="0" borderId="0" xfId="0" applyFont="1" applyFill="1"/>
    <xf numFmtId="165" fontId="2" fillId="0" borderId="0" xfId="0" applyNumberFormat="1" applyFont="1" applyAlignment="1">
      <alignment horizontal="left"/>
    </xf>
    <xf numFmtId="165" fontId="10" fillId="0" borderId="1" xfId="0" applyNumberFormat="1" applyFont="1" applyFill="1" applyBorder="1" applyAlignment="1">
      <alignment horizontal="left"/>
    </xf>
    <xf numFmtId="0" fontId="27" fillId="0" borderId="0" xfId="0" quotePrefix="1" applyFont="1"/>
    <xf numFmtId="0" fontId="51" fillId="0" borderId="1" xfId="0" applyFont="1" applyBorder="1"/>
    <xf numFmtId="0" fontId="23" fillId="0" borderId="0" xfId="0" applyFont="1" applyFill="1" applyBorder="1"/>
    <xf numFmtId="0" fontId="23" fillId="0" borderId="0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7" fillId="0" borderId="0" xfId="0" applyFont="1" applyFill="1"/>
    <xf numFmtId="0" fontId="23" fillId="26" borderId="0" xfId="0" applyFont="1" applyFill="1" applyAlignment="1">
      <alignment horizontal="left" vertical="center" wrapText="1"/>
    </xf>
    <xf numFmtId="0" fontId="51" fillId="0" borderId="0" xfId="0" applyFont="1"/>
    <xf numFmtId="0" fontId="68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33" fillId="0" borderId="49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14" fontId="13" fillId="0" borderId="2" xfId="0" applyNumberFormat="1" applyFont="1" applyFill="1" applyBorder="1" applyAlignment="1">
      <alignment horizontal="left" vertical="center"/>
    </xf>
    <xf numFmtId="0" fontId="33" fillId="0" borderId="2" xfId="0" applyFont="1" applyFill="1" applyBorder="1" applyAlignment="1">
      <alignment horizontal="left" vertical="center"/>
    </xf>
    <xf numFmtId="0" fontId="33" fillId="0" borderId="50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vertical="center"/>
    </xf>
    <xf numFmtId="168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33" fillId="0" borderId="27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33" fillId="0" borderId="1" xfId="0" applyFont="1" applyFill="1" applyBorder="1" applyAlignment="1">
      <alignment horizontal="left" vertical="center"/>
    </xf>
    <xf numFmtId="165" fontId="13" fillId="0" borderId="28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vertical="center"/>
    </xf>
    <xf numFmtId="168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3" fillId="0" borderId="27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14" fontId="13" fillId="0" borderId="1" xfId="0" applyNumberFormat="1" applyFont="1" applyFill="1" applyBorder="1" applyAlignment="1">
      <alignment horizontal="left" vertical="center"/>
    </xf>
    <xf numFmtId="0" fontId="33" fillId="0" borderId="28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14" fontId="13" fillId="0" borderId="31" xfId="0" applyNumberFormat="1" applyFont="1" applyFill="1" applyBorder="1" applyAlignment="1">
      <alignment horizontal="left" vertical="center"/>
    </xf>
    <xf numFmtId="0" fontId="26" fillId="0" borderId="31" xfId="0" applyFont="1" applyFill="1" applyBorder="1" applyAlignment="1">
      <alignment horizontal="left" vertical="center"/>
    </xf>
    <xf numFmtId="165" fontId="13" fillId="0" borderId="32" xfId="0" applyNumberFormat="1" applyFont="1" applyFill="1" applyBorder="1" applyAlignment="1">
      <alignment horizontal="left" vertical="center"/>
    </xf>
    <xf numFmtId="0" fontId="13" fillId="12" borderId="27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14" fontId="13" fillId="12" borderId="1" xfId="0" applyNumberFormat="1" applyFont="1" applyFill="1" applyBorder="1" applyAlignment="1">
      <alignment horizontal="left" vertical="center"/>
    </xf>
    <xf numFmtId="0" fontId="33" fillId="12" borderId="1" xfId="0" applyFont="1" applyFill="1" applyBorder="1" applyAlignment="1">
      <alignment horizontal="left" vertical="center"/>
    </xf>
    <xf numFmtId="165" fontId="13" fillId="12" borderId="28" xfId="0" applyNumberFormat="1" applyFont="1" applyFill="1" applyBorder="1" applyAlignment="1">
      <alignment horizontal="left" vertical="center"/>
    </xf>
    <xf numFmtId="0" fontId="29" fillId="12" borderId="1" xfId="0" applyFont="1" applyFill="1" applyBorder="1" applyAlignment="1">
      <alignment vertical="center"/>
    </xf>
    <xf numFmtId="168" fontId="0" fillId="12" borderId="1" xfId="0" applyNumberFormat="1" applyFont="1" applyFill="1" applyBorder="1" applyAlignment="1">
      <alignment vertical="center"/>
    </xf>
    <xf numFmtId="0" fontId="0" fillId="12" borderId="1" xfId="0" applyFont="1" applyFill="1" applyBorder="1" applyAlignment="1">
      <alignment vertical="center"/>
    </xf>
    <xf numFmtId="169" fontId="33" fillId="12" borderId="1" xfId="4" applyNumberFormat="1" applyFont="1" applyFill="1" applyBorder="1" applyAlignment="1">
      <alignment vertical="center"/>
    </xf>
    <xf numFmtId="0" fontId="33" fillId="12" borderId="28" xfId="0" applyFont="1" applyFill="1" applyBorder="1" applyAlignment="1">
      <alignment horizontal="left" vertical="center"/>
    </xf>
    <xf numFmtId="0" fontId="13" fillId="12" borderId="28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25" fillId="12" borderId="1" xfId="0" applyFont="1" applyFill="1" applyBorder="1" applyAlignment="1">
      <alignment vertical="center"/>
    </xf>
    <xf numFmtId="168" fontId="0" fillId="12" borderId="1" xfId="0" applyNumberForma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169" fontId="13" fillId="12" borderId="1" xfId="4" applyNumberFormat="1" applyFont="1" applyFill="1" applyBorder="1" applyAlignment="1">
      <alignment vertical="center" wrapText="1"/>
    </xf>
    <xf numFmtId="0" fontId="29" fillId="0" borderId="8" xfId="0" applyFont="1" applyFill="1" applyBorder="1" applyAlignment="1">
      <alignment horizontal="left"/>
    </xf>
    <xf numFmtId="0" fontId="64" fillId="0" borderId="1" xfId="0" applyFont="1" applyBorder="1"/>
    <xf numFmtId="169" fontId="25" fillId="0" borderId="1" xfId="4" applyNumberFormat="1" applyFont="1" applyFill="1" applyBorder="1"/>
    <xf numFmtId="0" fontId="48" fillId="0" borderId="1" xfId="0" applyFont="1" applyFill="1" applyBorder="1" applyAlignment="1">
      <alignment horizontal="center" vertical="center"/>
    </xf>
    <xf numFmtId="168" fontId="48" fillId="0" borderId="1" xfId="0" applyNumberFormat="1" applyFont="1" applyFill="1" applyBorder="1"/>
    <xf numFmtId="0" fontId="48" fillId="0" borderId="1" xfId="0" applyFont="1" applyFill="1" applyBorder="1"/>
    <xf numFmtId="0" fontId="0" fillId="0" borderId="0" xfId="0" applyFill="1" applyBorder="1" applyAlignment="1">
      <alignment horizontal="center" vertical="center"/>
    </xf>
    <xf numFmtId="168" fontId="0" fillId="0" borderId="0" xfId="0" applyNumberFormat="1" applyFill="1" applyBorder="1"/>
    <xf numFmtId="0" fontId="0" fillId="0" borderId="0" xfId="0" applyFill="1" applyBorder="1"/>
    <xf numFmtId="0" fontId="10" fillId="0" borderId="2" xfId="0" applyFont="1" applyFill="1" applyBorder="1" applyAlignment="1">
      <alignment horizontal="left"/>
    </xf>
    <xf numFmtId="0" fontId="25" fillId="0" borderId="2" xfId="0" applyFont="1" applyFill="1" applyBorder="1"/>
    <xf numFmtId="0" fontId="10" fillId="0" borderId="2" xfId="0" applyFont="1" applyFill="1" applyBorder="1"/>
    <xf numFmtId="0" fontId="10" fillId="0" borderId="2" xfId="0" applyFont="1" applyFill="1" applyBorder="1" applyAlignment="1">
      <alignment vertical="center"/>
    </xf>
    <xf numFmtId="0" fontId="4" fillId="0" borderId="2" xfId="0" applyFont="1" applyFill="1" applyBorder="1"/>
    <xf numFmtId="165" fontId="70" fillId="0" borderId="1" xfId="0" applyNumberFormat="1" applyFont="1" applyFill="1" applyBorder="1" applyAlignment="1">
      <alignment horizontal="left"/>
    </xf>
    <xf numFmtId="0" fontId="23" fillId="0" borderId="1" xfId="0" applyFont="1" applyFill="1" applyBorder="1" applyAlignment="1">
      <alignment horizontal="left" vertical="center"/>
    </xf>
    <xf numFmtId="14" fontId="23" fillId="0" borderId="1" xfId="0" applyNumberFormat="1" applyFont="1" applyFill="1" applyBorder="1" applyAlignment="1">
      <alignment horizontal="left" vertical="center"/>
    </xf>
    <xf numFmtId="165" fontId="70" fillId="0" borderId="1" xfId="0" applyNumberFormat="1" applyFont="1" applyFill="1" applyBorder="1" applyAlignment="1">
      <alignment horizontal="left" vertical="center"/>
    </xf>
    <xf numFmtId="165" fontId="23" fillId="0" borderId="1" xfId="0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168" fontId="23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68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9" fontId="23" fillId="0" borderId="1" xfId="4" applyNumberFormat="1" applyFont="1" applyFill="1" applyBorder="1"/>
    <xf numFmtId="168" fontId="0" fillId="0" borderId="1" xfId="0" applyNumberFormat="1" applyFont="1" applyFill="1" applyBorder="1"/>
    <xf numFmtId="0" fontId="0" fillId="0" borderId="1" xfId="0" applyFont="1" applyFill="1" applyBorder="1"/>
    <xf numFmtId="0" fontId="25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68" fontId="48" fillId="0" borderId="1" xfId="0" applyNumberFormat="1" applyFont="1" applyBorder="1"/>
    <xf numFmtId="0" fontId="48" fillId="0" borderId="1" xfId="0" applyFont="1" applyBorder="1"/>
    <xf numFmtId="0" fontId="69" fillId="0" borderId="1" xfId="0" applyFont="1" applyFill="1" applyBorder="1" applyAlignment="1">
      <alignment horizontal="center" vertical="top" wrapText="1"/>
    </xf>
    <xf numFmtId="0" fontId="49" fillId="0" borderId="1" xfId="0" applyFont="1" applyBorder="1"/>
    <xf numFmtId="0" fontId="49" fillId="0" borderId="1" xfId="0" applyFont="1" applyFill="1" applyBorder="1"/>
    <xf numFmtId="0" fontId="2" fillId="0" borderId="1" xfId="0" applyFont="1" applyFill="1" applyBorder="1" applyAlignment="1">
      <alignment horizontal="left" vertical="top" wrapText="1"/>
    </xf>
    <xf numFmtId="0" fontId="0" fillId="3" borderId="0" xfId="0" applyFont="1" applyFill="1" applyAlignment="1">
      <alignment horizontal="center"/>
    </xf>
    <xf numFmtId="0" fontId="66" fillId="25" borderId="56" xfId="0" applyFont="1" applyFill="1" applyBorder="1" applyAlignment="1">
      <alignment horizontal="center" vertical="center"/>
    </xf>
    <xf numFmtId="0" fontId="71" fillId="7" borderId="56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top"/>
    </xf>
    <xf numFmtId="0" fontId="32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71" fillId="7" borderId="56" xfId="0" applyFont="1" applyFill="1" applyBorder="1" applyAlignment="1">
      <alignment horizontal="center"/>
    </xf>
    <xf numFmtId="168" fontId="25" fillId="0" borderId="1" xfId="0" applyNumberFormat="1" applyFont="1" applyFill="1" applyBorder="1"/>
    <xf numFmtId="0" fontId="23" fillId="0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25" fillId="0" borderId="1" xfId="0" applyFon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168" fontId="0" fillId="0" borderId="0" xfId="0" applyNumberFormat="1" applyFill="1" applyAlignment="1">
      <alignment horizontal="left" vertical="top"/>
    </xf>
    <xf numFmtId="0" fontId="49" fillId="0" borderId="1" xfId="0" applyFont="1" applyFill="1" applyBorder="1" applyAlignment="1">
      <alignment horizontal="center" vertical="center"/>
    </xf>
    <xf numFmtId="168" fontId="49" fillId="0" borderId="1" xfId="0" applyNumberFormat="1" applyFont="1" applyFill="1" applyBorder="1"/>
    <xf numFmtId="0" fontId="1" fillId="0" borderId="1" xfId="0" applyFont="1" applyFill="1" applyBorder="1" applyAlignment="1">
      <alignment horizontal="left"/>
    </xf>
    <xf numFmtId="0" fontId="23" fillId="31" borderId="1" xfId="0" applyFont="1" applyFill="1" applyBorder="1" applyAlignment="1">
      <alignment horizontal="left"/>
    </xf>
    <xf numFmtId="0" fontId="29" fillId="31" borderId="1" xfId="0" applyFont="1" applyFill="1" applyBorder="1"/>
    <xf numFmtId="0" fontId="0" fillId="31" borderId="1" xfId="0" applyFont="1" applyFill="1" applyBorder="1" applyAlignment="1">
      <alignment horizontal="center" vertical="center"/>
    </xf>
    <xf numFmtId="168" fontId="0" fillId="31" borderId="1" xfId="0" applyNumberFormat="1" applyFont="1" applyFill="1" applyBorder="1"/>
    <xf numFmtId="0" fontId="0" fillId="31" borderId="1" xfId="0" applyFont="1" applyFill="1" applyBorder="1"/>
    <xf numFmtId="0" fontId="10" fillId="31" borderId="1" xfId="0" applyFont="1" applyFill="1" applyBorder="1" applyAlignment="1">
      <alignment horizontal="left"/>
    </xf>
    <xf numFmtId="0" fontId="25" fillId="31" borderId="1" xfId="0" applyFont="1" applyFill="1" applyBorder="1"/>
    <xf numFmtId="0" fontId="10" fillId="31" borderId="1" xfId="0" applyFont="1" applyFill="1" applyBorder="1"/>
    <xf numFmtId="0" fontId="10" fillId="31" borderId="1" xfId="0" applyFont="1" applyFill="1" applyBorder="1" applyAlignment="1">
      <alignment vertical="center"/>
    </xf>
    <xf numFmtId="0" fontId="0" fillId="31" borderId="1" xfId="0" applyFill="1" applyBorder="1" applyAlignment="1">
      <alignment horizontal="center" vertical="center"/>
    </xf>
    <xf numFmtId="168" fontId="0" fillId="31" borderId="1" xfId="0" applyNumberFormat="1" applyFill="1" applyBorder="1"/>
    <xf numFmtId="0" fontId="0" fillId="31" borderId="1" xfId="0" applyFill="1" applyBorder="1"/>
    <xf numFmtId="0" fontId="23" fillId="31" borderId="1" xfId="0" applyFont="1" applyFill="1" applyBorder="1" applyAlignment="1">
      <alignment horizontal="left" vertical="center"/>
    </xf>
    <xf numFmtId="0" fontId="25" fillId="31" borderId="1" xfId="0" applyFont="1" applyFill="1" applyBorder="1" applyAlignment="1">
      <alignment horizontal="left" vertical="center"/>
    </xf>
    <xf numFmtId="0" fontId="10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left" vertical="center"/>
    </xf>
    <xf numFmtId="168" fontId="0" fillId="31" borderId="1" xfId="0" applyNumberForma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5" fillId="6" borderId="9" xfId="0" applyFont="1" applyFill="1" applyBorder="1" applyAlignment="1">
      <alignment horizontal="center" vertical="center"/>
    </xf>
    <xf numFmtId="0" fontId="35" fillId="6" borderId="7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5" fillId="3" borderId="15" xfId="0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/>
    </xf>
    <xf numFmtId="0" fontId="35" fillId="6" borderId="9" xfId="0" applyFont="1" applyFill="1" applyBorder="1" applyAlignment="1">
      <alignment horizontal="center" vertical="center"/>
    </xf>
    <xf numFmtId="0" fontId="35" fillId="6" borderId="7" xfId="0" applyFont="1" applyFill="1" applyBorder="1" applyAlignment="1">
      <alignment horizontal="center" vertical="center"/>
    </xf>
    <xf numFmtId="0" fontId="35" fillId="6" borderId="20" xfId="0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2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 wrapText="1"/>
    </xf>
    <xf numFmtId="0" fontId="36" fillId="7" borderId="9" xfId="0" applyFont="1" applyFill="1" applyBorder="1" applyAlignment="1">
      <alignment horizontal="center" vertical="center" wrapText="1"/>
    </xf>
    <xf numFmtId="0" fontId="36" fillId="7" borderId="7" xfId="0" applyFont="1" applyFill="1" applyBorder="1" applyAlignment="1">
      <alignment horizontal="center" vertical="center" wrapText="1"/>
    </xf>
    <xf numFmtId="0" fontId="36" fillId="7" borderId="6" xfId="0" applyFont="1" applyFill="1" applyBorder="1" applyAlignment="1">
      <alignment horizontal="center" vertical="center" wrapText="1"/>
    </xf>
    <xf numFmtId="0" fontId="36" fillId="7" borderId="23" xfId="0" applyFont="1" applyFill="1" applyBorder="1" applyAlignment="1">
      <alignment horizontal="center" vertical="center" wrapText="1"/>
    </xf>
    <xf numFmtId="0" fontId="56" fillId="2" borderId="58" xfId="0" applyFont="1" applyFill="1" applyBorder="1" applyAlignment="1">
      <alignment horizontal="center" vertical="center" wrapText="1"/>
    </xf>
    <xf numFmtId="0" fontId="56" fillId="2" borderId="35" xfId="0" applyFont="1" applyFill="1" applyBorder="1" applyAlignment="1">
      <alignment horizontal="center" vertical="center" wrapText="1"/>
    </xf>
    <xf numFmtId="0" fontId="56" fillId="6" borderId="58" xfId="0" applyFont="1" applyFill="1" applyBorder="1" applyAlignment="1">
      <alignment horizontal="center" vertical="center" wrapText="1"/>
    </xf>
    <xf numFmtId="0" fontId="56" fillId="6" borderId="60" xfId="0" applyFont="1" applyFill="1" applyBorder="1" applyAlignment="1">
      <alignment horizontal="center" vertical="center" wrapText="1"/>
    </xf>
    <xf numFmtId="0" fontId="56" fillId="0" borderId="59" xfId="0" applyFont="1" applyBorder="1" applyAlignment="1">
      <alignment horizontal="center" vertical="center"/>
    </xf>
    <xf numFmtId="0" fontId="56" fillId="0" borderId="63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5" fontId="12" fillId="0" borderId="11" xfId="0" applyNumberFormat="1" applyFont="1" applyBorder="1" applyAlignment="1">
      <alignment horizontal="center" vertical="center" wrapText="1"/>
    </xf>
    <xf numFmtId="165" fontId="12" fillId="0" borderId="13" xfId="0" applyNumberFormat="1" applyFont="1" applyBorder="1" applyAlignment="1">
      <alignment horizontal="center" vertical="center" wrapText="1"/>
    </xf>
    <xf numFmtId="165" fontId="12" fillId="0" borderId="12" xfId="0" applyNumberFormat="1" applyFont="1" applyBorder="1" applyAlignment="1">
      <alignment horizontal="center" vertical="center" wrapText="1"/>
    </xf>
    <xf numFmtId="0" fontId="5" fillId="0" borderId="0" xfId="11" applyAlignment="1">
      <alignment horizontal="center" vertical="center"/>
    </xf>
    <xf numFmtId="0" fontId="5" fillId="0" borderId="0" xfId="11" applyAlignment="1"/>
    <xf numFmtId="0" fontId="40" fillId="7" borderId="36" xfId="11" applyFont="1" applyFill="1" applyBorder="1" applyAlignment="1">
      <alignment horizontal="center"/>
    </xf>
    <xf numFmtId="0" fontId="40" fillId="7" borderId="33" xfId="11" applyFont="1" applyFill="1" applyBorder="1" applyAlignment="1">
      <alignment horizontal="center"/>
    </xf>
    <xf numFmtId="0" fontId="40" fillId="7" borderId="34" xfId="11" applyFont="1" applyFill="1" applyBorder="1" applyAlignment="1">
      <alignment horizontal="center"/>
    </xf>
    <xf numFmtId="0" fontId="40" fillId="7" borderId="37" xfId="11" applyFont="1" applyFill="1" applyBorder="1" applyAlignment="1">
      <alignment horizontal="center"/>
    </xf>
    <xf numFmtId="0" fontId="40" fillId="7" borderId="39" xfId="11" applyFont="1" applyFill="1" applyBorder="1" applyAlignment="1">
      <alignment horizontal="center"/>
    </xf>
    <xf numFmtId="0" fontId="5" fillId="3" borderId="45" xfId="11" applyFill="1" applyBorder="1" applyAlignment="1">
      <alignment horizontal="center"/>
    </xf>
    <xf numFmtId="0" fontId="5" fillId="3" borderId="46" xfId="11" applyFill="1" applyBorder="1" applyAlignment="1">
      <alignment horizontal="center"/>
    </xf>
    <xf numFmtId="0" fontId="5" fillId="3" borderId="46" xfId="11" applyFill="1" applyBorder="1" applyAlignment="1"/>
    <xf numFmtId="0" fontId="5" fillId="3" borderId="47" xfId="11" applyFill="1" applyBorder="1" applyAlignment="1">
      <alignment horizontal="center"/>
    </xf>
    <xf numFmtId="0" fontId="5" fillId="3" borderId="0" xfId="11" applyFill="1" applyAlignment="1">
      <alignment horizontal="center"/>
    </xf>
    <xf numFmtId="0" fontId="5" fillId="3" borderId="48" xfId="11" applyFill="1" applyBorder="1" applyAlignment="1">
      <alignment horizontal="center"/>
    </xf>
    <xf numFmtId="0" fontId="5" fillId="3" borderId="0" xfId="11" applyFill="1" applyAlignment="1"/>
    <xf numFmtId="0" fontId="5" fillId="3" borderId="51" xfId="11" applyFill="1" applyBorder="1" applyAlignment="1">
      <alignment horizontal="center"/>
    </xf>
    <xf numFmtId="0" fontId="5" fillId="3" borderId="52" xfId="11" applyFill="1" applyBorder="1" applyAlignment="1">
      <alignment horizontal="center"/>
    </xf>
    <xf numFmtId="0" fontId="5" fillId="3" borderId="52" xfId="11" applyFill="1" applyBorder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64" fontId="1" fillId="3" borderId="1" xfId="7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164" fontId="1" fillId="0" borderId="1" xfId="7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1" fillId="0" borderId="1" xfId="9" applyFont="1" applyBorder="1" applyAlignment="1">
      <alignment horizontal="center"/>
    </xf>
    <xf numFmtId="14" fontId="1" fillId="0" borderId="1" xfId="9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/>
    <xf numFmtId="14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3" borderId="11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14" fontId="1" fillId="3" borderId="13" xfId="0" applyNumberFormat="1" applyFont="1" applyFill="1" applyBorder="1" applyAlignment="1">
      <alignment horizontal="left"/>
    </xf>
    <xf numFmtId="0" fontId="1" fillId="3" borderId="13" xfId="0" applyFont="1" applyFill="1" applyBorder="1" applyAlignment="1">
      <alignment horizontal="left" vertical="top"/>
    </xf>
    <xf numFmtId="164" fontId="1" fillId="3" borderId="13" xfId="7" applyFont="1" applyFill="1" applyBorder="1" applyAlignment="1">
      <alignment horizontal="left"/>
    </xf>
    <xf numFmtId="165" fontId="1" fillId="3" borderId="13" xfId="0" applyNumberFormat="1" applyFont="1" applyFill="1" applyBorder="1" applyAlignment="1">
      <alignment horizontal="left"/>
    </xf>
    <xf numFmtId="165" fontId="1" fillId="0" borderId="13" xfId="0" applyNumberFormat="1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4" fontId="1" fillId="0" borderId="0" xfId="0" applyNumberFormat="1" applyFont="1"/>
    <xf numFmtId="0" fontId="1" fillId="3" borderId="5" xfId="0" applyFont="1" applyFill="1" applyBorder="1" applyAlignment="1">
      <alignment horizontal="left" vertical="center"/>
    </xf>
    <xf numFmtId="164" fontId="1" fillId="3" borderId="5" xfId="7" applyFont="1" applyFill="1" applyBorder="1" applyAlignment="1">
      <alignment horizontal="left" vertical="center"/>
    </xf>
    <xf numFmtId="165" fontId="1" fillId="3" borderId="5" xfId="0" applyNumberFormat="1" applyFont="1" applyFill="1" applyBorder="1" applyAlignment="1">
      <alignment horizontal="left" vertical="center"/>
    </xf>
    <xf numFmtId="165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/>
    <xf numFmtId="16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14" fontId="1" fillId="3" borderId="1" xfId="0" applyNumberFormat="1" applyFont="1" applyFill="1" applyBorder="1" applyAlignment="1">
      <alignment horizontal="left"/>
    </xf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29" borderId="1" xfId="0" applyFont="1" applyFill="1" applyBorder="1" applyAlignment="1">
      <alignment horizontal="left"/>
    </xf>
    <xf numFmtId="14" fontId="1" fillId="29" borderId="1" xfId="0" applyNumberFormat="1" applyFont="1" applyFill="1" applyBorder="1" applyAlignment="1">
      <alignment horizontal="left"/>
    </xf>
    <xf numFmtId="0" fontId="1" fillId="0" borderId="1" xfId="0" applyFont="1" applyFill="1" applyBorder="1"/>
    <xf numFmtId="14" fontId="1" fillId="0" borderId="1" xfId="0" applyNumberFormat="1" applyFont="1" applyFill="1" applyBorder="1" applyAlignment="1">
      <alignment horizontal="left"/>
    </xf>
    <xf numFmtId="165" fontId="1" fillId="0" borderId="1" xfId="0" applyNumberFormat="1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quotePrefix="1" applyFont="1" applyFill="1"/>
    <xf numFmtId="165" fontId="1" fillId="0" borderId="0" xfId="0" applyNumberFormat="1" applyFont="1" applyAlignment="1">
      <alignment horizontal="left"/>
    </xf>
    <xf numFmtId="0" fontId="1" fillId="0" borderId="8" xfId="0" applyFont="1" applyFill="1" applyBorder="1"/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applyNumberFormat="1" applyFont="1" applyFill="1" applyBorder="1"/>
    <xf numFmtId="0" fontId="1" fillId="0" borderId="2" xfId="0" applyFont="1" applyFill="1" applyBorder="1" applyAlignment="1">
      <alignment horizontal="left"/>
    </xf>
    <xf numFmtId="165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/>
    <xf numFmtId="0" fontId="1" fillId="0" borderId="2" xfId="0" applyFont="1" applyFill="1" applyBorder="1" applyAlignment="1">
      <alignment vertical="center"/>
    </xf>
    <xf numFmtId="168" fontId="1" fillId="0" borderId="0" xfId="0" applyNumberFormat="1" applyFont="1" applyFill="1"/>
    <xf numFmtId="0" fontId="1" fillId="0" borderId="8" xfId="0" applyFont="1" applyFill="1" applyBorder="1" applyAlignment="1">
      <alignment horizontal="left"/>
    </xf>
    <xf numFmtId="165" fontId="1" fillId="0" borderId="8" xfId="0" applyNumberFormat="1" applyFont="1" applyFill="1" applyBorder="1" applyAlignment="1">
      <alignment horizontal="left"/>
    </xf>
    <xf numFmtId="0" fontId="1" fillId="0" borderId="8" xfId="0" applyFont="1" applyFill="1" applyBorder="1" applyAlignment="1">
      <alignment vertical="center"/>
    </xf>
    <xf numFmtId="14" fontId="1" fillId="0" borderId="8" xfId="0" applyNumberFormat="1" applyFont="1" applyFill="1" applyBorder="1" applyAlignment="1">
      <alignment horizontal="left"/>
    </xf>
    <xf numFmtId="0" fontId="1" fillId="0" borderId="8" xfId="0" applyFont="1" applyFill="1" applyBorder="1" applyAlignment="1">
      <alignment horizontal="center" vertical="center"/>
    </xf>
    <xf numFmtId="168" fontId="1" fillId="0" borderId="8" xfId="0" applyNumberFormat="1" applyFont="1" applyFill="1" applyBorder="1"/>
    <xf numFmtId="0" fontId="1" fillId="0" borderId="1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65" fontId="1" fillId="0" borderId="1" xfId="0" applyNumberFormat="1" applyFont="1" applyFill="1" applyBorder="1" applyAlignment="1">
      <alignment horizontal="left" vertical="center"/>
    </xf>
    <xf numFmtId="0" fontId="1" fillId="31" borderId="1" xfId="0" applyFont="1" applyFill="1" applyBorder="1" applyAlignment="1">
      <alignment horizontal="left"/>
    </xf>
    <xf numFmtId="0" fontId="1" fillId="31" borderId="1" xfId="0" applyFont="1" applyFill="1" applyBorder="1" applyAlignment="1">
      <alignment horizontal="left" vertical="center"/>
    </xf>
    <xf numFmtId="14" fontId="1" fillId="31" borderId="1" xfId="0" applyNumberFormat="1" applyFont="1" applyFill="1" applyBorder="1" applyAlignment="1">
      <alignment horizontal="left" vertical="center"/>
    </xf>
    <xf numFmtId="165" fontId="1" fillId="31" borderId="1" xfId="0" applyNumberFormat="1" applyFont="1" applyFill="1" applyBorder="1" applyAlignment="1">
      <alignment horizontal="left" vertical="center"/>
    </xf>
    <xf numFmtId="14" fontId="1" fillId="31" borderId="1" xfId="0" applyNumberFormat="1" applyFont="1" applyFill="1" applyBorder="1" applyAlignment="1">
      <alignment horizontal="left"/>
    </xf>
    <xf numFmtId="165" fontId="1" fillId="31" borderId="1" xfId="0" applyNumberFormat="1" applyFont="1" applyFill="1" applyBorder="1" applyAlignment="1">
      <alignment horizontal="left"/>
    </xf>
    <xf numFmtId="0" fontId="1" fillId="31" borderId="1" xfId="0" applyFont="1" applyFill="1" applyBorder="1"/>
    <xf numFmtId="0" fontId="1" fillId="31" borderId="1" xfId="0" applyFont="1" applyFill="1" applyBorder="1" applyAlignment="1">
      <alignment vertical="center"/>
    </xf>
    <xf numFmtId="0" fontId="1" fillId="31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left" vertical="top"/>
    </xf>
    <xf numFmtId="165" fontId="1" fillId="0" borderId="1" xfId="0" applyNumberFormat="1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center"/>
    </xf>
    <xf numFmtId="168" fontId="1" fillId="0" borderId="2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9" fontId="1" fillId="3" borderId="10" xfId="1" applyFont="1" applyFill="1" applyBorder="1"/>
    <xf numFmtId="0" fontId="1" fillId="16" borderId="45" xfId="0" applyFont="1" applyFill="1" applyBorder="1" applyAlignment="1">
      <alignment horizontal="left"/>
    </xf>
    <xf numFmtId="0" fontId="1" fillId="16" borderId="47" xfId="0" applyFont="1" applyFill="1" applyBorder="1" applyAlignment="1">
      <alignment horizontal="left"/>
    </xf>
    <xf numFmtId="0" fontId="1" fillId="16" borderId="51" xfId="0" applyFont="1" applyFill="1" applyBorder="1" applyAlignment="1">
      <alignment horizontal="left"/>
    </xf>
    <xf numFmtId="165" fontId="1" fillId="0" borderId="7" xfId="0" applyNumberFormat="1" applyFont="1" applyFill="1" applyBorder="1" applyAlignment="1">
      <alignment horizontal="left" vertical="center"/>
    </xf>
    <xf numFmtId="165" fontId="1" fillId="0" borderId="7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5" fontId="1" fillId="12" borderId="7" xfId="0" applyNumberFormat="1" applyFont="1" applyFill="1" applyBorder="1" applyAlignment="1">
      <alignment horizontal="left" vertical="center"/>
    </xf>
    <xf numFmtId="165" fontId="1" fillId="12" borderId="1" xfId="0" applyNumberFormat="1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left" vertical="center"/>
    </xf>
  </cellXfs>
  <cellStyles count="14">
    <cellStyle name="Hiperligação 2" xfId="2" xr:uid="{00000000-0005-0000-0000-000001000000}"/>
    <cellStyle name="Hiperligação 3" xfId="12" xr:uid="{00000000-0005-0000-0000-000002000000}"/>
    <cellStyle name="Hiperlink" xfId="13" builtinId="8"/>
    <cellStyle name="Normal" xfId="0" builtinId="0"/>
    <cellStyle name="Normal 2" xfId="3" xr:uid="{00000000-0005-0000-0000-000004000000}"/>
    <cellStyle name="Normal 3" xfId="4" xr:uid="{00000000-0005-0000-0000-000005000000}"/>
    <cellStyle name="Normal 4" xfId="5" xr:uid="{00000000-0005-0000-0000-000006000000}"/>
    <cellStyle name="Normal 5" xfId="6" xr:uid="{00000000-0005-0000-0000-000007000000}"/>
    <cellStyle name="Normal 6" xfId="8" xr:uid="{00000000-0005-0000-0000-000008000000}"/>
    <cellStyle name="Normal 7" xfId="9" xr:uid="{00000000-0005-0000-0000-000009000000}"/>
    <cellStyle name="Normal 8" xfId="10" xr:uid="{00000000-0005-0000-0000-00000A000000}"/>
    <cellStyle name="Normal 9" xfId="11" xr:uid="{00000000-0005-0000-0000-00000B000000}"/>
    <cellStyle name="Porcentagem" xfId="1" builtinId="5"/>
    <cellStyle name="Vírgula" xfId="7" builtinId="3"/>
  </cellStyles>
  <dxfs count="7">
    <dxf>
      <alignment horizontal="general" vertical="center" textRotation="0" wrapText="0" relativeIndent="0" justifyLastLine="0" shrinkToFit="0" readingOrder="0"/>
    </dxf>
    <dxf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relativeIndent="0" justifyLastLine="0" shrinkToFit="0" readingOrder="0"/>
    </dxf>
    <dxf>
      <alignment horizontal="general" vertical="center" textRotation="0" wrapText="0" relativeIndent="0" justifyLastLine="0" shrinkToFit="0" readingOrder="0"/>
    </dxf>
    <dxf>
      <alignment horizontal="general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colors>
    <mruColors>
      <color rgb="FF00FFFF"/>
      <color rgb="FFFFCDFF"/>
      <color rgb="FFFF99FF"/>
      <color rgb="FFCB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D59:I66" totalsRowShown="0" headerRowDxfId="6">
  <autoFilter ref="D59:I66" xr:uid="{00000000-0009-0000-0100-000001000000}"/>
  <tableColumns count="6">
    <tableColumn id="1" xr3:uid="{00000000-0010-0000-0000-000001000000}" name="RESPONSÁVEL" dataDxfId="5"/>
    <tableColumn id="2" xr3:uid="{00000000-0010-0000-0000-000002000000}" name="Seepmode" dataDxfId="4"/>
    <tableColumn id="3" xr3:uid="{00000000-0010-0000-0000-000003000000}" name="Tacovia" dataDxfId="3"/>
    <tableColumn id="4" xr3:uid="{00000000-0010-0000-0000-000004000000}" name="Seepmed" dataDxfId="2"/>
    <tableColumn id="5" xr3:uid="{00000000-0010-0000-0000-000005000000}" name="Coluna1" dataDxfId="1"/>
    <tableColumn id="6" xr3:uid="{00000000-0010-0000-0000-000006000000}" name="Coluna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franciscoandrade@seepmed.pt" TargetMode="External"/><Relationship Id="rId18" Type="http://schemas.openxmlformats.org/officeDocument/2006/relationships/hyperlink" Target="mailto:ruicastro@seepmed.pt" TargetMode="External"/><Relationship Id="rId26" Type="http://schemas.openxmlformats.org/officeDocument/2006/relationships/hyperlink" Target="mailto:mariafernandes@seepmode.com" TargetMode="External"/><Relationship Id="rId39" Type="http://schemas.openxmlformats.org/officeDocument/2006/relationships/hyperlink" Target="mailto:casimirogomes@seepmode.com" TargetMode="External"/><Relationship Id="rId21" Type="http://schemas.openxmlformats.org/officeDocument/2006/relationships/hyperlink" Target="mailto:carlajoaquim@seepmed.pt" TargetMode="External"/><Relationship Id="rId34" Type="http://schemas.openxmlformats.org/officeDocument/2006/relationships/hyperlink" Target="mailto:joaomartinho@seepmode.com" TargetMode="External"/><Relationship Id="rId42" Type="http://schemas.openxmlformats.org/officeDocument/2006/relationships/hyperlink" Target="mailto:loliveira@tacovia.eu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mailto:ncosta@tacovia.eu" TargetMode="External"/><Relationship Id="rId2" Type="http://schemas.openxmlformats.org/officeDocument/2006/relationships/hyperlink" Target="mailto:ssoares@tacovia.eu" TargetMode="External"/><Relationship Id="rId16" Type="http://schemas.openxmlformats.org/officeDocument/2006/relationships/hyperlink" Target="mailto:ruimachado@seepmed.pt" TargetMode="External"/><Relationship Id="rId29" Type="http://schemas.openxmlformats.org/officeDocument/2006/relationships/hyperlink" Target="mailto:josepires@seepmode.com" TargetMode="External"/><Relationship Id="rId1" Type="http://schemas.openxmlformats.org/officeDocument/2006/relationships/hyperlink" Target="mailto:ramaral@tacovia.eu" TargetMode="External"/><Relationship Id="rId6" Type="http://schemas.openxmlformats.org/officeDocument/2006/relationships/hyperlink" Target="mailto:rbranco@tacovia.eu" TargetMode="External"/><Relationship Id="rId11" Type="http://schemas.openxmlformats.org/officeDocument/2006/relationships/hyperlink" Target="mailto:mloureiro@tacovia.eu" TargetMode="External"/><Relationship Id="rId24" Type="http://schemas.openxmlformats.org/officeDocument/2006/relationships/hyperlink" Target="mailto:feizalmayet@seepmed.pt" TargetMode="External"/><Relationship Id="rId32" Type="http://schemas.openxmlformats.org/officeDocument/2006/relationships/hyperlink" Target="mailto:carlospinheiro@seepmode.com" TargetMode="External"/><Relationship Id="rId37" Type="http://schemas.openxmlformats.org/officeDocument/2006/relationships/hyperlink" Target="mailto:josefernandes@seepmode.com" TargetMode="External"/><Relationship Id="rId40" Type="http://schemas.openxmlformats.org/officeDocument/2006/relationships/hyperlink" Target="mailto:maurosilva@seepmode.com" TargetMode="External"/><Relationship Id="rId45" Type="http://schemas.openxmlformats.org/officeDocument/2006/relationships/hyperlink" Target="mailto:nfreitas@tacovia.eu" TargetMode="External"/><Relationship Id="rId5" Type="http://schemas.openxmlformats.org/officeDocument/2006/relationships/hyperlink" Target="mailto:ffolgado@tacovia.eu" TargetMode="External"/><Relationship Id="rId15" Type="http://schemas.openxmlformats.org/officeDocument/2006/relationships/hyperlink" Target="mailto:daliasousa@seepmed.pt" TargetMode="External"/><Relationship Id="rId23" Type="http://schemas.openxmlformats.org/officeDocument/2006/relationships/hyperlink" Target="mailto:joaogomes@seepmed.pt" TargetMode="External"/><Relationship Id="rId28" Type="http://schemas.openxmlformats.org/officeDocument/2006/relationships/hyperlink" Target="mailto:miguelperdigao@seepmode.com" TargetMode="External"/><Relationship Id="rId36" Type="http://schemas.openxmlformats.org/officeDocument/2006/relationships/hyperlink" Target="mailto:herculanodias@seepmode.com" TargetMode="External"/><Relationship Id="rId10" Type="http://schemas.openxmlformats.org/officeDocument/2006/relationships/hyperlink" Target="mailto:svaz@tacovia.eu" TargetMode="External"/><Relationship Id="rId19" Type="http://schemas.openxmlformats.org/officeDocument/2006/relationships/hyperlink" Target="mailto:joaopires@seepmed.pt" TargetMode="External"/><Relationship Id="rId31" Type="http://schemas.openxmlformats.org/officeDocument/2006/relationships/hyperlink" Target="mailto:vitorsousa@seepmode.com" TargetMode="External"/><Relationship Id="rId44" Type="http://schemas.openxmlformats.org/officeDocument/2006/relationships/hyperlink" Target="mailto:tiagorodrigues@seepmode.com" TargetMode="External"/><Relationship Id="rId4" Type="http://schemas.openxmlformats.org/officeDocument/2006/relationships/hyperlink" Target="mailto:cgomes@tacovia.eu" TargetMode="External"/><Relationship Id="rId9" Type="http://schemas.openxmlformats.org/officeDocument/2006/relationships/hyperlink" Target="mailto:fsousa@tacovia.eu" TargetMode="External"/><Relationship Id="rId14" Type="http://schemas.openxmlformats.org/officeDocument/2006/relationships/hyperlink" Target="mailto:marcelofernandes@seepmed.pt" TargetMode="External"/><Relationship Id="rId22" Type="http://schemas.openxmlformats.org/officeDocument/2006/relationships/hyperlink" Target="mailto:filipecoelho@seepmed.pt" TargetMode="External"/><Relationship Id="rId27" Type="http://schemas.openxmlformats.org/officeDocument/2006/relationships/hyperlink" Target="mailto:isabelfernandes@seepmode.com" TargetMode="External"/><Relationship Id="rId30" Type="http://schemas.openxmlformats.org/officeDocument/2006/relationships/hyperlink" Target="mailto:helderemidio@seepmode.com" TargetMode="External"/><Relationship Id="rId35" Type="http://schemas.openxmlformats.org/officeDocument/2006/relationships/hyperlink" Target="mailto:paulolivramento@seepmode.com" TargetMode="External"/><Relationship Id="rId43" Type="http://schemas.openxmlformats.org/officeDocument/2006/relationships/hyperlink" Target="mailto:gustavazevedo@seepmode.com" TargetMode="External"/><Relationship Id="rId48" Type="http://schemas.openxmlformats.org/officeDocument/2006/relationships/table" Target="../tables/table1.xml"/><Relationship Id="rId8" Type="http://schemas.openxmlformats.org/officeDocument/2006/relationships/hyperlink" Target="mailto:ctrindade@tacovia.eu" TargetMode="External"/><Relationship Id="rId3" Type="http://schemas.openxmlformats.org/officeDocument/2006/relationships/hyperlink" Target="mailto:rpimentel@tacovia.eu" TargetMode="External"/><Relationship Id="rId12" Type="http://schemas.openxmlformats.org/officeDocument/2006/relationships/hyperlink" Target="mailto:nmarques@tacovia.eu" TargetMode="External"/><Relationship Id="rId17" Type="http://schemas.openxmlformats.org/officeDocument/2006/relationships/hyperlink" Target="mailto:paulomartins@seepmed.pt" TargetMode="External"/><Relationship Id="rId25" Type="http://schemas.openxmlformats.org/officeDocument/2006/relationships/hyperlink" Target="mailto:joaoantunes@seepmode.com" TargetMode="External"/><Relationship Id="rId33" Type="http://schemas.openxmlformats.org/officeDocument/2006/relationships/hyperlink" Target="mailto:joaocoelho@seepmode.com" TargetMode="External"/><Relationship Id="rId38" Type="http://schemas.openxmlformats.org/officeDocument/2006/relationships/hyperlink" Target="mailto:pedromoura@seepmode.com" TargetMode="External"/><Relationship Id="rId46" Type="http://schemas.openxmlformats.org/officeDocument/2006/relationships/hyperlink" Target="mailto:luismilheiro@seepmode.com" TargetMode="External"/><Relationship Id="rId20" Type="http://schemas.openxmlformats.org/officeDocument/2006/relationships/hyperlink" Target="mailto:rutebastos@seepmed.pt" TargetMode="External"/><Relationship Id="rId41" Type="http://schemas.openxmlformats.org/officeDocument/2006/relationships/hyperlink" Target="mailto:pedropereira@seepmode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cqn.pt/" TargetMode="External"/><Relationship Id="rId1" Type="http://schemas.openxmlformats.org/officeDocument/2006/relationships/hyperlink" Target="http://www.linkd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AV2083"/>
  <sheetViews>
    <sheetView zoomScale="90" zoomScaleNormal="90" workbookViewId="0">
      <pane xSplit="5" ySplit="3" topLeftCell="F133" activePane="bottomRight" state="frozen"/>
      <selection pane="bottomRight" activeCell="D32" sqref="D32"/>
      <selection pane="bottomLeft" activeCell="X358" sqref="X358"/>
      <selection pane="topRight" activeCell="X358" sqref="X358"/>
    </sheetView>
  </sheetViews>
  <sheetFormatPr defaultColWidth="8.5" defaultRowHeight="15.75"/>
  <cols>
    <col min="1" max="1" width="9.5" style="1" customWidth="1"/>
    <col min="2" max="2" width="7" style="2" customWidth="1"/>
    <col min="3" max="3" width="19" customWidth="1"/>
    <col min="4" max="4" width="9.5" style="2" customWidth="1"/>
    <col min="5" max="5" width="15" style="3" customWidth="1"/>
    <col min="6" max="6" width="17.5" style="2" customWidth="1"/>
    <col min="7" max="7" width="14" style="4" bestFit="1" customWidth="1"/>
    <col min="8" max="8" width="12" bestFit="1" customWidth="1"/>
    <col min="9" max="9" width="10.5" bestFit="1" customWidth="1"/>
    <col min="10" max="10" width="12" bestFit="1" customWidth="1"/>
    <col min="11" max="11" width="9" customWidth="1"/>
    <col min="12" max="12" width="8" style="2" customWidth="1"/>
    <col min="13" max="13" width="9" customWidth="1"/>
    <col min="14" max="14" width="11.5" style="5" customWidth="1"/>
    <col min="15" max="15" width="7" style="5" bestFit="1" customWidth="1"/>
    <col min="16" max="16" width="6" style="5" bestFit="1" customWidth="1"/>
    <col min="17" max="17" width="10.5" style="5" customWidth="1"/>
    <col min="18" max="18" width="8" style="6" customWidth="1"/>
    <col min="19" max="19" width="10.5" customWidth="1"/>
    <col min="20" max="20" width="9.5" style="7" customWidth="1"/>
    <col min="21" max="21" width="7.5" style="8" customWidth="1"/>
    <col min="22" max="22" width="11.5" style="7" customWidth="1"/>
    <col min="23" max="23" width="8.5" style="9"/>
    <col min="25" max="26" width="12" style="10" customWidth="1"/>
    <col min="27" max="27" width="13.875" style="10" customWidth="1"/>
  </cols>
  <sheetData>
    <row r="1" spans="1:30">
      <c r="A1" s="830"/>
      <c r="G1" s="831"/>
      <c r="H1" s="62"/>
      <c r="W1" s="832"/>
      <c r="X1" s="74">
        <f>SUBTOTAL(9,AB3:AB186)</f>
        <v>26.299999999999997</v>
      </c>
      <c r="Y1" s="74">
        <f>SUBTOTAL(9,AC3:AC186)</f>
        <v>4.8872180451127827</v>
      </c>
      <c r="Z1" s="74">
        <f>SUBTOTAL(9,AD3:AD186)</f>
        <v>6.7897243107769425</v>
      </c>
      <c r="AA1" s="776"/>
      <c r="AB1">
        <v>9</v>
      </c>
      <c r="AC1" s="776">
        <v>6</v>
      </c>
      <c r="AD1" s="776">
        <v>3</v>
      </c>
    </row>
    <row r="2" spans="1:30">
      <c r="A2" s="830"/>
      <c r="B2" s="41">
        <f>COUNT(9,B4:B2081)</f>
        <v>2079</v>
      </c>
      <c r="C2" s="6"/>
      <c r="D2" s="41"/>
      <c r="E2" s="366"/>
      <c r="F2" s="41"/>
      <c r="G2" s="41">
        <f>SUBTOTAL(9,G4:G2081)</f>
        <v>23053</v>
      </c>
      <c r="H2" s="63"/>
      <c r="I2" s="2"/>
      <c r="J2" s="2"/>
      <c r="K2" s="2"/>
      <c r="W2" s="832"/>
      <c r="X2" t="s">
        <v>0</v>
      </c>
      <c r="Y2" s="776" t="s">
        <v>0</v>
      </c>
      <c r="Z2" s="776" t="s">
        <v>0</v>
      </c>
      <c r="AA2" s="776"/>
      <c r="AB2" t="s">
        <v>0</v>
      </c>
      <c r="AC2" s="776" t="s">
        <v>0</v>
      </c>
      <c r="AD2" s="776" t="s">
        <v>0</v>
      </c>
    </row>
    <row r="3" spans="1:30" s="19" customFormat="1" ht="29.25" customHeight="1">
      <c r="A3" s="833" t="s">
        <v>1</v>
      </c>
      <c r="B3" s="11" t="s">
        <v>2</v>
      </c>
      <c r="C3" s="12" t="s">
        <v>3</v>
      </c>
      <c r="D3" s="11" t="s">
        <v>4</v>
      </c>
      <c r="E3" s="13" t="s">
        <v>5</v>
      </c>
      <c r="F3" s="11" t="s">
        <v>6</v>
      </c>
      <c r="G3" s="11" t="s">
        <v>7</v>
      </c>
      <c r="H3" s="64" t="s">
        <v>8</v>
      </c>
      <c r="I3" s="11" t="s">
        <v>9</v>
      </c>
      <c r="J3" s="11" t="s">
        <v>10</v>
      </c>
      <c r="K3" s="11" t="s">
        <v>11</v>
      </c>
      <c r="L3" s="14" t="s">
        <v>12</v>
      </c>
      <c r="M3" s="12" t="s">
        <v>13</v>
      </c>
      <c r="N3" s="15" t="s">
        <v>14</v>
      </c>
      <c r="O3" s="15"/>
      <c r="P3" s="12" t="s">
        <v>15</v>
      </c>
      <c r="Q3" s="15" t="s">
        <v>14</v>
      </c>
      <c r="R3" s="16" t="s">
        <v>16</v>
      </c>
      <c r="S3" s="12" t="s">
        <v>17</v>
      </c>
      <c r="T3" s="17" t="s">
        <v>18</v>
      </c>
      <c r="U3" s="12" t="s">
        <v>16</v>
      </c>
      <c r="V3" s="17" t="s">
        <v>19</v>
      </c>
      <c r="W3" s="18" t="s">
        <v>20</v>
      </c>
      <c r="X3" s="19" t="s">
        <v>21</v>
      </c>
      <c r="Y3" s="20" t="s">
        <v>22</v>
      </c>
      <c r="Z3" s="20" t="s">
        <v>23</v>
      </c>
      <c r="AA3" s="20"/>
      <c r="AB3" s="19" t="s">
        <v>21</v>
      </c>
      <c r="AC3" s="20" t="s">
        <v>22</v>
      </c>
      <c r="AD3" s="20" t="s">
        <v>23</v>
      </c>
    </row>
    <row r="4" spans="1:30" ht="15.75" customHeight="1">
      <c r="A4" s="834" t="s">
        <v>24</v>
      </c>
      <c r="B4" s="835">
        <v>1</v>
      </c>
      <c r="C4" s="835" t="s">
        <v>25</v>
      </c>
      <c r="D4" s="835" t="s">
        <v>26</v>
      </c>
      <c r="E4" s="836">
        <v>45659</v>
      </c>
      <c r="F4" s="835" t="s">
        <v>27</v>
      </c>
      <c r="G4" s="835">
        <v>29</v>
      </c>
      <c r="H4" s="837" t="s">
        <v>22</v>
      </c>
      <c r="I4" s="835" t="s">
        <v>28</v>
      </c>
      <c r="J4" s="66" t="s">
        <v>29</v>
      </c>
      <c r="K4" s="66"/>
      <c r="L4" s="66"/>
      <c r="M4" s="67" t="s">
        <v>30</v>
      </c>
      <c r="N4" s="68">
        <v>45692</v>
      </c>
      <c r="O4" s="66" t="s">
        <v>31</v>
      </c>
      <c r="P4" s="67" t="s">
        <v>30</v>
      </c>
      <c r="Q4" s="68">
        <v>45692</v>
      </c>
      <c r="R4" s="81" t="s">
        <v>22</v>
      </c>
      <c r="S4" s="67" t="s">
        <v>32</v>
      </c>
      <c r="T4" s="67">
        <v>29</v>
      </c>
      <c r="U4" s="69" t="s">
        <v>22</v>
      </c>
      <c r="V4" s="68">
        <v>45692</v>
      </c>
      <c r="W4" s="82" t="s">
        <v>30</v>
      </c>
      <c r="Y4" s="776"/>
      <c r="Z4" s="776"/>
      <c r="AA4" s="776"/>
    </row>
    <row r="5" spans="1:30" ht="15.75" customHeight="1">
      <c r="A5" s="834" t="s">
        <v>24</v>
      </c>
      <c r="B5" s="835">
        <v>2</v>
      </c>
      <c r="C5" s="838" t="s">
        <v>33</v>
      </c>
      <c r="D5" s="838" t="s">
        <v>34</v>
      </c>
      <c r="E5" s="839">
        <v>45659</v>
      </c>
      <c r="F5" s="838" t="s">
        <v>35</v>
      </c>
      <c r="G5" s="838">
        <v>15</v>
      </c>
      <c r="H5" s="838" t="s">
        <v>21</v>
      </c>
      <c r="I5" s="838" t="s">
        <v>36</v>
      </c>
      <c r="J5" s="21" t="s">
        <v>29</v>
      </c>
      <c r="K5" s="21"/>
      <c r="L5" s="21"/>
      <c r="M5" s="22" t="s">
        <v>30</v>
      </c>
      <c r="N5" s="23">
        <v>45713</v>
      </c>
      <c r="O5" s="21" t="s">
        <v>31</v>
      </c>
      <c r="P5" s="22" t="s">
        <v>30</v>
      </c>
      <c r="Q5" s="23">
        <v>45713</v>
      </c>
      <c r="R5" s="79" t="s">
        <v>37</v>
      </c>
      <c r="S5" s="22" t="s">
        <v>32</v>
      </c>
      <c r="T5" s="22">
        <v>15</v>
      </c>
      <c r="U5" s="24" t="s">
        <v>37</v>
      </c>
      <c r="V5" s="23">
        <v>45713</v>
      </c>
      <c r="W5" s="840" t="s">
        <v>30</v>
      </c>
      <c r="Y5" s="776"/>
      <c r="Z5" s="776"/>
      <c r="AA5" s="776"/>
    </row>
    <row r="6" spans="1:30" ht="15.75" customHeight="1">
      <c r="A6" s="834" t="s">
        <v>24</v>
      </c>
      <c r="B6" s="835">
        <v>3</v>
      </c>
      <c r="C6" s="835" t="s">
        <v>38</v>
      </c>
      <c r="D6" s="835" t="s">
        <v>34</v>
      </c>
      <c r="E6" s="836">
        <v>45659</v>
      </c>
      <c r="F6" s="835" t="s">
        <v>39</v>
      </c>
      <c r="G6" s="835">
        <v>23</v>
      </c>
      <c r="H6" s="835" t="s">
        <v>21</v>
      </c>
      <c r="I6" s="835" t="s">
        <v>36</v>
      </c>
      <c r="J6" s="66" t="s">
        <v>29</v>
      </c>
      <c r="K6" s="66"/>
      <c r="L6" s="66"/>
      <c r="M6" s="67" t="s">
        <v>30</v>
      </c>
      <c r="N6" s="68">
        <v>45712</v>
      </c>
      <c r="O6" s="66" t="s">
        <v>31</v>
      </c>
      <c r="P6" s="67" t="s">
        <v>30</v>
      </c>
      <c r="Q6" s="68">
        <v>45712</v>
      </c>
      <c r="R6" s="81" t="s">
        <v>36</v>
      </c>
      <c r="S6" s="67" t="s">
        <v>32</v>
      </c>
      <c r="T6" s="67">
        <v>23</v>
      </c>
      <c r="U6" s="69" t="s">
        <v>36</v>
      </c>
      <c r="V6" s="68">
        <v>45712</v>
      </c>
      <c r="W6" s="841" t="s">
        <v>30</v>
      </c>
      <c r="Y6" s="776"/>
      <c r="Z6" s="776"/>
      <c r="AA6" s="776"/>
    </row>
    <row r="7" spans="1:30" ht="15.75" customHeight="1">
      <c r="A7" s="834" t="s">
        <v>24</v>
      </c>
      <c r="B7" s="835">
        <v>4</v>
      </c>
      <c r="C7" s="835" t="s">
        <v>40</v>
      </c>
      <c r="D7" s="835" t="s">
        <v>34</v>
      </c>
      <c r="E7" s="836">
        <v>45659</v>
      </c>
      <c r="F7" s="835" t="s">
        <v>39</v>
      </c>
      <c r="G7" s="835">
        <v>23</v>
      </c>
      <c r="H7" s="835" t="s">
        <v>21</v>
      </c>
      <c r="I7" s="835" t="s">
        <v>36</v>
      </c>
      <c r="J7" s="66" t="s">
        <v>29</v>
      </c>
      <c r="K7" s="66"/>
      <c r="L7" s="66"/>
      <c r="M7" s="67" t="s">
        <v>30</v>
      </c>
      <c r="N7" s="68">
        <v>45712</v>
      </c>
      <c r="O7" s="66" t="s">
        <v>31</v>
      </c>
      <c r="P7" s="67" t="s">
        <v>30</v>
      </c>
      <c r="Q7" s="68">
        <v>45712</v>
      </c>
      <c r="R7" s="81" t="s">
        <v>36</v>
      </c>
      <c r="S7" s="67" t="s">
        <v>32</v>
      </c>
      <c r="T7" s="67">
        <v>23</v>
      </c>
      <c r="U7" s="69" t="s">
        <v>36</v>
      </c>
      <c r="V7" s="68">
        <v>45712</v>
      </c>
      <c r="W7" s="841" t="s">
        <v>30</v>
      </c>
      <c r="Y7" s="776"/>
      <c r="Z7" s="776"/>
      <c r="AA7" s="776"/>
    </row>
    <row r="8" spans="1:30" ht="15.75" customHeight="1">
      <c r="A8" s="834" t="s">
        <v>24</v>
      </c>
      <c r="B8" s="835">
        <v>5</v>
      </c>
      <c r="C8" s="835" t="s">
        <v>41</v>
      </c>
      <c r="D8" s="835" t="s">
        <v>34</v>
      </c>
      <c r="E8" s="836">
        <v>45659</v>
      </c>
      <c r="F8" s="835" t="s">
        <v>39</v>
      </c>
      <c r="G8" s="835">
        <v>24</v>
      </c>
      <c r="H8" s="835" t="s">
        <v>21</v>
      </c>
      <c r="I8" s="835" t="s">
        <v>36</v>
      </c>
      <c r="J8" s="66" t="s">
        <v>29</v>
      </c>
      <c r="K8" s="66"/>
      <c r="L8" s="66"/>
      <c r="M8" s="67" t="s">
        <v>30</v>
      </c>
      <c r="N8" s="68">
        <v>45712</v>
      </c>
      <c r="O8" s="66" t="s">
        <v>31</v>
      </c>
      <c r="P8" s="67" t="s">
        <v>30</v>
      </c>
      <c r="Q8" s="68">
        <v>45712</v>
      </c>
      <c r="R8" s="81" t="s">
        <v>36</v>
      </c>
      <c r="S8" s="67" t="s">
        <v>32</v>
      </c>
      <c r="T8" s="67">
        <v>23</v>
      </c>
      <c r="U8" s="69" t="s">
        <v>36</v>
      </c>
      <c r="V8" s="68">
        <v>45712</v>
      </c>
      <c r="W8" s="841" t="s">
        <v>30</v>
      </c>
      <c r="Y8"/>
      <c r="Z8"/>
      <c r="AA8"/>
    </row>
    <row r="9" spans="1:30" ht="15.75" customHeight="1">
      <c r="A9" s="834" t="s">
        <v>24</v>
      </c>
      <c r="B9" s="835">
        <v>6</v>
      </c>
      <c r="C9" s="835" t="s">
        <v>42</v>
      </c>
      <c r="D9" s="835" t="s">
        <v>43</v>
      </c>
      <c r="E9" s="836">
        <v>45660</v>
      </c>
      <c r="F9" s="835" t="s">
        <v>27</v>
      </c>
      <c r="G9" s="835">
        <v>13</v>
      </c>
      <c r="H9" s="837" t="s">
        <v>22</v>
      </c>
      <c r="I9" s="835" t="s">
        <v>28</v>
      </c>
      <c r="J9" s="66" t="s">
        <v>29</v>
      </c>
      <c r="K9" s="66"/>
      <c r="L9" s="66"/>
      <c r="M9" s="67" t="s">
        <v>30</v>
      </c>
      <c r="N9" s="68">
        <v>45712</v>
      </c>
      <c r="O9" s="66"/>
      <c r="P9" s="67" t="s">
        <v>30</v>
      </c>
      <c r="Q9" s="68">
        <v>45712</v>
      </c>
      <c r="R9" s="81" t="s">
        <v>22</v>
      </c>
      <c r="S9" s="67" t="s">
        <v>32</v>
      </c>
      <c r="T9" s="67">
        <v>13</v>
      </c>
      <c r="U9" s="67" t="s">
        <v>22</v>
      </c>
      <c r="V9" s="68">
        <v>45712</v>
      </c>
      <c r="W9" s="82" t="s">
        <v>30</v>
      </c>
      <c r="Y9" s="776"/>
      <c r="Z9" s="776"/>
      <c r="AA9" s="776"/>
    </row>
    <row r="10" spans="1:30" ht="15.75" customHeight="1">
      <c r="A10" s="834" t="s">
        <v>24</v>
      </c>
      <c r="B10" s="835">
        <v>7</v>
      </c>
      <c r="C10" s="835" t="s">
        <v>44</v>
      </c>
      <c r="D10" s="835" t="s">
        <v>43</v>
      </c>
      <c r="E10" s="836">
        <v>45660</v>
      </c>
      <c r="F10" s="835" t="s">
        <v>45</v>
      </c>
      <c r="G10" s="835">
        <v>4</v>
      </c>
      <c r="H10" s="835" t="s">
        <v>46</v>
      </c>
      <c r="I10" s="835" t="s">
        <v>47</v>
      </c>
      <c r="J10" s="66" t="s">
        <v>29</v>
      </c>
      <c r="K10" s="66"/>
      <c r="L10" s="66"/>
      <c r="M10" s="67" t="s">
        <v>30</v>
      </c>
      <c r="N10" s="68">
        <v>45743</v>
      </c>
      <c r="O10" s="66"/>
      <c r="P10" s="67" t="s">
        <v>30</v>
      </c>
      <c r="Q10" s="68">
        <v>45743</v>
      </c>
      <c r="R10" s="81" t="s">
        <v>48</v>
      </c>
      <c r="S10" s="67" t="s">
        <v>32</v>
      </c>
      <c r="T10" s="67">
        <v>4</v>
      </c>
      <c r="U10" s="69" t="s">
        <v>48</v>
      </c>
      <c r="V10" s="68">
        <v>45743</v>
      </c>
      <c r="W10" s="841" t="s">
        <v>30</v>
      </c>
      <c r="Y10" s="776"/>
      <c r="Z10" s="776"/>
      <c r="AA10" s="776"/>
    </row>
    <row r="11" spans="1:30" ht="15.75" customHeight="1">
      <c r="A11" s="834" t="s">
        <v>24</v>
      </c>
      <c r="B11" s="835">
        <v>8</v>
      </c>
      <c r="C11" s="835" t="s">
        <v>49</v>
      </c>
      <c r="D11" s="835" t="s">
        <v>50</v>
      </c>
      <c r="E11" s="836">
        <v>45660</v>
      </c>
      <c r="F11" s="835" t="s">
        <v>45</v>
      </c>
      <c r="G11" s="835">
        <v>4</v>
      </c>
      <c r="H11" s="835" t="s">
        <v>46</v>
      </c>
      <c r="I11" s="835" t="s">
        <v>47</v>
      </c>
      <c r="J11" s="66" t="s">
        <v>29</v>
      </c>
      <c r="K11" s="66"/>
      <c r="L11" s="66"/>
      <c r="M11" s="67" t="s">
        <v>30</v>
      </c>
      <c r="N11" s="68">
        <v>45743</v>
      </c>
      <c r="O11" s="66"/>
      <c r="P11" s="67" t="s">
        <v>30</v>
      </c>
      <c r="Q11" s="68">
        <v>45743</v>
      </c>
      <c r="R11" s="81" t="s">
        <v>48</v>
      </c>
      <c r="S11" s="67" t="s">
        <v>32</v>
      </c>
      <c r="T11" s="67">
        <v>4</v>
      </c>
      <c r="U11" s="67" t="s">
        <v>48</v>
      </c>
      <c r="V11" s="68"/>
      <c r="W11" s="841" t="s">
        <v>30</v>
      </c>
      <c r="Y11" s="776"/>
      <c r="Z11" s="776"/>
      <c r="AA11" s="776"/>
    </row>
    <row r="12" spans="1:30" ht="15.75" customHeight="1">
      <c r="A12" s="834" t="s">
        <v>24</v>
      </c>
      <c r="B12" s="835">
        <v>9</v>
      </c>
      <c r="C12" s="835" t="s">
        <v>51</v>
      </c>
      <c r="D12" s="835" t="s">
        <v>26</v>
      </c>
      <c r="E12" s="836">
        <v>45660</v>
      </c>
      <c r="F12" s="835" t="s">
        <v>45</v>
      </c>
      <c r="G12" s="835">
        <v>4</v>
      </c>
      <c r="H12" s="835" t="s">
        <v>46</v>
      </c>
      <c r="I12" s="835" t="s">
        <v>47</v>
      </c>
      <c r="J12" s="66" t="s">
        <v>29</v>
      </c>
      <c r="K12" s="66"/>
      <c r="L12" s="66"/>
      <c r="M12" s="67" t="s">
        <v>30</v>
      </c>
      <c r="N12" s="68">
        <v>45743</v>
      </c>
      <c r="O12" s="66"/>
      <c r="P12" s="67" t="s">
        <v>30</v>
      </c>
      <c r="Q12" s="68">
        <v>45743</v>
      </c>
      <c r="R12" s="81" t="s">
        <v>48</v>
      </c>
      <c r="S12" s="67" t="s">
        <v>32</v>
      </c>
      <c r="T12" s="67">
        <v>4</v>
      </c>
      <c r="U12" s="69" t="s">
        <v>48</v>
      </c>
      <c r="V12" s="68"/>
      <c r="W12" s="841" t="s">
        <v>30</v>
      </c>
      <c r="Y12" s="776"/>
      <c r="Z12" s="776"/>
      <c r="AA12" s="776"/>
    </row>
    <row r="13" spans="1:30" ht="15.75" customHeight="1">
      <c r="A13" s="834" t="s">
        <v>24</v>
      </c>
      <c r="B13" s="835">
        <v>10</v>
      </c>
      <c r="C13" s="835" t="s">
        <v>52</v>
      </c>
      <c r="D13" s="835" t="s">
        <v>26</v>
      </c>
      <c r="E13" s="836">
        <v>45660</v>
      </c>
      <c r="F13" s="835" t="s">
        <v>39</v>
      </c>
      <c r="G13" s="835">
        <v>31</v>
      </c>
      <c r="H13" s="835" t="s">
        <v>21</v>
      </c>
      <c r="I13" s="835" t="s">
        <v>36</v>
      </c>
      <c r="J13" s="66" t="s">
        <v>29</v>
      </c>
      <c r="K13" s="66"/>
      <c r="L13" s="66"/>
      <c r="M13" s="67" t="s">
        <v>30</v>
      </c>
      <c r="N13" s="68">
        <v>45712</v>
      </c>
      <c r="O13" s="66" t="s">
        <v>31</v>
      </c>
      <c r="P13" s="67" t="s">
        <v>30</v>
      </c>
      <c r="Q13" s="68">
        <v>45712</v>
      </c>
      <c r="R13" s="81" t="s">
        <v>36</v>
      </c>
      <c r="S13" s="67" t="s">
        <v>32</v>
      </c>
      <c r="T13" s="67">
        <v>23</v>
      </c>
      <c r="U13" s="69" t="s">
        <v>36</v>
      </c>
      <c r="V13" s="68">
        <v>45712</v>
      </c>
      <c r="W13" s="841" t="s">
        <v>30</v>
      </c>
      <c r="Y13" s="776"/>
      <c r="Z13" s="776"/>
      <c r="AA13" s="776"/>
    </row>
    <row r="14" spans="1:30" ht="15.75" customHeight="1">
      <c r="A14" s="834" t="s">
        <v>24</v>
      </c>
      <c r="B14" s="835">
        <v>11</v>
      </c>
      <c r="C14" s="835" t="s">
        <v>53</v>
      </c>
      <c r="D14" s="835" t="s">
        <v>26</v>
      </c>
      <c r="E14" s="836">
        <v>45660</v>
      </c>
      <c r="F14" s="835" t="s">
        <v>39</v>
      </c>
      <c r="G14" s="835">
        <v>33</v>
      </c>
      <c r="H14" s="835" t="s">
        <v>21</v>
      </c>
      <c r="I14" s="835" t="s">
        <v>36</v>
      </c>
      <c r="J14" s="66" t="s">
        <v>29</v>
      </c>
      <c r="K14" s="66"/>
      <c r="L14" s="66"/>
      <c r="M14" s="67" t="s">
        <v>30</v>
      </c>
      <c r="N14" s="68">
        <v>45712</v>
      </c>
      <c r="O14" s="66" t="s">
        <v>31</v>
      </c>
      <c r="P14" s="67" t="s">
        <v>30</v>
      </c>
      <c r="Q14" s="68">
        <v>45712</v>
      </c>
      <c r="R14" s="81" t="s">
        <v>36</v>
      </c>
      <c r="S14" s="67" t="s">
        <v>32</v>
      </c>
      <c r="T14" s="67">
        <v>23</v>
      </c>
      <c r="U14" s="69" t="s">
        <v>36</v>
      </c>
      <c r="V14" s="68">
        <v>45712</v>
      </c>
      <c r="W14" s="841" t="s">
        <v>30</v>
      </c>
      <c r="Y14" s="776"/>
      <c r="Z14" s="776"/>
      <c r="AA14" s="776"/>
    </row>
    <row r="15" spans="1:30" ht="15.75" customHeight="1">
      <c r="A15" s="834" t="s">
        <v>24</v>
      </c>
      <c r="B15" s="835">
        <v>12</v>
      </c>
      <c r="C15" s="838" t="s">
        <v>54</v>
      </c>
      <c r="D15" s="838" t="s">
        <v>34</v>
      </c>
      <c r="E15" s="839">
        <v>45660</v>
      </c>
      <c r="F15" s="838" t="s">
        <v>55</v>
      </c>
      <c r="G15" s="838">
        <v>38</v>
      </c>
      <c r="H15" s="838" t="s">
        <v>21</v>
      </c>
      <c r="I15" s="838" t="s">
        <v>36</v>
      </c>
      <c r="J15" s="21" t="s">
        <v>29</v>
      </c>
      <c r="K15" s="21"/>
      <c r="L15" s="21"/>
      <c r="M15" s="22" t="s">
        <v>30</v>
      </c>
      <c r="N15" s="23">
        <v>45715</v>
      </c>
      <c r="O15" s="21" t="s">
        <v>31</v>
      </c>
      <c r="P15" s="22" t="s">
        <v>30</v>
      </c>
      <c r="Q15" s="23">
        <v>45715</v>
      </c>
      <c r="R15" s="79" t="s">
        <v>36</v>
      </c>
      <c r="S15" s="22" t="s">
        <v>32</v>
      </c>
      <c r="T15" s="22">
        <v>38</v>
      </c>
      <c r="U15" s="22" t="s">
        <v>36</v>
      </c>
      <c r="V15" s="23">
        <v>45715</v>
      </c>
      <c r="W15" s="840" t="s">
        <v>30</v>
      </c>
      <c r="Y15" s="776"/>
      <c r="Z15" s="776"/>
      <c r="AA15" s="776"/>
    </row>
    <row r="16" spans="1:30" ht="15.75" customHeight="1">
      <c r="A16" s="834" t="s">
        <v>24</v>
      </c>
      <c r="B16" s="835">
        <v>13</v>
      </c>
      <c r="C16" s="838" t="s">
        <v>56</v>
      </c>
      <c r="D16" s="838" t="s">
        <v>57</v>
      </c>
      <c r="E16" s="839">
        <v>45660</v>
      </c>
      <c r="F16" s="838" t="s">
        <v>58</v>
      </c>
      <c r="G16" s="838">
        <v>24</v>
      </c>
      <c r="H16" s="838" t="s">
        <v>21</v>
      </c>
      <c r="I16" s="838" t="s">
        <v>36</v>
      </c>
      <c r="J16" s="21" t="s">
        <v>29</v>
      </c>
      <c r="K16" s="21"/>
      <c r="L16" s="21"/>
      <c r="M16" s="22" t="s">
        <v>30</v>
      </c>
      <c r="N16" s="23">
        <v>45712</v>
      </c>
      <c r="O16" s="21" t="s">
        <v>31</v>
      </c>
      <c r="P16" s="22" t="s">
        <v>30</v>
      </c>
      <c r="Q16" s="23">
        <v>45712</v>
      </c>
      <c r="R16" s="79" t="s">
        <v>21</v>
      </c>
      <c r="S16" s="22" t="s">
        <v>32</v>
      </c>
      <c r="T16" s="22">
        <v>24</v>
      </c>
      <c r="U16" s="24" t="s">
        <v>21</v>
      </c>
      <c r="V16" s="23">
        <v>45712</v>
      </c>
      <c r="W16" s="80" t="s">
        <v>30</v>
      </c>
      <c r="Y16" s="776"/>
      <c r="Z16" s="776"/>
      <c r="AA16" s="776"/>
    </row>
    <row r="17" spans="1:27" ht="15.75" customHeight="1">
      <c r="A17" s="834" t="s">
        <v>24</v>
      </c>
      <c r="B17" s="835">
        <v>14</v>
      </c>
      <c r="C17" s="838" t="s">
        <v>59</v>
      </c>
      <c r="D17" s="838" t="s">
        <v>60</v>
      </c>
      <c r="E17" s="839">
        <v>45660</v>
      </c>
      <c r="F17" s="838" t="s">
        <v>58</v>
      </c>
      <c r="G17" s="838">
        <v>23</v>
      </c>
      <c r="H17" s="838" t="s">
        <v>21</v>
      </c>
      <c r="I17" s="838" t="s">
        <v>36</v>
      </c>
      <c r="J17" s="21" t="s">
        <v>29</v>
      </c>
      <c r="K17" s="21"/>
      <c r="L17" s="21"/>
      <c r="M17" s="22" t="s">
        <v>30</v>
      </c>
      <c r="N17" s="23">
        <v>45712</v>
      </c>
      <c r="O17" s="21" t="s">
        <v>31</v>
      </c>
      <c r="P17" s="22" t="s">
        <v>30</v>
      </c>
      <c r="Q17" s="23">
        <v>45712</v>
      </c>
      <c r="R17" s="79" t="s">
        <v>21</v>
      </c>
      <c r="S17" s="22" t="s">
        <v>32</v>
      </c>
      <c r="T17" s="22">
        <v>23</v>
      </c>
      <c r="U17" s="24" t="s">
        <v>21</v>
      </c>
      <c r="V17" s="23">
        <v>45712</v>
      </c>
      <c r="W17" s="80" t="s">
        <v>30</v>
      </c>
      <c r="Y17"/>
      <c r="Z17"/>
      <c r="AA17"/>
    </row>
    <row r="18" spans="1:27" ht="15.75" customHeight="1">
      <c r="A18" s="834" t="s">
        <v>24</v>
      </c>
      <c r="B18" s="835">
        <v>15</v>
      </c>
      <c r="C18" s="838" t="s">
        <v>61</v>
      </c>
      <c r="D18" s="838" t="s">
        <v>57</v>
      </c>
      <c r="E18" s="839">
        <v>45660</v>
      </c>
      <c r="F18" s="838" t="s">
        <v>62</v>
      </c>
      <c r="G18" s="838">
        <v>11</v>
      </c>
      <c r="H18" s="838" t="s">
        <v>21</v>
      </c>
      <c r="I18" s="838" t="s">
        <v>36</v>
      </c>
      <c r="J18" s="21" t="s">
        <v>29</v>
      </c>
      <c r="K18" s="21"/>
      <c r="L18" s="21"/>
      <c r="M18" s="22" t="s">
        <v>30</v>
      </c>
      <c r="N18" s="23">
        <v>45712</v>
      </c>
      <c r="O18" s="21"/>
      <c r="P18" s="22" t="s">
        <v>30</v>
      </c>
      <c r="Q18" s="23">
        <v>45712</v>
      </c>
      <c r="R18" s="79" t="s">
        <v>21</v>
      </c>
      <c r="S18" s="22" t="s">
        <v>32</v>
      </c>
      <c r="T18" s="22">
        <v>11</v>
      </c>
      <c r="U18" s="24" t="s">
        <v>21</v>
      </c>
      <c r="V18" s="23">
        <v>45712</v>
      </c>
      <c r="W18" s="80" t="s">
        <v>30</v>
      </c>
      <c r="Y18"/>
      <c r="Z18"/>
      <c r="AA18"/>
    </row>
    <row r="19" spans="1:27" ht="15.75" customHeight="1">
      <c r="A19" s="834" t="s">
        <v>24</v>
      </c>
      <c r="B19" s="835">
        <v>16</v>
      </c>
      <c r="C19" s="838" t="s">
        <v>63</v>
      </c>
      <c r="D19" s="838" t="s">
        <v>64</v>
      </c>
      <c r="E19" s="839">
        <v>45661</v>
      </c>
      <c r="F19" s="838" t="s">
        <v>65</v>
      </c>
      <c r="G19" s="838">
        <v>3</v>
      </c>
      <c r="H19" s="838" t="s">
        <v>46</v>
      </c>
      <c r="I19" s="838" t="s">
        <v>47</v>
      </c>
      <c r="J19" s="21" t="s">
        <v>29</v>
      </c>
      <c r="K19" s="21"/>
      <c r="L19" s="21"/>
      <c r="M19" s="22" t="s">
        <v>30</v>
      </c>
      <c r="N19" s="23">
        <v>45749</v>
      </c>
      <c r="O19" s="21" t="s">
        <v>66</v>
      </c>
      <c r="P19" s="22" t="s">
        <v>30</v>
      </c>
      <c r="Q19" s="23">
        <v>45749</v>
      </c>
      <c r="R19" s="79" t="s">
        <v>67</v>
      </c>
      <c r="S19" s="22" t="s">
        <v>32</v>
      </c>
      <c r="T19" s="22">
        <v>3</v>
      </c>
      <c r="U19" s="22" t="s">
        <v>67</v>
      </c>
      <c r="V19" s="23">
        <v>45749</v>
      </c>
      <c r="W19" s="840" t="s">
        <v>30</v>
      </c>
      <c r="Y19"/>
      <c r="Z19"/>
      <c r="AA19"/>
    </row>
    <row r="20" spans="1:27" ht="15.75" customHeight="1">
      <c r="A20" s="834" t="s">
        <v>24</v>
      </c>
      <c r="B20" s="835">
        <v>17</v>
      </c>
      <c r="C20" s="838" t="s">
        <v>68</v>
      </c>
      <c r="D20" s="838" t="s">
        <v>50</v>
      </c>
      <c r="E20" s="839">
        <v>45661</v>
      </c>
      <c r="F20" s="838" t="s">
        <v>65</v>
      </c>
      <c r="G20" s="838">
        <v>3</v>
      </c>
      <c r="H20" s="838" t="s">
        <v>46</v>
      </c>
      <c r="I20" s="838" t="s">
        <v>47</v>
      </c>
      <c r="J20" s="21" t="s">
        <v>29</v>
      </c>
      <c r="K20" s="21"/>
      <c r="L20" s="21"/>
      <c r="M20" s="22" t="s">
        <v>30</v>
      </c>
      <c r="N20" s="23">
        <v>45749</v>
      </c>
      <c r="O20" s="21"/>
      <c r="P20" s="22" t="s">
        <v>30</v>
      </c>
      <c r="Q20" s="23">
        <v>45749</v>
      </c>
      <c r="R20" s="79" t="s">
        <v>67</v>
      </c>
      <c r="S20" s="22" t="s">
        <v>32</v>
      </c>
      <c r="T20" s="22">
        <v>3</v>
      </c>
      <c r="U20" s="22" t="s">
        <v>67</v>
      </c>
      <c r="V20" s="23">
        <v>45749</v>
      </c>
      <c r="W20" s="840" t="s">
        <v>30</v>
      </c>
      <c r="Y20"/>
      <c r="Z20"/>
      <c r="AA20"/>
    </row>
    <row r="21" spans="1:27" ht="15.75" customHeight="1">
      <c r="A21" s="834" t="s">
        <v>24</v>
      </c>
      <c r="B21" s="835">
        <v>18</v>
      </c>
      <c r="C21" s="838" t="s">
        <v>69</v>
      </c>
      <c r="D21" s="838" t="s">
        <v>43</v>
      </c>
      <c r="E21" s="839">
        <v>45661</v>
      </c>
      <c r="F21" s="838" t="s">
        <v>65</v>
      </c>
      <c r="G21" s="838">
        <v>3</v>
      </c>
      <c r="H21" s="838" t="s">
        <v>46</v>
      </c>
      <c r="I21" s="838" t="s">
        <v>47</v>
      </c>
      <c r="J21" s="21" t="s">
        <v>29</v>
      </c>
      <c r="K21" s="21"/>
      <c r="L21" s="21"/>
      <c r="M21" s="22" t="s">
        <v>30</v>
      </c>
      <c r="N21" s="23">
        <v>45749</v>
      </c>
      <c r="O21" s="21"/>
      <c r="P21" s="22" t="s">
        <v>30</v>
      </c>
      <c r="Q21" s="23">
        <v>45749</v>
      </c>
      <c r="R21" s="79" t="s">
        <v>67</v>
      </c>
      <c r="S21" s="22" t="s">
        <v>32</v>
      </c>
      <c r="T21" s="22">
        <v>3</v>
      </c>
      <c r="U21" s="22" t="s">
        <v>67</v>
      </c>
      <c r="V21" s="23">
        <v>45749</v>
      </c>
      <c r="W21" s="840" t="s">
        <v>30</v>
      </c>
      <c r="Y21"/>
      <c r="Z21"/>
      <c r="AA21"/>
    </row>
    <row r="22" spans="1:27" ht="15.75" customHeight="1">
      <c r="A22" s="834" t="s">
        <v>24</v>
      </c>
      <c r="B22" s="835">
        <v>19</v>
      </c>
      <c r="C22" s="838" t="s">
        <v>70</v>
      </c>
      <c r="D22" s="838" t="s">
        <v>34</v>
      </c>
      <c r="E22" s="839">
        <v>45661</v>
      </c>
      <c r="F22" s="838" t="s">
        <v>65</v>
      </c>
      <c r="G22" s="838">
        <v>3</v>
      </c>
      <c r="H22" s="838" t="s">
        <v>46</v>
      </c>
      <c r="I22" s="838" t="s">
        <v>47</v>
      </c>
      <c r="J22" s="21" t="s">
        <v>29</v>
      </c>
      <c r="K22" s="21"/>
      <c r="L22" s="21"/>
      <c r="M22" s="22" t="s">
        <v>30</v>
      </c>
      <c r="N22" s="23">
        <v>45749</v>
      </c>
      <c r="O22" s="21"/>
      <c r="P22" s="22" t="s">
        <v>30</v>
      </c>
      <c r="Q22" s="23">
        <v>45749</v>
      </c>
      <c r="R22" s="79" t="s">
        <v>67</v>
      </c>
      <c r="S22" s="22" t="s">
        <v>32</v>
      </c>
      <c r="T22" s="22">
        <v>3</v>
      </c>
      <c r="U22" s="22" t="s">
        <v>67</v>
      </c>
      <c r="V22" s="23">
        <v>45749</v>
      </c>
      <c r="W22" s="840" t="s">
        <v>30</v>
      </c>
      <c r="Y22"/>
      <c r="Z22"/>
      <c r="AA22"/>
    </row>
    <row r="23" spans="1:27" ht="15.75" customHeight="1">
      <c r="A23" s="834" t="s">
        <v>24</v>
      </c>
      <c r="B23" s="835">
        <v>20</v>
      </c>
      <c r="C23" s="838" t="s">
        <v>71</v>
      </c>
      <c r="D23" s="838" t="s">
        <v>72</v>
      </c>
      <c r="E23" s="839">
        <v>45661</v>
      </c>
      <c r="F23" s="838" t="s">
        <v>65</v>
      </c>
      <c r="G23" s="838">
        <v>3</v>
      </c>
      <c r="H23" s="838" t="s">
        <v>46</v>
      </c>
      <c r="I23" s="838" t="s">
        <v>47</v>
      </c>
      <c r="J23" s="21" t="s">
        <v>29</v>
      </c>
      <c r="K23" s="21"/>
      <c r="L23" s="21"/>
      <c r="M23" s="22" t="s">
        <v>30</v>
      </c>
      <c r="N23" s="23">
        <v>45749</v>
      </c>
      <c r="O23" s="21"/>
      <c r="P23" s="22" t="s">
        <v>30</v>
      </c>
      <c r="Q23" s="23">
        <v>45749</v>
      </c>
      <c r="R23" s="79" t="s">
        <v>67</v>
      </c>
      <c r="S23" s="22" t="s">
        <v>32</v>
      </c>
      <c r="T23" s="22">
        <v>3</v>
      </c>
      <c r="U23" s="22" t="s">
        <v>67</v>
      </c>
      <c r="V23" s="23">
        <v>45749</v>
      </c>
      <c r="W23" s="840" t="s">
        <v>30</v>
      </c>
      <c r="Y23"/>
      <c r="Z23"/>
      <c r="AA23"/>
    </row>
    <row r="24" spans="1:27" ht="15.75" customHeight="1">
      <c r="A24" s="834" t="s">
        <v>24</v>
      </c>
      <c r="B24" s="835">
        <v>21</v>
      </c>
      <c r="C24" s="838" t="s">
        <v>73</v>
      </c>
      <c r="D24" s="838" t="s">
        <v>34</v>
      </c>
      <c r="E24" s="839">
        <v>45661</v>
      </c>
      <c r="F24" s="838" t="s">
        <v>74</v>
      </c>
      <c r="G24" s="838">
        <v>6</v>
      </c>
      <c r="H24" s="838" t="s">
        <v>21</v>
      </c>
      <c r="I24" s="838" t="s">
        <v>36</v>
      </c>
      <c r="J24" s="21" t="s">
        <v>29</v>
      </c>
      <c r="K24" s="21"/>
      <c r="L24" s="21"/>
      <c r="M24" s="22" t="s">
        <v>30</v>
      </c>
      <c r="N24" s="23">
        <v>45712</v>
      </c>
      <c r="O24" s="21"/>
      <c r="P24" s="22" t="s">
        <v>30</v>
      </c>
      <c r="Q24" s="23">
        <v>45712</v>
      </c>
      <c r="R24" s="79" t="s">
        <v>21</v>
      </c>
      <c r="S24" s="22" t="s">
        <v>32</v>
      </c>
      <c r="T24" s="22">
        <v>6</v>
      </c>
      <c r="U24" s="24" t="s">
        <v>21</v>
      </c>
      <c r="V24" s="23">
        <v>45749</v>
      </c>
      <c r="W24" s="80" t="s">
        <v>30</v>
      </c>
      <c r="Y24"/>
      <c r="Z24"/>
      <c r="AA24"/>
    </row>
    <row r="25" spans="1:27" ht="15.75" customHeight="1">
      <c r="A25" s="834" t="s">
        <v>24</v>
      </c>
      <c r="B25" s="835">
        <v>22</v>
      </c>
      <c r="C25" s="838" t="s">
        <v>75</v>
      </c>
      <c r="D25" s="838" t="s">
        <v>34</v>
      </c>
      <c r="E25" s="839">
        <v>45661</v>
      </c>
      <c r="F25" s="838" t="s">
        <v>74</v>
      </c>
      <c r="G25" s="838">
        <v>5</v>
      </c>
      <c r="H25" s="838" t="s">
        <v>21</v>
      </c>
      <c r="I25" s="838" t="s">
        <v>36</v>
      </c>
      <c r="J25" s="21" t="s">
        <v>29</v>
      </c>
      <c r="K25" s="21"/>
      <c r="L25" s="21"/>
      <c r="M25" s="22" t="s">
        <v>30</v>
      </c>
      <c r="N25" s="23">
        <v>45712</v>
      </c>
      <c r="O25" s="21"/>
      <c r="P25" s="22" t="s">
        <v>30</v>
      </c>
      <c r="Q25" s="23">
        <v>45712</v>
      </c>
      <c r="R25" s="79" t="s">
        <v>37</v>
      </c>
      <c r="S25" s="22" t="s">
        <v>32</v>
      </c>
      <c r="T25" s="22">
        <v>5</v>
      </c>
      <c r="U25" s="22" t="s">
        <v>37</v>
      </c>
      <c r="V25" s="23">
        <v>45749</v>
      </c>
      <c r="W25" s="840" t="s">
        <v>30</v>
      </c>
      <c r="Y25" s="776"/>
      <c r="Z25" s="776"/>
      <c r="AA25" s="776"/>
    </row>
    <row r="26" spans="1:27" ht="15.75" customHeight="1">
      <c r="A26" s="834" t="s">
        <v>24</v>
      </c>
      <c r="B26" s="835">
        <v>23</v>
      </c>
      <c r="C26" s="838" t="s">
        <v>76</v>
      </c>
      <c r="D26" s="838" t="s">
        <v>34</v>
      </c>
      <c r="E26" s="839">
        <v>45661</v>
      </c>
      <c r="F26" s="838" t="s">
        <v>77</v>
      </c>
      <c r="G26" s="838">
        <v>17</v>
      </c>
      <c r="H26" s="838" t="s">
        <v>78</v>
      </c>
      <c r="I26" s="838" t="s">
        <v>79</v>
      </c>
      <c r="J26" s="21" t="s">
        <v>29</v>
      </c>
      <c r="K26" s="21"/>
      <c r="L26" s="21"/>
      <c r="M26" s="22" t="s">
        <v>30</v>
      </c>
      <c r="N26" s="23">
        <v>45721</v>
      </c>
      <c r="O26" s="21" t="s">
        <v>31</v>
      </c>
      <c r="P26" s="22" t="s">
        <v>30</v>
      </c>
      <c r="Q26" s="23">
        <v>45721</v>
      </c>
      <c r="R26" s="79" t="s">
        <v>47</v>
      </c>
      <c r="S26" s="22" t="s">
        <v>32</v>
      </c>
      <c r="T26" s="22">
        <v>17</v>
      </c>
      <c r="U26" s="22" t="s">
        <v>47</v>
      </c>
      <c r="V26" s="23">
        <v>45721</v>
      </c>
      <c r="W26" s="840" t="s">
        <v>30</v>
      </c>
      <c r="Y26" s="776"/>
      <c r="Z26" s="776"/>
      <c r="AA26" s="776"/>
    </row>
    <row r="27" spans="1:27" ht="15.75" customHeight="1">
      <c r="A27" s="834" t="s">
        <v>24</v>
      </c>
      <c r="B27" s="835">
        <v>24</v>
      </c>
      <c r="C27" s="838" t="s">
        <v>80</v>
      </c>
      <c r="D27" s="838" t="s">
        <v>34</v>
      </c>
      <c r="E27" s="839">
        <v>45661</v>
      </c>
      <c r="F27" s="838" t="s">
        <v>77</v>
      </c>
      <c r="G27" s="838">
        <v>2</v>
      </c>
      <c r="H27" s="838" t="s">
        <v>21</v>
      </c>
      <c r="I27" s="838" t="s">
        <v>36</v>
      </c>
      <c r="J27" s="21" t="s">
        <v>29</v>
      </c>
      <c r="K27" s="21"/>
      <c r="L27" s="21"/>
      <c r="M27" s="22" t="s">
        <v>30</v>
      </c>
      <c r="N27" s="23">
        <v>45712</v>
      </c>
      <c r="O27" s="21"/>
      <c r="P27" s="22" t="s">
        <v>30</v>
      </c>
      <c r="Q27" s="23">
        <v>45712</v>
      </c>
      <c r="R27" s="79" t="s">
        <v>37</v>
      </c>
      <c r="S27" s="22" t="s">
        <v>32</v>
      </c>
      <c r="T27" s="22">
        <v>2</v>
      </c>
      <c r="U27" s="22" t="s">
        <v>37</v>
      </c>
      <c r="V27" s="23">
        <v>45712</v>
      </c>
      <c r="W27" s="840" t="s">
        <v>30</v>
      </c>
      <c r="Y27"/>
      <c r="Z27"/>
      <c r="AA27"/>
    </row>
    <row r="28" spans="1:27" ht="15.75" customHeight="1">
      <c r="A28" s="834" t="s">
        <v>24</v>
      </c>
      <c r="B28" s="835">
        <v>25</v>
      </c>
      <c r="C28" s="838" t="s">
        <v>81</v>
      </c>
      <c r="D28" s="838" t="s">
        <v>34</v>
      </c>
      <c r="E28" s="839">
        <v>45661</v>
      </c>
      <c r="F28" s="838" t="s">
        <v>77</v>
      </c>
      <c r="G28" s="838">
        <v>3</v>
      </c>
      <c r="H28" s="838" t="s">
        <v>21</v>
      </c>
      <c r="I28" s="838" t="s">
        <v>36</v>
      </c>
      <c r="J28" s="21" t="s">
        <v>29</v>
      </c>
      <c r="K28" s="21"/>
      <c r="L28" s="21"/>
      <c r="M28" s="22" t="s">
        <v>30</v>
      </c>
      <c r="N28" s="23">
        <v>45712</v>
      </c>
      <c r="O28" s="21"/>
      <c r="P28" s="22" t="s">
        <v>30</v>
      </c>
      <c r="Q28" s="23">
        <v>45712</v>
      </c>
      <c r="R28" s="79" t="s">
        <v>21</v>
      </c>
      <c r="S28" s="22" t="s">
        <v>32</v>
      </c>
      <c r="T28" s="22">
        <v>3</v>
      </c>
      <c r="U28" s="24" t="s">
        <v>21</v>
      </c>
      <c r="V28" s="23">
        <v>45712</v>
      </c>
      <c r="W28" s="80" t="s">
        <v>30</v>
      </c>
      <c r="Y28"/>
      <c r="Z28"/>
      <c r="AA28"/>
    </row>
    <row r="29" spans="1:27" ht="15.75" customHeight="1">
      <c r="A29" s="834" t="s">
        <v>24</v>
      </c>
      <c r="B29" s="835">
        <v>26</v>
      </c>
      <c r="C29" s="838" t="s">
        <v>82</v>
      </c>
      <c r="D29" s="838" t="s">
        <v>83</v>
      </c>
      <c r="E29" s="839">
        <v>45661</v>
      </c>
      <c r="F29" s="838" t="s">
        <v>77</v>
      </c>
      <c r="G29" s="838">
        <v>3</v>
      </c>
      <c r="H29" s="838" t="s">
        <v>21</v>
      </c>
      <c r="I29" s="838" t="s">
        <v>36</v>
      </c>
      <c r="J29" s="21" t="s">
        <v>29</v>
      </c>
      <c r="K29" s="21"/>
      <c r="L29" s="21"/>
      <c r="M29" s="22" t="s">
        <v>30</v>
      </c>
      <c r="N29" s="23">
        <v>45712</v>
      </c>
      <c r="O29" s="21"/>
      <c r="P29" s="22" t="s">
        <v>30</v>
      </c>
      <c r="Q29" s="23">
        <v>45712</v>
      </c>
      <c r="R29" s="79" t="s">
        <v>21</v>
      </c>
      <c r="S29" s="22" t="s">
        <v>32</v>
      </c>
      <c r="T29" s="22">
        <v>3</v>
      </c>
      <c r="U29" s="24" t="s">
        <v>21</v>
      </c>
      <c r="V29" s="23">
        <v>45712</v>
      </c>
      <c r="W29" s="80" t="s">
        <v>30</v>
      </c>
      <c r="Y29"/>
      <c r="Z29"/>
      <c r="AA29"/>
    </row>
    <row r="30" spans="1:27" ht="15.75" customHeight="1">
      <c r="A30" s="834" t="s">
        <v>24</v>
      </c>
      <c r="B30" s="835">
        <v>27</v>
      </c>
      <c r="C30" s="838" t="s">
        <v>84</v>
      </c>
      <c r="D30" s="838" t="s">
        <v>43</v>
      </c>
      <c r="E30" s="839">
        <v>45661</v>
      </c>
      <c r="F30" s="838" t="s">
        <v>77</v>
      </c>
      <c r="G30" s="838">
        <v>3</v>
      </c>
      <c r="H30" s="838" t="s">
        <v>21</v>
      </c>
      <c r="I30" s="838" t="s">
        <v>36</v>
      </c>
      <c r="J30" s="21" t="s">
        <v>29</v>
      </c>
      <c r="K30" s="21"/>
      <c r="L30" s="21"/>
      <c r="M30" s="22" t="s">
        <v>30</v>
      </c>
      <c r="N30" s="23">
        <v>45712</v>
      </c>
      <c r="O30" s="21"/>
      <c r="P30" s="22" t="s">
        <v>30</v>
      </c>
      <c r="Q30" s="23">
        <v>45712</v>
      </c>
      <c r="R30" s="79" t="s">
        <v>21</v>
      </c>
      <c r="S30" s="22" t="s">
        <v>32</v>
      </c>
      <c r="T30" s="22">
        <v>3</v>
      </c>
      <c r="U30" s="24" t="s">
        <v>21</v>
      </c>
      <c r="V30" s="23">
        <v>45712</v>
      </c>
      <c r="W30" s="80" t="s">
        <v>30</v>
      </c>
      <c r="Y30"/>
      <c r="Z30"/>
      <c r="AA30"/>
    </row>
    <row r="31" spans="1:27" ht="15.75" customHeight="1">
      <c r="A31" s="834" t="s">
        <v>24</v>
      </c>
      <c r="B31" s="835">
        <v>28</v>
      </c>
      <c r="C31" s="838" t="s">
        <v>85</v>
      </c>
      <c r="D31" s="838" t="s">
        <v>50</v>
      </c>
      <c r="E31" s="839">
        <v>45661</v>
      </c>
      <c r="F31" s="838" t="s">
        <v>77</v>
      </c>
      <c r="G31" s="838">
        <v>3</v>
      </c>
      <c r="H31" s="838" t="s">
        <v>21</v>
      </c>
      <c r="I31" s="838" t="s">
        <v>36</v>
      </c>
      <c r="J31" s="21" t="s">
        <v>29</v>
      </c>
      <c r="K31" s="21"/>
      <c r="L31" s="21"/>
      <c r="M31" s="22" t="s">
        <v>30</v>
      </c>
      <c r="N31" s="23">
        <v>45712</v>
      </c>
      <c r="O31" s="21"/>
      <c r="P31" s="22" t="s">
        <v>30</v>
      </c>
      <c r="Q31" s="23">
        <v>45712</v>
      </c>
      <c r="R31" s="79" t="s">
        <v>21</v>
      </c>
      <c r="S31" s="22" t="s">
        <v>32</v>
      </c>
      <c r="T31" s="22">
        <v>3</v>
      </c>
      <c r="U31" s="24" t="s">
        <v>21</v>
      </c>
      <c r="V31" s="23">
        <v>45712</v>
      </c>
      <c r="W31" s="80" t="s">
        <v>30</v>
      </c>
      <c r="Y31"/>
      <c r="Z31"/>
      <c r="AA31"/>
    </row>
    <row r="32" spans="1:27" ht="15.75" customHeight="1">
      <c r="A32" s="834" t="s">
        <v>24</v>
      </c>
      <c r="B32" s="835">
        <v>29</v>
      </c>
      <c r="C32" s="838" t="s">
        <v>86</v>
      </c>
      <c r="D32" s="838" t="s">
        <v>34</v>
      </c>
      <c r="E32" s="839">
        <v>45661</v>
      </c>
      <c r="F32" s="838" t="s">
        <v>87</v>
      </c>
      <c r="G32" s="838">
        <v>12</v>
      </c>
      <c r="H32" s="838" t="s">
        <v>21</v>
      </c>
      <c r="I32" s="838" t="s">
        <v>36</v>
      </c>
      <c r="J32" s="21" t="s">
        <v>29</v>
      </c>
      <c r="K32" s="21"/>
      <c r="L32" s="21"/>
      <c r="M32" s="22" t="s">
        <v>30</v>
      </c>
      <c r="N32" s="23">
        <v>45712</v>
      </c>
      <c r="O32" s="21"/>
      <c r="P32" s="22" t="s">
        <v>30</v>
      </c>
      <c r="Q32" s="23">
        <v>45712</v>
      </c>
      <c r="R32" s="79" t="s">
        <v>37</v>
      </c>
      <c r="S32" s="22" t="s">
        <v>32</v>
      </c>
      <c r="T32" s="22">
        <v>12</v>
      </c>
      <c r="U32" s="22" t="s">
        <v>37</v>
      </c>
      <c r="V32" s="23">
        <v>45712</v>
      </c>
      <c r="W32" s="840" t="s">
        <v>30</v>
      </c>
      <c r="Y32"/>
      <c r="Z32"/>
      <c r="AA32"/>
    </row>
    <row r="33" spans="1:27" ht="15.75" customHeight="1">
      <c r="A33" s="834" t="s">
        <v>24</v>
      </c>
      <c r="B33" s="835">
        <v>30</v>
      </c>
      <c r="C33" s="838" t="s">
        <v>88</v>
      </c>
      <c r="D33" s="838" t="s">
        <v>34</v>
      </c>
      <c r="E33" s="839">
        <v>45661</v>
      </c>
      <c r="F33" s="838" t="s">
        <v>89</v>
      </c>
      <c r="G33" s="838">
        <v>11</v>
      </c>
      <c r="H33" s="842" t="s">
        <v>22</v>
      </c>
      <c r="I33" s="838" t="s">
        <v>28</v>
      </c>
      <c r="J33" s="21" t="s">
        <v>29</v>
      </c>
      <c r="K33" s="21"/>
      <c r="L33" s="21"/>
      <c r="M33" s="22" t="s">
        <v>30</v>
      </c>
      <c r="N33" s="23">
        <v>45712</v>
      </c>
      <c r="O33" s="21"/>
      <c r="P33" s="22" t="s">
        <v>30</v>
      </c>
      <c r="Q33" s="23">
        <v>45712</v>
      </c>
      <c r="R33" s="79" t="s">
        <v>22</v>
      </c>
      <c r="S33" s="22" t="s">
        <v>32</v>
      </c>
      <c r="T33" s="22">
        <v>11</v>
      </c>
      <c r="U33" s="22" t="s">
        <v>22</v>
      </c>
      <c r="V33" s="23">
        <v>45712</v>
      </c>
      <c r="W33" s="80" t="s">
        <v>30</v>
      </c>
      <c r="Y33"/>
      <c r="Z33"/>
      <c r="AA33"/>
    </row>
    <row r="34" spans="1:27" ht="15.75" customHeight="1">
      <c r="A34" s="834" t="s">
        <v>24</v>
      </c>
      <c r="B34" s="835">
        <v>31</v>
      </c>
      <c r="C34" s="838" t="s">
        <v>90</v>
      </c>
      <c r="D34" s="838" t="s">
        <v>26</v>
      </c>
      <c r="E34" s="839">
        <v>45661</v>
      </c>
      <c r="F34" s="838" t="s">
        <v>91</v>
      </c>
      <c r="G34" s="838">
        <v>29</v>
      </c>
      <c r="H34" s="842" t="s">
        <v>22</v>
      </c>
      <c r="I34" s="838" t="s">
        <v>28</v>
      </c>
      <c r="J34" s="21" t="s">
        <v>29</v>
      </c>
      <c r="K34" s="21"/>
      <c r="L34" s="21"/>
      <c r="M34" s="22" t="s">
        <v>30</v>
      </c>
      <c r="N34" s="23">
        <v>45712</v>
      </c>
      <c r="O34" s="21" t="s">
        <v>31</v>
      </c>
      <c r="P34" s="22" t="s">
        <v>30</v>
      </c>
      <c r="Q34" s="23">
        <v>45712</v>
      </c>
      <c r="R34" s="79" t="s">
        <v>22</v>
      </c>
      <c r="S34" s="22" t="s">
        <v>32</v>
      </c>
      <c r="T34" s="22">
        <v>29</v>
      </c>
      <c r="U34" s="22" t="s">
        <v>22</v>
      </c>
      <c r="V34" s="23">
        <v>45712</v>
      </c>
      <c r="W34" s="80" t="s">
        <v>30</v>
      </c>
      <c r="Y34"/>
      <c r="Z34"/>
      <c r="AA34"/>
    </row>
    <row r="35" spans="1:27" ht="15.75" customHeight="1">
      <c r="A35" s="834" t="s">
        <v>24</v>
      </c>
      <c r="B35" s="835">
        <v>32</v>
      </c>
      <c r="C35" s="838" t="s">
        <v>92</v>
      </c>
      <c r="D35" s="838" t="s">
        <v>34</v>
      </c>
      <c r="E35" s="839">
        <v>45661</v>
      </c>
      <c r="F35" s="838" t="s">
        <v>93</v>
      </c>
      <c r="G35" s="838">
        <v>10</v>
      </c>
      <c r="H35" s="842" t="s">
        <v>22</v>
      </c>
      <c r="I35" s="838" t="s">
        <v>28</v>
      </c>
      <c r="J35" s="21" t="s">
        <v>29</v>
      </c>
      <c r="K35" s="21"/>
      <c r="L35" s="21"/>
      <c r="M35" s="22" t="s">
        <v>30</v>
      </c>
      <c r="N35" s="23">
        <v>45712</v>
      </c>
      <c r="O35" s="21"/>
      <c r="P35" s="22" t="s">
        <v>30</v>
      </c>
      <c r="Q35" s="23">
        <v>45712</v>
      </c>
      <c r="R35" s="79" t="s">
        <v>22</v>
      </c>
      <c r="S35" s="22" t="s">
        <v>32</v>
      </c>
      <c r="T35" s="22">
        <v>10</v>
      </c>
      <c r="U35" s="24" t="s">
        <v>22</v>
      </c>
      <c r="V35" s="23">
        <v>45712</v>
      </c>
      <c r="W35" s="80" t="s">
        <v>30</v>
      </c>
      <c r="Y35" s="776"/>
      <c r="Z35" s="776"/>
      <c r="AA35" s="776"/>
    </row>
    <row r="36" spans="1:27" ht="15.75" customHeight="1">
      <c r="A36" s="834" t="s">
        <v>24</v>
      </c>
      <c r="B36" s="835">
        <v>33</v>
      </c>
      <c r="C36" s="838" t="s">
        <v>94</v>
      </c>
      <c r="D36" s="838" t="s">
        <v>34</v>
      </c>
      <c r="E36" s="839">
        <v>45661</v>
      </c>
      <c r="F36" s="838" t="s">
        <v>95</v>
      </c>
      <c r="G36" s="838">
        <v>11</v>
      </c>
      <c r="H36" s="838" t="s">
        <v>21</v>
      </c>
      <c r="I36" s="838" t="s">
        <v>36</v>
      </c>
      <c r="J36" s="21" t="s">
        <v>29</v>
      </c>
      <c r="K36" s="21"/>
      <c r="L36" s="21"/>
      <c r="M36" s="22" t="s">
        <v>30</v>
      </c>
      <c r="N36" s="23">
        <v>45705</v>
      </c>
      <c r="O36" s="21"/>
      <c r="P36" s="22" t="s">
        <v>30</v>
      </c>
      <c r="Q36" s="23">
        <v>45705</v>
      </c>
      <c r="R36" s="79" t="s">
        <v>37</v>
      </c>
      <c r="S36" s="22" t="s">
        <v>32</v>
      </c>
      <c r="T36" s="22">
        <v>11</v>
      </c>
      <c r="U36" s="24" t="s">
        <v>37</v>
      </c>
      <c r="V36" s="23">
        <v>45705</v>
      </c>
      <c r="W36" s="840" t="s">
        <v>30</v>
      </c>
      <c r="Y36" s="776"/>
      <c r="Z36" s="776"/>
      <c r="AA36" s="776"/>
    </row>
    <row r="37" spans="1:27" ht="15.75" customHeight="1">
      <c r="A37" s="834" t="s">
        <v>24</v>
      </c>
      <c r="B37" s="835">
        <v>34</v>
      </c>
      <c r="C37" s="838" t="s">
        <v>96</v>
      </c>
      <c r="D37" s="838" t="s">
        <v>34</v>
      </c>
      <c r="E37" s="839">
        <v>45661</v>
      </c>
      <c r="F37" s="838" t="s">
        <v>97</v>
      </c>
      <c r="G37" s="838">
        <v>14</v>
      </c>
      <c r="H37" s="842" t="s">
        <v>22</v>
      </c>
      <c r="I37" s="838" t="s">
        <v>28</v>
      </c>
      <c r="J37" s="21" t="s">
        <v>29</v>
      </c>
      <c r="K37" s="21"/>
      <c r="L37" s="21"/>
      <c r="M37" s="22" t="s">
        <v>30</v>
      </c>
      <c r="N37" s="23">
        <v>45712</v>
      </c>
      <c r="O37" s="21"/>
      <c r="P37" s="22" t="s">
        <v>30</v>
      </c>
      <c r="Q37" s="23">
        <v>45712</v>
      </c>
      <c r="R37" s="79" t="s">
        <v>37</v>
      </c>
      <c r="S37" s="22" t="s">
        <v>32</v>
      </c>
      <c r="T37" s="22">
        <v>14</v>
      </c>
      <c r="U37" s="22" t="s">
        <v>37</v>
      </c>
      <c r="V37" s="23">
        <v>45712</v>
      </c>
      <c r="W37" s="840" t="s">
        <v>30</v>
      </c>
      <c r="Y37" s="776"/>
      <c r="Z37" s="776"/>
      <c r="AA37" s="776"/>
    </row>
    <row r="38" spans="1:27" ht="15.75" customHeight="1">
      <c r="A38" s="834" t="s">
        <v>24</v>
      </c>
      <c r="B38" s="835">
        <v>35</v>
      </c>
      <c r="C38" s="838" t="s">
        <v>98</v>
      </c>
      <c r="D38" s="838" t="s">
        <v>99</v>
      </c>
      <c r="E38" s="839">
        <v>45663</v>
      </c>
      <c r="F38" s="838" t="s">
        <v>100</v>
      </c>
      <c r="G38" s="838">
        <v>8</v>
      </c>
      <c r="H38" s="838" t="s">
        <v>46</v>
      </c>
      <c r="I38" s="838" t="s">
        <v>47</v>
      </c>
      <c r="J38" s="21" t="s">
        <v>29</v>
      </c>
      <c r="K38" s="21"/>
      <c r="L38" s="21"/>
      <c r="M38" s="22" t="s">
        <v>30</v>
      </c>
      <c r="N38" s="23">
        <v>45749</v>
      </c>
      <c r="O38" s="21" t="s">
        <v>66</v>
      </c>
      <c r="P38" s="22" t="s">
        <v>30</v>
      </c>
      <c r="Q38" s="23">
        <v>45749</v>
      </c>
      <c r="R38" s="79" t="s">
        <v>67</v>
      </c>
      <c r="S38" s="22" t="s">
        <v>32</v>
      </c>
      <c r="T38" s="22">
        <v>3</v>
      </c>
      <c r="U38" s="22" t="s">
        <v>67</v>
      </c>
      <c r="V38" s="23">
        <v>45749</v>
      </c>
      <c r="W38" s="840" t="s">
        <v>30</v>
      </c>
      <c r="Y38" s="776"/>
      <c r="Z38" s="776"/>
      <c r="AA38" s="776"/>
    </row>
    <row r="39" spans="1:27" ht="15.75" customHeight="1">
      <c r="A39" s="834" t="s">
        <v>24</v>
      </c>
      <c r="B39" s="835">
        <v>36</v>
      </c>
      <c r="C39" s="838" t="s">
        <v>101</v>
      </c>
      <c r="D39" s="838" t="s">
        <v>102</v>
      </c>
      <c r="E39" s="839">
        <v>45663</v>
      </c>
      <c r="F39" s="838" t="s">
        <v>100</v>
      </c>
      <c r="G39" s="838">
        <v>8</v>
      </c>
      <c r="H39" s="838" t="s">
        <v>46</v>
      </c>
      <c r="I39" s="838" t="s">
        <v>47</v>
      </c>
      <c r="J39" s="21" t="s">
        <v>29</v>
      </c>
      <c r="K39" s="21"/>
      <c r="L39" s="21"/>
      <c r="M39" s="22" t="s">
        <v>30</v>
      </c>
      <c r="N39" s="23">
        <v>45749</v>
      </c>
      <c r="O39" s="21"/>
      <c r="P39" s="22" t="s">
        <v>30</v>
      </c>
      <c r="Q39" s="23">
        <v>45749</v>
      </c>
      <c r="R39" s="79" t="s">
        <v>67</v>
      </c>
      <c r="S39" s="22" t="s">
        <v>32</v>
      </c>
      <c r="T39" s="22">
        <v>3</v>
      </c>
      <c r="U39" s="22" t="s">
        <v>67</v>
      </c>
      <c r="V39" s="23">
        <v>45749</v>
      </c>
      <c r="W39" s="840" t="s">
        <v>30</v>
      </c>
      <c r="Y39" s="776"/>
      <c r="Z39" s="776"/>
      <c r="AA39" s="776"/>
    </row>
    <row r="40" spans="1:27" ht="15.75" customHeight="1">
      <c r="A40" s="834" t="s">
        <v>24</v>
      </c>
      <c r="B40" s="835">
        <v>37</v>
      </c>
      <c r="C40" s="838" t="s">
        <v>103</v>
      </c>
      <c r="D40" s="838" t="s">
        <v>43</v>
      </c>
      <c r="E40" s="839">
        <v>45663</v>
      </c>
      <c r="F40" s="838" t="s">
        <v>104</v>
      </c>
      <c r="G40" s="838">
        <v>6</v>
      </c>
      <c r="H40" s="842" t="s">
        <v>22</v>
      </c>
      <c r="I40" s="838" t="s">
        <v>28</v>
      </c>
      <c r="J40" s="21" t="s">
        <v>29</v>
      </c>
      <c r="K40" s="21"/>
      <c r="L40" s="21"/>
      <c r="M40" s="22" t="s">
        <v>30</v>
      </c>
      <c r="N40" s="23">
        <v>45712</v>
      </c>
      <c r="O40" s="21"/>
      <c r="P40" s="22" t="s">
        <v>30</v>
      </c>
      <c r="Q40" s="23">
        <v>45712</v>
      </c>
      <c r="R40" s="79" t="s">
        <v>22</v>
      </c>
      <c r="S40" s="22" t="s">
        <v>32</v>
      </c>
      <c r="T40" s="22">
        <v>6</v>
      </c>
      <c r="U40" s="24" t="s">
        <v>22</v>
      </c>
      <c r="V40" s="23">
        <v>45712</v>
      </c>
      <c r="W40" s="80" t="s">
        <v>30</v>
      </c>
      <c r="Y40" s="776"/>
      <c r="Z40" s="776"/>
      <c r="AA40" s="776"/>
    </row>
    <row r="41" spans="1:27" ht="15.75" customHeight="1">
      <c r="A41" s="834" t="s">
        <v>24</v>
      </c>
      <c r="B41" s="835">
        <v>38</v>
      </c>
      <c r="C41" s="838" t="s">
        <v>105</v>
      </c>
      <c r="D41" s="838" t="s">
        <v>34</v>
      </c>
      <c r="E41" s="839">
        <v>45663</v>
      </c>
      <c r="F41" s="838" t="s">
        <v>106</v>
      </c>
      <c r="G41" s="838">
        <v>9</v>
      </c>
      <c r="H41" s="842" t="s">
        <v>22</v>
      </c>
      <c r="I41" s="838" t="s">
        <v>28</v>
      </c>
      <c r="J41" s="21" t="s">
        <v>29</v>
      </c>
      <c r="K41" s="21"/>
      <c r="L41" s="21"/>
      <c r="M41" s="22" t="s">
        <v>30</v>
      </c>
      <c r="N41" s="23">
        <v>45747</v>
      </c>
      <c r="O41" s="21" t="s">
        <v>66</v>
      </c>
      <c r="P41" s="22" t="s">
        <v>30</v>
      </c>
      <c r="Q41" s="23">
        <v>45747</v>
      </c>
      <c r="R41" s="79" t="s">
        <v>37</v>
      </c>
      <c r="S41" s="22" t="s">
        <v>32</v>
      </c>
      <c r="T41" s="834">
        <v>9</v>
      </c>
      <c r="U41" s="22" t="s">
        <v>37</v>
      </c>
      <c r="V41" s="23">
        <v>45747</v>
      </c>
      <c r="W41" s="840" t="s">
        <v>30</v>
      </c>
      <c r="Y41" s="776"/>
      <c r="Z41" s="776"/>
      <c r="AA41" s="776"/>
    </row>
    <row r="42" spans="1:27" ht="15.75" customHeight="1">
      <c r="A42" s="834" t="s">
        <v>24</v>
      </c>
      <c r="B42" s="835">
        <v>39</v>
      </c>
      <c r="C42" s="838" t="s">
        <v>107</v>
      </c>
      <c r="D42" s="838" t="s">
        <v>72</v>
      </c>
      <c r="E42" s="839">
        <v>45663</v>
      </c>
      <c r="F42" s="838" t="s">
        <v>106</v>
      </c>
      <c r="G42" s="838">
        <v>7</v>
      </c>
      <c r="H42" s="842" t="s">
        <v>22</v>
      </c>
      <c r="I42" s="838" t="s">
        <v>28</v>
      </c>
      <c r="J42" s="21" t="s">
        <v>29</v>
      </c>
      <c r="K42" s="21"/>
      <c r="L42" s="21"/>
      <c r="M42" s="22" t="s">
        <v>30</v>
      </c>
      <c r="N42" s="23">
        <v>45747</v>
      </c>
      <c r="O42" s="21"/>
      <c r="P42" s="22" t="s">
        <v>30</v>
      </c>
      <c r="Q42" s="23">
        <v>45747</v>
      </c>
      <c r="R42" s="79" t="s">
        <v>37</v>
      </c>
      <c r="S42" s="22" t="s">
        <v>32</v>
      </c>
      <c r="T42" s="834"/>
      <c r="U42" s="22" t="s">
        <v>37</v>
      </c>
      <c r="V42" s="23">
        <v>45747</v>
      </c>
      <c r="W42" s="840" t="s">
        <v>30</v>
      </c>
      <c r="Y42" s="776"/>
      <c r="Z42" s="776"/>
      <c r="AA42" s="776"/>
    </row>
    <row r="43" spans="1:27" ht="15.75" customHeight="1">
      <c r="A43" s="834" t="s">
        <v>24</v>
      </c>
      <c r="B43" s="835">
        <v>40</v>
      </c>
      <c r="C43" s="838" t="s">
        <v>108</v>
      </c>
      <c r="D43" s="838" t="s">
        <v>109</v>
      </c>
      <c r="E43" s="839">
        <v>45664</v>
      </c>
      <c r="F43" s="838" t="s">
        <v>110</v>
      </c>
      <c r="G43" s="838">
        <v>9</v>
      </c>
      <c r="H43" s="838" t="s">
        <v>111</v>
      </c>
      <c r="I43" s="838" t="s">
        <v>112</v>
      </c>
      <c r="J43" s="21" t="s">
        <v>29</v>
      </c>
      <c r="K43" s="21"/>
      <c r="L43" s="21"/>
      <c r="M43" s="22" t="s">
        <v>30</v>
      </c>
      <c r="N43" s="23">
        <v>45716</v>
      </c>
      <c r="O43" s="21"/>
      <c r="P43" s="22" t="s">
        <v>30</v>
      </c>
      <c r="Q43" s="23">
        <v>45716</v>
      </c>
      <c r="R43" s="79" t="s">
        <v>48</v>
      </c>
      <c r="S43" s="22" t="s">
        <v>32</v>
      </c>
      <c r="T43" s="834">
        <v>13</v>
      </c>
      <c r="U43" s="24" t="s">
        <v>48</v>
      </c>
      <c r="V43" s="23">
        <v>45716</v>
      </c>
      <c r="W43" s="840" t="s">
        <v>113</v>
      </c>
      <c r="Y43" s="776"/>
      <c r="Z43" s="776"/>
      <c r="AA43" s="776"/>
    </row>
    <row r="44" spans="1:27" ht="15.75" customHeight="1">
      <c r="A44" s="834" t="s">
        <v>24</v>
      </c>
      <c r="B44" s="835">
        <v>41</v>
      </c>
      <c r="C44" s="838" t="s">
        <v>114</v>
      </c>
      <c r="D44" s="838" t="s">
        <v>34</v>
      </c>
      <c r="E44" s="839">
        <v>45664</v>
      </c>
      <c r="F44" s="838" t="s">
        <v>106</v>
      </c>
      <c r="G44" s="838">
        <v>13</v>
      </c>
      <c r="H44" s="842" t="s">
        <v>22</v>
      </c>
      <c r="I44" s="838" t="s">
        <v>28</v>
      </c>
      <c r="J44" s="21" t="s">
        <v>29</v>
      </c>
      <c r="K44" s="21"/>
      <c r="L44" s="21"/>
      <c r="M44" s="22" t="s">
        <v>30</v>
      </c>
      <c r="N44" s="23">
        <v>45747</v>
      </c>
      <c r="O44" s="21" t="s">
        <v>66</v>
      </c>
      <c r="P44" s="22" t="s">
        <v>30</v>
      </c>
      <c r="Q44" s="23">
        <v>45747</v>
      </c>
      <c r="R44" s="79" t="s">
        <v>37</v>
      </c>
      <c r="S44" s="22" t="s">
        <v>32</v>
      </c>
      <c r="T44" s="834">
        <v>13</v>
      </c>
      <c r="U44" s="22" t="s">
        <v>37</v>
      </c>
      <c r="V44" s="23">
        <v>45747</v>
      </c>
      <c r="W44" s="840" t="s">
        <v>30</v>
      </c>
      <c r="Y44"/>
      <c r="Z44"/>
      <c r="AA44"/>
    </row>
    <row r="45" spans="1:27" ht="15.75" customHeight="1">
      <c r="A45" s="834" t="s">
        <v>24</v>
      </c>
      <c r="B45" s="835">
        <v>42</v>
      </c>
      <c r="C45" s="838" t="s">
        <v>115</v>
      </c>
      <c r="D45" s="838" t="s">
        <v>72</v>
      </c>
      <c r="E45" s="839">
        <v>45664</v>
      </c>
      <c r="F45" s="838" t="s">
        <v>106</v>
      </c>
      <c r="G45" s="838">
        <v>13</v>
      </c>
      <c r="H45" s="842" t="s">
        <v>22</v>
      </c>
      <c r="I45" s="838" t="s">
        <v>28</v>
      </c>
      <c r="J45" s="21" t="s">
        <v>29</v>
      </c>
      <c r="K45" s="21"/>
      <c r="L45" s="21"/>
      <c r="M45" s="22" t="s">
        <v>30</v>
      </c>
      <c r="N45" s="23">
        <v>45747</v>
      </c>
      <c r="O45" s="21"/>
      <c r="P45" s="22" t="s">
        <v>30</v>
      </c>
      <c r="Q45" s="23">
        <v>45747</v>
      </c>
      <c r="R45" s="79" t="s">
        <v>37</v>
      </c>
      <c r="S45" s="22" t="s">
        <v>32</v>
      </c>
      <c r="T45" s="834"/>
      <c r="U45" s="22" t="s">
        <v>37</v>
      </c>
      <c r="V45" s="23">
        <v>45747</v>
      </c>
      <c r="W45" s="840" t="s">
        <v>30</v>
      </c>
      <c r="Y45"/>
      <c r="Z45"/>
      <c r="AA45"/>
    </row>
    <row r="46" spans="1:27" ht="15.75" customHeight="1">
      <c r="A46" s="834" t="s">
        <v>24</v>
      </c>
      <c r="B46" s="835">
        <v>43</v>
      </c>
      <c r="C46" s="838" t="s">
        <v>116</v>
      </c>
      <c r="D46" s="838" t="s">
        <v>34</v>
      </c>
      <c r="E46" s="839">
        <v>45664</v>
      </c>
      <c r="F46" s="838" t="s">
        <v>117</v>
      </c>
      <c r="G46" s="838">
        <v>3</v>
      </c>
      <c r="H46" s="842" t="s">
        <v>22</v>
      </c>
      <c r="I46" s="838" t="s">
        <v>28</v>
      </c>
      <c r="J46" s="21" t="s">
        <v>29</v>
      </c>
      <c r="K46" s="21"/>
      <c r="L46" s="21"/>
      <c r="M46" s="22" t="s">
        <v>30</v>
      </c>
      <c r="N46" s="23">
        <v>45712</v>
      </c>
      <c r="O46" s="21" t="s">
        <v>66</v>
      </c>
      <c r="P46" s="22" t="s">
        <v>30</v>
      </c>
      <c r="Q46" s="23">
        <v>45712</v>
      </c>
      <c r="R46" s="79" t="s">
        <v>22</v>
      </c>
      <c r="S46" s="22" t="s">
        <v>32</v>
      </c>
      <c r="T46" s="834">
        <v>15</v>
      </c>
      <c r="U46" s="24" t="s">
        <v>22</v>
      </c>
      <c r="V46" s="23">
        <v>45712</v>
      </c>
      <c r="W46" s="80" t="s">
        <v>30</v>
      </c>
      <c r="Y46"/>
      <c r="Z46"/>
      <c r="AA46"/>
    </row>
    <row r="47" spans="1:27" ht="15.75" customHeight="1">
      <c r="A47" s="834" t="s">
        <v>24</v>
      </c>
      <c r="B47" s="835">
        <v>44</v>
      </c>
      <c r="C47" s="838" t="s">
        <v>118</v>
      </c>
      <c r="D47" s="838" t="s">
        <v>64</v>
      </c>
      <c r="E47" s="839">
        <v>45664</v>
      </c>
      <c r="F47" s="838" t="s">
        <v>117</v>
      </c>
      <c r="G47" s="838">
        <v>6</v>
      </c>
      <c r="H47" s="842" t="s">
        <v>22</v>
      </c>
      <c r="I47" s="838" t="s">
        <v>28</v>
      </c>
      <c r="J47" s="21" t="s">
        <v>29</v>
      </c>
      <c r="K47" s="21"/>
      <c r="L47" s="21"/>
      <c r="M47" s="22" t="s">
        <v>30</v>
      </c>
      <c r="N47" s="23">
        <v>45712</v>
      </c>
      <c r="O47" s="21"/>
      <c r="P47" s="22" t="s">
        <v>30</v>
      </c>
      <c r="Q47" s="23">
        <v>45712</v>
      </c>
      <c r="R47" s="79" t="s">
        <v>22</v>
      </c>
      <c r="S47" s="22" t="s">
        <v>32</v>
      </c>
      <c r="T47" s="834">
        <v>8</v>
      </c>
      <c r="U47" s="24" t="s">
        <v>22</v>
      </c>
      <c r="V47" s="23">
        <v>45712</v>
      </c>
      <c r="W47" s="80" t="s">
        <v>30</v>
      </c>
      <c r="Y47"/>
      <c r="Z47"/>
      <c r="AA47"/>
    </row>
    <row r="48" spans="1:27" ht="15.75" customHeight="1">
      <c r="A48" s="834" t="s">
        <v>24</v>
      </c>
      <c r="B48" s="835">
        <v>45</v>
      </c>
      <c r="C48" s="838" t="s">
        <v>119</v>
      </c>
      <c r="D48" s="838" t="s">
        <v>50</v>
      </c>
      <c r="E48" s="839">
        <v>45664</v>
      </c>
      <c r="F48" s="838" t="s">
        <v>117</v>
      </c>
      <c r="G48" s="838">
        <v>6</v>
      </c>
      <c r="H48" s="842" t="s">
        <v>22</v>
      </c>
      <c r="I48" s="838" t="s">
        <v>28</v>
      </c>
      <c r="J48" s="21" t="s">
        <v>29</v>
      </c>
      <c r="K48" s="21"/>
      <c r="L48" s="21"/>
      <c r="M48" s="22" t="s">
        <v>30</v>
      </c>
      <c r="N48" s="23">
        <v>45712</v>
      </c>
      <c r="O48" s="21"/>
      <c r="P48" s="22" t="s">
        <v>30</v>
      </c>
      <c r="Q48" s="23">
        <v>45712</v>
      </c>
      <c r="R48" s="79" t="s">
        <v>22</v>
      </c>
      <c r="S48" s="22" t="s">
        <v>32</v>
      </c>
      <c r="T48" s="22">
        <v>6</v>
      </c>
      <c r="U48" s="24" t="s">
        <v>22</v>
      </c>
      <c r="V48" s="23">
        <v>45712</v>
      </c>
      <c r="W48" s="80" t="s">
        <v>30</v>
      </c>
      <c r="Y48"/>
      <c r="Z48"/>
      <c r="AA48"/>
    </row>
    <row r="49" spans="1:27" ht="15.75" customHeight="1">
      <c r="A49" s="834" t="s">
        <v>24</v>
      </c>
      <c r="B49" s="835">
        <v>46</v>
      </c>
      <c r="C49" s="838" t="s">
        <v>120</v>
      </c>
      <c r="D49" s="838" t="s">
        <v>34</v>
      </c>
      <c r="E49" s="839">
        <v>45665</v>
      </c>
      <c r="F49" s="838" t="s">
        <v>106</v>
      </c>
      <c r="G49" s="838">
        <v>15</v>
      </c>
      <c r="H49" s="842" t="s">
        <v>22</v>
      </c>
      <c r="I49" s="838" t="s">
        <v>28</v>
      </c>
      <c r="J49" s="21" t="s">
        <v>29</v>
      </c>
      <c r="K49" s="21"/>
      <c r="L49" s="21"/>
      <c r="M49" s="22" t="s">
        <v>30</v>
      </c>
      <c r="N49" s="23">
        <v>45747</v>
      </c>
      <c r="O49" s="21" t="s">
        <v>31</v>
      </c>
      <c r="P49" s="22" t="s">
        <v>30</v>
      </c>
      <c r="Q49" s="23">
        <v>45747</v>
      </c>
      <c r="R49" s="79" t="s">
        <v>37</v>
      </c>
      <c r="S49" s="22" t="s">
        <v>32</v>
      </c>
      <c r="T49" s="22">
        <v>15</v>
      </c>
      <c r="U49" s="22" t="s">
        <v>37</v>
      </c>
      <c r="V49" s="23">
        <v>45747</v>
      </c>
      <c r="W49" s="840" t="s">
        <v>30</v>
      </c>
      <c r="Y49"/>
      <c r="Z49"/>
      <c r="AA49"/>
    </row>
    <row r="50" spans="1:27" ht="15.75" customHeight="1">
      <c r="A50" s="834" t="s">
        <v>24</v>
      </c>
      <c r="B50" s="835">
        <v>47</v>
      </c>
      <c r="C50" s="838" t="s">
        <v>121</v>
      </c>
      <c r="D50" s="838" t="s">
        <v>72</v>
      </c>
      <c r="E50" s="839">
        <v>45665</v>
      </c>
      <c r="F50" s="838" t="s">
        <v>106</v>
      </c>
      <c r="G50" s="838">
        <v>15</v>
      </c>
      <c r="H50" s="842" t="s">
        <v>22</v>
      </c>
      <c r="I50" s="838" t="s">
        <v>28</v>
      </c>
      <c r="J50" s="21" t="s">
        <v>29</v>
      </c>
      <c r="K50" s="21"/>
      <c r="L50" s="21"/>
      <c r="M50" s="22" t="s">
        <v>30</v>
      </c>
      <c r="N50" s="23">
        <v>45747</v>
      </c>
      <c r="O50" s="21" t="s">
        <v>31</v>
      </c>
      <c r="P50" s="22" t="s">
        <v>30</v>
      </c>
      <c r="Q50" s="23">
        <v>45747</v>
      </c>
      <c r="R50" s="79" t="s">
        <v>37</v>
      </c>
      <c r="S50" s="22" t="s">
        <v>32</v>
      </c>
      <c r="T50" s="22"/>
      <c r="U50" s="22" t="s">
        <v>37</v>
      </c>
      <c r="V50" s="23">
        <v>45747</v>
      </c>
      <c r="W50" s="840" t="s">
        <v>30</v>
      </c>
      <c r="Y50"/>
      <c r="Z50"/>
      <c r="AA50"/>
    </row>
    <row r="51" spans="1:27" ht="15.75" customHeight="1">
      <c r="A51" s="834" t="s">
        <v>24</v>
      </c>
      <c r="B51" s="835">
        <v>48</v>
      </c>
      <c r="C51" s="838" t="s">
        <v>122</v>
      </c>
      <c r="D51" s="838" t="s">
        <v>123</v>
      </c>
      <c r="E51" s="839">
        <v>45667</v>
      </c>
      <c r="F51" s="838" t="s">
        <v>106</v>
      </c>
      <c r="G51" s="838">
        <v>8</v>
      </c>
      <c r="H51" s="842" t="s">
        <v>22</v>
      </c>
      <c r="I51" s="838" t="s">
        <v>28</v>
      </c>
      <c r="J51" s="21" t="s">
        <v>29</v>
      </c>
      <c r="K51" s="21"/>
      <c r="L51" s="21"/>
      <c r="M51" s="22" t="s">
        <v>30</v>
      </c>
      <c r="N51" s="23">
        <v>45747</v>
      </c>
      <c r="O51" s="21"/>
      <c r="P51" s="22" t="s">
        <v>30</v>
      </c>
      <c r="Q51" s="23">
        <v>45747</v>
      </c>
      <c r="R51" s="79" t="s">
        <v>37</v>
      </c>
      <c r="S51" s="22" t="s">
        <v>32</v>
      </c>
      <c r="T51" s="22">
        <v>8</v>
      </c>
      <c r="U51" s="22" t="s">
        <v>37</v>
      </c>
      <c r="V51" s="23">
        <v>45747</v>
      </c>
      <c r="W51" s="840" t="s">
        <v>30</v>
      </c>
      <c r="Y51"/>
      <c r="Z51"/>
      <c r="AA51"/>
    </row>
    <row r="52" spans="1:27" ht="15.75" customHeight="1">
      <c r="A52" s="834" t="s">
        <v>24</v>
      </c>
      <c r="B52" s="835">
        <v>49</v>
      </c>
      <c r="C52" s="838" t="s">
        <v>124</v>
      </c>
      <c r="D52" s="838" t="s">
        <v>34</v>
      </c>
      <c r="E52" s="839">
        <v>45668</v>
      </c>
      <c r="F52" s="838" t="s">
        <v>89</v>
      </c>
      <c r="G52" s="838">
        <v>12</v>
      </c>
      <c r="H52" s="842" t="s">
        <v>22</v>
      </c>
      <c r="I52" s="838" t="s">
        <v>28</v>
      </c>
      <c r="J52" s="21" t="s">
        <v>29</v>
      </c>
      <c r="K52" s="21"/>
      <c r="L52" s="21"/>
      <c r="M52" s="22" t="s">
        <v>30</v>
      </c>
      <c r="N52" s="23">
        <v>45712</v>
      </c>
      <c r="O52" s="21"/>
      <c r="P52" s="22" t="s">
        <v>30</v>
      </c>
      <c r="Q52" s="23">
        <v>45712</v>
      </c>
      <c r="R52" s="79" t="s">
        <v>37</v>
      </c>
      <c r="S52" s="22" t="s">
        <v>32</v>
      </c>
      <c r="T52" s="22">
        <v>12</v>
      </c>
      <c r="U52" s="22" t="s">
        <v>37</v>
      </c>
      <c r="V52" s="23">
        <v>45712</v>
      </c>
      <c r="W52" s="840" t="s">
        <v>30</v>
      </c>
      <c r="Y52" s="776"/>
      <c r="Z52" s="776"/>
      <c r="AA52" s="776"/>
    </row>
    <row r="53" spans="1:27" ht="15.75" customHeight="1">
      <c r="A53" s="834" t="s">
        <v>24</v>
      </c>
      <c r="B53" s="835">
        <v>50</v>
      </c>
      <c r="C53" s="838" t="s">
        <v>125</v>
      </c>
      <c r="D53" s="838" t="s">
        <v>34</v>
      </c>
      <c r="E53" s="839">
        <v>45668</v>
      </c>
      <c r="F53" s="838" t="s">
        <v>126</v>
      </c>
      <c r="G53" s="838">
        <v>11</v>
      </c>
      <c r="H53" s="842" t="s">
        <v>22</v>
      </c>
      <c r="I53" s="838" t="s">
        <v>28</v>
      </c>
      <c r="J53" s="21" t="s">
        <v>29</v>
      </c>
      <c r="K53" s="21"/>
      <c r="L53" s="21"/>
      <c r="M53" s="22" t="s">
        <v>30</v>
      </c>
      <c r="N53" s="23">
        <v>45747</v>
      </c>
      <c r="O53" s="21" t="s">
        <v>66</v>
      </c>
      <c r="P53" s="22" t="s">
        <v>30</v>
      </c>
      <c r="Q53" s="23">
        <v>45747</v>
      </c>
      <c r="R53" s="79" t="s">
        <v>127</v>
      </c>
      <c r="S53" s="22" t="s">
        <v>32</v>
      </c>
      <c r="T53" s="22">
        <v>11</v>
      </c>
      <c r="U53" s="24" t="s">
        <v>127</v>
      </c>
      <c r="V53" s="23">
        <v>45747</v>
      </c>
      <c r="W53" s="840" t="s">
        <v>30</v>
      </c>
      <c r="Y53"/>
      <c r="Z53"/>
      <c r="AA53"/>
    </row>
    <row r="54" spans="1:27" ht="15.75" customHeight="1">
      <c r="A54" s="834" t="s">
        <v>24</v>
      </c>
      <c r="B54" s="835">
        <v>51</v>
      </c>
      <c r="C54" s="838" t="s">
        <v>128</v>
      </c>
      <c r="D54" s="838" t="s">
        <v>129</v>
      </c>
      <c r="E54" s="839">
        <v>45668</v>
      </c>
      <c r="F54" s="838" t="s">
        <v>126</v>
      </c>
      <c r="G54" s="838">
        <v>11</v>
      </c>
      <c r="H54" s="842" t="s">
        <v>22</v>
      </c>
      <c r="I54" s="838" t="s">
        <v>28</v>
      </c>
      <c r="J54" s="21" t="s">
        <v>29</v>
      </c>
      <c r="K54" s="21"/>
      <c r="L54" s="21"/>
      <c r="M54" s="22" t="s">
        <v>30</v>
      </c>
      <c r="N54" s="23">
        <v>45747</v>
      </c>
      <c r="O54" s="21"/>
      <c r="P54" s="22" t="s">
        <v>30</v>
      </c>
      <c r="Q54" s="23">
        <v>45747</v>
      </c>
      <c r="R54" s="79" t="s">
        <v>127</v>
      </c>
      <c r="S54" s="22" t="s">
        <v>32</v>
      </c>
      <c r="T54" s="22">
        <v>11</v>
      </c>
      <c r="U54" s="24" t="s">
        <v>127</v>
      </c>
      <c r="V54" s="23">
        <v>45747</v>
      </c>
      <c r="W54" s="840" t="s">
        <v>30</v>
      </c>
      <c r="Y54"/>
      <c r="Z54"/>
      <c r="AA54"/>
    </row>
    <row r="55" spans="1:27" ht="15.75" customHeight="1">
      <c r="A55" s="834" t="s">
        <v>24</v>
      </c>
      <c r="B55" s="835">
        <v>52</v>
      </c>
      <c r="C55" s="838" t="s">
        <v>130</v>
      </c>
      <c r="D55" s="838" t="s">
        <v>34</v>
      </c>
      <c r="E55" s="839">
        <v>45668</v>
      </c>
      <c r="F55" s="838" t="s">
        <v>131</v>
      </c>
      <c r="G55" s="838">
        <v>4</v>
      </c>
      <c r="H55" s="838" t="s">
        <v>21</v>
      </c>
      <c r="I55" s="838" t="s">
        <v>36</v>
      </c>
      <c r="J55" s="21" t="s">
        <v>29</v>
      </c>
      <c r="K55" s="21"/>
      <c r="L55" s="21"/>
      <c r="M55" s="22" t="s">
        <v>30</v>
      </c>
      <c r="N55" s="23">
        <v>45712</v>
      </c>
      <c r="O55" s="21" t="s">
        <v>66</v>
      </c>
      <c r="P55" s="22" t="s">
        <v>30</v>
      </c>
      <c r="Q55" s="23">
        <v>45712</v>
      </c>
      <c r="R55" s="79" t="s">
        <v>21</v>
      </c>
      <c r="S55" s="22" t="s">
        <v>32</v>
      </c>
      <c r="T55" s="22">
        <v>4</v>
      </c>
      <c r="U55" s="24" t="s">
        <v>21</v>
      </c>
      <c r="V55" s="23">
        <v>45712</v>
      </c>
      <c r="W55" s="80" t="s">
        <v>30</v>
      </c>
      <c r="Y55"/>
      <c r="Z55"/>
      <c r="AA55"/>
    </row>
    <row r="56" spans="1:27" ht="15.75" customHeight="1">
      <c r="A56" s="834" t="s">
        <v>24</v>
      </c>
      <c r="B56" s="835">
        <v>53</v>
      </c>
      <c r="C56" s="838" t="s">
        <v>132</v>
      </c>
      <c r="D56" s="838" t="s">
        <v>43</v>
      </c>
      <c r="E56" s="839">
        <v>45668</v>
      </c>
      <c r="F56" s="838" t="s">
        <v>131</v>
      </c>
      <c r="G56" s="838">
        <v>4</v>
      </c>
      <c r="H56" s="838" t="s">
        <v>21</v>
      </c>
      <c r="I56" s="838" t="s">
        <v>36</v>
      </c>
      <c r="J56" s="21" t="s">
        <v>29</v>
      </c>
      <c r="K56" s="21"/>
      <c r="L56" s="21"/>
      <c r="M56" s="22" t="s">
        <v>30</v>
      </c>
      <c r="N56" s="23">
        <v>45712</v>
      </c>
      <c r="O56" s="21"/>
      <c r="P56" s="22" t="s">
        <v>30</v>
      </c>
      <c r="Q56" s="23">
        <v>45712</v>
      </c>
      <c r="R56" s="79" t="s">
        <v>21</v>
      </c>
      <c r="S56" s="22" t="s">
        <v>32</v>
      </c>
      <c r="T56" s="22">
        <v>4</v>
      </c>
      <c r="U56" s="24" t="s">
        <v>21</v>
      </c>
      <c r="V56" s="23">
        <v>45712</v>
      </c>
      <c r="W56" s="80" t="s">
        <v>30</v>
      </c>
      <c r="Y56"/>
      <c r="Z56"/>
      <c r="AA56"/>
    </row>
    <row r="57" spans="1:27" ht="15.75" customHeight="1">
      <c r="A57" s="834" t="s">
        <v>24</v>
      </c>
      <c r="B57" s="835">
        <v>54</v>
      </c>
      <c r="C57" s="838" t="s">
        <v>133</v>
      </c>
      <c r="D57" s="838" t="s">
        <v>50</v>
      </c>
      <c r="E57" s="839">
        <v>45668</v>
      </c>
      <c r="F57" s="838" t="s">
        <v>131</v>
      </c>
      <c r="G57" s="838">
        <v>4</v>
      </c>
      <c r="H57" s="838" t="s">
        <v>21</v>
      </c>
      <c r="I57" s="838" t="s">
        <v>36</v>
      </c>
      <c r="J57" s="21" t="s">
        <v>29</v>
      </c>
      <c r="K57" s="21"/>
      <c r="L57" s="21"/>
      <c r="M57" s="22" t="s">
        <v>30</v>
      </c>
      <c r="N57" s="23">
        <v>45712</v>
      </c>
      <c r="O57" s="21"/>
      <c r="P57" s="22" t="s">
        <v>30</v>
      </c>
      <c r="Q57" s="23">
        <v>45712</v>
      </c>
      <c r="R57" s="79" t="s">
        <v>21</v>
      </c>
      <c r="S57" s="22" t="s">
        <v>32</v>
      </c>
      <c r="T57" s="22">
        <v>4</v>
      </c>
      <c r="U57" s="24" t="s">
        <v>21</v>
      </c>
      <c r="V57" s="23">
        <v>45712</v>
      </c>
      <c r="W57" s="80" t="s">
        <v>30</v>
      </c>
      <c r="Y57"/>
      <c r="Z57"/>
      <c r="AA57"/>
    </row>
    <row r="58" spans="1:27" ht="15.75" customHeight="1">
      <c r="A58" s="834" t="s">
        <v>24</v>
      </c>
      <c r="B58" s="835">
        <v>55</v>
      </c>
      <c r="C58" s="838" t="s">
        <v>134</v>
      </c>
      <c r="D58" s="838" t="s">
        <v>26</v>
      </c>
      <c r="E58" s="839">
        <v>45668</v>
      </c>
      <c r="F58" s="838" t="s">
        <v>131</v>
      </c>
      <c r="G58" s="838">
        <v>4</v>
      </c>
      <c r="H58" s="838" t="s">
        <v>21</v>
      </c>
      <c r="I58" s="838" t="s">
        <v>36</v>
      </c>
      <c r="J58" s="21" t="s">
        <v>29</v>
      </c>
      <c r="K58" s="21"/>
      <c r="L58" s="21"/>
      <c r="M58" s="22" t="s">
        <v>30</v>
      </c>
      <c r="N58" s="23">
        <v>45712</v>
      </c>
      <c r="O58" s="21"/>
      <c r="P58" s="22" t="s">
        <v>30</v>
      </c>
      <c r="Q58" s="23">
        <v>45712</v>
      </c>
      <c r="R58" s="79" t="s">
        <v>21</v>
      </c>
      <c r="S58" s="22" t="s">
        <v>32</v>
      </c>
      <c r="T58" s="22">
        <v>4</v>
      </c>
      <c r="U58" s="24" t="s">
        <v>21</v>
      </c>
      <c r="V58" s="23">
        <v>45712</v>
      </c>
      <c r="W58" s="80" t="s">
        <v>30</v>
      </c>
      <c r="Y58"/>
      <c r="Z58"/>
      <c r="AA58"/>
    </row>
    <row r="59" spans="1:27" ht="15.75" customHeight="1">
      <c r="A59" s="834" t="s">
        <v>24</v>
      </c>
      <c r="B59" s="835">
        <v>56</v>
      </c>
      <c r="C59" s="843" t="s">
        <v>135</v>
      </c>
      <c r="D59" s="843" t="s">
        <v>34</v>
      </c>
      <c r="E59" s="839">
        <v>45668</v>
      </c>
      <c r="F59" s="838" t="s">
        <v>136</v>
      </c>
      <c r="G59" s="838">
        <v>16</v>
      </c>
      <c r="H59" s="838" t="s">
        <v>46</v>
      </c>
      <c r="I59" s="838" t="s">
        <v>47</v>
      </c>
      <c r="J59" s="21" t="s">
        <v>29</v>
      </c>
      <c r="K59" s="21"/>
      <c r="L59" s="21"/>
      <c r="M59" s="22" t="s">
        <v>30</v>
      </c>
      <c r="N59" s="23">
        <v>45728</v>
      </c>
      <c r="O59" s="21" t="s">
        <v>31</v>
      </c>
      <c r="P59" s="22" t="s">
        <v>30</v>
      </c>
      <c r="Q59" s="23">
        <v>45728</v>
      </c>
      <c r="R59" s="79" t="s">
        <v>47</v>
      </c>
      <c r="S59" s="22" t="s">
        <v>32</v>
      </c>
      <c r="T59" s="22">
        <v>17</v>
      </c>
      <c r="U59" s="22" t="s">
        <v>47</v>
      </c>
      <c r="V59" s="23">
        <v>45728</v>
      </c>
      <c r="W59" s="840" t="s">
        <v>30</v>
      </c>
      <c r="Y59"/>
      <c r="Z59"/>
      <c r="AA59"/>
    </row>
    <row r="60" spans="1:27">
      <c r="A60" s="834" t="s">
        <v>137</v>
      </c>
      <c r="B60" s="835">
        <v>57</v>
      </c>
      <c r="C60" s="838" t="s">
        <v>138</v>
      </c>
      <c r="D60" s="834" t="s">
        <v>139</v>
      </c>
      <c r="E60" s="844">
        <v>45663</v>
      </c>
      <c r="F60" s="838" t="s">
        <v>140</v>
      </c>
      <c r="G60" s="838">
        <v>4</v>
      </c>
      <c r="H60" s="838" t="s">
        <v>141</v>
      </c>
      <c r="I60" s="838" t="s">
        <v>79</v>
      </c>
      <c r="J60" s="21" t="s">
        <v>29</v>
      </c>
      <c r="K60" s="21"/>
      <c r="L60" s="21"/>
      <c r="M60" s="22" t="s">
        <v>30</v>
      </c>
      <c r="N60" s="23">
        <v>45747</v>
      </c>
      <c r="O60" s="21"/>
      <c r="P60" s="22" t="s">
        <v>30</v>
      </c>
      <c r="Q60" s="23">
        <v>45747</v>
      </c>
      <c r="R60" s="24" t="s">
        <v>67</v>
      </c>
      <c r="S60" s="22" t="s">
        <v>32</v>
      </c>
      <c r="T60" s="834">
        <v>4</v>
      </c>
      <c r="U60" s="24" t="s">
        <v>48</v>
      </c>
      <c r="V60" s="23">
        <v>45747</v>
      </c>
      <c r="W60" s="840" t="s">
        <v>113</v>
      </c>
      <c r="Y60"/>
      <c r="Z60"/>
      <c r="AA60"/>
    </row>
    <row r="61" spans="1:27">
      <c r="A61" s="834" t="s">
        <v>137</v>
      </c>
      <c r="B61" s="835">
        <v>58</v>
      </c>
      <c r="C61" s="838" t="s">
        <v>142</v>
      </c>
      <c r="D61" s="834" t="s">
        <v>143</v>
      </c>
      <c r="E61" s="844">
        <v>45663</v>
      </c>
      <c r="F61" s="838" t="s">
        <v>140</v>
      </c>
      <c r="G61" s="838">
        <v>3</v>
      </c>
      <c r="H61" s="838" t="s">
        <v>21</v>
      </c>
      <c r="I61" s="838" t="s">
        <v>36</v>
      </c>
      <c r="J61" s="21" t="s">
        <v>29</v>
      </c>
      <c r="K61" s="21"/>
      <c r="L61" s="21"/>
      <c r="M61" s="22" t="s">
        <v>30</v>
      </c>
      <c r="N61" s="23">
        <v>45747</v>
      </c>
      <c r="O61" s="21"/>
      <c r="P61" s="22" t="s">
        <v>30</v>
      </c>
      <c r="Q61" s="23">
        <v>45747</v>
      </c>
      <c r="R61" s="24" t="s">
        <v>67</v>
      </c>
      <c r="S61" s="22" t="s">
        <v>32</v>
      </c>
      <c r="T61" s="834">
        <v>3</v>
      </c>
      <c r="U61" s="24" t="s">
        <v>48</v>
      </c>
      <c r="V61" s="23">
        <v>45747</v>
      </c>
      <c r="W61" s="840" t="s">
        <v>113</v>
      </c>
      <c r="Y61"/>
      <c r="Z61"/>
      <c r="AA61"/>
    </row>
    <row r="62" spans="1:27">
      <c r="A62" s="834" t="s">
        <v>137</v>
      </c>
      <c r="B62" s="835">
        <v>59</v>
      </c>
      <c r="C62" s="838" t="s">
        <v>144</v>
      </c>
      <c r="D62" s="834" t="s">
        <v>145</v>
      </c>
      <c r="E62" s="844">
        <v>45663</v>
      </c>
      <c r="F62" s="838" t="s">
        <v>140</v>
      </c>
      <c r="G62" s="838">
        <v>4</v>
      </c>
      <c r="H62" s="838" t="s">
        <v>141</v>
      </c>
      <c r="I62" s="838" t="s">
        <v>79</v>
      </c>
      <c r="J62" s="21" t="s">
        <v>29</v>
      </c>
      <c r="K62" s="21"/>
      <c r="L62" s="21"/>
      <c r="M62" s="22" t="s">
        <v>30</v>
      </c>
      <c r="N62" s="23">
        <v>45747</v>
      </c>
      <c r="O62" s="21"/>
      <c r="P62" s="22" t="s">
        <v>30</v>
      </c>
      <c r="Q62" s="23">
        <v>45747</v>
      </c>
      <c r="R62" s="24" t="s">
        <v>67</v>
      </c>
      <c r="S62" s="22" t="s">
        <v>32</v>
      </c>
      <c r="T62" s="834">
        <v>4</v>
      </c>
      <c r="U62" s="24" t="s">
        <v>48</v>
      </c>
      <c r="V62" s="23">
        <v>45747</v>
      </c>
      <c r="W62" s="840" t="s">
        <v>113</v>
      </c>
      <c r="Y62"/>
      <c r="Z62"/>
      <c r="AA62"/>
    </row>
    <row r="63" spans="1:27">
      <c r="A63" s="834" t="s">
        <v>137</v>
      </c>
      <c r="B63" s="835">
        <v>60</v>
      </c>
      <c r="C63" s="838" t="s">
        <v>146</v>
      </c>
      <c r="D63" s="834" t="s">
        <v>147</v>
      </c>
      <c r="E63" s="844">
        <v>45663</v>
      </c>
      <c r="F63" s="838" t="s">
        <v>140</v>
      </c>
      <c r="G63" s="838">
        <v>2</v>
      </c>
      <c r="H63" s="838" t="s">
        <v>21</v>
      </c>
      <c r="I63" s="838" t="s">
        <v>36</v>
      </c>
      <c r="J63" s="21" t="s">
        <v>29</v>
      </c>
      <c r="K63" s="21"/>
      <c r="L63" s="21"/>
      <c r="M63" s="22" t="s">
        <v>30</v>
      </c>
      <c r="N63" s="23">
        <v>45747</v>
      </c>
      <c r="O63" s="21"/>
      <c r="P63" s="22" t="s">
        <v>30</v>
      </c>
      <c r="Q63" s="23">
        <v>45747</v>
      </c>
      <c r="R63" s="24" t="s">
        <v>67</v>
      </c>
      <c r="S63" s="22" t="s">
        <v>32</v>
      </c>
      <c r="T63" s="834">
        <v>2</v>
      </c>
      <c r="U63" s="24" t="s">
        <v>48</v>
      </c>
      <c r="V63" s="23">
        <v>45747</v>
      </c>
      <c r="W63" s="840" t="s">
        <v>113</v>
      </c>
      <c r="Y63"/>
      <c r="Z63"/>
      <c r="AA63"/>
    </row>
    <row r="64" spans="1:27">
      <c r="A64" s="834" t="s">
        <v>137</v>
      </c>
      <c r="B64" s="835">
        <v>61</v>
      </c>
      <c r="C64" s="838" t="s">
        <v>148</v>
      </c>
      <c r="D64" s="834" t="s">
        <v>149</v>
      </c>
      <c r="E64" s="844">
        <v>45663</v>
      </c>
      <c r="F64" s="838" t="s">
        <v>140</v>
      </c>
      <c r="G64" s="838">
        <v>2</v>
      </c>
      <c r="H64" s="838" t="s">
        <v>21</v>
      </c>
      <c r="I64" s="838" t="s">
        <v>36</v>
      </c>
      <c r="J64" s="21" t="s">
        <v>29</v>
      </c>
      <c r="K64" s="21"/>
      <c r="L64" s="21"/>
      <c r="M64" s="22" t="s">
        <v>30</v>
      </c>
      <c r="N64" s="23">
        <v>45747</v>
      </c>
      <c r="O64" s="21"/>
      <c r="P64" s="22" t="s">
        <v>30</v>
      </c>
      <c r="Q64" s="23">
        <v>45747</v>
      </c>
      <c r="R64" s="24" t="s">
        <v>67</v>
      </c>
      <c r="S64" s="22" t="s">
        <v>32</v>
      </c>
      <c r="T64" s="834">
        <v>2</v>
      </c>
      <c r="U64" s="24" t="s">
        <v>48</v>
      </c>
      <c r="V64" s="23">
        <v>45747</v>
      </c>
      <c r="W64" s="840" t="s">
        <v>113</v>
      </c>
      <c r="Y64"/>
      <c r="Z64"/>
      <c r="AA64"/>
    </row>
    <row r="65" spans="1:27">
      <c r="A65" s="834" t="s">
        <v>137</v>
      </c>
      <c r="B65" s="835">
        <v>62</v>
      </c>
      <c r="C65" s="838" t="s">
        <v>150</v>
      </c>
      <c r="D65" s="834" t="s">
        <v>151</v>
      </c>
      <c r="E65" s="844">
        <v>45663</v>
      </c>
      <c r="F65" s="838" t="s">
        <v>140</v>
      </c>
      <c r="G65" s="838">
        <v>8</v>
      </c>
      <c r="H65" s="838" t="s">
        <v>141</v>
      </c>
      <c r="I65" s="838" t="s">
        <v>79</v>
      </c>
      <c r="J65" s="21" t="s">
        <v>29</v>
      </c>
      <c r="K65" s="21"/>
      <c r="L65" s="21"/>
      <c r="M65" s="22" t="s">
        <v>30</v>
      </c>
      <c r="N65" s="23">
        <v>45747</v>
      </c>
      <c r="O65" s="21"/>
      <c r="P65" s="22" t="s">
        <v>30</v>
      </c>
      <c r="Q65" s="23">
        <v>45747</v>
      </c>
      <c r="R65" s="24" t="s">
        <v>67</v>
      </c>
      <c r="S65" s="22" t="s">
        <v>32</v>
      </c>
      <c r="T65" s="834">
        <v>8</v>
      </c>
      <c r="U65" s="24" t="s">
        <v>48</v>
      </c>
      <c r="V65" s="23">
        <v>45747</v>
      </c>
      <c r="W65" s="840" t="s">
        <v>113</v>
      </c>
      <c r="Y65"/>
      <c r="Z65"/>
      <c r="AA65"/>
    </row>
    <row r="66" spans="1:27">
      <c r="A66" s="834" t="s">
        <v>137</v>
      </c>
      <c r="B66" s="835">
        <v>63</v>
      </c>
      <c r="C66" s="838" t="s">
        <v>152</v>
      </c>
      <c r="D66" s="834" t="s">
        <v>153</v>
      </c>
      <c r="E66" s="844">
        <v>45663</v>
      </c>
      <c r="F66" s="838" t="s">
        <v>140</v>
      </c>
      <c r="G66" s="838">
        <v>5</v>
      </c>
      <c r="H66" s="838" t="s">
        <v>22</v>
      </c>
      <c r="I66" s="838" t="s">
        <v>28</v>
      </c>
      <c r="J66" s="21" t="s">
        <v>29</v>
      </c>
      <c r="K66" s="21"/>
      <c r="L66" s="21"/>
      <c r="M66" s="22" t="s">
        <v>30</v>
      </c>
      <c r="N66" s="23">
        <v>45747</v>
      </c>
      <c r="O66" s="21"/>
      <c r="P66" s="22" t="s">
        <v>30</v>
      </c>
      <c r="Q66" s="23">
        <v>45747</v>
      </c>
      <c r="R66" s="24" t="s">
        <v>67</v>
      </c>
      <c r="S66" s="22" t="s">
        <v>32</v>
      </c>
      <c r="T66" s="834">
        <v>5</v>
      </c>
      <c r="U66" s="24" t="s">
        <v>48</v>
      </c>
      <c r="V66" s="23">
        <v>45747</v>
      </c>
      <c r="W66" s="840" t="s">
        <v>113</v>
      </c>
      <c r="Y66" s="776"/>
      <c r="Z66" s="776"/>
      <c r="AA66" s="776"/>
    </row>
    <row r="67" spans="1:27">
      <c r="A67" s="834" t="s">
        <v>137</v>
      </c>
      <c r="B67" s="835">
        <v>64</v>
      </c>
      <c r="C67" s="838" t="s">
        <v>154</v>
      </c>
      <c r="D67" s="834" t="s">
        <v>155</v>
      </c>
      <c r="E67" s="844">
        <v>45663</v>
      </c>
      <c r="F67" s="838" t="s">
        <v>140</v>
      </c>
      <c r="G67" s="838">
        <v>1</v>
      </c>
      <c r="H67" s="838" t="s">
        <v>21</v>
      </c>
      <c r="I67" s="838" t="s">
        <v>36</v>
      </c>
      <c r="J67" s="21" t="s">
        <v>29</v>
      </c>
      <c r="K67" s="21"/>
      <c r="L67" s="21"/>
      <c r="M67" s="22" t="s">
        <v>30</v>
      </c>
      <c r="N67" s="23">
        <v>45747</v>
      </c>
      <c r="O67" s="21"/>
      <c r="P67" s="22" t="s">
        <v>30</v>
      </c>
      <c r="Q67" s="23">
        <v>45747</v>
      </c>
      <c r="R67" s="24" t="s">
        <v>67</v>
      </c>
      <c r="S67" s="22" t="s">
        <v>32</v>
      </c>
      <c r="T67" s="834">
        <v>1</v>
      </c>
      <c r="U67" s="24" t="s">
        <v>48</v>
      </c>
      <c r="V67" s="23">
        <v>45747</v>
      </c>
      <c r="W67" s="840" t="s">
        <v>113</v>
      </c>
      <c r="Y67" s="776"/>
      <c r="Z67" s="776"/>
      <c r="AA67" s="776"/>
    </row>
    <row r="68" spans="1:27">
      <c r="A68" s="834" t="s">
        <v>137</v>
      </c>
      <c r="B68" s="835">
        <v>65</v>
      </c>
      <c r="C68" s="838" t="s">
        <v>156</v>
      </c>
      <c r="D68" s="834" t="s">
        <v>157</v>
      </c>
      <c r="E68" s="844">
        <v>45663</v>
      </c>
      <c r="F68" s="838" t="s">
        <v>140</v>
      </c>
      <c r="G68" s="838">
        <v>2</v>
      </c>
      <c r="H68" s="838" t="s">
        <v>21</v>
      </c>
      <c r="I68" s="838" t="s">
        <v>36</v>
      </c>
      <c r="J68" s="21" t="s">
        <v>29</v>
      </c>
      <c r="K68" s="21"/>
      <c r="L68" s="21"/>
      <c r="M68" s="22" t="s">
        <v>30</v>
      </c>
      <c r="N68" s="23">
        <v>45747</v>
      </c>
      <c r="O68" s="21"/>
      <c r="P68" s="22" t="s">
        <v>30</v>
      </c>
      <c r="Q68" s="23">
        <v>45747</v>
      </c>
      <c r="R68" s="24" t="s">
        <v>67</v>
      </c>
      <c r="S68" s="22" t="s">
        <v>32</v>
      </c>
      <c r="T68" s="834">
        <v>2</v>
      </c>
      <c r="U68" s="24" t="s">
        <v>48</v>
      </c>
      <c r="V68" s="23">
        <v>45747</v>
      </c>
      <c r="W68" s="840" t="s">
        <v>113</v>
      </c>
      <c r="Y68" s="776"/>
      <c r="Z68" s="776"/>
      <c r="AA68" s="776"/>
    </row>
    <row r="69" spans="1:27">
      <c r="A69" s="834" t="s">
        <v>137</v>
      </c>
      <c r="B69" s="835">
        <v>66</v>
      </c>
      <c r="C69" s="838" t="s">
        <v>158</v>
      </c>
      <c r="D69" s="834" t="s">
        <v>159</v>
      </c>
      <c r="E69" s="844">
        <v>45663</v>
      </c>
      <c r="F69" s="838" t="s">
        <v>140</v>
      </c>
      <c r="G69" s="838">
        <v>5</v>
      </c>
      <c r="H69" s="838" t="s">
        <v>21</v>
      </c>
      <c r="I69" s="838" t="s">
        <v>36</v>
      </c>
      <c r="J69" s="21" t="s">
        <v>29</v>
      </c>
      <c r="K69" s="21"/>
      <c r="L69" s="21"/>
      <c r="M69" s="22" t="s">
        <v>30</v>
      </c>
      <c r="N69" s="23">
        <v>45747</v>
      </c>
      <c r="O69" s="21"/>
      <c r="P69" s="22" t="s">
        <v>30</v>
      </c>
      <c r="Q69" s="23">
        <v>45747</v>
      </c>
      <c r="R69" s="24" t="s">
        <v>67</v>
      </c>
      <c r="S69" s="22" t="s">
        <v>32</v>
      </c>
      <c r="T69" s="834">
        <v>5</v>
      </c>
      <c r="U69" s="24" t="s">
        <v>48</v>
      </c>
      <c r="V69" s="23">
        <v>45747</v>
      </c>
      <c r="W69" s="840" t="s">
        <v>113</v>
      </c>
      <c r="Y69" s="776"/>
      <c r="Z69" s="776"/>
      <c r="AA69" s="776"/>
    </row>
    <row r="70" spans="1:27" ht="15.75" customHeight="1">
      <c r="A70" s="834" t="s">
        <v>24</v>
      </c>
      <c r="B70" s="835">
        <v>67</v>
      </c>
      <c r="C70" s="845" t="s">
        <v>160</v>
      </c>
      <c r="D70" s="845" t="s">
        <v>43</v>
      </c>
      <c r="E70" s="839">
        <v>45670</v>
      </c>
      <c r="F70" s="838" t="s">
        <v>161</v>
      </c>
      <c r="G70" s="838">
        <v>9</v>
      </c>
      <c r="H70" s="838" t="s">
        <v>21</v>
      </c>
      <c r="I70" s="838" t="s">
        <v>36</v>
      </c>
      <c r="J70" s="21" t="s">
        <v>29</v>
      </c>
      <c r="K70" s="21"/>
      <c r="L70" s="21"/>
      <c r="M70" s="22" t="s">
        <v>30</v>
      </c>
      <c r="N70" s="23">
        <v>45712</v>
      </c>
      <c r="O70" s="21" t="s">
        <v>66</v>
      </c>
      <c r="P70" s="22" t="s">
        <v>30</v>
      </c>
      <c r="Q70" s="23">
        <v>45712</v>
      </c>
      <c r="R70" s="79" t="s">
        <v>21</v>
      </c>
      <c r="S70" s="22" t="s">
        <v>32</v>
      </c>
      <c r="T70" s="22">
        <v>9</v>
      </c>
      <c r="U70" s="24" t="s">
        <v>21</v>
      </c>
      <c r="V70" s="23">
        <v>45712</v>
      </c>
      <c r="W70" s="80" t="s">
        <v>30</v>
      </c>
      <c r="Y70" s="776"/>
      <c r="Z70" s="776"/>
      <c r="AA70" s="776"/>
    </row>
    <row r="71" spans="1:27" ht="15.75" customHeight="1">
      <c r="A71" s="834" t="s">
        <v>24</v>
      </c>
      <c r="B71" s="835">
        <v>68</v>
      </c>
      <c r="C71" s="838" t="s">
        <v>162</v>
      </c>
      <c r="D71" s="838" t="s">
        <v>50</v>
      </c>
      <c r="E71" s="839">
        <v>45670</v>
      </c>
      <c r="F71" s="838" t="s">
        <v>161</v>
      </c>
      <c r="G71" s="838">
        <v>9</v>
      </c>
      <c r="H71" s="838" t="s">
        <v>21</v>
      </c>
      <c r="I71" s="838" t="s">
        <v>36</v>
      </c>
      <c r="J71" s="21" t="s">
        <v>29</v>
      </c>
      <c r="K71" s="21"/>
      <c r="L71" s="21"/>
      <c r="M71" s="22" t="s">
        <v>30</v>
      </c>
      <c r="N71" s="23">
        <v>45712</v>
      </c>
      <c r="O71" s="21"/>
      <c r="P71" s="22" t="s">
        <v>30</v>
      </c>
      <c r="Q71" s="23">
        <v>45712</v>
      </c>
      <c r="R71" s="79" t="s">
        <v>21</v>
      </c>
      <c r="S71" s="22" t="s">
        <v>32</v>
      </c>
      <c r="T71" s="22">
        <v>9</v>
      </c>
      <c r="U71" s="24" t="s">
        <v>21</v>
      </c>
      <c r="V71" s="23">
        <v>45712</v>
      </c>
      <c r="W71" s="80" t="s">
        <v>30</v>
      </c>
      <c r="Y71" s="776"/>
      <c r="Z71" s="776"/>
      <c r="AA71" s="776"/>
    </row>
    <row r="72" spans="1:27" ht="15.75" customHeight="1">
      <c r="A72" s="834" t="s">
        <v>24</v>
      </c>
      <c r="B72" s="835">
        <v>69</v>
      </c>
      <c r="C72" s="838" t="s">
        <v>163</v>
      </c>
      <c r="D72" s="838" t="s">
        <v>64</v>
      </c>
      <c r="E72" s="839">
        <v>45670</v>
      </c>
      <c r="F72" s="838" t="s">
        <v>161</v>
      </c>
      <c r="G72" s="838">
        <v>9</v>
      </c>
      <c r="H72" s="838" t="s">
        <v>21</v>
      </c>
      <c r="I72" s="838" t="s">
        <v>36</v>
      </c>
      <c r="J72" s="21" t="s">
        <v>29</v>
      </c>
      <c r="K72" s="21"/>
      <c r="L72" s="21"/>
      <c r="M72" s="22" t="s">
        <v>30</v>
      </c>
      <c r="N72" s="23">
        <v>45712</v>
      </c>
      <c r="O72" s="21"/>
      <c r="P72" s="22" t="s">
        <v>30</v>
      </c>
      <c r="Q72" s="23">
        <v>45712</v>
      </c>
      <c r="R72" s="79" t="s">
        <v>21</v>
      </c>
      <c r="S72" s="22" t="s">
        <v>32</v>
      </c>
      <c r="T72" s="22">
        <v>9</v>
      </c>
      <c r="U72" s="24" t="s">
        <v>21</v>
      </c>
      <c r="V72" s="23">
        <v>45712</v>
      </c>
      <c r="W72" s="80" t="s">
        <v>30</v>
      </c>
      <c r="Y72" s="776"/>
      <c r="Z72" s="776"/>
      <c r="AA72" s="776"/>
    </row>
    <row r="73" spans="1:27" ht="15.75" customHeight="1">
      <c r="A73" s="834" t="s">
        <v>24</v>
      </c>
      <c r="B73" s="835">
        <v>70</v>
      </c>
      <c r="C73" s="838" t="s">
        <v>164</v>
      </c>
      <c r="D73" s="838" t="s">
        <v>34</v>
      </c>
      <c r="E73" s="839">
        <v>45671</v>
      </c>
      <c r="F73" s="838" t="s">
        <v>165</v>
      </c>
      <c r="G73" s="838">
        <v>12</v>
      </c>
      <c r="H73" s="838" t="s">
        <v>46</v>
      </c>
      <c r="I73" s="838" t="s">
        <v>47</v>
      </c>
      <c r="J73" s="21" t="s">
        <v>29</v>
      </c>
      <c r="K73" s="21"/>
      <c r="L73" s="21"/>
      <c r="M73" s="22" t="s">
        <v>30</v>
      </c>
      <c r="N73" s="23">
        <v>45746</v>
      </c>
      <c r="O73" s="21"/>
      <c r="P73" s="22" t="s">
        <v>30</v>
      </c>
      <c r="Q73" s="23">
        <v>45746</v>
      </c>
      <c r="R73" s="79" t="s">
        <v>46</v>
      </c>
      <c r="S73" s="22" t="s">
        <v>32</v>
      </c>
      <c r="T73" s="22">
        <v>11</v>
      </c>
      <c r="U73" s="22" t="s">
        <v>46</v>
      </c>
      <c r="V73" s="23">
        <v>45746</v>
      </c>
      <c r="W73" s="840" t="s">
        <v>30</v>
      </c>
      <c r="Y73" s="776"/>
      <c r="Z73" s="776"/>
      <c r="AA73" s="776"/>
    </row>
    <row r="74" spans="1:27" ht="15.75" customHeight="1">
      <c r="A74" s="834" t="s">
        <v>24</v>
      </c>
      <c r="B74" s="835">
        <v>71</v>
      </c>
      <c r="C74" s="838" t="s">
        <v>166</v>
      </c>
      <c r="D74" s="838" t="s">
        <v>102</v>
      </c>
      <c r="E74" s="839">
        <v>45671</v>
      </c>
      <c r="F74" s="838" t="s">
        <v>167</v>
      </c>
      <c r="G74" s="838">
        <v>12</v>
      </c>
      <c r="H74" s="842" t="s">
        <v>22</v>
      </c>
      <c r="I74" s="838" t="s">
        <v>28</v>
      </c>
      <c r="J74" s="21" t="s">
        <v>29</v>
      </c>
      <c r="K74" s="21"/>
      <c r="L74" s="21"/>
      <c r="M74" s="22" t="s">
        <v>30</v>
      </c>
      <c r="N74" s="23">
        <v>45712</v>
      </c>
      <c r="O74" s="21"/>
      <c r="P74" s="22" t="s">
        <v>30</v>
      </c>
      <c r="Q74" s="23">
        <v>45712</v>
      </c>
      <c r="R74" s="79" t="s">
        <v>22</v>
      </c>
      <c r="S74" s="22" t="s">
        <v>32</v>
      </c>
      <c r="T74" s="22">
        <v>12</v>
      </c>
      <c r="U74" s="24" t="s">
        <v>22</v>
      </c>
      <c r="V74" s="23">
        <v>45712</v>
      </c>
      <c r="W74" s="80" t="s">
        <v>30</v>
      </c>
      <c r="Y74" s="776"/>
      <c r="Z74" s="776"/>
      <c r="AA74" s="776"/>
    </row>
    <row r="75" spans="1:27" ht="15.75" customHeight="1">
      <c r="A75" s="834" t="s">
        <v>24</v>
      </c>
      <c r="B75" s="835">
        <v>72</v>
      </c>
      <c r="C75" s="838" t="s">
        <v>168</v>
      </c>
      <c r="D75" s="838" t="s">
        <v>50</v>
      </c>
      <c r="E75" s="839">
        <v>45671</v>
      </c>
      <c r="F75" s="838" t="s">
        <v>167</v>
      </c>
      <c r="G75" s="838">
        <v>14</v>
      </c>
      <c r="H75" s="842" t="s">
        <v>22</v>
      </c>
      <c r="I75" s="838" t="s">
        <v>28</v>
      </c>
      <c r="J75" s="21" t="s">
        <v>29</v>
      </c>
      <c r="K75" s="21"/>
      <c r="L75" s="21"/>
      <c r="M75" s="22" t="s">
        <v>30</v>
      </c>
      <c r="N75" s="23">
        <v>45712</v>
      </c>
      <c r="O75" s="21" t="s">
        <v>66</v>
      </c>
      <c r="P75" s="22" t="s">
        <v>30</v>
      </c>
      <c r="Q75" s="23">
        <v>45712</v>
      </c>
      <c r="R75" s="79" t="s">
        <v>22</v>
      </c>
      <c r="S75" s="22" t="s">
        <v>32</v>
      </c>
      <c r="T75" s="22">
        <v>14</v>
      </c>
      <c r="U75" s="24" t="s">
        <v>22</v>
      </c>
      <c r="V75" s="23">
        <v>45712</v>
      </c>
      <c r="W75" s="80" t="s">
        <v>30</v>
      </c>
      <c r="Y75" s="776"/>
      <c r="Z75" s="776"/>
      <c r="AA75" s="776"/>
    </row>
    <row r="76" spans="1:27" ht="15.75" customHeight="1">
      <c r="A76" s="834" t="s">
        <v>24</v>
      </c>
      <c r="B76" s="835">
        <v>73</v>
      </c>
      <c r="C76" s="838" t="s">
        <v>169</v>
      </c>
      <c r="D76" s="838" t="s">
        <v>43</v>
      </c>
      <c r="E76" s="839">
        <v>45671</v>
      </c>
      <c r="F76" s="838" t="s">
        <v>167</v>
      </c>
      <c r="G76" s="838">
        <v>14</v>
      </c>
      <c r="H76" s="842" t="s">
        <v>22</v>
      </c>
      <c r="I76" s="838" t="s">
        <v>28</v>
      </c>
      <c r="J76" s="21" t="s">
        <v>29</v>
      </c>
      <c r="K76" s="21"/>
      <c r="L76" s="21"/>
      <c r="M76" s="22" t="s">
        <v>30</v>
      </c>
      <c r="N76" s="23">
        <v>45712</v>
      </c>
      <c r="O76" s="21"/>
      <c r="P76" s="22" t="s">
        <v>30</v>
      </c>
      <c r="Q76" s="23">
        <v>45712</v>
      </c>
      <c r="R76" s="79" t="s">
        <v>22</v>
      </c>
      <c r="S76" s="22" t="s">
        <v>32</v>
      </c>
      <c r="T76" s="22">
        <v>14</v>
      </c>
      <c r="U76" s="24" t="s">
        <v>22</v>
      </c>
      <c r="V76" s="23">
        <v>45712</v>
      </c>
      <c r="W76" s="80" t="s">
        <v>30</v>
      </c>
      <c r="Y76"/>
      <c r="Z76"/>
      <c r="AA76"/>
    </row>
    <row r="77" spans="1:27" ht="15.75" customHeight="1">
      <c r="A77" s="834" t="s">
        <v>24</v>
      </c>
      <c r="B77" s="835">
        <v>74</v>
      </c>
      <c r="C77" s="838" t="s">
        <v>170</v>
      </c>
      <c r="D77" s="838" t="s">
        <v>26</v>
      </c>
      <c r="E77" s="839">
        <v>45671</v>
      </c>
      <c r="F77" s="838" t="s">
        <v>167</v>
      </c>
      <c r="G77" s="838">
        <v>14</v>
      </c>
      <c r="H77" s="842" t="s">
        <v>22</v>
      </c>
      <c r="I77" s="838" t="s">
        <v>28</v>
      </c>
      <c r="J77" s="21" t="s">
        <v>29</v>
      </c>
      <c r="K77" s="21"/>
      <c r="L77" s="21"/>
      <c r="M77" s="22" t="s">
        <v>30</v>
      </c>
      <c r="N77" s="23">
        <v>45712</v>
      </c>
      <c r="O77" s="21"/>
      <c r="P77" s="22" t="s">
        <v>30</v>
      </c>
      <c r="Q77" s="23">
        <v>45712</v>
      </c>
      <c r="R77" s="79" t="s">
        <v>22</v>
      </c>
      <c r="S77" s="22" t="s">
        <v>32</v>
      </c>
      <c r="T77" s="22">
        <v>14</v>
      </c>
      <c r="U77" s="24" t="s">
        <v>22</v>
      </c>
      <c r="V77" s="23">
        <v>45712</v>
      </c>
      <c r="W77" s="80" t="s">
        <v>30</v>
      </c>
      <c r="Y77"/>
      <c r="Z77"/>
      <c r="AA77"/>
    </row>
    <row r="78" spans="1:27" ht="15.75" customHeight="1">
      <c r="A78" s="834" t="s">
        <v>24</v>
      </c>
      <c r="B78" s="835">
        <v>75</v>
      </c>
      <c r="C78" s="21" t="s">
        <v>108</v>
      </c>
      <c r="D78" s="838" t="s">
        <v>50</v>
      </c>
      <c r="E78" s="839">
        <v>45672</v>
      </c>
      <c r="F78" s="838" t="s">
        <v>171</v>
      </c>
      <c r="G78" s="838">
        <v>23</v>
      </c>
      <c r="H78" s="838" t="s">
        <v>21</v>
      </c>
      <c r="I78" s="838" t="s">
        <v>36</v>
      </c>
      <c r="J78" s="21" t="s">
        <v>29</v>
      </c>
      <c r="K78" s="21"/>
      <c r="L78" s="21"/>
      <c r="M78" s="22" t="s">
        <v>30</v>
      </c>
      <c r="N78" s="23">
        <v>45737</v>
      </c>
      <c r="O78" s="21" t="s">
        <v>31</v>
      </c>
      <c r="P78" s="22" t="s">
        <v>30</v>
      </c>
      <c r="Q78" s="23">
        <v>45737</v>
      </c>
      <c r="R78" s="79" t="s">
        <v>67</v>
      </c>
      <c r="S78" s="22" t="s">
        <v>32</v>
      </c>
      <c r="T78" s="22">
        <v>23</v>
      </c>
      <c r="U78" s="22" t="s">
        <v>67</v>
      </c>
      <c r="V78" s="23">
        <v>45737</v>
      </c>
      <c r="W78" s="840" t="s">
        <v>30</v>
      </c>
      <c r="Y78"/>
      <c r="Z78"/>
      <c r="AA78"/>
    </row>
    <row r="79" spans="1:27" ht="15.75" customHeight="1">
      <c r="A79" s="834" t="s">
        <v>24</v>
      </c>
      <c r="B79" s="835">
        <v>76</v>
      </c>
      <c r="C79" s="838" t="s">
        <v>172</v>
      </c>
      <c r="D79" s="838" t="s">
        <v>64</v>
      </c>
      <c r="E79" s="839">
        <v>45673</v>
      </c>
      <c r="F79" s="838" t="s">
        <v>173</v>
      </c>
      <c r="G79" s="838">
        <v>18</v>
      </c>
      <c r="H79" s="838" t="s">
        <v>46</v>
      </c>
      <c r="I79" s="838" t="s">
        <v>47</v>
      </c>
      <c r="J79" s="21" t="s">
        <v>29</v>
      </c>
      <c r="K79" s="21"/>
      <c r="L79" s="21"/>
      <c r="M79" s="22" t="s">
        <v>30</v>
      </c>
      <c r="N79" s="23">
        <v>45743</v>
      </c>
      <c r="O79" s="21" t="s">
        <v>31</v>
      </c>
      <c r="P79" s="22" t="s">
        <v>30</v>
      </c>
      <c r="Q79" s="23">
        <v>45743</v>
      </c>
      <c r="R79" s="79" t="s">
        <v>48</v>
      </c>
      <c r="S79" s="22" t="s">
        <v>32</v>
      </c>
      <c r="T79" s="22">
        <v>18</v>
      </c>
      <c r="U79" s="24" t="s">
        <v>48</v>
      </c>
      <c r="V79" s="23">
        <v>45743</v>
      </c>
      <c r="W79" s="840" t="s">
        <v>30</v>
      </c>
      <c r="Y79"/>
      <c r="Z79"/>
      <c r="AA79"/>
    </row>
    <row r="80" spans="1:27" ht="15.75" customHeight="1">
      <c r="A80" s="834" t="s">
        <v>24</v>
      </c>
      <c r="B80" s="835">
        <v>77</v>
      </c>
      <c r="C80" s="838" t="s">
        <v>174</v>
      </c>
      <c r="D80" s="838" t="s">
        <v>175</v>
      </c>
      <c r="E80" s="839">
        <v>45673</v>
      </c>
      <c r="F80" s="838" t="s">
        <v>106</v>
      </c>
      <c r="G80" s="838">
        <v>7</v>
      </c>
      <c r="H80" s="842" t="s">
        <v>22</v>
      </c>
      <c r="I80" s="838" t="s">
        <v>28</v>
      </c>
      <c r="J80" s="21" t="s">
        <v>29</v>
      </c>
      <c r="K80" s="21"/>
      <c r="L80" s="21"/>
      <c r="M80" s="22" t="s">
        <v>30</v>
      </c>
      <c r="N80" s="23">
        <v>45714</v>
      </c>
      <c r="O80" s="21"/>
      <c r="P80" s="22" t="s">
        <v>30</v>
      </c>
      <c r="Q80" s="23">
        <v>45714</v>
      </c>
      <c r="R80" s="79" t="s">
        <v>28</v>
      </c>
      <c r="S80" s="22" t="s">
        <v>32</v>
      </c>
      <c r="T80" s="22">
        <v>7</v>
      </c>
      <c r="U80" s="24" t="s">
        <v>28</v>
      </c>
      <c r="V80" s="23">
        <v>45714</v>
      </c>
      <c r="W80" s="80" t="s">
        <v>30</v>
      </c>
      <c r="Y80"/>
      <c r="Z80"/>
      <c r="AA80"/>
    </row>
    <row r="81" spans="1:27" ht="15.75" customHeight="1">
      <c r="A81" s="834" t="s">
        <v>24</v>
      </c>
      <c r="B81" s="835">
        <v>78</v>
      </c>
      <c r="C81" s="838" t="s">
        <v>176</v>
      </c>
      <c r="D81" s="838" t="s">
        <v>175</v>
      </c>
      <c r="E81" s="839">
        <v>45674</v>
      </c>
      <c r="F81" s="838" t="s">
        <v>106</v>
      </c>
      <c r="G81" s="838">
        <v>9</v>
      </c>
      <c r="H81" s="842" t="s">
        <v>22</v>
      </c>
      <c r="I81" s="838" t="s">
        <v>28</v>
      </c>
      <c r="J81" s="21" t="s">
        <v>29</v>
      </c>
      <c r="K81" s="21"/>
      <c r="L81" s="21"/>
      <c r="M81" s="22" t="s">
        <v>30</v>
      </c>
      <c r="N81" s="23">
        <v>45714</v>
      </c>
      <c r="O81" s="21"/>
      <c r="P81" s="22" t="s">
        <v>30</v>
      </c>
      <c r="Q81" s="23">
        <v>45714</v>
      </c>
      <c r="R81" s="79" t="s">
        <v>28</v>
      </c>
      <c r="S81" s="22" t="s">
        <v>32</v>
      </c>
      <c r="T81" s="22">
        <v>9</v>
      </c>
      <c r="U81" s="24" t="s">
        <v>28</v>
      </c>
      <c r="V81" s="23">
        <v>45714</v>
      </c>
      <c r="W81" s="80" t="s">
        <v>30</v>
      </c>
      <c r="Y81"/>
      <c r="Z81"/>
      <c r="AA81"/>
    </row>
    <row r="82" spans="1:27" ht="15.75" customHeight="1">
      <c r="A82" s="834" t="s">
        <v>24</v>
      </c>
      <c r="B82" s="835">
        <v>79</v>
      </c>
      <c r="C82" s="838" t="s">
        <v>177</v>
      </c>
      <c r="D82" s="838" t="s">
        <v>178</v>
      </c>
      <c r="E82" s="839">
        <v>45675</v>
      </c>
      <c r="F82" s="838" t="s">
        <v>179</v>
      </c>
      <c r="G82" s="838">
        <v>12</v>
      </c>
      <c r="H82" s="838" t="s">
        <v>46</v>
      </c>
      <c r="I82" s="838" t="s">
        <v>47</v>
      </c>
      <c r="J82" s="21" t="s">
        <v>29</v>
      </c>
      <c r="K82" s="21"/>
      <c r="L82" s="21"/>
      <c r="M82" s="22"/>
      <c r="N82" s="23">
        <v>45746</v>
      </c>
      <c r="O82" s="21"/>
      <c r="P82" s="22"/>
      <c r="Q82" s="23">
        <v>45746</v>
      </c>
      <c r="R82" s="79" t="s">
        <v>48</v>
      </c>
      <c r="S82" s="22"/>
      <c r="T82" s="22"/>
      <c r="U82" s="24"/>
      <c r="V82" s="23"/>
      <c r="W82" s="840" t="s">
        <v>30</v>
      </c>
      <c r="Y82"/>
      <c r="Z82"/>
      <c r="AA82"/>
    </row>
    <row r="83" spans="1:27" ht="15.75" customHeight="1">
      <c r="A83" s="834" t="s">
        <v>24</v>
      </c>
      <c r="B83" s="835">
        <v>80</v>
      </c>
      <c r="C83" s="838" t="s">
        <v>180</v>
      </c>
      <c r="D83" s="838" t="s">
        <v>34</v>
      </c>
      <c r="E83" s="839">
        <v>45675</v>
      </c>
      <c r="F83" s="838" t="s">
        <v>181</v>
      </c>
      <c r="G83" s="838">
        <v>33</v>
      </c>
      <c r="H83" s="838" t="s">
        <v>46</v>
      </c>
      <c r="I83" s="838" t="s">
        <v>47</v>
      </c>
      <c r="J83" s="21" t="s">
        <v>29</v>
      </c>
      <c r="K83" s="21"/>
      <c r="L83" s="21"/>
      <c r="M83" s="22" t="s">
        <v>30</v>
      </c>
      <c r="N83" s="23">
        <v>45777</v>
      </c>
      <c r="O83" s="21" t="s">
        <v>31</v>
      </c>
      <c r="P83" s="22" t="s">
        <v>30</v>
      </c>
      <c r="Q83" s="23">
        <v>45777</v>
      </c>
      <c r="R83" s="79" t="s">
        <v>47</v>
      </c>
      <c r="S83" s="22" t="s">
        <v>32</v>
      </c>
      <c r="T83" s="22">
        <v>33</v>
      </c>
      <c r="U83" s="22" t="s">
        <v>47</v>
      </c>
      <c r="V83" s="23">
        <v>45777</v>
      </c>
      <c r="W83" s="840" t="s">
        <v>30</v>
      </c>
      <c r="Y83"/>
      <c r="Z83"/>
      <c r="AA83"/>
    </row>
    <row r="84" spans="1:27" ht="15.75" customHeight="1">
      <c r="A84" s="834" t="s">
        <v>24</v>
      </c>
      <c r="B84" s="835">
        <v>81</v>
      </c>
      <c r="C84" s="838" t="s">
        <v>182</v>
      </c>
      <c r="D84" s="838" t="s">
        <v>34</v>
      </c>
      <c r="E84" s="839">
        <v>45675</v>
      </c>
      <c r="F84" s="838" t="s">
        <v>183</v>
      </c>
      <c r="G84" s="838">
        <v>7</v>
      </c>
      <c r="H84" s="838" t="s">
        <v>46</v>
      </c>
      <c r="I84" s="838" t="s">
        <v>47</v>
      </c>
      <c r="J84" s="21" t="s">
        <v>29</v>
      </c>
      <c r="K84" s="21"/>
      <c r="L84" s="21"/>
      <c r="M84" s="22" t="s">
        <v>30</v>
      </c>
      <c r="N84" s="23">
        <v>45716</v>
      </c>
      <c r="O84" s="21"/>
      <c r="P84" s="22" t="s">
        <v>30</v>
      </c>
      <c r="Q84" s="23">
        <v>45716</v>
      </c>
      <c r="R84" s="79" t="s">
        <v>46</v>
      </c>
      <c r="S84" s="22" t="s">
        <v>32</v>
      </c>
      <c r="T84" s="22">
        <v>7</v>
      </c>
      <c r="U84" s="22" t="s">
        <v>46</v>
      </c>
      <c r="V84" s="23">
        <v>45716</v>
      </c>
      <c r="W84" s="80" t="s">
        <v>30</v>
      </c>
      <c r="Y84"/>
      <c r="Z84"/>
      <c r="AA84"/>
    </row>
    <row r="85" spans="1:27" ht="15.75" customHeight="1">
      <c r="A85" s="834" t="s">
        <v>24</v>
      </c>
      <c r="B85" s="835">
        <v>82</v>
      </c>
      <c r="C85" s="838" t="s">
        <v>184</v>
      </c>
      <c r="D85" s="838" t="s">
        <v>178</v>
      </c>
      <c r="E85" s="839">
        <v>45675</v>
      </c>
      <c r="F85" s="838" t="s">
        <v>183</v>
      </c>
      <c r="G85" s="838">
        <v>4</v>
      </c>
      <c r="H85" s="838" t="s">
        <v>46</v>
      </c>
      <c r="I85" s="838" t="s">
        <v>47</v>
      </c>
      <c r="J85" s="21" t="s">
        <v>29</v>
      </c>
      <c r="K85" s="21"/>
      <c r="L85" s="21"/>
      <c r="M85" s="22" t="s">
        <v>30</v>
      </c>
      <c r="N85" s="23">
        <v>45716</v>
      </c>
      <c r="O85" s="21"/>
      <c r="P85" s="22" t="s">
        <v>30</v>
      </c>
      <c r="Q85" s="23">
        <v>45716</v>
      </c>
      <c r="R85" s="79" t="s">
        <v>46</v>
      </c>
      <c r="S85" s="22" t="s">
        <v>32</v>
      </c>
      <c r="T85" s="22">
        <v>4</v>
      </c>
      <c r="U85" s="22" t="s">
        <v>46</v>
      </c>
      <c r="V85" s="23">
        <v>45716</v>
      </c>
      <c r="W85" s="80" t="s">
        <v>30</v>
      </c>
      <c r="Y85" s="776"/>
      <c r="Z85" s="776"/>
      <c r="AA85" s="776"/>
    </row>
    <row r="86" spans="1:27" ht="15.75" customHeight="1">
      <c r="A86" s="834" t="s">
        <v>24</v>
      </c>
      <c r="B86" s="835">
        <v>83</v>
      </c>
      <c r="C86" s="21" t="s">
        <v>185</v>
      </c>
      <c r="D86" s="838" t="s">
        <v>34</v>
      </c>
      <c r="E86" s="839">
        <v>45675</v>
      </c>
      <c r="F86" s="838" t="s">
        <v>183</v>
      </c>
      <c r="G86" s="838">
        <v>2</v>
      </c>
      <c r="H86" s="838" t="s">
        <v>46</v>
      </c>
      <c r="I86" s="838" t="s">
        <v>47</v>
      </c>
      <c r="J86" s="21" t="s">
        <v>29</v>
      </c>
      <c r="K86" s="21"/>
      <c r="L86" s="21"/>
      <c r="M86" s="22" t="s">
        <v>30</v>
      </c>
      <c r="N86" s="23">
        <v>45737</v>
      </c>
      <c r="O86" s="21"/>
      <c r="P86" s="22" t="s">
        <v>30</v>
      </c>
      <c r="Q86" s="23">
        <v>45737</v>
      </c>
      <c r="R86" s="79" t="s">
        <v>67</v>
      </c>
      <c r="S86" s="22" t="s">
        <v>32</v>
      </c>
      <c r="T86" s="22">
        <v>2</v>
      </c>
      <c r="U86" s="22" t="s">
        <v>67</v>
      </c>
      <c r="V86" s="23">
        <v>45737</v>
      </c>
      <c r="W86" s="840" t="s">
        <v>30</v>
      </c>
      <c r="Y86" s="776"/>
      <c r="Z86" s="776"/>
      <c r="AA86" s="776"/>
    </row>
    <row r="87" spans="1:27" ht="15.75" customHeight="1">
      <c r="A87" s="834" t="s">
        <v>24</v>
      </c>
      <c r="B87" s="835">
        <v>84</v>
      </c>
      <c r="C87" s="838" t="s">
        <v>186</v>
      </c>
      <c r="D87" s="838" t="s">
        <v>43</v>
      </c>
      <c r="E87" s="839">
        <v>45675</v>
      </c>
      <c r="F87" s="838" t="s">
        <v>187</v>
      </c>
      <c r="G87" s="838">
        <v>7</v>
      </c>
      <c r="H87" s="838" t="s">
        <v>21</v>
      </c>
      <c r="I87" s="838" t="s">
        <v>36</v>
      </c>
      <c r="J87" s="21" t="s">
        <v>29</v>
      </c>
      <c r="K87" s="21"/>
      <c r="L87" s="21"/>
      <c r="M87" s="22" t="s">
        <v>30</v>
      </c>
      <c r="N87" s="23">
        <v>45692</v>
      </c>
      <c r="O87" s="21" t="s">
        <v>66</v>
      </c>
      <c r="P87" s="22" t="s">
        <v>30</v>
      </c>
      <c r="Q87" s="23">
        <v>45692</v>
      </c>
      <c r="R87" s="79" t="s">
        <v>46</v>
      </c>
      <c r="S87" s="22" t="s">
        <v>32</v>
      </c>
      <c r="T87" s="22">
        <v>7</v>
      </c>
      <c r="U87" s="22" t="s">
        <v>46</v>
      </c>
      <c r="V87" s="23">
        <v>45692</v>
      </c>
      <c r="W87" s="80" t="s">
        <v>30</v>
      </c>
      <c r="Y87"/>
      <c r="Z87"/>
      <c r="AA87"/>
    </row>
    <row r="88" spans="1:27" ht="15.75" customHeight="1">
      <c r="A88" s="834" t="s">
        <v>24</v>
      </c>
      <c r="B88" s="835">
        <v>85</v>
      </c>
      <c r="C88" s="838" t="s">
        <v>188</v>
      </c>
      <c r="D88" s="838" t="s">
        <v>50</v>
      </c>
      <c r="E88" s="839">
        <v>45675</v>
      </c>
      <c r="F88" s="838" t="s">
        <v>187</v>
      </c>
      <c r="G88" s="838">
        <v>7</v>
      </c>
      <c r="H88" s="838" t="s">
        <v>21</v>
      </c>
      <c r="I88" s="838" t="s">
        <v>36</v>
      </c>
      <c r="J88" s="21" t="s">
        <v>29</v>
      </c>
      <c r="K88" s="21"/>
      <c r="L88" s="21"/>
      <c r="M88" s="22" t="s">
        <v>30</v>
      </c>
      <c r="N88" s="23">
        <v>45692</v>
      </c>
      <c r="O88" s="21"/>
      <c r="P88" s="22" t="s">
        <v>30</v>
      </c>
      <c r="Q88" s="23">
        <v>45692</v>
      </c>
      <c r="R88" s="79" t="s">
        <v>46</v>
      </c>
      <c r="S88" s="22" t="s">
        <v>32</v>
      </c>
      <c r="T88" s="22">
        <v>7</v>
      </c>
      <c r="U88" s="22" t="s">
        <v>46</v>
      </c>
      <c r="V88" s="23">
        <v>45692</v>
      </c>
      <c r="W88" s="80" t="s">
        <v>30</v>
      </c>
      <c r="Y88"/>
      <c r="Z88"/>
      <c r="AA88"/>
    </row>
    <row r="89" spans="1:27" ht="15.75" customHeight="1">
      <c r="A89" s="834" t="s">
        <v>24</v>
      </c>
      <c r="B89" s="835">
        <v>86</v>
      </c>
      <c r="C89" s="838" t="s">
        <v>189</v>
      </c>
      <c r="D89" s="838" t="s">
        <v>64</v>
      </c>
      <c r="E89" s="839">
        <v>45675</v>
      </c>
      <c r="F89" s="838" t="s">
        <v>187</v>
      </c>
      <c r="G89" s="838">
        <v>7</v>
      </c>
      <c r="H89" s="838" t="s">
        <v>21</v>
      </c>
      <c r="I89" s="838" t="s">
        <v>36</v>
      </c>
      <c r="J89" s="21" t="s">
        <v>29</v>
      </c>
      <c r="K89" s="21"/>
      <c r="L89" s="21"/>
      <c r="M89" s="22" t="s">
        <v>30</v>
      </c>
      <c r="N89" s="23">
        <v>45692</v>
      </c>
      <c r="O89" s="21"/>
      <c r="P89" s="22" t="s">
        <v>30</v>
      </c>
      <c r="Q89" s="23">
        <v>45692</v>
      </c>
      <c r="R89" s="79" t="s">
        <v>46</v>
      </c>
      <c r="S89" s="22" t="s">
        <v>32</v>
      </c>
      <c r="T89" s="22">
        <v>7</v>
      </c>
      <c r="U89" s="22" t="s">
        <v>46</v>
      </c>
      <c r="V89" s="23">
        <v>45692</v>
      </c>
      <c r="W89" s="80" t="s">
        <v>30</v>
      </c>
      <c r="Y89"/>
      <c r="Z89"/>
      <c r="AA89"/>
    </row>
    <row r="90" spans="1:27" ht="15.75" customHeight="1">
      <c r="A90" s="834" t="s">
        <v>24</v>
      </c>
      <c r="B90" s="835">
        <v>87</v>
      </c>
      <c r="C90" s="838" t="s">
        <v>190</v>
      </c>
      <c r="D90" s="838" t="s">
        <v>34</v>
      </c>
      <c r="E90" s="839">
        <v>45675</v>
      </c>
      <c r="F90" s="838" t="s">
        <v>87</v>
      </c>
      <c r="G90" s="838">
        <v>11</v>
      </c>
      <c r="H90" s="838" t="s">
        <v>21</v>
      </c>
      <c r="I90" s="838" t="s">
        <v>36</v>
      </c>
      <c r="J90" s="21" t="s">
        <v>29</v>
      </c>
      <c r="K90" s="21"/>
      <c r="L90" s="21"/>
      <c r="M90" s="22" t="s">
        <v>30</v>
      </c>
      <c r="N90" s="23">
        <v>45712</v>
      </c>
      <c r="O90" s="21"/>
      <c r="P90" s="22" t="s">
        <v>30</v>
      </c>
      <c r="Q90" s="23">
        <v>45712</v>
      </c>
      <c r="R90" s="79" t="s">
        <v>21</v>
      </c>
      <c r="S90" s="22" t="s">
        <v>32</v>
      </c>
      <c r="T90" s="22">
        <v>11</v>
      </c>
      <c r="U90" s="24" t="s">
        <v>21</v>
      </c>
      <c r="V90" s="23">
        <v>45712</v>
      </c>
      <c r="W90" s="80" t="s">
        <v>30</v>
      </c>
      <c r="Y90"/>
      <c r="Z90"/>
      <c r="AA90"/>
    </row>
    <row r="91" spans="1:27" ht="15.75" customHeight="1">
      <c r="A91" s="834" t="s">
        <v>24</v>
      </c>
      <c r="B91" s="835">
        <v>88</v>
      </c>
      <c r="C91" s="838" t="s">
        <v>191</v>
      </c>
      <c r="D91" s="838" t="s">
        <v>34</v>
      </c>
      <c r="E91" s="839">
        <v>45675</v>
      </c>
      <c r="F91" s="838" t="s">
        <v>87</v>
      </c>
      <c r="G91" s="838">
        <v>1</v>
      </c>
      <c r="H91" s="838" t="s">
        <v>21</v>
      </c>
      <c r="I91" s="838" t="s">
        <v>36</v>
      </c>
      <c r="J91" s="21" t="s">
        <v>29</v>
      </c>
      <c r="K91" s="21"/>
      <c r="L91" s="21"/>
      <c r="M91" s="22" t="s">
        <v>30</v>
      </c>
      <c r="N91" s="23">
        <v>45747</v>
      </c>
      <c r="O91" s="21"/>
      <c r="P91" s="22" t="s">
        <v>30</v>
      </c>
      <c r="Q91" s="23">
        <v>45747</v>
      </c>
      <c r="R91" s="79" t="s">
        <v>48</v>
      </c>
      <c r="S91" s="22" t="s">
        <v>32</v>
      </c>
      <c r="T91" s="22">
        <v>1</v>
      </c>
      <c r="U91" s="22" t="s">
        <v>48</v>
      </c>
      <c r="V91" s="23">
        <v>45747</v>
      </c>
      <c r="W91" s="840" t="s">
        <v>30</v>
      </c>
      <c r="Y91"/>
      <c r="Z91"/>
      <c r="AA91"/>
    </row>
    <row r="92" spans="1:27" ht="15.75" customHeight="1">
      <c r="A92" s="834" t="s">
        <v>24</v>
      </c>
      <c r="B92" s="835">
        <v>89</v>
      </c>
      <c r="C92" s="838" t="s">
        <v>192</v>
      </c>
      <c r="D92" s="838" t="s">
        <v>193</v>
      </c>
      <c r="E92" s="839">
        <v>45675</v>
      </c>
      <c r="F92" s="838" t="s">
        <v>194</v>
      </c>
      <c r="G92" s="838">
        <v>8</v>
      </c>
      <c r="H92" s="838" t="s">
        <v>21</v>
      </c>
      <c r="I92" s="838" t="s">
        <v>36</v>
      </c>
      <c r="J92" s="21" t="s">
        <v>29</v>
      </c>
      <c r="K92" s="21"/>
      <c r="L92" s="21"/>
      <c r="M92" s="22" t="s">
        <v>30</v>
      </c>
      <c r="N92" s="23">
        <v>45712</v>
      </c>
      <c r="O92" s="21"/>
      <c r="P92" s="22" t="s">
        <v>30</v>
      </c>
      <c r="Q92" s="23">
        <v>45712</v>
      </c>
      <c r="R92" s="79" t="s">
        <v>21</v>
      </c>
      <c r="S92" s="22" t="s">
        <v>32</v>
      </c>
      <c r="T92" s="22">
        <v>8</v>
      </c>
      <c r="U92" s="24" t="s">
        <v>21</v>
      </c>
      <c r="V92" s="23">
        <v>45712</v>
      </c>
      <c r="W92" s="80" t="s">
        <v>30</v>
      </c>
      <c r="Y92"/>
      <c r="Z92"/>
      <c r="AA92"/>
    </row>
    <row r="93" spans="1:27" ht="15.75" customHeight="1">
      <c r="A93" s="834" t="s">
        <v>24</v>
      </c>
      <c r="B93" s="835">
        <v>90</v>
      </c>
      <c r="C93" s="21" t="s">
        <v>195</v>
      </c>
      <c r="D93" s="838" t="s">
        <v>34</v>
      </c>
      <c r="E93" s="839">
        <v>45675</v>
      </c>
      <c r="F93" s="838" t="s">
        <v>161</v>
      </c>
      <c r="G93" s="838">
        <v>12</v>
      </c>
      <c r="H93" s="838" t="s">
        <v>21</v>
      </c>
      <c r="I93" s="838" t="s">
        <v>36</v>
      </c>
      <c r="J93" s="21" t="s">
        <v>29</v>
      </c>
      <c r="K93" s="21"/>
      <c r="L93" s="21"/>
      <c r="M93" s="22" t="s">
        <v>30</v>
      </c>
      <c r="N93" s="23">
        <v>45737</v>
      </c>
      <c r="O93" s="21"/>
      <c r="P93" s="22" t="s">
        <v>30</v>
      </c>
      <c r="Q93" s="23">
        <v>45737</v>
      </c>
      <c r="R93" s="79" t="s">
        <v>67</v>
      </c>
      <c r="S93" s="22" t="s">
        <v>32</v>
      </c>
      <c r="T93" s="22">
        <v>12</v>
      </c>
      <c r="U93" s="22" t="s">
        <v>67</v>
      </c>
      <c r="V93" s="23">
        <v>45737</v>
      </c>
      <c r="W93" s="840" t="s">
        <v>30</v>
      </c>
      <c r="Y93"/>
      <c r="Z93"/>
      <c r="AA93"/>
    </row>
    <row r="94" spans="1:27" ht="15.75" customHeight="1">
      <c r="A94" s="834" t="s">
        <v>24</v>
      </c>
      <c r="B94" s="835">
        <v>91</v>
      </c>
      <c r="C94" s="838" t="s">
        <v>196</v>
      </c>
      <c r="D94" s="838" t="s">
        <v>34</v>
      </c>
      <c r="E94" s="839">
        <v>45675</v>
      </c>
      <c r="F94" s="838" t="s">
        <v>197</v>
      </c>
      <c r="G94" s="838">
        <v>14</v>
      </c>
      <c r="H94" s="838" t="s">
        <v>21</v>
      </c>
      <c r="I94" s="838" t="s">
        <v>36</v>
      </c>
      <c r="J94" s="21" t="s">
        <v>29</v>
      </c>
      <c r="K94" s="21"/>
      <c r="L94" s="21"/>
      <c r="M94" s="22" t="s">
        <v>30</v>
      </c>
      <c r="N94" s="23">
        <v>45712</v>
      </c>
      <c r="O94" s="21"/>
      <c r="P94" s="22" t="s">
        <v>30</v>
      </c>
      <c r="Q94" s="23">
        <v>45712</v>
      </c>
      <c r="R94" s="79" t="s">
        <v>21</v>
      </c>
      <c r="S94" s="22" t="s">
        <v>32</v>
      </c>
      <c r="T94" s="22">
        <v>14</v>
      </c>
      <c r="U94" s="24" t="s">
        <v>21</v>
      </c>
      <c r="V94" s="23">
        <v>45712</v>
      </c>
      <c r="W94" s="80" t="s">
        <v>30</v>
      </c>
      <c r="Y94" s="776"/>
      <c r="Z94" s="776"/>
      <c r="AA94" s="776"/>
    </row>
    <row r="95" spans="1:27" ht="15.75" customHeight="1">
      <c r="A95" s="834" t="s">
        <v>24</v>
      </c>
      <c r="B95" s="835">
        <v>92</v>
      </c>
      <c r="C95" s="838" t="s">
        <v>198</v>
      </c>
      <c r="D95" s="838" t="s">
        <v>43</v>
      </c>
      <c r="E95" s="839">
        <v>45675</v>
      </c>
      <c r="F95" s="838" t="s">
        <v>199</v>
      </c>
      <c r="G95" s="838">
        <v>8</v>
      </c>
      <c r="H95" s="842" t="s">
        <v>22</v>
      </c>
      <c r="I95" s="838" t="s">
        <v>28</v>
      </c>
      <c r="J95" s="21" t="s">
        <v>29</v>
      </c>
      <c r="K95" s="21"/>
      <c r="L95" s="21"/>
      <c r="M95" s="22" t="s">
        <v>30</v>
      </c>
      <c r="N95" s="23">
        <v>45704</v>
      </c>
      <c r="O95" s="21" t="s">
        <v>66</v>
      </c>
      <c r="P95" s="22" t="s">
        <v>30</v>
      </c>
      <c r="Q95" s="23">
        <v>45704</v>
      </c>
      <c r="R95" s="79" t="s">
        <v>28</v>
      </c>
      <c r="S95" s="22" t="s">
        <v>32</v>
      </c>
      <c r="T95" s="22">
        <v>8</v>
      </c>
      <c r="U95" s="24" t="s">
        <v>28</v>
      </c>
      <c r="V95" s="23">
        <v>45704</v>
      </c>
      <c r="W95" s="80" t="s">
        <v>30</v>
      </c>
      <c r="Y95" s="776"/>
      <c r="Z95" s="776"/>
      <c r="AA95" s="776"/>
    </row>
    <row r="96" spans="1:27" ht="15.75" customHeight="1">
      <c r="A96" s="834" t="s">
        <v>24</v>
      </c>
      <c r="B96" s="835">
        <v>93</v>
      </c>
      <c r="C96" s="845" t="s">
        <v>200</v>
      </c>
      <c r="D96" s="845" t="s">
        <v>50</v>
      </c>
      <c r="E96" s="839">
        <v>45675</v>
      </c>
      <c r="F96" s="838" t="s">
        <v>199</v>
      </c>
      <c r="G96" s="838">
        <v>8</v>
      </c>
      <c r="H96" s="842" t="s">
        <v>22</v>
      </c>
      <c r="I96" s="838" t="s">
        <v>28</v>
      </c>
      <c r="J96" s="21" t="s">
        <v>29</v>
      </c>
      <c r="K96" s="21"/>
      <c r="L96" s="21"/>
      <c r="M96" s="22" t="s">
        <v>30</v>
      </c>
      <c r="N96" s="23">
        <v>45704</v>
      </c>
      <c r="O96" s="21"/>
      <c r="P96" s="22" t="s">
        <v>30</v>
      </c>
      <c r="Q96" s="23">
        <v>45704</v>
      </c>
      <c r="R96" s="79" t="s">
        <v>28</v>
      </c>
      <c r="S96" s="22" t="s">
        <v>32</v>
      </c>
      <c r="T96" s="22">
        <v>8</v>
      </c>
      <c r="U96" s="24" t="s">
        <v>28</v>
      </c>
      <c r="V96" s="23">
        <v>45704</v>
      </c>
      <c r="W96" s="80" t="s">
        <v>30</v>
      </c>
      <c r="Y96" s="776"/>
      <c r="Z96" s="776"/>
      <c r="AA96" s="776"/>
    </row>
    <row r="97" spans="1:30" ht="15.75" customHeight="1">
      <c r="A97" s="834" t="s">
        <v>24</v>
      </c>
      <c r="B97" s="835">
        <v>94</v>
      </c>
      <c r="C97" s="838" t="s">
        <v>201</v>
      </c>
      <c r="D97" s="838" t="s">
        <v>50</v>
      </c>
      <c r="E97" s="839">
        <v>45675</v>
      </c>
      <c r="F97" s="838" t="s">
        <v>202</v>
      </c>
      <c r="G97" s="838">
        <v>13</v>
      </c>
      <c r="H97" s="842" t="s">
        <v>22</v>
      </c>
      <c r="I97" s="838" t="s">
        <v>28</v>
      </c>
      <c r="J97" s="21" t="s">
        <v>29</v>
      </c>
      <c r="K97" s="21"/>
      <c r="L97" s="21"/>
      <c r="M97" s="22" t="s">
        <v>30</v>
      </c>
      <c r="N97" s="23">
        <v>45707</v>
      </c>
      <c r="O97" s="21" t="s">
        <v>66</v>
      </c>
      <c r="P97" s="22" t="s">
        <v>30</v>
      </c>
      <c r="Q97" s="23">
        <v>45707</v>
      </c>
      <c r="R97" s="79" t="s">
        <v>28</v>
      </c>
      <c r="S97" s="22" t="s">
        <v>32</v>
      </c>
      <c r="T97" s="22">
        <v>8</v>
      </c>
      <c r="U97" s="24" t="s">
        <v>28</v>
      </c>
      <c r="V97" s="23">
        <v>45707</v>
      </c>
      <c r="W97" s="80" t="s">
        <v>30</v>
      </c>
      <c r="Y97" s="776"/>
      <c r="Z97" s="776"/>
      <c r="AA97" s="776"/>
    </row>
    <row r="98" spans="1:30" ht="15.75" customHeight="1">
      <c r="A98" s="834" t="s">
        <v>24</v>
      </c>
      <c r="B98" s="835">
        <v>95</v>
      </c>
      <c r="C98" s="838" t="s">
        <v>203</v>
      </c>
      <c r="D98" s="838" t="s">
        <v>43</v>
      </c>
      <c r="E98" s="839">
        <v>45675</v>
      </c>
      <c r="F98" s="838" t="s">
        <v>202</v>
      </c>
      <c r="G98" s="838">
        <v>13</v>
      </c>
      <c r="H98" s="842" t="s">
        <v>22</v>
      </c>
      <c r="I98" s="838" t="s">
        <v>28</v>
      </c>
      <c r="J98" s="21" t="s">
        <v>29</v>
      </c>
      <c r="K98" s="21"/>
      <c r="L98" s="21"/>
      <c r="M98" s="22" t="s">
        <v>30</v>
      </c>
      <c r="N98" s="23">
        <v>45707</v>
      </c>
      <c r="O98" s="21"/>
      <c r="P98" s="22" t="s">
        <v>30</v>
      </c>
      <c r="Q98" s="23">
        <v>45707</v>
      </c>
      <c r="R98" s="79" t="s">
        <v>28</v>
      </c>
      <c r="S98" s="22" t="s">
        <v>32</v>
      </c>
      <c r="T98" s="22">
        <v>8</v>
      </c>
      <c r="U98" s="24" t="s">
        <v>28</v>
      </c>
      <c r="V98" s="23">
        <v>45707</v>
      </c>
      <c r="W98" s="80" t="s">
        <v>30</v>
      </c>
      <c r="Y98" s="776"/>
      <c r="Z98" s="776"/>
      <c r="AA98" s="776"/>
    </row>
    <row r="99" spans="1:30" ht="15.75" customHeight="1">
      <c r="A99" s="834" t="s">
        <v>24</v>
      </c>
      <c r="B99" s="835">
        <v>96</v>
      </c>
      <c r="C99" s="838" t="s">
        <v>204</v>
      </c>
      <c r="D99" s="838" t="s">
        <v>64</v>
      </c>
      <c r="E99" s="839">
        <v>45675</v>
      </c>
      <c r="F99" s="838" t="s">
        <v>202</v>
      </c>
      <c r="G99" s="838">
        <v>13</v>
      </c>
      <c r="H99" s="842" t="s">
        <v>22</v>
      </c>
      <c r="I99" s="838" t="s">
        <v>28</v>
      </c>
      <c r="J99" s="21" t="s">
        <v>29</v>
      </c>
      <c r="K99" s="21"/>
      <c r="L99" s="21"/>
      <c r="M99" s="22" t="s">
        <v>30</v>
      </c>
      <c r="N99" s="23">
        <v>45707</v>
      </c>
      <c r="O99" s="21"/>
      <c r="P99" s="22" t="s">
        <v>30</v>
      </c>
      <c r="Q99" s="23">
        <v>45707</v>
      </c>
      <c r="R99" s="79" t="s">
        <v>28</v>
      </c>
      <c r="S99" s="22" t="s">
        <v>32</v>
      </c>
      <c r="T99" s="22">
        <v>8</v>
      </c>
      <c r="U99" s="24" t="s">
        <v>28</v>
      </c>
      <c r="V99" s="23">
        <v>45707</v>
      </c>
      <c r="W99" s="80" t="s">
        <v>30</v>
      </c>
      <c r="Y99" s="776"/>
      <c r="Z99" s="776"/>
      <c r="AA99" s="776"/>
    </row>
    <row r="100" spans="1:30" ht="15.75" customHeight="1">
      <c r="A100" s="834" t="s">
        <v>24</v>
      </c>
      <c r="B100" s="835">
        <v>97</v>
      </c>
      <c r="C100" s="838" t="s">
        <v>205</v>
      </c>
      <c r="D100" s="838" t="s">
        <v>26</v>
      </c>
      <c r="E100" s="839">
        <v>45675</v>
      </c>
      <c r="F100" s="838" t="s">
        <v>206</v>
      </c>
      <c r="G100" s="838">
        <v>4</v>
      </c>
      <c r="H100" s="842" t="s">
        <v>22</v>
      </c>
      <c r="I100" s="838" t="s">
        <v>28</v>
      </c>
      <c r="J100" s="21" t="s">
        <v>29</v>
      </c>
      <c r="K100" s="21"/>
      <c r="L100" s="21"/>
      <c r="M100" s="22" t="s">
        <v>30</v>
      </c>
      <c r="N100" s="23">
        <v>45706</v>
      </c>
      <c r="O100" s="21"/>
      <c r="P100" s="22" t="s">
        <v>30</v>
      </c>
      <c r="Q100" s="23">
        <v>45706</v>
      </c>
      <c r="R100" s="79" t="s">
        <v>28</v>
      </c>
      <c r="S100" s="22" t="s">
        <v>32</v>
      </c>
      <c r="T100" s="22">
        <v>4</v>
      </c>
      <c r="U100" s="24" t="s">
        <v>28</v>
      </c>
      <c r="V100" s="23">
        <v>45706</v>
      </c>
      <c r="W100" s="80" t="s">
        <v>30</v>
      </c>
      <c r="Y100" s="776"/>
      <c r="Z100" s="776"/>
      <c r="AA100" s="776"/>
    </row>
    <row r="101" spans="1:30" ht="15.75" customHeight="1">
      <c r="A101" s="834" t="s">
        <v>24</v>
      </c>
      <c r="B101" s="835">
        <v>98</v>
      </c>
      <c r="C101" s="838" t="s">
        <v>207</v>
      </c>
      <c r="D101" s="838" t="s">
        <v>43</v>
      </c>
      <c r="E101" s="839">
        <v>45675</v>
      </c>
      <c r="F101" s="838" t="s">
        <v>206</v>
      </c>
      <c r="G101" s="838">
        <v>4</v>
      </c>
      <c r="H101" s="842" t="s">
        <v>22</v>
      </c>
      <c r="I101" s="838" t="s">
        <v>28</v>
      </c>
      <c r="J101" s="21" t="s">
        <v>29</v>
      </c>
      <c r="K101" s="21"/>
      <c r="L101" s="21"/>
      <c r="M101" s="22" t="s">
        <v>30</v>
      </c>
      <c r="N101" s="23">
        <v>45706</v>
      </c>
      <c r="O101" s="21"/>
      <c r="P101" s="22" t="s">
        <v>30</v>
      </c>
      <c r="Q101" s="23">
        <v>45706</v>
      </c>
      <c r="R101" s="79" t="s">
        <v>28</v>
      </c>
      <c r="S101" s="22" t="s">
        <v>32</v>
      </c>
      <c r="T101" s="22">
        <v>4</v>
      </c>
      <c r="U101" s="24" t="s">
        <v>28</v>
      </c>
      <c r="V101" s="23">
        <v>45706</v>
      </c>
      <c r="W101" s="80" t="s">
        <v>30</v>
      </c>
      <c r="Y101" s="776"/>
      <c r="Z101" s="776"/>
      <c r="AA101" s="776"/>
    </row>
    <row r="102" spans="1:30" ht="15.75" customHeight="1">
      <c r="A102" s="834" t="s">
        <v>24</v>
      </c>
      <c r="B102" s="835">
        <v>99</v>
      </c>
      <c r="C102" s="838" t="s">
        <v>208</v>
      </c>
      <c r="D102" s="838" t="s">
        <v>50</v>
      </c>
      <c r="E102" s="839">
        <v>45675</v>
      </c>
      <c r="F102" s="838" t="s">
        <v>206</v>
      </c>
      <c r="G102" s="838">
        <v>4</v>
      </c>
      <c r="H102" s="842" t="s">
        <v>22</v>
      </c>
      <c r="I102" s="838" t="s">
        <v>28</v>
      </c>
      <c r="J102" s="21" t="s">
        <v>29</v>
      </c>
      <c r="K102" s="21"/>
      <c r="L102" s="21"/>
      <c r="M102" s="22" t="s">
        <v>30</v>
      </c>
      <c r="N102" s="23">
        <v>45706</v>
      </c>
      <c r="O102" s="21"/>
      <c r="P102" s="22" t="s">
        <v>30</v>
      </c>
      <c r="Q102" s="23">
        <v>45706</v>
      </c>
      <c r="R102" s="79" t="s">
        <v>28</v>
      </c>
      <c r="S102" s="22" t="s">
        <v>32</v>
      </c>
      <c r="T102" s="22">
        <v>4</v>
      </c>
      <c r="U102" s="24" t="s">
        <v>28</v>
      </c>
      <c r="V102" s="23">
        <v>45706</v>
      </c>
      <c r="W102" s="80" t="s">
        <v>30</v>
      </c>
      <c r="Y102"/>
      <c r="Z102"/>
      <c r="AA102"/>
    </row>
    <row r="103" spans="1:30">
      <c r="A103" s="834" t="s">
        <v>137</v>
      </c>
      <c r="B103" s="835">
        <v>100</v>
      </c>
      <c r="C103" s="838" t="s">
        <v>209</v>
      </c>
      <c r="D103" s="834" t="s">
        <v>145</v>
      </c>
      <c r="E103" s="839">
        <v>45670</v>
      </c>
      <c r="F103" s="838" t="s">
        <v>140</v>
      </c>
      <c r="G103" s="838">
        <v>9</v>
      </c>
      <c r="H103" s="838" t="s">
        <v>210</v>
      </c>
      <c r="I103" s="838" t="s">
        <v>211</v>
      </c>
      <c r="J103" s="21" t="s">
        <v>29</v>
      </c>
      <c r="K103" s="21"/>
      <c r="L103" s="21"/>
      <c r="M103" s="22" t="s">
        <v>30</v>
      </c>
      <c r="N103" s="23">
        <v>45747</v>
      </c>
      <c r="O103" s="21"/>
      <c r="P103" s="22" t="s">
        <v>30</v>
      </c>
      <c r="Q103" s="23">
        <v>45747</v>
      </c>
      <c r="R103" s="24" t="s">
        <v>67</v>
      </c>
      <c r="S103" s="22" t="s">
        <v>32</v>
      </c>
      <c r="T103" s="834">
        <v>9</v>
      </c>
      <c r="U103" s="24" t="s">
        <v>48</v>
      </c>
      <c r="V103" s="23">
        <v>45747</v>
      </c>
      <c r="W103" s="840" t="s">
        <v>113</v>
      </c>
      <c r="Y103"/>
      <c r="Z103"/>
      <c r="AA103"/>
    </row>
    <row r="104" spans="1:30">
      <c r="A104" s="834" t="s">
        <v>137</v>
      </c>
      <c r="B104" s="835">
        <v>101</v>
      </c>
      <c r="C104" s="838" t="s">
        <v>212</v>
      </c>
      <c r="D104" s="834" t="s">
        <v>213</v>
      </c>
      <c r="E104" s="839">
        <v>45670</v>
      </c>
      <c r="F104" s="838" t="s">
        <v>140</v>
      </c>
      <c r="G104" s="838">
        <v>6</v>
      </c>
      <c r="H104" s="838" t="s">
        <v>210</v>
      </c>
      <c r="I104" s="838" t="s">
        <v>211</v>
      </c>
      <c r="J104" s="21" t="s">
        <v>29</v>
      </c>
      <c r="K104" s="21"/>
      <c r="L104" s="21"/>
      <c r="M104" s="22" t="s">
        <v>30</v>
      </c>
      <c r="N104" s="23">
        <v>45747</v>
      </c>
      <c r="O104" s="21"/>
      <c r="P104" s="22" t="s">
        <v>30</v>
      </c>
      <c r="Q104" s="23">
        <v>45747</v>
      </c>
      <c r="R104" s="24" t="s">
        <v>67</v>
      </c>
      <c r="S104" s="22" t="s">
        <v>32</v>
      </c>
      <c r="T104" s="834">
        <v>6</v>
      </c>
      <c r="U104" s="24" t="s">
        <v>48</v>
      </c>
      <c r="V104" s="23">
        <v>45747</v>
      </c>
      <c r="W104" s="840" t="s">
        <v>113</v>
      </c>
      <c r="Y104"/>
      <c r="Z104"/>
      <c r="AA104"/>
    </row>
    <row r="105" spans="1:30">
      <c r="A105" s="834" t="s">
        <v>137</v>
      </c>
      <c r="B105" s="835">
        <v>102</v>
      </c>
      <c r="C105" s="838" t="s">
        <v>214</v>
      </c>
      <c r="D105" s="834" t="s">
        <v>215</v>
      </c>
      <c r="E105" s="839">
        <v>45670</v>
      </c>
      <c r="F105" s="838" t="s">
        <v>140</v>
      </c>
      <c r="G105" s="838">
        <v>63</v>
      </c>
      <c r="H105" s="838" t="s">
        <v>216</v>
      </c>
      <c r="I105" s="838" t="s">
        <v>217</v>
      </c>
      <c r="J105" s="21" t="s">
        <v>29</v>
      </c>
      <c r="K105" s="21"/>
      <c r="L105" s="21"/>
      <c r="M105" s="22" t="s">
        <v>30</v>
      </c>
      <c r="N105" s="23">
        <v>45747</v>
      </c>
      <c r="O105" s="21" t="s">
        <v>31</v>
      </c>
      <c r="P105" s="22" t="s">
        <v>30</v>
      </c>
      <c r="Q105" s="23">
        <v>45747</v>
      </c>
      <c r="R105" s="24" t="s">
        <v>67</v>
      </c>
      <c r="S105" s="22" t="s">
        <v>32</v>
      </c>
      <c r="T105" s="834">
        <v>63</v>
      </c>
      <c r="U105" s="24" t="s">
        <v>48</v>
      </c>
      <c r="V105" s="23">
        <v>45747</v>
      </c>
      <c r="W105" s="840" t="s">
        <v>113</v>
      </c>
      <c r="X105">
        <v>20</v>
      </c>
      <c r="Y105">
        <v>42</v>
      </c>
      <c r="Z105">
        <v>1</v>
      </c>
      <c r="AA105">
        <f>SUBTOTAL(9,X105:Z105)</f>
        <v>63</v>
      </c>
      <c r="AB105" s="74">
        <f>+X105/$AA105*AB$1</f>
        <v>2.8571428571428568</v>
      </c>
      <c r="AC105" s="74">
        <f>+Y105/$AA105*AC$1</f>
        <v>4</v>
      </c>
      <c r="AD105" s="74">
        <f>+Z105/$AA105*AD$1</f>
        <v>4.7619047619047616E-2</v>
      </c>
    </row>
    <row r="106" spans="1:30">
      <c r="A106" s="834" t="s">
        <v>137</v>
      </c>
      <c r="B106" s="835">
        <v>103</v>
      </c>
      <c r="C106" s="838" t="s">
        <v>218</v>
      </c>
      <c r="D106" s="834" t="s">
        <v>219</v>
      </c>
      <c r="E106" s="839">
        <v>45670</v>
      </c>
      <c r="F106" s="838" t="s">
        <v>140</v>
      </c>
      <c r="G106" s="838">
        <v>1</v>
      </c>
      <c r="H106" s="838" t="s">
        <v>22</v>
      </c>
      <c r="I106" s="838" t="s">
        <v>28</v>
      </c>
      <c r="J106" s="21" t="s">
        <v>29</v>
      </c>
      <c r="K106" s="21"/>
      <c r="L106" s="21"/>
      <c r="M106" s="22" t="s">
        <v>30</v>
      </c>
      <c r="N106" s="23">
        <v>45747</v>
      </c>
      <c r="O106" s="21"/>
      <c r="P106" s="22" t="s">
        <v>30</v>
      </c>
      <c r="Q106" s="23">
        <v>45747</v>
      </c>
      <c r="R106" s="24" t="s">
        <v>67</v>
      </c>
      <c r="S106" s="22" t="s">
        <v>32</v>
      </c>
      <c r="T106" s="834">
        <v>1</v>
      </c>
      <c r="U106" s="24" t="s">
        <v>48</v>
      </c>
      <c r="V106" s="23">
        <v>45747</v>
      </c>
      <c r="W106" s="840" t="s">
        <v>113</v>
      </c>
      <c r="Y106"/>
      <c r="Z106"/>
      <c r="AA106"/>
    </row>
    <row r="107" spans="1:30">
      <c r="A107" s="834" t="s">
        <v>137</v>
      </c>
      <c r="B107" s="835">
        <v>104</v>
      </c>
      <c r="C107" s="838" t="s">
        <v>220</v>
      </c>
      <c r="D107" s="834" t="s">
        <v>221</v>
      </c>
      <c r="E107" s="839">
        <v>45670</v>
      </c>
      <c r="F107" s="838" t="s">
        <v>140</v>
      </c>
      <c r="G107" s="838">
        <v>14</v>
      </c>
      <c r="H107" s="838" t="s">
        <v>210</v>
      </c>
      <c r="I107" s="838" t="s">
        <v>211</v>
      </c>
      <c r="J107" s="21" t="s">
        <v>29</v>
      </c>
      <c r="K107" s="21"/>
      <c r="L107" s="21"/>
      <c r="M107" s="22" t="s">
        <v>30</v>
      </c>
      <c r="N107" s="23">
        <v>45747</v>
      </c>
      <c r="O107" s="21"/>
      <c r="P107" s="22" t="s">
        <v>30</v>
      </c>
      <c r="Q107" s="23">
        <v>45747</v>
      </c>
      <c r="R107" s="24" t="s">
        <v>67</v>
      </c>
      <c r="S107" s="22" t="s">
        <v>32</v>
      </c>
      <c r="T107" s="834">
        <v>14</v>
      </c>
      <c r="U107" s="24" t="s">
        <v>48</v>
      </c>
      <c r="V107" s="23">
        <v>45747</v>
      </c>
      <c r="W107" s="840" t="s">
        <v>113</v>
      </c>
      <c r="Y107"/>
      <c r="Z107"/>
      <c r="AA107"/>
    </row>
    <row r="108" spans="1:30">
      <c r="A108" s="834" t="s">
        <v>137</v>
      </c>
      <c r="B108" s="835">
        <v>105</v>
      </c>
      <c r="C108" s="838" t="s">
        <v>222</v>
      </c>
      <c r="D108" s="834" t="s">
        <v>223</v>
      </c>
      <c r="E108" s="839">
        <v>45670</v>
      </c>
      <c r="F108" s="838" t="s">
        <v>140</v>
      </c>
      <c r="G108" s="838">
        <v>4</v>
      </c>
      <c r="H108" s="838" t="s">
        <v>22</v>
      </c>
      <c r="I108" s="838" t="s">
        <v>28</v>
      </c>
      <c r="J108" s="21" t="s">
        <v>29</v>
      </c>
      <c r="K108" s="21"/>
      <c r="L108" s="21"/>
      <c r="M108" s="22" t="s">
        <v>30</v>
      </c>
      <c r="N108" s="23">
        <v>45747</v>
      </c>
      <c r="O108" s="21"/>
      <c r="P108" s="22" t="s">
        <v>30</v>
      </c>
      <c r="Q108" s="23">
        <v>45747</v>
      </c>
      <c r="R108" s="24" t="s">
        <v>67</v>
      </c>
      <c r="S108" s="22" t="s">
        <v>32</v>
      </c>
      <c r="T108" s="834">
        <v>4</v>
      </c>
      <c r="U108" s="24" t="s">
        <v>48</v>
      </c>
      <c r="V108" s="23">
        <v>45747</v>
      </c>
      <c r="W108" s="840" t="s">
        <v>113</v>
      </c>
      <c r="Y108"/>
      <c r="Z108"/>
      <c r="AA108"/>
    </row>
    <row r="109" spans="1:30">
      <c r="A109" s="834" t="s">
        <v>137</v>
      </c>
      <c r="B109" s="835">
        <v>106</v>
      </c>
      <c r="C109" s="838" t="s">
        <v>224</v>
      </c>
      <c r="D109" s="834" t="s">
        <v>225</v>
      </c>
      <c r="E109" s="839">
        <v>45670</v>
      </c>
      <c r="F109" s="838" t="s">
        <v>140</v>
      </c>
      <c r="G109" s="838">
        <v>5</v>
      </c>
      <c r="H109" s="838" t="s">
        <v>21</v>
      </c>
      <c r="I109" s="838" t="s">
        <v>36</v>
      </c>
      <c r="J109" s="21" t="s">
        <v>29</v>
      </c>
      <c r="K109" s="21"/>
      <c r="L109" s="21"/>
      <c r="M109" s="22" t="s">
        <v>30</v>
      </c>
      <c r="N109" s="23">
        <v>45747</v>
      </c>
      <c r="O109" s="21"/>
      <c r="P109" s="22" t="s">
        <v>30</v>
      </c>
      <c r="Q109" s="23">
        <v>45747</v>
      </c>
      <c r="R109" s="24" t="s">
        <v>67</v>
      </c>
      <c r="S109" s="22" t="s">
        <v>32</v>
      </c>
      <c r="T109" s="834">
        <v>5</v>
      </c>
      <c r="U109" s="24" t="s">
        <v>48</v>
      </c>
      <c r="V109" s="23">
        <v>45747</v>
      </c>
      <c r="W109" s="840" t="s">
        <v>113</v>
      </c>
      <c r="Y109"/>
      <c r="Z109"/>
      <c r="AA109"/>
    </row>
    <row r="110" spans="1:30">
      <c r="A110" s="834" t="s">
        <v>137</v>
      </c>
      <c r="B110" s="835">
        <v>107</v>
      </c>
      <c r="C110" s="838" t="s">
        <v>226</v>
      </c>
      <c r="D110" s="834" t="s">
        <v>227</v>
      </c>
      <c r="E110" s="839">
        <v>45670</v>
      </c>
      <c r="F110" s="838" t="s">
        <v>140</v>
      </c>
      <c r="G110" s="838">
        <v>35</v>
      </c>
      <c r="H110" s="838" t="s">
        <v>141</v>
      </c>
      <c r="I110" s="838" t="s">
        <v>228</v>
      </c>
      <c r="J110" s="21" t="s">
        <v>29</v>
      </c>
      <c r="K110" s="21"/>
      <c r="L110" s="21"/>
      <c r="M110" s="22" t="s">
        <v>30</v>
      </c>
      <c r="N110" s="23">
        <v>45747</v>
      </c>
      <c r="O110" s="21" t="s">
        <v>31</v>
      </c>
      <c r="P110" s="22" t="s">
        <v>30</v>
      </c>
      <c r="Q110" s="23">
        <v>45747</v>
      </c>
      <c r="R110" s="24" t="s">
        <v>67</v>
      </c>
      <c r="S110" s="22" t="s">
        <v>32</v>
      </c>
      <c r="T110" s="834">
        <v>35</v>
      </c>
      <c r="U110" s="24" t="s">
        <v>48</v>
      </c>
      <c r="V110" s="23">
        <v>45747</v>
      </c>
      <c r="W110" s="840" t="s">
        <v>113</v>
      </c>
      <c r="X110">
        <v>34</v>
      </c>
      <c r="Y110">
        <v>1</v>
      </c>
      <c r="Z110"/>
      <c r="AA110">
        <f>SUBTOTAL(9,X110:Z110)</f>
        <v>35</v>
      </c>
      <c r="AB110" s="74">
        <f>+X110/$AA110*AB$1</f>
        <v>8.742857142857142</v>
      </c>
      <c r="AC110" s="74">
        <f>+Y110/$AA110*AC$1</f>
        <v>0.17142857142857143</v>
      </c>
      <c r="AD110" s="74">
        <f>+Z110/$AA110*AD$1</f>
        <v>0</v>
      </c>
    </row>
    <row r="111" spans="1:30">
      <c r="A111" s="834" t="s">
        <v>137</v>
      </c>
      <c r="B111" s="835">
        <v>108</v>
      </c>
      <c r="C111" s="838" t="s">
        <v>229</v>
      </c>
      <c r="D111" s="834" t="s">
        <v>230</v>
      </c>
      <c r="E111" s="839">
        <v>45670</v>
      </c>
      <c r="F111" s="838" t="s">
        <v>140</v>
      </c>
      <c r="G111" s="838">
        <v>9</v>
      </c>
      <c r="H111" s="838" t="s">
        <v>21</v>
      </c>
      <c r="I111" s="838" t="s">
        <v>36</v>
      </c>
      <c r="J111" s="21" t="s">
        <v>29</v>
      </c>
      <c r="K111" s="21"/>
      <c r="L111" s="21"/>
      <c r="M111" s="22" t="s">
        <v>30</v>
      </c>
      <c r="N111" s="23">
        <v>45747</v>
      </c>
      <c r="O111" s="21"/>
      <c r="P111" s="22" t="s">
        <v>30</v>
      </c>
      <c r="Q111" s="23">
        <v>45747</v>
      </c>
      <c r="R111" s="24" t="s">
        <v>67</v>
      </c>
      <c r="S111" s="22" t="s">
        <v>32</v>
      </c>
      <c r="T111" s="834">
        <v>9</v>
      </c>
      <c r="U111" s="24" t="s">
        <v>48</v>
      </c>
      <c r="V111" s="23">
        <v>45747</v>
      </c>
      <c r="W111" s="840" t="s">
        <v>113</v>
      </c>
      <c r="Y111" s="776"/>
      <c r="Z111" s="776"/>
      <c r="AA111" s="776"/>
    </row>
    <row r="112" spans="1:30" ht="15.75" customHeight="1">
      <c r="A112" s="834" t="s">
        <v>24</v>
      </c>
      <c r="B112" s="835">
        <v>109</v>
      </c>
      <c r="C112" s="838" t="s">
        <v>231</v>
      </c>
      <c r="D112" s="838" t="s">
        <v>34</v>
      </c>
      <c r="E112" s="839">
        <v>45677</v>
      </c>
      <c r="F112" s="838" t="s">
        <v>232</v>
      </c>
      <c r="G112" s="838">
        <v>22</v>
      </c>
      <c r="H112" s="838" t="s">
        <v>46</v>
      </c>
      <c r="I112" s="838" t="s">
        <v>47</v>
      </c>
      <c r="J112" s="21" t="s">
        <v>29</v>
      </c>
      <c r="K112" s="21"/>
      <c r="L112" s="21"/>
      <c r="M112" s="22" t="s">
        <v>30</v>
      </c>
      <c r="N112" s="23">
        <v>45747</v>
      </c>
      <c r="O112" s="21" t="s">
        <v>31</v>
      </c>
      <c r="P112" s="22" t="s">
        <v>30</v>
      </c>
      <c r="Q112" s="23">
        <v>45747</v>
      </c>
      <c r="R112" s="79" t="s">
        <v>47</v>
      </c>
      <c r="S112" s="22" t="s">
        <v>32</v>
      </c>
      <c r="T112" s="22">
        <v>22</v>
      </c>
      <c r="U112" s="22" t="s">
        <v>47</v>
      </c>
      <c r="V112" s="23">
        <v>45747</v>
      </c>
      <c r="W112" s="840" t="s">
        <v>30</v>
      </c>
      <c r="Y112" s="776"/>
      <c r="Z112" s="776"/>
      <c r="AA112" s="776"/>
    </row>
    <row r="113" spans="1:27" ht="15.75" customHeight="1">
      <c r="A113" s="834" t="s">
        <v>24</v>
      </c>
      <c r="B113" s="835">
        <v>110</v>
      </c>
      <c r="C113" s="838" t="s">
        <v>233</v>
      </c>
      <c r="D113" s="838" t="s">
        <v>234</v>
      </c>
      <c r="E113" s="839">
        <v>45678</v>
      </c>
      <c r="F113" s="838" t="s">
        <v>232</v>
      </c>
      <c r="G113" s="838">
        <v>20</v>
      </c>
      <c r="H113" s="838" t="s">
        <v>46</v>
      </c>
      <c r="I113" s="838" t="s">
        <v>47</v>
      </c>
      <c r="J113" s="21" t="s">
        <v>29</v>
      </c>
      <c r="K113" s="21"/>
      <c r="L113" s="21"/>
      <c r="M113" s="22" t="s">
        <v>30</v>
      </c>
      <c r="N113" s="23">
        <v>45747</v>
      </c>
      <c r="O113" s="21" t="s">
        <v>31</v>
      </c>
      <c r="P113" s="22" t="s">
        <v>30</v>
      </c>
      <c r="Q113" s="23">
        <v>45747</v>
      </c>
      <c r="R113" s="79" t="s">
        <v>47</v>
      </c>
      <c r="S113" s="22" t="s">
        <v>32</v>
      </c>
      <c r="T113" s="22">
        <v>20</v>
      </c>
      <c r="U113" s="24" t="s">
        <v>47</v>
      </c>
      <c r="V113" s="23">
        <v>45747</v>
      </c>
      <c r="W113" s="840" t="s">
        <v>30</v>
      </c>
      <c r="Y113"/>
      <c r="Z113"/>
      <c r="AA113"/>
    </row>
    <row r="114" spans="1:27" ht="15.75" customHeight="1">
      <c r="A114" s="834" t="s">
        <v>24</v>
      </c>
      <c r="B114" s="835">
        <v>111</v>
      </c>
      <c r="C114" s="838" t="s">
        <v>235</v>
      </c>
      <c r="D114" s="838" t="s">
        <v>64</v>
      </c>
      <c r="E114" s="839">
        <v>45678</v>
      </c>
      <c r="F114" s="838" t="s">
        <v>236</v>
      </c>
      <c r="G114" s="838">
        <v>12</v>
      </c>
      <c r="H114" s="838" t="s">
        <v>21</v>
      </c>
      <c r="I114" s="838" t="s">
        <v>36</v>
      </c>
      <c r="J114" s="21" t="s">
        <v>237</v>
      </c>
      <c r="K114" s="21" t="s">
        <v>238</v>
      </c>
      <c r="L114" s="21"/>
      <c r="M114" s="22" t="s">
        <v>30</v>
      </c>
      <c r="N114" s="23">
        <v>45712</v>
      </c>
      <c r="O114" s="21" t="s">
        <v>66</v>
      </c>
      <c r="P114" s="22" t="s">
        <v>30</v>
      </c>
      <c r="Q114" s="23">
        <v>45712</v>
      </c>
      <c r="R114" s="79" t="s">
        <v>21</v>
      </c>
      <c r="S114" s="22" t="s">
        <v>32</v>
      </c>
      <c r="T114" s="22">
        <v>12</v>
      </c>
      <c r="U114" s="24" t="s">
        <v>21</v>
      </c>
      <c r="V114" s="23">
        <v>45712</v>
      </c>
      <c r="W114" s="80" t="s">
        <v>30</v>
      </c>
      <c r="Y114"/>
      <c r="Z114"/>
      <c r="AA114"/>
    </row>
    <row r="115" spans="1:27" ht="15.75" customHeight="1">
      <c r="A115" s="834" t="s">
        <v>24</v>
      </c>
      <c r="B115" s="835">
        <v>112</v>
      </c>
      <c r="C115" s="838" t="s">
        <v>239</v>
      </c>
      <c r="D115" s="838" t="s">
        <v>43</v>
      </c>
      <c r="E115" s="839">
        <v>45678</v>
      </c>
      <c r="F115" s="838" t="s">
        <v>236</v>
      </c>
      <c r="G115" s="838">
        <v>12</v>
      </c>
      <c r="H115" s="838" t="s">
        <v>21</v>
      </c>
      <c r="I115" s="838" t="s">
        <v>36</v>
      </c>
      <c r="J115" s="21" t="s">
        <v>237</v>
      </c>
      <c r="K115" s="21" t="s">
        <v>238</v>
      </c>
      <c r="L115" s="21"/>
      <c r="M115" s="22" t="s">
        <v>30</v>
      </c>
      <c r="N115" s="23">
        <v>45712</v>
      </c>
      <c r="O115" s="21"/>
      <c r="P115" s="22" t="s">
        <v>30</v>
      </c>
      <c r="Q115" s="23">
        <v>45712</v>
      </c>
      <c r="R115" s="79" t="s">
        <v>21</v>
      </c>
      <c r="S115" s="22" t="s">
        <v>32</v>
      </c>
      <c r="T115" s="22">
        <v>12</v>
      </c>
      <c r="U115" s="24" t="s">
        <v>21</v>
      </c>
      <c r="V115" s="23">
        <v>45712</v>
      </c>
      <c r="W115" s="840" t="s">
        <v>30</v>
      </c>
      <c r="Y115"/>
      <c r="Z115"/>
      <c r="AA115"/>
    </row>
    <row r="116" spans="1:27" ht="15.75" customHeight="1">
      <c r="A116" s="834" t="s">
        <v>24</v>
      </c>
      <c r="B116" s="835">
        <v>113</v>
      </c>
      <c r="C116" s="838" t="s">
        <v>240</v>
      </c>
      <c r="D116" s="838" t="s">
        <v>50</v>
      </c>
      <c r="E116" s="839">
        <v>45678</v>
      </c>
      <c r="F116" s="838" t="s">
        <v>236</v>
      </c>
      <c r="G116" s="838">
        <v>12</v>
      </c>
      <c r="H116" s="838" t="s">
        <v>21</v>
      </c>
      <c r="I116" s="838" t="s">
        <v>36</v>
      </c>
      <c r="J116" s="21" t="s">
        <v>237</v>
      </c>
      <c r="K116" s="21" t="s">
        <v>238</v>
      </c>
      <c r="L116" s="21"/>
      <c r="M116" s="22" t="s">
        <v>30</v>
      </c>
      <c r="N116" s="23">
        <v>45712</v>
      </c>
      <c r="O116" s="21"/>
      <c r="P116" s="22" t="s">
        <v>30</v>
      </c>
      <c r="Q116" s="23">
        <v>45712</v>
      </c>
      <c r="R116" s="79" t="s">
        <v>21</v>
      </c>
      <c r="S116" s="22" t="s">
        <v>32</v>
      </c>
      <c r="T116" s="22">
        <v>12</v>
      </c>
      <c r="U116" s="24" t="s">
        <v>21</v>
      </c>
      <c r="V116" s="23">
        <v>45712</v>
      </c>
      <c r="W116" s="840" t="s">
        <v>30</v>
      </c>
      <c r="Y116"/>
      <c r="Z116"/>
      <c r="AA116"/>
    </row>
    <row r="117" spans="1:27" ht="15.75" customHeight="1">
      <c r="A117" s="834" t="s">
        <v>24</v>
      </c>
      <c r="B117" s="835">
        <v>114</v>
      </c>
      <c r="C117" s="838" t="s">
        <v>241</v>
      </c>
      <c r="D117" s="838" t="s">
        <v>34</v>
      </c>
      <c r="E117" s="839">
        <v>45678</v>
      </c>
      <c r="F117" s="838" t="s">
        <v>242</v>
      </c>
      <c r="G117" s="838">
        <v>8</v>
      </c>
      <c r="H117" s="838" t="s">
        <v>46</v>
      </c>
      <c r="I117" s="838" t="s">
        <v>47</v>
      </c>
      <c r="J117" s="21" t="s">
        <v>29</v>
      </c>
      <c r="K117" s="21" t="s">
        <v>243</v>
      </c>
      <c r="L117" s="21"/>
      <c r="M117" s="22" t="s">
        <v>30</v>
      </c>
      <c r="N117" s="23">
        <v>45692</v>
      </c>
      <c r="O117" s="21"/>
      <c r="P117" s="22" t="s">
        <v>30</v>
      </c>
      <c r="Q117" s="23">
        <v>45692</v>
      </c>
      <c r="R117" s="79" t="s">
        <v>46</v>
      </c>
      <c r="S117" s="22" t="s">
        <v>32</v>
      </c>
      <c r="T117" s="22">
        <v>8</v>
      </c>
      <c r="U117" s="22" t="s">
        <v>46</v>
      </c>
      <c r="V117" s="23">
        <v>45692</v>
      </c>
      <c r="W117" s="80" t="s">
        <v>30</v>
      </c>
      <c r="Y117"/>
      <c r="Z117"/>
      <c r="AA117"/>
    </row>
    <row r="118" spans="1:27" ht="15.75" customHeight="1">
      <c r="A118" s="834" t="s">
        <v>24</v>
      </c>
      <c r="B118" s="835">
        <v>115</v>
      </c>
      <c r="C118" s="838" t="s">
        <v>244</v>
      </c>
      <c r="D118" s="838" t="s">
        <v>34</v>
      </c>
      <c r="E118" s="839">
        <v>45679</v>
      </c>
      <c r="F118" s="838" t="s">
        <v>245</v>
      </c>
      <c r="G118" s="838">
        <v>15</v>
      </c>
      <c r="H118" s="838" t="s">
        <v>46</v>
      </c>
      <c r="I118" s="838" t="s">
        <v>47</v>
      </c>
      <c r="J118" s="21" t="s">
        <v>29</v>
      </c>
      <c r="K118" s="21"/>
      <c r="L118" s="21"/>
      <c r="M118" s="22" t="s">
        <v>30</v>
      </c>
      <c r="N118" s="23">
        <v>45692</v>
      </c>
      <c r="O118" s="21" t="s">
        <v>31</v>
      </c>
      <c r="P118" s="22" t="s">
        <v>30</v>
      </c>
      <c r="Q118" s="23">
        <v>45692</v>
      </c>
      <c r="R118" s="79" t="s">
        <v>46</v>
      </c>
      <c r="S118" s="22" t="s">
        <v>32</v>
      </c>
      <c r="T118" s="22">
        <v>15</v>
      </c>
      <c r="U118" s="22" t="s">
        <v>46</v>
      </c>
      <c r="V118" s="23">
        <v>45692</v>
      </c>
      <c r="W118" s="80" t="s">
        <v>30</v>
      </c>
      <c r="Y118"/>
      <c r="Z118"/>
      <c r="AA118"/>
    </row>
    <row r="119" spans="1:27" ht="15.75" customHeight="1">
      <c r="A119" s="834" t="s">
        <v>24</v>
      </c>
      <c r="B119" s="835">
        <v>116</v>
      </c>
      <c r="C119" s="838" t="s">
        <v>246</v>
      </c>
      <c r="D119" s="838" t="s">
        <v>64</v>
      </c>
      <c r="E119" s="839">
        <v>45679</v>
      </c>
      <c r="F119" s="838" t="s">
        <v>247</v>
      </c>
      <c r="G119" s="838">
        <v>5</v>
      </c>
      <c r="H119" s="838" t="s">
        <v>46</v>
      </c>
      <c r="I119" s="838" t="s">
        <v>47</v>
      </c>
      <c r="J119" s="21" t="s">
        <v>29</v>
      </c>
      <c r="K119" s="21" t="s">
        <v>248</v>
      </c>
      <c r="L119" s="21"/>
      <c r="M119" s="22" t="s">
        <v>30</v>
      </c>
      <c r="N119" s="23">
        <v>45699</v>
      </c>
      <c r="O119" s="21" t="s">
        <v>66</v>
      </c>
      <c r="P119" s="22" t="s">
        <v>30</v>
      </c>
      <c r="Q119" s="23">
        <v>45699</v>
      </c>
      <c r="R119" s="79" t="s">
        <v>46</v>
      </c>
      <c r="S119" s="22" t="s">
        <v>32</v>
      </c>
      <c r="T119" s="22">
        <v>5</v>
      </c>
      <c r="U119" s="22" t="s">
        <v>46</v>
      </c>
      <c r="V119" s="23">
        <v>45699</v>
      </c>
      <c r="W119" s="80" t="s">
        <v>30</v>
      </c>
      <c r="Y119"/>
      <c r="Z119"/>
      <c r="AA119"/>
    </row>
    <row r="120" spans="1:27" ht="15.75" customHeight="1">
      <c r="A120" s="834" t="s">
        <v>24</v>
      </c>
      <c r="B120" s="835">
        <v>117</v>
      </c>
      <c r="C120" s="838" t="s">
        <v>249</v>
      </c>
      <c r="D120" s="838" t="s">
        <v>50</v>
      </c>
      <c r="E120" s="839">
        <v>45679</v>
      </c>
      <c r="F120" s="838" t="s">
        <v>247</v>
      </c>
      <c r="G120" s="838">
        <v>5</v>
      </c>
      <c r="H120" s="838" t="s">
        <v>46</v>
      </c>
      <c r="I120" s="838" t="s">
        <v>47</v>
      </c>
      <c r="J120" s="21" t="s">
        <v>29</v>
      </c>
      <c r="K120" s="21" t="s">
        <v>248</v>
      </c>
      <c r="L120" s="21"/>
      <c r="M120" s="22" t="s">
        <v>30</v>
      </c>
      <c r="N120" s="23">
        <v>45699</v>
      </c>
      <c r="O120" s="21"/>
      <c r="P120" s="22" t="s">
        <v>30</v>
      </c>
      <c r="Q120" s="23">
        <v>45699</v>
      </c>
      <c r="R120" s="79" t="s">
        <v>46</v>
      </c>
      <c r="S120" s="22" t="s">
        <v>32</v>
      </c>
      <c r="T120" s="22">
        <v>5</v>
      </c>
      <c r="U120" s="22" t="s">
        <v>46</v>
      </c>
      <c r="V120" s="23">
        <v>45699</v>
      </c>
      <c r="W120" s="80" t="s">
        <v>30</v>
      </c>
      <c r="Y120" s="776"/>
      <c r="Z120" s="776"/>
      <c r="AA120" s="776"/>
    </row>
    <row r="121" spans="1:27" ht="15.75" customHeight="1">
      <c r="A121" s="834" t="s">
        <v>24</v>
      </c>
      <c r="B121" s="835">
        <v>118</v>
      </c>
      <c r="C121" s="838" t="s">
        <v>250</v>
      </c>
      <c r="D121" s="838" t="s">
        <v>43</v>
      </c>
      <c r="E121" s="839">
        <v>45679</v>
      </c>
      <c r="F121" s="838" t="s">
        <v>247</v>
      </c>
      <c r="G121" s="838">
        <v>5</v>
      </c>
      <c r="H121" s="838" t="s">
        <v>46</v>
      </c>
      <c r="I121" s="838" t="s">
        <v>47</v>
      </c>
      <c r="J121" s="21" t="s">
        <v>29</v>
      </c>
      <c r="K121" s="21" t="s">
        <v>248</v>
      </c>
      <c r="L121" s="21"/>
      <c r="M121" s="22" t="s">
        <v>30</v>
      </c>
      <c r="N121" s="23">
        <v>45699</v>
      </c>
      <c r="O121" s="21"/>
      <c r="P121" s="22" t="s">
        <v>30</v>
      </c>
      <c r="Q121" s="23">
        <v>45699</v>
      </c>
      <c r="R121" s="79" t="s">
        <v>46</v>
      </c>
      <c r="S121" s="22" t="s">
        <v>32</v>
      </c>
      <c r="T121" s="22">
        <v>5</v>
      </c>
      <c r="U121" s="22" t="s">
        <v>46</v>
      </c>
      <c r="V121" s="23">
        <v>45699</v>
      </c>
      <c r="W121" s="80" t="s">
        <v>30</v>
      </c>
      <c r="Y121" s="776"/>
      <c r="Z121" s="776"/>
      <c r="AA121" s="776"/>
    </row>
    <row r="122" spans="1:27" ht="15.75" customHeight="1">
      <c r="A122" s="834" t="s">
        <v>24</v>
      </c>
      <c r="B122" s="835">
        <v>119</v>
      </c>
      <c r="C122" s="21" t="s">
        <v>251</v>
      </c>
      <c r="D122" s="838" t="s">
        <v>34</v>
      </c>
      <c r="E122" s="839">
        <v>45679</v>
      </c>
      <c r="F122" s="838" t="s">
        <v>87</v>
      </c>
      <c r="G122" s="838">
        <v>23</v>
      </c>
      <c r="H122" s="838" t="s">
        <v>21</v>
      </c>
      <c r="I122" s="838" t="s">
        <v>36</v>
      </c>
      <c r="J122" s="21" t="s">
        <v>29</v>
      </c>
      <c r="K122" s="21"/>
      <c r="L122" s="21"/>
      <c r="M122" s="22" t="s">
        <v>30</v>
      </c>
      <c r="N122" s="23">
        <v>45737</v>
      </c>
      <c r="O122" s="21" t="s">
        <v>31</v>
      </c>
      <c r="P122" s="22" t="s">
        <v>30</v>
      </c>
      <c r="Q122" s="23">
        <v>45737</v>
      </c>
      <c r="R122" s="79" t="s">
        <v>67</v>
      </c>
      <c r="S122" s="22" t="s">
        <v>32</v>
      </c>
      <c r="T122" s="22">
        <v>22</v>
      </c>
      <c r="U122" s="22" t="s">
        <v>67</v>
      </c>
      <c r="V122" s="23">
        <v>45737</v>
      </c>
      <c r="W122" s="840" t="s">
        <v>30</v>
      </c>
      <c r="Y122" s="776"/>
      <c r="Z122" s="776"/>
      <c r="AA122" s="776"/>
    </row>
    <row r="123" spans="1:27" ht="15.75" customHeight="1">
      <c r="A123" s="834" t="s">
        <v>24</v>
      </c>
      <c r="B123" s="835">
        <v>120</v>
      </c>
      <c r="C123" s="838" t="s">
        <v>252</v>
      </c>
      <c r="D123" s="838" t="s">
        <v>43</v>
      </c>
      <c r="E123" s="839">
        <v>45680</v>
      </c>
      <c r="F123" s="838" t="s">
        <v>173</v>
      </c>
      <c r="G123" s="838">
        <v>18</v>
      </c>
      <c r="H123" s="838" t="s">
        <v>46</v>
      </c>
      <c r="I123" s="838" t="s">
        <v>47</v>
      </c>
      <c r="J123" s="21" t="s">
        <v>29</v>
      </c>
      <c r="K123" s="21" t="s">
        <v>253</v>
      </c>
      <c r="L123" s="21"/>
      <c r="M123" s="24" t="s">
        <v>30</v>
      </c>
      <c r="N123" s="23">
        <v>45740</v>
      </c>
      <c r="O123" s="21" t="s">
        <v>31</v>
      </c>
      <c r="P123" s="24" t="s">
        <v>30</v>
      </c>
      <c r="Q123" s="23">
        <v>45740</v>
      </c>
      <c r="R123" s="79" t="s">
        <v>46</v>
      </c>
      <c r="S123" s="22" t="s">
        <v>32</v>
      </c>
      <c r="T123" s="22">
        <v>18</v>
      </c>
      <c r="U123" s="24" t="s">
        <v>46</v>
      </c>
      <c r="V123" s="23">
        <v>45740</v>
      </c>
      <c r="W123" s="80" t="s">
        <v>30</v>
      </c>
      <c r="Y123"/>
      <c r="Z123"/>
      <c r="AA123"/>
    </row>
    <row r="124" spans="1:27" ht="15.75" customHeight="1">
      <c r="A124" s="834" t="s">
        <v>24</v>
      </c>
      <c r="B124" s="835">
        <v>121</v>
      </c>
      <c r="C124" s="838" t="s">
        <v>254</v>
      </c>
      <c r="D124" s="838" t="s">
        <v>175</v>
      </c>
      <c r="E124" s="839">
        <v>45680</v>
      </c>
      <c r="F124" s="838" t="s">
        <v>183</v>
      </c>
      <c r="G124" s="838">
        <v>5</v>
      </c>
      <c r="H124" s="838" t="s">
        <v>22</v>
      </c>
      <c r="I124" s="838" t="s">
        <v>28</v>
      </c>
      <c r="J124" s="21" t="s">
        <v>29</v>
      </c>
      <c r="K124" s="21" t="s">
        <v>255</v>
      </c>
      <c r="L124" s="21"/>
      <c r="M124" s="22" t="s">
        <v>30</v>
      </c>
      <c r="N124" s="23">
        <v>45715</v>
      </c>
      <c r="O124" s="21"/>
      <c r="P124" s="22" t="s">
        <v>30</v>
      </c>
      <c r="Q124" s="23">
        <v>45715</v>
      </c>
      <c r="R124" s="79" t="s">
        <v>28</v>
      </c>
      <c r="S124" s="22" t="s">
        <v>32</v>
      </c>
      <c r="T124" s="22">
        <v>5</v>
      </c>
      <c r="U124" s="24" t="s">
        <v>28</v>
      </c>
      <c r="V124" s="23">
        <v>45715</v>
      </c>
      <c r="W124" s="80" t="s">
        <v>30</v>
      </c>
      <c r="Y124"/>
      <c r="Z124"/>
      <c r="AA124"/>
    </row>
    <row r="125" spans="1:27" ht="15.75" customHeight="1">
      <c r="A125" s="834" t="s">
        <v>24</v>
      </c>
      <c r="B125" s="835">
        <v>122</v>
      </c>
      <c r="C125" s="838" t="s">
        <v>256</v>
      </c>
      <c r="D125" s="838" t="s">
        <v>175</v>
      </c>
      <c r="E125" s="839">
        <v>45681</v>
      </c>
      <c r="F125" s="838" t="s">
        <v>183</v>
      </c>
      <c r="G125" s="838">
        <v>7</v>
      </c>
      <c r="H125" s="838" t="s">
        <v>22</v>
      </c>
      <c r="I125" s="838" t="s">
        <v>28</v>
      </c>
      <c r="J125" s="21" t="s">
        <v>29</v>
      </c>
      <c r="K125" s="21" t="s">
        <v>22</v>
      </c>
      <c r="L125" s="21"/>
      <c r="M125" s="22" t="s">
        <v>32</v>
      </c>
      <c r="N125" s="221" t="s">
        <v>257</v>
      </c>
      <c r="O125" s="21"/>
      <c r="P125" s="22" t="s">
        <v>32</v>
      </c>
      <c r="Q125" s="221" t="s">
        <v>257</v>
      </c>
      <c r="R125" s="79" t="s">
        <v>28</v>
      </c>
      <c r="S125" s="22"/>
      <c r="T125" s="22"/>
      <c r="U125" s="24"/>
      <c r="V125" s="23"/>
      <c r="W125" s="80" t="s">
        <v>32</v>
      </c>
      <c r="Y125"/>
      <c r="Z125"/>
      <c r="AA125"/>
    </row>
    <row r="126" spans="1:27" ht="15.75" customHeight="1">
      <c r="A126" s="834" t="s">
        <v>24</v>
      </c>
      <c r="B126" s="835">
        <v>123</v>
      </c>
      <c r="C126" s="838" t="s">
        <v>258</v>
      </c>
      <c r="D126" s="838" t="s">
        <v>259</v>
      </c>
      <c r="E126" s="839">
        <v>45681</v>
      </c>
      <c r="F126" s="838" t="s">
        <v>167</v>
      </c>
      <c r="G126" s="838">
        <v>15</v>
      </c>
      <c r="H126" s="838" t="s">
        <v>22</v>
      </c>
      <c r="I126" s="838" t="s">
        <v>28</v>
      </c>
      <c r="J126" s="21" t="s">
        <v>237</v>
      </c>
      <c r="K126" s="21"/>
      <c r="L126" s="21"/>
      <c r="M126" s="22" t="s">
        <v>30</v>
      </c>
      <c r="N126" s="23">
        <v>45705</v>
      </c>
      <c r="O126" s="21" t="s">
        <v>31</v>
      </c>
      <c r="P126" s="22" t="s">
        <v>30</v>
      </c>
      <c r="Q126" s="23">
        <v>45705</v>
      </c>
      <c r="R126" s="79" t="s">
        <v>28</v>
      </c>
      <c r="S126" s="22" t="s">
        <v>32</v>
      </c>
      <c r="T126" s="22">
        <v>13</v>
      </c>
      <c r="U126" s="24" t="s">
        <v>28</v>
      </c>
      <c r="V126" s="23">
        <v>45705</v>
      </c>
      <c r="W126" s="80" t="s">
        <v>30</v>
      </c>
      <c r="Y126"/>
      <c r="Z126"/>
      <c r="AA126"/>
    </row>
    <row r="127" spans="1:27" ht="15.75" customHeight="1">
      <c r="A127" s="834" t="s">
        <v>24</v>
      </c>
      <c r="B127" s="835">
        <v>124</v>
      </c>
      <c r="C127" s="21" t="s">
        <v>260</v>
      </c>
      <c r="D127" s="838" t="s">
        <v>50</v>
      </c>
      <c r="E127" s="839">
        <v>45681</v>
      </c>
      <c r="F127" s="838" t="s">
        <v>261</v>
      </c>
      <c r="G127" s="838">
        <v>10</v>
      </c>
      <c r="H127" s="838" t="s">
        <v>21</v>
      </c>
      <c r="I127" s="838" t="s">
        <v>36</v>
      </c>
      <c r="J127" s="21" t="s">
        <v>29</v>
      </c>
      <c r="K127" s="21"/>
      <c r="L127" s="21"/>
      <c r="M127" s="22" t="s">
        <v>30</v>
      </c>
      <c r="N127" s="23">
        <v>45737</v>
      </c>
      <c r="O127" s="21"/>
      <c r="P127" s="22" t="s">
        <v>30</v>
      </c>
      <c r="Q127" s="23">
        <v>45737</v>
      </c>
      <c r="R127" s="79" t="s">
        <v>67</v>
      </c>
      <c r="S127" s="22" t="s">
        <v>32</v>
      </c>
      <c r="T127" s="22">
        <v>10</v>
      </c>
      <c r="U127" s="22" t="s">
        <v>67</v>
      </c>
      <c r="V127" s="23">
        <v>45737</v>
      </c>
      <c r="W127" s="840" t="s">
        <v>30</v>
      </c>
      <c r="Y127"/>
      <c r="Z127"/>
      <c r="AA127"/>
    </row>
    <row r="128" spans="1:27" ht="15.75" customHeight="1">
      <c r="A128" s="834" t="s">
        <v>24</v>
      </c>
      <c r="B128" s="835">
        <v>125</v>
      </c>
      <c r="C128" s="838" t="s">
        <v>262</v>
      </c>
      <c r="D128" s="838" t="s">
        <v>43</v>
      </c>
      <c r="E128" s="839">
        <v>45681</v>
      </c>
      <c r="F128" s="838" t="s">
        <v>187</v>
      </c>
      <c r="G128" s="838">
        <v>12</v>
      </c>
      <c r="H128" s="838" t="s">
        <v>21</v>
      </c>
      <c r="I128" s="838" t="s">
        <v>36</v>
      </c>
      <c r="J128" s="21" t="s">
        <v>237</v>
      </c>
      <c r="K128" s="21" t="s">
        <v>238</v>
      </c>
      <c r="L128" s="21"/>
      <c r="M128" s="22" t="s">
        <v>30</v>
      </c>
      <c r="N128" s="23">
        <v>45748</v>
      </c>
      <c r="O128" s="21" t="s">
        <v>66</v>
      </c>
      <c r="P128" s="22" t="s">
        <v>30</v>
      </c>
      <c r="Q128" s="23">
        <v>45748</v>
      </c>
      <c r="R128" s="79" t="s">
        <v>67</v>
      </c>
      <c r="S128" s="22" t="s">
        <v>32</v>
      </c>
      <c r="T128" s="22">
        <v>12</v>
      </c>
      <c r="U128" s="22" t="s">
        <v>67</v>
      </c>
      <c r="V128" s="23">
        <v>45748</v>
      </c>
      <c r="W128" s="840" t="s">
        <v>30</v>
      </c>
      <c r="Y128"/>
      <c r="Z128"/>
      <c r="AA128"/>
    </row>
    <row r="129" spans="1:27" ht="15.75" customHeight="1">
      <c r="A129" s="834" t="s">
        <v>24</v>
      </c>
      <c r="B129" s="835">
        <v>126</v>
      </c>
      <c r="C129" s="838" t="s">
        <v>263</v>
      </c>
      <c r="D129" s="838" t="s">
        <v>50</v>
      </c>
      <c r="E129" s="839">
        <v>45681</v>
      </c>
      <c r="F129" s="838" t="s">
        <v>187</v>
      </c>
      <c r="G129" s="838">
        <v>12</v>
      </c>
      <c r="H129" s="838" t="s">
        <v>21</v>
      </c>
      <c r="I129" s="838" t="s">
        <v>36</v>
      </c>
      <c r="J129" s="21" t="s">
        <v>237</v>
      </c>
      <c r="K129" s="21" t="s">
        <v>238</v>
      </c>
      <c r="L129" s="21"/>
      <c r="M129" s="22" t="s">
        <v>30</v>
      </c>
      <c r="N129" s="23">
        <v>45748</v>
      </c>
      <c r="O129" s="21"/>
      <c r="P129" s="22" t="s">
        <v>30</v>
      </c>
      <c r="Q129" s="23">
        <v>45748</v>
      </c>
      <c r="R129" s="79" t="s">
        <v>67</v>
      </c>
      <c r="S129" s="22" t="s">
        <v>32</v>
      </c>
      <c r="T129" s="22">
        <v>12</v>
      </c>
      <c r="U129" s="22" t="s">
        <v>67</v>
      </c>
      <c r="V129" s="23">
        <v>45759</v>
      </c>
      <c r="W129" s="840" t="s">
        <v>30</v>
      </c>
      <c r="Y129"/>
      <c r="Z129"/>
      <c r="AA129"/>
    </row>
    <row r="130" spans="1:27" ht="15.75" customHeight="1">
      <c r="A130" s="834" t="s">
        <v>24</v>
      </c>
      <c r="B130" s="835">
        <v>127</v>
      </c>
      <c r="C130" s="838" t="s">
        <v>264</v>
      </c>
      <c r="D130" s="838" t="s">
        <v>64</v>
      </c>
      <c r="E130" s="839">
        <v>45681</v>
      </c>
      <c r="F130" s="838" t="s">
        <v>187</v>
      </c>
      <c r="G130" s="838">
        <v>12</v>
      </c>
      <c r="H130" s="838" t="s">
        <v>21</v>
      </c>
      <c r="I130" s="838" t="s">
        <v>36</v>
      </c>
      <c r="J130" s="21" t="s">
        <v>237</v>
      </c>
      <c r="K130" s="21" t="s">
        <v>238</v>
      </c>
      <c r="L130" s="21"/>
      <c r="M130" s="22" t="s">
        <v>30</v>
      </c>
      <c r="N130" s="23">
        <v>45748</v>
      </c>
      <c r="O130" s="21"/>
      <c r="P130" s="22" t="s">
        <v>30</v>
      </c>
      <c r="Q130" s="23">
        <v>45748</v>
      </c>
      <c r="R130" s="79" t="s">
        <v>67</v>
      </c>
      <c r="S130" s="22" t="s">
        <v>32</v>
      </c>
      <c r="T130" s="22">
        <v>12</v>
      </c>
      <c r="U130" s="22" t="s">
        <v>67</v>
      </c>
      <c r="V130" s="23">
        <v>45748</v>
      </c>
      <c r="W130" s="840" t="s">
        <v>30</v>
      </c>
      <c r="Y130" s="776"/>
      <c r="Z130" s="776"/>
      <c r="AA130" s="776"/>
    </row>
    <row r="131" spans="1:27" ht="15.75" customHeight="1">
      <c r="A131" s="834" t="s">
        <v>24</v>
      </c>
      <c r="B131" s="835">
        <v>128</v>
      </c>
      <c r="C131" s="838" t="s">
        <v>265</v>
      </c>
      <c r="D131" s="838" t="s">
        <v>64</v>
      </c>
      <c r="E131" s="839">
        <v>45681</v>
      </c>
      <c r="F131" s="838" t="s">
        <v>266</v>
      </c>
      <c r="G131" s="838">
        <v>11</v>
      </c>
      <c r="H131" s="838" t="s">
        <v>46</v>
      </c>
      <c r="I131" s="838" t="s">
        <v>47</v>
      </c>
      <c r="J131" s="21" t="s">
        <v>237</v>
      </c>
      <c r="K131" s="21" t="s">
        <v>248</v>
      </c>
      <c r="L131" s="21"/>
      <c r="M131" s="22" t="s">
        <v>32</v>
      </c>
      <c r="N131" s="23">
        <v>45698</v>
      </c>
      <c r="O131" s="21" t="s">
        <v>66</v>
      </c>
      <c r="P131" s="22" t="s">
        <v>32</v>
      </c>
      <c r="Q131" s="23">
        <v>45698</v>
      </c>
      <c r="R131" s="79" t="s">
        <v>46</v>
      </c>
      <c r="S131" s="22" t="s">
        <v>32</v>
      </c>
      <c r="T131" s="22">
        <v>11</v>
      </c>
      <c r="U131" s="24" t="s">
        <v>46</v>
      </c>
      <c r="V131" s="23">
        <v>45698</v>
      </c>
      <c r="W131" s="80" t="s">
        <v>30</v>
      </c>
      <c r="Y131" s="776"/>
      <c r="Z131" s="776"/>
      <c r="AA131" s="776"/>
    </row>
    <row r="132" spans="1:27" ht="15.75" customHeight="1">
      <c r="A132" s="834" t="s">
        <v>24</v>
      </c>
      <c r="B132" s="835">
        <v>129</v>
      </c>
      <c r="C132" s="838" t="s">
        <v>267</v>
      </c>
      <c r="D132" s="838" t="s">
        <v>50</v>
      </c>
      <c r="E132" s="839">
        <v>45681</v>
      </c>
      <c r="F132" s="838" t="s">
        <v>266</v>
      </c>
      <c r="G132" s="838">
        <v>11</v>
      </c>
      <c r="H132" s="838" t="s">
        <v>46</v>
      </c>
      <c r="I132" s="838" t="s">
        <v>47</v>
      </c>
      <c r="J132" s="21" t="s">
        <v>237</v>
      </c>
      <c r="K132" s="21" t="s">
        <v>248</v>
      </c>
      <c r="L132" s="21"/>
      <c r="M132" s="22" t="s">
        <v>32</v>
      </c>
      <c r="N132" s="23">
        <v>45698</v>
      </c>
      <c r="O132" s="21"/>
      <c r="P132" s="22" t="s">
        <v>32</v>
      </c>
      <c r="Q132" s="23">
        <v>45698</v>
      </c>
      <c r="R132" s="79" t="s">
        <v>46</v>
      </c>
      <c r="S132" s="22" t="s">
        <v>32</v>
      </c>
      <c r="T132" s="22">
        <v>11</v>
      </c>
      <c r="U132" s="24" t="s">
        <v>46</v>
      </c>
      <c r="V132" s="23">
        <v>45698</v>
      </c>
      <c r="W132" s="80" t="s">
        <v>30</v>
      </c>
      <c r="Y132" s="776"/>
      <c r="Z132" s="776"/>
      <c r="AA132" s="776"/>
    </row>
    <row r="133" spans="1:27" ht="15.75" customHeight="1">
      <c r="A133" s="834" t="s">
        <v>24</v>
      </c>
      <c r="B133" s="835">
        <v>130</v>
      </c>
      <c r="C133" s="838" t="s">
        <v>268</v>
      </c>
      <c r="D133" s="838" t="s">
        <v>43</v>
      </c>
      <c r="E133" s="839">
        <v>45681</v>
      </c>
      <c r="F133" s="838" t="s">
        <v>266</v>
      </c>
      <c r="G133" s="838">
        <v>11</v>
      </c>
      <c r="H133" s="838" t="s">
        <v>46</v>
      </c>
      <c r="I133" s="838" t="s">
        <v>47</v>
      </c>
      <c r="J133" s="21" t="s">
        <v>237</v>
      </c>
      <c r="K133" s="21" t="s">
        <v>248</v>
      </c>
      <c r="L133" s="21"/>
      <c r="M133" s="22" t="s">
        <v>32</v>
      </c>
      <c r="N133" s="23">
        <v>45698</v>
      </c>
      <c r="O133" s="21"/>
      <c r="P133" s="22" t="s">
        <v>32</v>
      </c>
      <c r="Q133" s="23">
        <v>45698</v>
      </c>
      <c r="R133" s="79" t="s">
        <v>46</v>
      </c>
      <c r="S133" s="22" t="s">
        <v>32</v>
      </c>
      <c r="T133" s="22">
        <v>11</v>
      </c>
      <c r="U133" s="24" t="s">
        <v>46</v>
      </c>
      <c r="V133" s="23">
        <v>45698</v>
      </c>
      <c r="W133" s="80" t="s">
        <v>30</v>
      </c>
      <c r="Y133"/>
      <c r="Z133"/>
      <c r="AA133"/>
    </row>
    <row r="134" spans="1:27" ht="15.75" customHeight="1">
      <c r="A134" s="834" t="s">
        <v>24</v>
      </c>
      <c r="B134" s="835">
        <v>131</v>
      </c>
      <c r="C134" s="838" t="s">
        <v>269</v>
      </c>
      <c r="D134" s="838" t="s">
        <v>270</v>
      </c>
      <c r="E134" s="839">
        <v>45681</v>
      </c>
      <c r="F134" s="838" t="s">
        <v>266</v>
      </c>
      <c r="G134" s="838">
        <v>11</v>
      </c>
      <c r="H134" s="838" t="s">
        <v>46</v>
      </c>
      <c r="I134" s="838" t="s">
        <v>47</v>
      </c>
      <c r="J134" s="21" t="s">
        <v>237</v>
      </c>
      <c r="K134" s="21" t="s">
        <v>248</v>
      </c>
      <c r="L134" s="21"/>
      <c r="M134" s="22" t="s">
        <v>32</v>
      </c>
      <c r="N134" s="23">
        <v>45698</v>
      </c>
      <c r="O134" s="21"/>
      <c r="P134" s="22" t="s">
        <v>32</v>
      </c>
      <c r="Q134" s="23">
        <v>45698</v>
      </c>
      <c r="R134" s="79" t="s">
        <v>46</v>
      </c>
      <c r="S134" s="22" t="s">
        <v>32</v>
      </c>
      <c r="T134" s="22">
        <v>11</v>
      </c>
      <c r="U134" s="24" t="s">
        <v>46</v>
      </c>
      <c r="V134" s="23">
        <v>45698</v>
      </c>
      <c r="W134" s="80" t="s">
        <v>30</v>
      </c>
      <c r="Y134"/>
      <c r="Z134"/>
      <c r="AA134"/>
    </row>
    <row r="135" spans="1:27" ht="15.75" customHeight="1">
      <c r="A135" s="834" t="s">
        <v>24</v>
      </c>
      <c r="B135" s="835">
        <v>132</v>
      </c>
      <c r="C135" s="21" t="s">
        <v>271</v>
      </c>
      <c r="D135" s="838" t="s">
        <v>34</v>
      </c>
      <c r="E135" s="839">
        <v>45682</v>
      </c>
      <c r="F135" s="838" t="s">
        <v>272</v>
      </c>
      <c r="G135" s="838">
        <v>12</v>
      </c>
      <c r="H135" s="838" t="s">
        <v>21</v>
      </c>
      <c r="I135" s="838" t="s">
        <v>36</v>
      </c>
      <c r="J135" s="21" t="s">
        <v>29</v>
      </c>
      <c r="K135" s="21" t="s">
        <v>273</v>
      </c>
      <c r="L135" s="21"/>
      <c r="M135" s="22" t="s">
        <v>30</v>
      </c>
      <c r="N135" s="23">
        <v>45743</v>
      </c>
      <c r="O135" s="21"/>
      <c r="P135" s="22" t="s">
        <v>30</v>
      </c>
      <c r="Q135" s="23">
        <v>45743</v>
      </c>
      <c r="R135" s="79" t="s">
        <v>67</v>
      </c>
      <c r="S135" s="22" t="s">
        <v>32</v>
      </c>
      <c r="T135" s="22">
        <v>12</v>
      </c>
      <c r="U135" s="22" t="s">
        <v>67</v>
      </c>
      <c r="V135" s="23">
        <v>45743</v>
      </c>
      <c r="W135" s="840" t="s">
        <v>30</v>
      </c>
      <c r="Y135"/>
      <c r="Z135"/>
      <c r="AA135"/>
    </row>
    <row r="136" spans="1:27" ht="15.75" customHeight="1">
      <c r="A136" s="834" t="s">
        <v>24</v>
      </c>
      <c r="B136" s="835">
        <v>133</v>
      </c>
      <c r="C136" s="21" t="s">
        <v>274</v>
      </c>
      <c r="D136" s="838" t="s">
        <v>43</v>
      </c>
      <c r="E136" s="839">
        <v>45682</v>
      </c>
      <c r="F136" s="838" t="s">
        <v>272</v>
      </c>
      <c r="G136" s="838">
        <v>10</v>
      </c>
      <c r="H136" s="838" t="s">
        <v>21</v>
      </c>
      <c r="I136" s="838" t="s">
        <v>36</v>
      </c>
      <c r="J136" s="21" t="s">
        <v>29</v>
      </c>
      <c r="K136" s="21"/>
      <c r="L136" s="21"/>
      <c r="M136" s="22" t="s">
        <v>30</v>
      </c>
      <c r="N136" s="221">
        <v>45737</v>
      </c>
      <c r="O136" s="21" t="s">
        <v>66</v>
      </c>
      <c r="P136" s="22" t="s">
        <v>30</v>
      </c>
      <c r="Q136" s="221">
        <v>45737</v>
      </c>
      <c r="R136" s="79" t="s">
        <v>67</v>
      </c>
      <c r="S136" s="22" t="s">
        <v>32</v>
      </c>
      <c r="T136" s="22">
        <v>10</v>
      </c>
      <c r="U136" s="22" t="s">
        <v>67</v>
      </c>
      <c r="V136" s="23">
        <v>45737</v>
      </c>
      <c r="W136" s="840" t="s">
        <v>30</v>
      </c>
      <c r="Y136"/>
      <c r="Z136"/>
      <c r="AA136"/>
    </row>
    <row r="137" spans="1:27" ht="15.75" customHeight="1">
      <c r="A137" s="834" t="s">
        <v>24</v>
      </c>
      <c r="B137" s="835">
        <v>134</v>
      </c>
      <c r="C137" s="21" t="s">
        <v>275</v>
      </c>
      <c r="D137" s="838" t="s">
        <v>50</v>
      </c>
      <c r="E137" s="839">
        <v>45682</v>
      </c>
      <c r="F137" s="838" t="s">
        <v>272</v>
      </c>
      <c r="G137" s="838">
        <v>10</v>
      </c>
      <c r="H137" s="838" t="s">
        <v>21</v>
      </c>
      <c r="I137" s="838" t="s">
        <v>36</v>
      </c>
      <c r="J137" s="21" t="s">
        <v>29</v>
      </c>
      <c r="K137" s="21"/>
      <c r="L137" s="21"/>
      <c r="M137" s="22" t="s">
        <v>30</v>
      </c>
      <c r="N137" s="23">
        <v>45737</v>
      </c>
      <c r="O137" s="21"/>
      <c r="P137" s="22" t="s">
        <v>30</v>
      </c>
      <c r="Q137" s="23">
        <v>45737</v>
      </c>
      <c r="R137" s="79" t="s">
        <v>67</v>
      </c>
      <c r="S137" s="22" t="s">
        <v>32</v>
      </c>
      <c r="T137" s="22">
        <v>10</v>
      </c>
      <c r="U137" s="22" t="s">
        <v>67</v>
      </c>
      <c r="V137" s="23">
        <v>45737</v>
      </c>
      <c r="W137" s="840" t="s">
        <v>30</v>
      </c>
      <c r="Y137"/>
      <c r="Z137"/>
      <c r="AA137"/>
    </row>
    <row r="138" spans="1:27" ht="15.75" customHeight="1">
      <c r="A138" s="834" t="s">
        <v>24</v>
      </c>
      <c r="B138" s="835">
        <v>135</v>
      </c>
      <c r="C138" s="21" t="s">
        <v>276</v>
      </c>
      <c r="D138" s="838" t="s">
        <v>64</v>
      </c>
      <c r="E138" s="839">
        <v>45682</v>
      </c>
      <c r="F138" s="838" t="s">
        <v>272</v>
      </c>
      <c r="G138" s="838">
        <v>10</v>
      </c>
      <c r="H138" s="838" t="s">
        <v>21</v>
      </c>
      <c r="I138" s="838" t="s">
        <v>36</v>
      </c>
      <c r="J138" s="21" t="s">
        <v>29</v>
      </c>
      <c r="K138" s="21"/>
      <c r="L138" s="21"/>
      <c r="M138" s="22" t="s">
        <v>30</v>
      </c>
      <c r="N138" s="23">
        <v>45737</v>
      </c>
      <c r="O138" s="21"/>
      <c r="P138" s="22" t="s">
        <v>30</v>
      </c>
      <c r="Q138" s="23">
        <v>45737</v>
      </c>
      <c r="R138" s="79" t="s">
        <v>67</v>
      </c>
      <c r="S138" s="22" t="s">
        <v>32</v>
      </c>
      <c r="T138" s="22">
        <v>10</v>
      </c>
      <c r="U138" s="22" t="s">
        <v>67</v>
      </c>
      <c r="V138" s="23">
        <v>45737</v>
      </c>
      <c r="W138" s="840" t="s">
        <v>30</v>
      </c>
      <c r="Y138"/>
      <c r="Z138"/>
      <c r="AA138"/>
    </row>
    <row r="139" spans="1:27" ht="15.75" customHeight="1">
      <c r="A139" s="834" t="s">
        <v>24</v>
      </c>
      <c r="B139" s="835">
        <v>136</v>
      </c>
      <c r="C139" s="21" t="s">
        <v>277</v>
      </c>
      <c r="D139" s="838" t="s">
        <v>83</v>
      </c>
      <c r="E139" s="839">
        <v>45682</v>
      </c>
      <c r="F139" s="838" t="s">
        <v>272</v>
      </c>
      <c r="G139" s="838">
        <v>10</v>
      </c>
      <c r="H139" s="838" t="s">
        <v>21</v>
      </c>
      <c r="I139" s="838" t="s">
        <v>36</v>
      </c>
      <c r="J139" s="21" t="s">
        <v>29</v>
      </c>
      <c r="K139" s="21"/>
      <c r="L139" s="21"/>
      <c r="M139" s="22" t="s">
        <v>30</v>
      </c>
      <c r="N139" s="23">
        <v>45737</v>
      </c>
      <c r="O139" s="21"/>
      <c r="P139" s="22" t="s">
        <v>30</v>
      </c>
      <c r="Q139" s="23">
        <v>45737</v>
      </c>
      <c r="R139" s="79" t="s">
        <v>67</v>
      </c>
      <c r="S139" s="22" t="s">
        <v>32</v>
      </c>
      <c r="T139" s="22">
        <v>10</v>
      </c>
      <c r="U139" s="22" t="s">
        <v>67</v>
      </c>
      <c r="V139" s="23">
        <v>45737</v>
      </c>
      <c r="W139" s="840" t="s">
        <v>30</v>
      </c>
      <c r="Y139"/>
      <c r="Z139"/>
      <c r="AA139"/>
    </row>
    <row r="140" spans="1:27" ht="15.75" customHeight="1">
      <c r="A140" s="834" t="s">
        <v>24</v>
      </c>
      <c r="B140" s="835">
        <v>137</v>
      </c>
      <c r="C140" s="21" t="s">
        <v>278</v>
      </c>
      <c r="D140" s="838" t="s">
        <v>34</v>
      </c>
      <c r="E140" s="839">
        <v>45682</v>
      </c>
      <c r="F140" s="838" t="s">
        <v>35</v>
      </c>
      <c r="G140" s="838">
        <v>10</v>
      </c>
      <c r="H140" s="838" t="s">
        <v>21</v>
      </c>
      <c r="I140" s="838" t="s">
        <v>36</v>
      </c>
      <c r="J140" s="21" t="s">
        <v>29</v>
      </c>
      <c r="K140" s="21"/>
      <c r="L140" s="21"/>
      <c r="M140" s="22" t="s">
        <v>30</v>
      </c>
      <c r="N140" s="23">
        <v>45737</v>
      </c>
      <c r="O140" s="21"/>
      <c r="P140" s="22" t="s">
        <v>30</v>
      </c>
      <c r="Q140" s="23">
        <v>45737</v>
      </c>
      <c r="R140" s="79" t="s">
        <v>67</v>
      </c>
      <c r="S140" s="22" t="s">
        <v>32</v>
      </c>
      <c r="T140" s="22">
        <v>10</v>
      </c>
      <c r="U140" s="22" t="s">
        <v>67</v>
      </c>
      <c r="V140" s="23">
        <v>45737</v>
      </c>
      <c r="W140" s="840" t="s">
        <v>30</v>
      </c>
      <c r="Y140" s="776"/>
      <c r="Z140" s="776"/>
      <c r="AA140" s="776"/>
    </row>
    <row r="141" spans="1:27" ht="15.75" customHeight="1">
      <c r="A141" s="834" t="s">
        <v>24</v>
      </c>
      <c r="B141" s="835">
        <v>138</v>
      </c>
      <c r="C141" s="21" t="s">
        <v>279</v>
      </c>
      <c r="D141" s="838" t="s">
        <v>34</v>
      </c>
      <c r="E141" s="839">
        <v>45682</v>
      </c>
      <c r="F141" s="838" t="s">
        <v>35</v>
      </c>
      <c r="G141" s="838">
        <v>2</v>
      </c>
      <c r="H141" s="838" t="s">
        <v>22</v>
      </c>
      <c r="I141" s="838" t="s">
        <v>28</v>
      </c>
      <c r="J141" s="21" t="s">
        <v>29</v>
      </c>
      <c r="K141" s="21"/>
      <c r="L141" s="21"/>
      <c r="M141" s="22" t="s">
        <v>30</v>
      </c>
      <c r="N141" s="23">
        <v>45737</v>
      </c>
      <c r="O141" s="21"/>
      <c r="P141" s="22" t="s">
        <v>30</v>
      </c>
      <c r="Q141" s="23">
        <v>45737</v>
      </c>
      <c r="R141" s="79" t="s">
        <v>67</v>
      </c>
      <c r="S141" s="22" t="s">
        <v>32</v>
      </c>
      <c r="T141" s="22">
        <v>2</v>
      </c>
      <c r="U141" s="22" t="s">
        <v>67</v>
      </c>
      <c r="V141" s="23">
        <v>45737</v>
      </c>
      <c r="W141" s="840" t="s">
        <v>30</v>
      </c>
      <c r="Y141" s="776"/>
      <c r="Z141" s="776"/>
      <c r="AA141" s="776"/>
    </row>
    <row r="142" spans="1:27" ht="15.75" customHeight="1">
      <c r="A142" s="834" t="s">
        <v>24</v>
      </c>
      <c r="B142" s="835">
        <v>139</v>
      </c>
      <c r="C142" s="21" t="s">
        <v>280</v>
      </c>
      <c r="D142" s="838" t="s">
        <v>34</v>
      </c>
      <c r="E142" s="839">
        <v>45682</v>
      </c>
      <c r="F142" s="838" t="s">
        <v>87</v>
      </c>
      <c r="G142" s="838">
        <v>16</v>
      </c>
      <c r="H142" s="838" t="s">
        <v>21</v>
      </c>
      <c r="I142" s="838" t="s">
        <v>36</v>
      </c>
      <c r="J142" s="21" t="s">
        <v>29</v>
      </c>
      <c r="K142" s="21"/>
      <c r="L142" s="21"/>
      <c r="M142" s="22" t="s">
        <v>30</v>
      </c>
      <c r="N142" s="23">
        <v>45733</v>
      </c>
      <c r="O142" s="21" t="s">
        <v>31</v>
      </c>
      <c r="P142" s="22" t="s">
        <v>30</v>
      </c>
      <c r="Q142" s="23">
        <v>45733</v>
      </c>
      <c r="R142" s="79" t="s">
        <v>67</v>
      </c>
      <c r="S142" s="22" t="s">
        <v>32</v>
      </c>
      <c r="T142" s="22">
        <v>2</v>
      </c>
      <c r="U142" s="22" t="s">
        <v>67</v>
      </c>
      <c r="V142" s="23">
        <v>45737</v>
      </c>
      <c r="W142" s="840" t="s">
        <v>30</v>
      </c>
      <c r="Y142" s="776"/>
      <c r="Z142" s="776"/>
      <c r="AA142" s="776"/>
    </row>
    <row r="143" spans="1:27" ht="15.75" customHeight="1">
      <c r="A143" s="834" t="s">
        <v>24</v>
      </c>
      <c r="B143" s="835">
        <v>140</v>
      </c>
      <c r="C143" s="838" t="s">
        <v>281</v>
      </c>
      <c r="D143" s="838" t="s">
        <v>34</v>
      </c>
      <c r="E143" s="839">
        <v>45682</v>
      </c>
      <c r="F143" s="838" t="s">
        <v>282</v>
      </c>
      <c r="G143" s="838">
        <v>15</v>
      </c>
      <c r="H143" s="838" t="s">
        <v>22</v>
      </c>
      <c r="I143" s="838" t="s">
        <v>28</v>
      </c>
      <c r="J143" s="21" t="s">
        <v>29</v>
      </c>
      <c r="K143" s="21" t="s">
        <v>283</v>
      </c>
      <c r="L143" s="21"/>
      <c r="M143" s="22" t="s">
        <v>30</v>
      </c>
      <c r="N143" s="23">
        <v>45716</v>
      </c>
      <c r="O143" s="21" t="s">
        <v>31</v>
      </c>
      <c r="P143" s="22" t="s">
        <v>30</v>
      </c>
      <c r="Q143" s="23">
        <v>45716</v>
      </c>
      <c r="R143" s="79" t="s">
        <v>28</v>
      </c>
      <c r="S143" s="22" t="s">
        <v>32</v>
      </c>
      <c r="T143" s="22">
        <v>15</v>
      </c>
      <c r="U143" s="24" t="s">
        <v>28</v>
      </c>
      <c r="V143" s="23">
        <v>45716</v>
      </c>
      <c r="W143" s="80" t="s">
        <v>30</v>
      </c>
      <c r="Y143"/>
      <c r="Z143"/>
      <c r="AA143"/>
    </row>
    <row r="144" spans="1:27" ht="15.75" customHeight="1">
      <c r="A144" s="834" t="s">
        <v>24</v>
      </c>
      <c r="B144" s="835">
        <v>141</v>
      </c>
      <c r="C144" s="838" t="s">
        <v>284</v>
      </c>
      <c r="D144" s="838" t="s">
        <v>34</v>
      </c>
      <c r="E144" s="839">
        <v>45682</v>
      </c>
      <c r="F144" s="838" t="s">
        <v>282</v>
      </c>
      <c r="G144" s="838">
        <v>3</v>
      </c>
      <c r="H144" s="838" t="s">
        <v>22</v>
      </c>
      <c r="I144" s="838" t="s">
        <v>28</v>
      </c>
      <c r="J144" s="21" t="s">
        <v>29</v>
      </c>
      <c r="K144" s="21" t="s">
        <v>283</v>
      </c>
      <c r="L144" s="21"/>
      <c r="M144" s="22" t="s">
        <v>30</v>
      </c>
      <c r="N144" s="23">
        <v>45746</v>
      </c>
      <c r="O144" s="21"/>
      <c r="P144" s="22" t="s">
        <v>30</v>
      </c>
      <c r="Q144" s="23">
        <v>45746</v>
      </c>
      <c r="R144" s="79" t="s">
        <v>48</v>
      </c>
      <c r="S144" s="22" t="s">
        <v>32</v>
      </c>
      <c r="T144" s="22">
        <v>3</v>
      </c>
      <c r="U144" s="24" t="s">
        <v>28</v>
      </c>
      <c r="V144" s="23">
        <v>45746</v>
      </c>
      <c r="W144" s="840" t="s">
        <v>32</v>
      </c>
      <c r="Y144"/>
      <c r="Z144"/>
      <c r="AA144"/>
    </row>
    <row r="145" spans="1:27" ht="15.75" customHeight="1">
      <c r="A145" s="834" t="s">
        <v>24</v>
      </c>
      <c r="B145" s="835">
        <v>142</v>
      </c>
      <c r="C145" s="838" t="s">
        <v>285</v>
      </c>
      <c r="D145" s="838" t="s">
        <v>34</v>
      </c>
      <c r="E145" s="839">
        <v>45682</v>
      </c>
      <c r="F145" s="838" t="s">
        <v>286</v>
      </c>
      <c r="G145" s="838">
        <v>12</v>
      </c>
      <c r="H145" s="838" t="s">
        <v>22</v>
      </c>
      <c r="I145" s="838" t="s">
        <v>28</v>
      </c>
      <c r="J145" s="21" t="s">
        <v>29</v>
      </c>
      <c r="K145" s="21"/>
      <c r="L145" s="21"/>
      <c r="M145" s="22" t="s">
        <v>30</v>
      </c>
      <c r="N145" s="23">
        <v>45704</v>
      </c>
      <c r="O145" s="21"/>
      <c r="P145" s="22" t="s">
        <v>30</v>
      </c>
      <c r="Q145" s="23">
        <v>45704</v>
      </c>
      <c r="R145" s="79" t="s">
        <v>28</v>
      </c>
      <c r="S145" s="22" t="s">
        <v>32</v>
      </c>
      <c r="T145" s="22">
        <v>12</v>
      </c>
      <c r="U145" s="24" t="s">
        <v>28</v>
      </c>
      <c r="V145" s="23">
        <v>45704</v>
      </c>
      <c r="W145" s="80" t="s">
        <v>30</v>
      </c>
      <c r="Y145"/>
      <c r="Z145"/>
      <c r="AA145"/>
    </row>
    <row r="146" spans="1:27" ht="15.75" customHeight="1">
      <c r="A146" s="834" t="s">
        <v>24</v>
      </c>
      <c r="B146" s="835">
        <v>143</v>
      </c>
      <c r="C146" s="838" t="s">
        <v>287</v>
      </c>
      <c r="D146" s="838" t="s">
        <v>34</v>
      </c>
      <c r="E146" s="839">
        <v>45682</v>
      </c>
      <c r="F146" s="838" t="s">
        <v>97</v>
      </c>
      <c r="G146" s="838">
        <v>21</v>
      </c>
      <c r="H146" s="838" t="s">
        <v>22</v>
      </c>
      <c r="I146" s="838" t="s">
        <v>28</v>
      </c>
      <c r="J146" s="21" t="s">
        <v>29</v>
      </c>
      <c r="K146" s="21" t="s">
        <v>288</v>
      </c>
      <c r="L146" s="21"/>
      <c r="M146" s="22" t="s">
        <v>30</v>
      </c>
      <c r="N146" s="23">
        <v>45704</v>
      </c>
      <c r="O146" s="21" t="s">
        <v>31</v>
      </c>
      <c r="P146" s="22" t="s">
        <v>30</v>
      </c>
      <c r="Q146" s="23">
        <v>45704</v>
      </c>
      <c r="R146" s="79" t="s">
        <v>28</v>
      </c>
      <c r="S146" s="22" t="s">
        <v>32</v>
      </c>
      <c r="T146" s="22">
        <v>21</v>
      </c>
      <c r="U146" s="24" t="s">
        <v>28</v>
      </c>
      <c r="V146" s="23">
        <v>45704</v>
      </c>
      <c r="W146" s="80" t="s">
        <v>30</v>
      </c>
      <c r="Y146"/>
      <c r="Z146"/>
      <c r="AA146"/>
    </row>
    <row r="147" spans="1:27" ht="15.75" customHeight="1">
      <c r="A147" s="834" t="s">
        <v>24</v>
      </c>
      <c r="B147" s="835">
        <v>144</v>
      </c>
      <c r="C147" s="838" t="s">
        <v>289</v>
      </c>
      <c r="D147" s="838" t="s">
        <v>234</v>
      </c>
      <c r="E147" s="839">
        <v>45682</v>
      </c>
      <c r="F147" s="838" t="s">
        <v>97</v>
      </c>
      <c r="G147" s="838">
        <v>6</v>
      </c>
      <c r="H147" s="838" t="s">
        <v>22</v>
      </c>
      <c r="I147" s="838" t="s">
        <v>28</v>
      </c>
      <c r="J147" s="21" t="s">
        <v>29</v>
      </c>
      <c r="K147" s="21" t="s">
        <v>288</v>
      </c>
      <c r="L147" s="21"/>
      <c r="M147" s="22" t="s">
        <v>30</v>
      </c>
      <c r="N147" s="23">
        <v>45704</v>
      </c>
      <c r="O147" s="21"/>
      <c r="P147" s="22" t="s">
        <v>30</v>
      </c>
      <c r="Q147" s="23">
        <v>45704</v>
      </c>
      <c r="R147" s="79" t="s">
        <v>28</v>
      </c>
      <c r="S147" s="22" t="s">
        <v>32</v>
      </c>
      <c r="T147" s="22">
        <v>6</v>
      </c>
      <c r="U147" s="24" t="s">
        <v>28</v>
      </c>
      <c r="V147" s="23">
        <v>45704</v>
      </c>
      <c r="W147" s="80" t="s">
        <v>30</v>
      </c>
      <c r="Y147"/>
      <c r="Z147"/>
      <c r="AA147"/>
    </row>
    <row r="148" spans="1:27" ht="15.75" customHeight="1">
      <c r="A148" s="834" t="s">
        <v>24</v>
      </c>
      <c r="B148" s="835">
        <v>145</v>
      </c>
      <c r="C148" s="838" t="s">
        <v>290</v>
      </c>
      <c r="D148" s="838" t="s">
        <v>34</v>
      </c>
      <c r="E148" s="839">
        <v>45682</v>
      </c>
      <c r="F148" s="838" t="s">
        <v>65</v>
      </c>
      <c r="G148" s="838">
        <v>7</v>
      </c>
      <c r="H148" s="838" t="s">
        <v>291</v>
      </c>
      <c r="I148" s="838" t="s">
        <v>292</v>
      </c>
      <c r="J148" s="21" t="s">
        <v>29</v>
      </c>
      <c r="K148" s="21"/>
      <c r="L148" s="21"/>
      <c r="M148" s="22" t="s">
        <v>30</v>
      </c>
      <c r="N148" s="23">
        <v>45707</v>
      </c>
      <c r="O148" s="21" t="s">
        <v>66</v>
      </c>
      <c r="P148" s="22" t="s">
        <v>30</v>
      </c>
      <c r="Q148" s="23">
        <v>45707</v>
      </c>
      <c r="R148" s="79" t="s">
        <v>46</v>
      </c>
      <c r="S148" s="22" t="s">
        <v>32</v>
      </c>
      <c r="T148" s="22">
        <v>7</v>
      </c>
      <c r="U148" s="24" t="s">
        <v>46</v>
      </c>
      <c r="V148" s="23">
        <v>45707</v>
      </c>
      <c r="W148" s="80" t="s">
        <v>30</v>
      </c>
      <c r="Y148"/>
      <c r="Z148"/>
      <c r="AA148"/>
    </row>
    <row r="149" spans="1:27" ht="15.75" customHeight="1">
      <c r="A149" s="834" t="s">
        <v>24</v>
      </c>
      <c r="B149" s="835">
        <v>146</v>
      </c>
      <c r="C149" s="21" t="s">
        <v>293</v>
      </c>
      <c r="D149" s="838" t="s">
        <v>234</v>
      </c>
      <c r="E149" s="839">
        <v>45682</v>
      </c>
      <c r="F149" s="838" t="s">
        <v>65</v>
      </c>
      <c r="G149" s="838">
        <v>4</v>
      </c>
      <c r="H149" s="838" t="s">
        <v>46</v>
      </c>
      <c r="I149" s="838" t="s">
        <v>47</v>
      </c>
      <c r="J149" s="21" t="s">
        <v>29</v>
      </c>
      <c r="K149" s="21"/>
      <c r="L149" s="21"/>
      <c r="M149" s="22" t="s">
        <v>30</v>
      </c>
      <c r="N149" s="23">
        <v>45737</v>
      </c>
      <c r="O149" s="21"/>
      <c r="P149" s="22" t="s">
        <v>30</v>
      </c>
      <c r="Q149" s="23">
        <v>45737</v>
      </c>
      <c r="R149" s="79" t="s">
        <v>67</v>
      </c>
      <c r="S149" s="22" t="s">
        <v>32</v>
      </c>
      <c r="T149" s="22">
        <v>4</v>
      </c>
      <c r="U149" s="22" t="s">
        <v>67</v>
      </c>
      <c r="V149" s="23">
        <v>45737</v>
      </c>
      <c r="W149" s="840" t="s">
        <v>30</v>
      </c>
      <c r="Y149"/>
      <c r="Z149"/>
      <c r="AA149"/>
    </row>
    <row r="150" spans="1:27" ht="15.75" customHeight="1">
      <c r="A150" s="834" t="s">
        <v>24</v>
      </c>
      <c r="B150" s="835">
        <v>147</v>
      </c>
      <c r="C150" s="838" t="s">
        <v>294</v>
      </c>
      <c r="D150" s="838" t="s">
        <v>34</v>
      </c>
      <c r="E150" s="839">
        <v>45682</v>
      </c>
      <c r="F150" s="838" t="s">
        <v>65</v>
      </c>
      <c r="G150" s="838">
        <v>6</v>
      </c>
      <c r="H150" s="838" t="s">
        <v>291</v>
      </c>
      <c r="I150" s="838" t="s">
        <v>292</v>
      </c>
      <c r="J150" s="21" t="s">
        <v>29</v>
      </c>
      <c r="K150" s="21"/>
      <c r="L150" s="21"/>
      <c r="M150" s="22" t="s">
        <v>30</v>
      </c>
      <c r="N150" s="23">
        <v>45739</v>
      </c>
      <c r="O150" s="21"/>
      <c r="P150" s="22" t="s">
        <v>30</v>
      </c>
      <c r="Q150" s="23">
        <v>45739</v>
      </c>
      <c r="R150" s="79" t="s">
        <v>67</v>
      </c>
      <c r="S150" s="22" t="s">
        <v>32</v>
      </c>
      <c r="T150" s="22">
        <v>6</v>
      </c>
      <c r="U150" s="22"/>
      <c r="V150" s="23">
        <v>45739</v>
      </c>
      <c r="W150" s="840" t="s">
        <v>30</v>
      </c>
      <c r="Y150" s="776"/>
      <c r="Z150" s="776"/>
      <c r="AA150" s="776"/>
    </row>
    <row r="151" spans="1:27" ht="15.75" customHeight="1">
      <c r="A151" s="834" t="s">
        <v>24</v>
      </c>
      <c r="B151" s="835">
        <v>148</v>
      </c>
      <c r="C151" s="838" t="s">
        <v>295</v>
      </c>
      <c r="D151" s="838" t="s">
        <v>34</v>
      </c>
      <c r="E151" s="839">
        <v>45682</v>
      </c>
      <c r="F151" s="838" t="s">
        <v>296</v>
      </c>
      <c r="G151" s="838">
        <v>10</v>
      </c>
      <c r="H151" s="838" t="s">
        <v>46</v>
      </c>
      <c r="I151" s="838" t="s">
        <v>47</v>
      </c>
      <c r="J151" s="21" t="s">
        <v>29</v>
      </c>
      <c r="K151" s="21"/>
      <c r="L151" s="21"/>
      <c r="M151" s="22" t="s">
        <v>30</v>
      </c>
      <c r="N151" s="23">
        <v>45737</v>
      </c>
      <c r="O151" s="21"/>
      <c r="P151" s="22" t="s">
        <v>30</v>
      </c>
      <c r="Q151" s="23">
        <v>45737</v>
      </c>
      <c r="R151" s="79" t="s">
        <v>67</v>
      </c>
      <c r="S151" s="22" t="s">
        <v>32</v>
      </c>
      <c r="T151" s="22">
        <v>10</v>
      </c>
      <c r="U151" s="24" t="s">
        <v>67</v>
      </c>
      <c r="V151" s="23">
        <v>45737</v>
      </c>
      <c r="W151" s="840" t="s">
        <v>30</v>
      </c>
      <c r="Y151" s="776"/>
      <c r="Z151" s="776"/>
      <c r="AA151" s="776"/>
    </row>
    <row r="152" spans="1:27">
      <c r="A152" s="834" t="s">
        <v>137</v>
      </c>
      <c r="B152" s="835">
        <v>149</v>
      </c>
      <c r="C152" s="838" t="s">
        <v>297</v>
      </c>
      <c r="D152" s="834" t="s">
        <v>298</v>
      </c>
      <c r="E152" s="839">
        <v>45677</v>
      </c>
      <c r="F152" s="838" t="s">
        <v>140</v>
      </c>
      <c r="G152" s="838">
        <v>4</v>
      </c>
      <c r="H152" s="838" t="s">
        <v>21</v>
      </c>
      <c r="I152" s="838" t="s">
        <v>36</v>
      </c>
      <c r="J152" s="21" t="s">
        <v>29</v>
      </c>
      <c r="K152" s="21"/>
      <c r="L152" s="21"/>
      <c r="M152" s="22" t="s">
        <v>30</v>
      </c>
      <c r="N152" s="23">
        <v>45747</v>
      </c>
      <c r="O152" s="21"/>
      <c r="P152" s="22" t="s">
        <v>30</v>
      </c>
      <c r="Q152" s="23">
        <v>45747</v>
      </c>
      <c r="R152" s="24" t="s">
        <v>67</v>
      </c>
      <c r="S152" s="22" t="s">
        <v>32</v>
      </c>
      <c r="T152" s="834">
        <v>4</v>
      </c>
      <c r="U152" s="24" t="s">
        <v>48</v>
      </c>
      <c r="V152" s="23">
        <v>45747</v>
      </c>
      <c r="W152" s="840" t="s">
        <v>113</v>
      </c>
      <c r="Y152" s="776"/>
      <c r="Z152" s="776"/>
      <c r="AA152" s="776"/>
    </row>
    <row r="153" spans="1:27">
      <c r="A153" s="834" t="s">
        <v>137</v>
      </c>
      <c r="B153" s="835">
        <v>150</v>
      </c>
      <c r="C153" s="838" t="s">
        <v>299</v>
      </c>
      <c r="D153" s="834" t="s">
        <v>300</v>
      </c>
      <c r="E153" s="839">
        <v>45677</v>
      </c>
      <c r="F153" s="838" t="s">
        <v>140</v>
      </c>
      <c r="G153" s="838">
        <v>3</v>
      </c>
      <c r="H153" s="838" t="s">
        <v>301</v>
      </c>
      <c r="I153" s="838" t="s">
        <v>302</v>
      </c>
      <c r="J153" s="21" t="s">
        <v>29</v>
      </c>
      <c r="K153" s="21"/>
      <c r="L153" s="21"/>
      <c r="M153" s="22" t="s">
        <v>30</v>
      </c>
      <c r="N153" s="23">
        <v>45747</v>
      </c>
      <c r="O153" s="21"/>
      <c r="P153" s="22" t="s">
        <v>30</v>
      </c>
      <c r="Q153" s="23">
        <v>45747</v>
      </c>
      <c r="R153" s="24" t="s">
        <v>67</v>
      </c>
      <c r="S153" s="22" t="s">
        <v>32</v>
      </c>
      <c r="T153" s="834">
        <v>3</v>
      </c>
      <c r="U153" s="24" t="s">
        <v>48</v>
      </c>
      <c r="V153" s="23">
        <v>45747</v>
      </c>
      <c r="W153" s="840" t="s">
        <v>113</v>
      </c>
      <c r="Y153"/>
      <c r="Z153"/>
      <c r="AA153"/>
    </row>
    <row r="154" spans="1:27">
      <c r="A154" s="834" t="s">
        <v>137</v>
      </c>
      <c r="B154" s="835">
        <v>151</v>
      </c>
      <c r="C154" s="838" t="s">
        <v>303</v>
      </c>
      <c r="D154" s="834" t="s">
        <v>304</v>
      </c>
      <c r="E154" s="839">
        <v>45677</v>
      </c>
      <c r="F154" s="838" t="s">
        <v>140</v>
      </c>
      <c r="G154" s="838">
        <v>1</v>
      </c>
      <c r="H154" s="838" t="s">
        <v>21</v>
      </c>
      <c r="I154" s="838" t="s">
        <v>36</v>
      </c>
      <c r="J154" s="21" t="s">
        <v>29</v>
      </c>
      <c r="K154" s="21"/>
      <c r="L154" s="21"/>
      <c r="M154" s="22" t="s">
        <v>30</v>
      </c>
      <c r="N154" s="23">
        <v>45747</v>
      </c>
      <c r="O154" s="21"/>
      <c r="P154" s="22" t="s">
        <v>30</v>
      </c>
      <c r="Q154" s="23">
        <v>45747</v>
      </c>
      <c r="R154" s="24" t="s">
        <v>67</v>
      </c>
      <c r="S154" s="22" t="s">
        <v>32</v>
      </c>
      <c r="T154" s="834">
        <v>1</v>
      </c>
      <c r="U154" s="24" t="s">
        <v>48</v>
      </c>
      <c r="V154" s="23">
        <v>45747</v>
      </c>
      <c r="W154" s="840" t="s">
        <v>113</v>
      </c>
      <c r="Y154"/>
      <c r="Z154"/>
      <c r="AA154"/>
    </row>
    <row r="155" spans="1:27">
      <c r="A155" s="834" t="s">
        <v>137</v>
      </c>
      <c r="B155" s="835">
        <v>152</v>
      </c>
      <c r="C155" s="838" t="s">
        <v>305</v>
      </c>
      <c r="D155" s="834" t="s">
        <v>306</v>
      </c>
      <c r="E155" s="839">
        <v>45677</v>
      </c>
      <c r="F155" s="838" t="s">
        <v>140</v>
      </c>
      <c r="G155" s="838">
        <v>3</v>
      </c>
      <c r="H155" s="838" t="s">
        <v>291</v>
      </c>
      <c r="I155" s="838" t="s">
        <v>292</v>
      </c>
      <c r="J155" s="21" t="s">
        <v>29</v>
      </c>
      <c r="K155" s="21"/>
      <c r="L155" s="21"/>
      <c r="M155" s="22" t="s">
        <v>30</v>
      </c>
      <c r="N155" s="23">
        <v>45747</v>
      </c>
      <c r="O155" s="21"/>
      <c r="P155" s="22" t="s">
        <v>30</v>
      </c>
      <c r="Q155" s="23">
        <v>45747</v>
      </c>
      <c r="R155" s="24" t="s">
        <v>67</v>
      </c>
      <c r="S155" s="22" t="s">
        <v>32</v>
      </c>
      <c r="T155" s="834">
        <v>3</v>
      </c>
      <c r="U155" s="24" t="s">
        <v>48</v>
      </c>
      <c r="V155" s="23">
        <v>45747</v>
      </c>
      <c r="W155" s="840" t="s">
        <v>113</v>
      </c>
      <c r="Y155"/>
      <c r="Z155"/>
      <c r="AA155"/>
    </row>
    <row r="156" spans="1:27">
      <c r="A156" s="834" t="s">
        <v>137</v>
      </c>
      <c r="B156" s="835">
        <v>153</v>
      </c>
      <c r="C156" s="838" t="s">
        <v>307</v>
      </c>
      <c r="D156" s="834" t="s">
        <v>308</v>
      </c>
      <c r="E156" s="839">
        <v>45677</v>
      </c>
      <c r="F156" s="838" t="s">
        <v>140</v>
      </c>
      <c r="G156" s="838">
        <v>2</v>
      </c>
      <c r="H156" s="838" t="s">
        <v>22</v>
      </c>
      <c r="I156" s="838" t="s">
        <v>28</v>
      </c>
      <c r="J156" s="21" t="s">
        <v>29</v>
      </c>
      <c r="K156" s="21"/>
      <c r="L156" s="21"/>
      <c r="M156" s="22" t="s">
        <v>30</v>
      </c>
      <c r="N156" s="23">
        <v>45679</v>
      </c>
      <c r="O156" s="21"/>
      <c r="P156" s="22" t="s">
        <v>30</v>
      </c>
      <c r="Q156" s="23">
        <v>45679</v>
      </c>
      <c r="R156" s="24" t="s">
        <v>28</v>
      </c>
      <c r="S156" s="22" t="s">
        <v>32</v>
      </c>
      <c r="T156" s="834">
        <v>2</v>
      </c>
      <c r="U156" s="22" t="s">
        <v>28</v>
      </c>
      <c r="V156" s="23">
        <v>45679</v>
      </c>
      <c r="W156" s="840" t="s">
        <v>113</v>
      </c>
      <c r="Y156"/>
      <c r="Z156"/>
      <c r="AA156"/>
    </row>
    <row r="157" spans="1:27">
      <c r="A157" s="834" t="s">
        <v>137</v>
      </c>
      <c r="B157" s="835">
        <v>154</v>
      </c>
      <c r="C157" s="838" t="s">
        <v>309</v>
      </c>
      <c r="D157" s="834" t="s">
        <v>221</v>
      </c>
      <c r="E157" s="839">
        <v>45677</v>
      </c>
      <c r="F157" s="838" t="s">
        <v>140</v>
      </c>
      <c r="G157" s="838">
        <v>9</v>
      </c>
      <c r="H157" s="838" t="s">
        <v>310</v>
      </c>
      <c r="I157" s="838" t="s">
        <v>311</v>
      </c>
      <c r="J157" s="21" t="s">
        <v>29</v>
      </c>
      <c r="K157" s="21"/>
      <c r="L157" s="21"/>
      <c r="M157" s="22" t="s">
        <v>30</v>
      </c>
      <c r="N157" s="23">
        <v>45747</v>
      </c>
      <c r="O157" s="21"/>
      <c r="P157" s="22" t="s">
        <v>30</v>
      </c>
      <c r="Q157" s="23">
        <v>45747</v>
      </c>
      <c r="R157" s="24" t="s">
        <v>67</v>
      </c>
      <c r="S157" s="22" t="s">
        <v>32</v>
      </c>
      <c r="T157" s="834">
        <v>9</v>
      </c>
      <c r="U157" s="24" t="s">
        <v>48</v>
      </c>
      <c r="V157" s="23">
        <v>45747</v>
      </c>
      <c r="W157" s="840" t="s">
        <v>113</v>
      </c>
      <c r="Y157"/>
      <c r="Z157"/>
      <c r="AA157"/>
    </row>
    <row r="158" spans="1:27">
      <c r="A158" s="834" t="s">
        <v>137</v>
      </c>
      <c r="B158" s="835">
        <v>155</v>
      </c>
      <c r="C158" s="838" t="s">
        <v>312</v>
      </c>
      <c r="D158" s="834" t="s">
        <v>313</v>
      </c>
      <c r="E158" s="839">
        <v>45677</v>
      </c>
      <c r="F158" s="838" t="s">
        <v>140</v>
      </c>
      <c r="G158" s="838">
        <v>3</v>
      </c>
      <c r="H158" s="838" t="s">
        <v>78</v>
      </c>
      <c r="I158" s="838" t="s">
        <v>79</v>
      </c>
      <c r="J158" s="21" t="s">
        <v>29</v>
      </c>
      <c r="K158" s="21"/>
      <c r="L158" s="21"/>
      <c r="M158" s="22" t="s">
        <v>30</v>
      </c>
      <c r="N158" s="23">
        <v>45747</v>
      </c>
      <c r="O158" s="21"/>
      <c r="P158" s="22" t="s">
        <v>30</v>
      </c>
      <c r="Q158" s="23">
        <v>45747</v>
      </c>
      <c r="R158" s="24" t="s">
        <v>67</v>
      </c>
      <c r="S158" s="22" t="s">
        <v>32</v>
      </c>
      <c r="T158" s="834">
        <v>3</v>
      </c>
      <c r="U158" s="24" t="s">
        <v>48</v>
      </c>
      <c r="V158" s="23">
        <v>45747</v>
      </c>
      <c r="W158" s="840" t="s">
        <v>113</v>
      </c>
      <c r="Y158"/>
      <c r="Z158"/>
      <c r="AA158"/>
    </row>
    <row r="159" spans="1:27">
      <c r="A159" s="834" t="s">
        <v>137</v>
      </c>
      <c r="B159" s="835">
        <v>156</v>
      </c>
      <c r="C159" s="838" t="s">
        <v>314</v>
      </c>
      <c r="D159" s="834" t="s">
        <v>315</v>
      </c>
      <c r="E159" s="839">
        <v>45677</v>
      </c>
      <c r="F159" s="838" t="s">
        <v>140</v>
      </c>
      <c r="G159" s="838">
        <v>1</v>
      </c>
      <c r="H159" s="838" t="s">
        <v>21</v>
      </c>
      <c r="I159" s="838" t="s">
        <v>36</v>
      </c>
      <c r="J159" s="21" t="s">
        <v>29</v>
      </c>
      <c r="K159" s="21"/>
      <c r="L159" s="21"/>
      <c r="M159" s="22" t="s">
        <v>30</v>
      </c>
      <c r="N159" s="23">
        <v>45747</v>
      </c>
      <c r="O159" s="21"/>
      <c r="P159" s="22" t="s">
        <v>30</v>
      </c>
      <c r="Q159" s="23">
        <v>45747</v>
      </c>
      <c r="R159" s="24" t="s">
        <v>67</v>
      </c>
      <c r="S159" s="22" t="s">
        <v>32</v>
      </c>
      <c r="T159" s="834">
        <v>1</v>
      </c>
      <c r="U159" s="24" t="s">
        <v>48</v>
      </c>
      <c r="V159" s="23">
        <v>45747</v>
      </c>
      <c r="W159" s="840" t="s">
        <v>113</v>
      </c>
      <c r="Y159" s="776"/>
      <c r="Z159" s="776"/>
      <c r="AA159" s="776"/>
    </row>
    <row r="160" spans="1:27">
      <c r="A160" s="834" t="s">
        <v>137</v>
      </c>
      <c r="B160" s="835">
        <v>157</v>
      </c>
      <c r="C160" s="838" t="s">
        <v>316</v>
      </c>
      <c r="D160" s="834" t="s">
        <v>317</v>
      </c>
      <c r="E160" s="839">
        <v>45677</v>
      </c>
      <c r="F160" s="838" t="s">
        <v>140</v>
      </c>
      <c r="G160" s="838">
        <v>5</v>
      </c>
      <c r="H160" s="838" t="s">
        <v>46</v>
      </c>
      <c r="I160" s="838" t="s">
        <v>47</v>
      </c>
      <c r="J160" s="21" t="s">
        <v>29</v>
      </c>
      <c r="K160" s="21"/>
      <c r="L160" s="21"/>
      <c r="M160" s="22" t="s">
        <v>30</v>
      </c>
      <c r="N160" s="23">
        <v>45747</v>
      </c>
      <c r="O160" s="21"/>
      <c r="P160" s="22" t="s">
        <v>30</v>
      </c>
      <c r="Q160" s="23">
        <v>45747</v>
      </c>
      <c r="R160" s="24" t="s">
        <v>67</v>
      </c>
      <c r="S160" s="22" t="s">
        <v>32</v>
      </c>
      <c r="T160" s="834">
        <v>5</v>
      </c>
      <c r="U160" s="24" t="s">
        <v>48</v>
      </c>
      <c r="V160" s="23">
        <v>45747</v>
      </c>
      <c r="W160" s="840" t="s">
        <v>113</v>
      </c>
      <c r="Y160" s="776"/>
      <c r="Z160" s="776"/>
      <c r="AA160" s="776"/>
    </row>
    <row r="161" spans="1:30">
      <c r="A161" s="834" t="s">
        <v>137</v>
      </c>
      <c r="B161" s="835">
        <v>158</v>
      </c>
      <c r="C161" s="838" t="s">
        <v>318</v>
      </c>
      <c r="D161" s="834" t="s">
        <v>225</v>
      </c>
      <c r="E161" s="839">
        <v>45677</v>
      </c>
      <c r="F161" s="838" t="s">
        <v>140</v>
      </c>
      <c r="G161" s="838">
        <v>1</v>
      </c>
      <c r="H161" s="838" t="s">
        <v>21</v>
      </c>
      <c r="I161" s="838" t="s">
        <v>36</v>
      </c>
      <c r="J161" s="21" t="s">
        <v>29</v>
      </c>
      <c r="K161" s="21"/>
      <c r="L161" s="21"/>
      <c r="M161" s="22" t="s">
        <v>30</v>
      </c>
      <c r="N161" s="23">
        <v>45747</v>
      </c>
      <c r="O161" s="21"/>
      <c r="P161" s="22" t="s">
        <v>30</v>
      </c>
      <c r="Q161" s="23">
        <v>45747</v>
      </c>
      <c r="R161" s="24" t="s">
        <v>67</v>
      </c>
      <c r="S161" s="22" t="s">
        <v>32</v>
      </c>
      <c r="T161" s="834">
        <v>1</v>
      </c>
      <c r="U161" s="24" t="s">
        <v>48</v>
      </c>
      <c r="V161" s="23">
        <v>45747</v>
      </c>
      <c r="W161" s="840" t="s">
        <v>113</v>
      </c>
      <c r="Y161" s="776"/>
      <c r="Z161" s="776"/>
      <c r="AA161" s="776"/>
    </row>
    <row r="162" spans="1:30">
      <c r="A162" s="834" t="s">
        <v>137</v>
      </c>
      <c r="B162" s="835">
        <v>159</v>
      </c>
      <c r="C162" s="838" t="s">
        <v>319</v>
      </c>
      <c r="D162" s="834" t="s">
        <v>320</v>
      </c>
      <c r="E162" s="839">
        <v>45677</v>
      </c>
      <c r="F162" s="838" t="s">
        <v>140</v>
      </c>
      <c r="G162" s="838">
        <v>1</v>
      </c>
      <c r="H162" s="838" t="s">
        <v>21</v>
      </c>
      <c r="I162" s="838" t="s">
        <v>36</v>
      </c>
      <c r="J162" s="21" t="s">
        <v>29</v>
      </c>
      <c r="K162" s="21"/>
      <c r="L162" s="21"/>
      <c r="M162" s="22" t="s">
        <v>30</v>
      </c>
      <c r="N162" s="23">
        <v>45747</v>
      </c>
      <c r="O162" s="21"/>
      <c r="P162" s="22" t="s">
        <v>30</v>
      </c>
      <c r="Q162" s="23">
        <v>45747</v>
      </c>
      <c r="R162" s="24" t="s">
        <v>67</v>
      </c>
      <c r="S162" s="22" t="s">
        <v>32</v>
      </c>
      <c r="T162" s="834">
        <v>1</v>
      </c>
      <c r="U162" s="24" t="s">
        <v>48</v>
      </c>
      <c r="V162" s="23">
        <v>45747</v>
      </c>
      <c r="W162" s="840" t="s">
        <v>113</v>
      </c>
      <c r="Y162"/>
      <c r="Z162"/>
      <c r="AA162"/>
    </row>
    <row r="163" spans="1:30">
      <c r="A163" s="834" t="s">
        <v>137</v>
      </c>
      <c r="B163" s="835">
        <v>160</v>
      </c>
      <c r="C163" s="838" t="s">
        <v>321</v>
      </c>
      <c r="D163" s="834" t="s">
        <v>322</v>
      </c>
      <c r="E163" s="839">
        <v>45677</v>
      </c>
      <c r="F163" s="838" t="s">
        <v>140</v>
      </c>
      <c r="G163" s="838">
        <v>10</v>
      </c>
      <c r="H163" s="838" t="s">
        <v>21</v>
      </c>
      <c r="I163" s="838" t="s">
        <v>36</v>
      </c>
      <c r="J163" s="21" t="s">
        <v>29</v>
      </c>
      <c r="K163" s="21"/>
      <c r="L163" s="21"/>
      <c r="M163" s="22" t="s">
        <v>30</v>
      </c>
      <c r="N163" s="23">
        <v>45747</v>
      </c>
      <c r="O163" s="21"/>
      <c r="P163" s="22" t="s">
        <v>30</v>
      </c>
      <c r="Q163" s="23">
        <v>45747</v>
      </c>
      <c r="R163" s="24" t="s">
        <v>67</v>
      </c>
      <c r="S163" s="22" t="s">
        <v>32</v>
      </c>
      <c r="T163" s="834">
        <v>10</v>
      </c>
      <c r="U163" s="24" t="s">
        <v>48</v>
      </c>
      <c r="V163" s="23">
        <v>45747</v>
      </c>
      <c r="W163" s="840" t="s">
        <v>113</v>
      </c>
      <c r="Y163"/>
      <c r="Z163"/>
      <c r="AA163"/>
    </row>
    <row r="164" spans="1:30" ht="15.75" customHeight="1">
      <c r="A164" s="834" t="s">
        <v>24</v>
      </c>
      <c r="B164" s="835">
        <v>161</v>
      </c>
      <c r="C164" s="838" t="s">
        <v>323</v>
      </c>
      <c r="D164" s="838" t="s">
        <v>178</v>
      </c>
      <c r="E164" s="839">
        <v>45684</v>
      </c>
      <c r="F164" s="838" t="s">
        <v>324</v>
      </c>
      <c r="G164" s="838">
        <v>6</v>
      </c>
      <c r="H164" s="838" t="s">
        <v>21</v>
      </c>
      <c r="I164" s="838" t="s">
        <v>36</v>
      </c>
      <c r="J164" s="21" t="s">
        <v>29</v>
      </c>
      <c r="K164" s="21" t="s">
        <v>325</v>
      </c>
      <c r="L164" s="21"/>
      <c r="M164" s="22"/>
      <c r="N164" s="23">
        <v>45746</v>
      </c>
      <c r="O164" s="21"/>
      <c r="P164" s="22"/>
      <c r="Q164" s="23">
        <v>45746</v>
      </c>
      <c r="R164" s="79" t="s">
        <v>48</v>
      </c>
      <c r="S164" s="22"/>
      <c r="T164" s="22"/>
      <c r="U164" s="22"/>
      <c r="V164" s="23"/>
      <c r="W164" s="840" t="s">
        <v>32</v>
      </c>
      <c r="Y164"/>
      <c r="Z164"/>
      <c r="AA164"/>
    </row>
    <row r="165" spans="1:30" ht="15.75" customHeight="1">
      <c r="A165" s="834" t="s">
        <v>24</v>
      </c>
      <c r="B165" s="835">
        <v>162</v>
      </c>
      <c r="C165" s="838" t="s">
        <v>326</v>
      </c>
      <c r="D165" s="838" t="s">
        <v>64</v>
      </c>
      <c r="E165" s="839">
        <v>45686</v>
      </c>
      <c r="F165" s="838" t="s">
        <v>247</v>
      </c>
      <c r="G165" s="838">
        <v>5</v>
      </c>
      <c r="H165" s="838" t="s">
        <v>46</v>
      </c>
      <c r="I165" s="838" t="s">
        <v>47</v>
      </c>
      <c r="J165" s="21" t="s">
        <v>29</v>
      </c>
      <c r="K165" s="21" t="s">
        <v>248</v>
      </c>
      <c r="L165" s="21"/>
      <c r="M165" s="22" t="s">
        <v>32</v>
      </c>
      <c r="N165" s="23">
        <v>45698</v>
      </c>
      <c r="O165" s="21" t="s">
        <v>66</v>
      </c>
      <c r="P165" s="22" t="s">
        <v>32</v>
      </c>
      <c r="Q165" s="23">
        <v>45698</v>
      </c>
      <c r="R165" s="79" t="s">
        <v>46</v>
      </c>
      <c r="S165" s="22" t="s">
        <v>32</v>
      </c>
      <c r="T165" s="22">
        <v>5</v>
      </c>
      <c r="U165" s="24" t="s">
        <v>46</v>
      </c>
      <c r="V165" s="23">
        <v>45698</v>
      </c>
      <c r="W165" s="80" t="s">
        <v>30</v>
      </c>
      <c r="Y165"/>
      <c r="Z165"/>
      <c r="AA165"/>
    </row>
    <row r="166" spans="1:30" ht="15.75" customHeight="1">
      <c r="A166" s="834" t="s">
        <v>24</v>
      </c>
      <c r="B166" s="835">
        <v>163</v>
      </c>
      <c r="C166" s="838" t="s">
        <v>327</v>
      </c>
      <c r="D166" s="838" t="s">
        <v>50</v>
      </c>
      <c r="E166" s="839">
        <v>45686</v>
      </c>
      <c r="F166" s="838" t="s">
        <v>247</v>
      </c>
      <c r="G166" s="838">
        <v>5</v>
      </c>
      <c r="H166" s="838" t="s">
        <v>46</v>
      </c>
      <c r="I166" s="838" t="s">
        <v>47</v>
      </c>
      <c r="J166" s="21" t="s">
        <v>29</v>
      </c>
      <c r="K166" s="21" t="s">
        <v>248</v>
      </c>
      <c r="L166" s="21"/>
      <c r="M166" s="22" t="s">
        <v>32</v>
      </c>
      <c r="N166" s="23">
        <v>45698</v>
      </c>
      <c r="O166" s="21"/>
      <c r="P166" s="22" t="s">
        <v>32</v>
      </c>
      <c r="Q166" s="23">
        <v>45698</v>
      </c>
      <c r="R166" s="79" t="s">
        <v>46</v>
      </c>
      <c r="S166" s="22" t="s">
        <v>32</v>
      </c>
      <c r="T166" s="22">
        <v>5</v>
      </c>
      <c r="U166" s="24" t="s">
        <v>46</v>
      </c>
      <c r="V166" s="23">
        <v>45698</v>
      </c>
      <c r="W166" s="80" t="s">
        <v>30</v>
      </c>
      <c r="Y166"/>
      <c r="Z166"/>
      <c r="AA166"/>
    </row>
    <row r="167" spans="1:30" ht="15.75" customHeight="1">
      <c r="A167" s="834" t="s">
        <v>24</v>
      </c>
      <c r="B167" s="835">
        <v>164</v>
      </c>
      <c r="C167" s="838" t="s">
        <v>328</v>
      </c>
      <c r="D167" s="838" t="s">
        <v>43</v>
      </c>
      <c r="E167" s="839">
        <v>45686</v>
      </c>
      <c r="F167" s="838" t="s">
        <v>247</v>
      </c>
      <c r="G167" s="838">
        <v>5</v>
      </c>
      <c r="H167" s="838" t="s">
        <v>46</v>
      </c>
      <c r="I167" s="838" t="s">
        <v>47</v>
      </c>
      <c r="J167" s="21" t="s">
        <v>29</v>
      </c>
      <c r="K167" s="21" t="s">
        <v>248</v>
      </c>
      <c r="L167" s="21"/>
      <c r="M167" s="22" t="s">
        <v>32</v>
      </c>
      <c r="N167" s="23">
        <v>45698</v>
      </c>
      <c r="O167" s="21"/>
      <c r="P167" s="22" t="s">
        <v>32</v>
      </c>
      <c r="Q167" s="23">
        <v>45698</v>
      </c>
      <c r="R167" s="79" t="s">
        <v>46</v>
      </c>
      <c r="S167" s="22" t="s">
        <v>32</v>
      </c>
      <c r="T167" s="22">
        <v>5</v>
      </c>
      <c r="U167" s="24" t="s">
        <v>46</v>
      </c>
      <c r="V167" s="23">
        <v>45698</v>
      </c>
      <c r="W167" s="80" t="s">
        <v>30</v>
      </c>
      <c r="Y167"/>
      <c r="Z167"/>
      <c r="AA167"/>
    </row>
    <row r="168" spans="1:30" ht="15.75" customHeight="1">
      <c r="A168" s="834" t="s">
        <v>24</v>
      </c>
      <c r="B168" s="835">
        <v>165</v>
      </c>
      <c r="C168" s="838" t="s">
        <v>329</v>
      </c>
      <c r="D168" s="838" t="s">
        <v>43</v>
      </c>
      <c r="E168" s="839">
        <v>45688</v>
      </c>
      <c r="F168" s="838" t="s">
        <v>104</v>
      </c>
      <c r="G168" s="838">
        <v>13</v>
      </c>
      <c r="H168" s="838" t="s">
        <v>22</v>
      </c>
      <c r="I168" s="838" t="s">
        <v>28</v>
      </c>
      <c r="J168" s="21" t="s">
        <v>29</v>
      </c>
      <c r="K168" s="21" t="s">
        <v>330</v>
      </c>
      <c r="L168" s="21"/>
      <c r="M168" s="22" t="s">
        <v>30</v>
      </c>
      <c r="N168" s="23">
        <v>45716</v>
      </c>
      <c r="O168" s="21"/>
      <c r="P168" s="22" t="s">
        <v>30</v>
      </c>
      <c r="Q168" s="23">
        <v>45716</v>
      </c>
      <c r="R168" s="79" t="s">
        <v>28</v>
      </c>
      <c r="S168" s="22" t="s">
        <v>32</v>
      </c>
      <c r="T168" s="22">
        <v>13</v>
      </c>
      <c r="U168" s="24" t="s">
        <v>28</v>
      </c>
      <c r="V168" s="23">
        <v>45716</v>
      </c>
      <c r="W168" s="80" t="s">
        <v>30</v>
      </c>
      <c r="Y168"/>
      <c r="Z168"/>
      <c r="AA168"/>
    </row>
    <row r="169" spans="1:30">
      <c r="A169" s="834" t="s">
        <v>137</v>
      </c>
      <c r="B169" s="835">
        <v>166</v>
      </c>
      <c r="C169" s="838" t="s">
        <v>331</v>
      </c>
      <c r="D169" s="834" t="s">
        <v>332</v>
      </c>
      <c r="E169" s="839">
        <v>45684</v>
      </c>
      <c r="F169" s="838" t="s">
        <v>140</v>
      </c>
      <c r="G169" s="838">
        <v>5</v>
      </c>
      <c r="H169" s="838" t="s">
        <v>22</v>
      </c>
      <c r="I169" s="838" t="s">
        <v>28</v>
      </c>
      <c r="J169" s="21" t="s">
        <v>29</v>
      </c>
      <c r="K169" s="21"/>
      <c r="L169" s="21"/>
      <c r="M169" s="22" t="s">
        <v>30</v>
      </c>
      <c r="N169" s="23">
        <v>45747</v>
      </c>
      <c r="O169" s="21"/>
      <c r="P169" s="22" t="s">
        <v>30</v>
      </c>
      <c r="Q169" s="23">
        <v>45747</v>
      </c>
      <c r="R169" s="24" t="s">
        <v>67</v>
      </c>
      <c r="S169" s="22" t="s">
        <v>32</v>
      </c>
      <c r="T169" s="22"/>
      <c r="U169" s="24" t="s">
        <v>48</v>
      </c>
      <c r="V169" s="23">
        <v>45748</v>
      </c>
      <c r="W169" s="840" t="s">
        <v>113</v>
      </c>
      <c r="Y169" s="776"/>
      <c r="Z169" s="776"/>
      <c r="AA169" s="776"/>
    </row>
    <row r="170" spans="1:30">
      <c r="A170" s="834" t="s">
        <v>137</v>
      </c>
      <c r="B170" s="835">
        <v>167</v>
      </c>
      <c r="C170" s="838" t="s">
        <v>333</v>
      </c>
      <c r="D170" s="834" t="s">
        <v>334</v>
      </c>
      <c r="E170" s="839">
        <v>45684</v>
      </c>
      <c r="F170" s="838" t="s">
        <v>140</v>
      </c>
      <c r="G170" s="838">
        <v>6</v>
      </c>
      <c r="H170" s="838" t="s">
        <v>22</v>
      </c>
      <c r="I170" s="838" t="s">
        <v>28</v>
      </c>
      <c r="J170" s="21" t="s">
        <v>29</v>
      </c>
      <c r="K170" s="21"/>
      <c r="L170" s="21"/>
      <c r="M170" s="22" t="s">
        <v>30</v>
      </c>
      <c r="N170" s="23">
        <v>45747</v>
      </c>
      <c r="O170" s="21"/>
      <c r="P170" s="22" t="s">
        <v>30</v>
      </c>
      <c r="Q170" s="23">
        <v>45747</v>
      </c>
      <c r="R170" s="24" t="s">
        <v>67</v>
      </c>
      <c r="S170" s="22" t="s">
        <v>32</v>
      </c>
      <c r="T170" s="22"/>
      <c r="U170" s="24" t="s">
        <v>48</v>
      </c>
      <c r="V170" s="23">
        <v>45748</v>
      </c>
      <c r="W170" s="840" t="s">
        <v>113</v>
      </c>
      <c r="Y170" s="776"/>
      <c r="Z170" s="776"/>
      <c r="AA170" s="776"/>
    </row>
    <row r="171" spans="1:30">
      <c r="A171" s="834" t="s">
        <v>137</v>
      </c>
      <c r="B171" s="835">
        <v>168</v>
      </c>
      <c r="C171" s="838" t="s">
        <v>335</v>
      </c>
      <c r="D171" s="834" t="s">
        <v>336</v>
      </c>
      <c r="E171" s="839">
        <v>45684</v>
      </c>
      <c r="F171" s="838" t="s">
        <v>140</v>
      </c>
      <c r="G171" s="838">
        <v>1</v>
      </c>
      <c r="H171" s="838" t="s">
        <v>21</v>
      </c>
      <c r="I171" s="838" t="s">
        <v>36</v>
      </c>
      <c r="J171" s="21" t="s">
        <v>29</v>
      </c>
      <c r="K171" s="21"/>
      <c r="L171" s="21"/>
      <c r="M171" s="22" t="s">
        <v>30</v>
      </c>
      <c r="N171" s="23">
        <v>45747</v>
      </c>
      <c r="O171" s="21"/>
      <c r="P171" s="22" t="s">
        <v>30</v>
      </c>
      <c r="Q171" s="23">
        <v>45747</v>
      </c>
      <c r="R171" s="24" t="s">
        <v>67</v>
      </c>
      <c r="S171" s="22" t="s">
        <v>32</v>
      </c>
      <c r="T171" s="22"/>
      <c r="U171" s="24" t="s">
        <v>48</v>
      </c>
      <c r="V171" s="23">
        <v>45748</v>
      </c>
      <c r="W171" s="840" t="s">
        <v>113</v>
      </c>
      <c r="Y171" s="776"/>
      <c r="Z171" s="776"/>
      <c r="AA171" s="776"/>
    </row>
    <row r="172" spans="1:30">
      <c r="A172" s="834" t="s">
        <v>137</v>
      </c>
      <c r="B172" s="835">
        <v>169</v>
      </c>
      <c r="C172" s="838" t="s">
        <v>337</v>
      </c>
      <c r="D172" s="834" t="s">
        <v>338</v>
      </c>
      <c r="E172" s="839">
        <v>45684</v>
      </c>
      <c r="F172" s="838" t="s">
        <v>140</v>
      </c>
      <c r="G172" s="838">
        <v>1</v>
      </c>
      <c r="H172" s="838" t="s">
        <v>22</v>
      </c>
      <c r="I172" s="838" t="s">
        <v>28</v>
      </c>
      <c r="J172" s="21" t="s">
        <v>29</v>
      </c>
      <c r="K172" s="21"/>
      <c r="L172" s="21"/>
      <c r="M172" s="22" t="s">
        <v>30</v>
      </c>
      <c r="N172" s="23">
        <v>45747</v>
      </c>
      <c r="O172" s="21"/>
      <c r="P172" s="22" t="s">
        <v>30</v>
      </c>
      <c r="Q172" s="23">
        <v>45747</v>
      </c>
      <c r="R172" s="24" t="s">
        <v>67</v>
      </c>
      <c r="S172" s="22" t="s">
        <v>32</v>
      </c>
      <c r="T172" s="22"/>
      <c r="U172" s="24" t="s">
        <v>48</v>
      </c>
      <c r="V172" s="23">
        <v>45748</v>
      </c>
      <c r="W172" s="840" t="s">
        <v>113</v>
      </c>
      <c r="Y172" s="776"/>
      <c r="Z172" s="776"/>
      <c r="AA172"/>
    </row>
    <row r="173" spans="1:30">
      <c r="A173" s="834" t="s">
        <v>137</v>
      </c>
      <c r="B173" s="835">
        <v>170</v>
      </c>
      <c r="C173" s="838" t="s">
        <v>339</v>
      </c>
      <c r="D173" s="834" t="s">
        <v>149</v>
      </c>
      <c r="E173" s="839">
        <v>45684</v>
      </c>
      <c r="F173" s="838" t="s">
        <v>140</v>
      </c>
      <c r="G173" s="838">
        <v>30</v>
      </c>
      <c r="H173" s="838" t="s">
        <v>310</v>
      </c>
      <c r="I173" s="838" t="s">
        <v>311</v>
      </c>
      <c r="J173" s="21" t="s">
        <v>29</v>
      </c>
      <c r="K173" s="21"/>
      <c r="L173" s="21"/>
      <c r="M173" s="22" t="s">
        <v>30</v>
      </c>
      <c r="N173" s="23">
        <v>45747</v>
      </c>
      <c r="O173" s="21" t="s">
        <v>31</v>
      </c>
      <c r="P173" s="22" t="s">
        <v>30</v>
      </c>
      <c r="Q173" s="23">
        <v>45747</v>
      </c>
      <c r="R173" s="24" t="s">
        <v>67</v>
      </c>
      <c r="S173" s="22" t="s">
        <v>32</v>
      </c>
      <c r="T173" s="22"/>
      <c r="U173" s="24" t="s">
        <v>48</v>
      </c>
      <c r="V173" s="23">
        <v>45748</v>
      </c>
      <c r="W173" s="840" t="s">
        <v>113</v>
      </c>
      <c r="X173">
        <v>9</v>
      </c>
      <c r="Y173">
        <v>2</v>
      </c>
      <c r="Z173">
        <v>19</v>
      </c>
      <c r="AA173">
        <f>SUBTOTAL(9,X173:Z173)</f>
        <v>30</v>
      </c>
      <c r="AB173" s="74">
        <f t="shared" ref="AB173:AD174" si="0">+X173/$AA173*AB$1</f>
        <v>2.6999999999999997</v>
      </c>
      <c r="AC173" s="74">
        <f t="shared" si="0"/>
        <v>0.4</v>
      </c>
      <c r="AD173" s="74">
        <f t="shared" si="0"/>
        <v>1.9</v>
      </c>
    </row>
    <row r="174" spans="1:30">
      <c r="A174" s="834" t="s">
        <v>137</v>
      </c>
      <c r="B174" s="835">
        <v>171</v>
      </c>
      <c r="C174" s="838" t="s">
        <v>340</v>
      </c>
      <c r="D174" s="834" t="s">
        <v>147</v>
      </c>
      <c r="E174" s="839">
        <v>45684</v>
      </c>
      <c r="F174" s="838" t="s">
        <v>140</v>
      </c>
      <c r="G174" s="838">
        <v>27</v>
      </c>
      <c r="H174" s="838" t="s">
        <v>78</v>
      </c>
      <c r="I174" s="838" t="s">
        <v>79</v>
      </c>
      <c r="J174" s="21" t="s">
        <v>29</v>
      </c>
      <c r="K174" s="21"/>
      <c r="L174" s="21"/>
      <c r="M174" s="22" t="s">
        <v>30</v>
      </c>
      <c r="N174" s="23">
        <v>45747</v>
      </c>
      <c r="O174" s="21" t="s">
        <v>31</v>
      </c>
      <c r="P174" s="22" t="s">
        <v>30</v>
      </c>
      <c r="Q174" s="23">
        <v>45747</v>
      </c>
      <c r="R174" s="24" t="s">
        <v>67</v>
      </c>
      <c r="S174" s="22" t="s">
        <v>32</v>
      </c>
      <c r="T174" s="22"/>
      <c r="U174" s="24" t="s">
        <v>48</v>
      </c>
      <c r="V174" s="23">
        <v>45748</v>
      </c>
      <c r="W174" s="840" t="s">
        <v>113</v>
      </c>
      <c r="X174">
        <v>9</v>
      </c>
      <c r="Y174"/>
      <c r="Z174">
        <v>18</v>
      </c>
      <c r="AA174">
        <f>SUBTOTAL(9,X174:Z174)</f>
        <v>27</v>
      </c>
      <c r="AB174" s="74">
        <f t="shared" si="0"/>
        <v>3</v>
      </c>
      <c r="AC174" s="74">
        <f t="shared" si="0"/>
        <v>0</v>
      </c>
      <c r="AD174" s="74">
        <f t="shared" si="0"/>
        <v>2</v>
      </c>
    </row>
    <row r="175" spans="1:30">
      <c r="A175" s="834" t="s">
        <v>137</v>
      </c>
      <c r="B175" s="835">
        <v>172</v>
      </c>
      <c r="C175" s="838" t="s">
        <v>341</v>
      </c>
      <c r="D175" s="834" t="s">
        <v>342</v>
      </c>
      <c r="E175" s="839">
        <v>45684</v>
      </c>
      <c r="F175" s="838" t="s">
        <v>140</v>
      </c>
      <c r="G175" s="838">
        <v>12</v>
      </c>
      <c r="H175" s="838" t="s">
        <v>21</v>
      </c>
      <c r="I175" s="838" t="s">
        <v>36</v>
      </c>
      <c r="J175" s="21" t="s">
        <v>29</v>
      </c>
      <c r="K175" s="21"/>
      <c r="L175" s="21"/>
      <c r="M175" s="22" t="s">
        <v>30</v>
      </c>
      <c r="N175" s="23">
        <v>45747</v>
      </c>
      <c r="O175" s="21"/>
      <c r="P175" s="22" t="s">
        <v>30</v>
      </c>
      <c r="Q175" s="23">
        <v>45747</v>
      </c>
      <c r="R175" s="24" t="s">
        <v>67</v>
      </c>
      <c r="S175" s="22" t="s">
        <v>32</v>
      </c>
      <c r="T175" s="22"/>
      <c r="U175" s="24" t="s">
        <v>48</v>
      </c>
      <c r="V175" s="23">
        <v>45748</v>
      </c>
      <c r="W175" s="840" t="s">
        <v>113</v>
      </c>
      <c r="Y175"/>
      <c r="Z175"/>
      <c r="AA175"/>
    </row>
    <row r="176" spans="1:30">
      <c r="A176" s="834" t="s">
        <v>137</v>
      </c>
      <c r="B176" s="835">
        <v>173</v>
      </c>
      <c r="C176" s="838" t="s">
        <v>343</v>
      </c>
      <c r="D176" s="834" t="s">
        <v>344</v>
      </c>
      <c r="E176" s="839">
        <v>45684</v>
      </c>
      <c r="F176" s="838" t="s">
        <v>140</v>
      </c>
      <c r="G176" s="838">
        <v>19</v>
      </c>
      <c r="H176" s="838" t="s">
        <v>345</v>
      </c>
      <c r="I176" s="838" t="s">
        <v>79</v>
      </c>
      <c r="J176" s="21" t="s">
        <v>29</v>
      </c>
      <c r="K176" s="21"/>
      <c r="L176" s="21"/>
      <c r="M176" s="22" t="s">
        <v>30</v>
      </c>
      <c r="N176" s="23">
        <v>45747</v>
      </c>
      <c r="O176" s="21" t="s">
        <v>31</v>
      </c>
      <c r="P176" s="22" t="s">
        <v>30</v>
      </c>
      <c r="Q176" s="23">
        <v>45747</v>
      </c>
      <c r="R176" s="24" t="s">
        <v>67</v>
      </c>
      <c r="S176" s="22" t="s">
        <v>32</v>
      </c>
      <c r="T176" s="22"/>
      <c r="U176" s="24" t="s">
        <v>48</v>
      </c>
      <c r="V176" s="23">
        <v>45748</v>
      </c>
      <c r="W176" s="840" t="s">
        <v>113</v>
      </c>
      <c r="Y176">
        <v>1</v>
      </c>
      <c r="Z176">
        <v>18</v>
      </c>
      <c r="AA176">
        <f>SUBTOTAL(9,X176:Z176)</f>
        <v>19</v>
      </c>
      <c r="AB176" s="74">
        <f>+X176/$AA176*AB$1</f>
        <v>0</v>
      </c>
      <c r="AC176" s="74">
        <f>+Y176/$AA176*AC$1</f>
        <v>0.31578947368421051</v>
      </c>
      <c r="AD176" s="74">
        <f>+Z176/$AA176*AD$1</f>
        <v>2.8421052631578947</v>
      </c>
    </row>
    <row r="177" spans="1:30">
      <c r="A177" s="834" t="s">
        <v>137</v>
      </c>
      <c r="B177" s="835">
        <v>174</v>
      </c>
      <c r="C177" s="838" t="s">
        <v>346</v>
      </c>
      <c r="D177" s="834" t="s">
        <v>347</v>
      </c>
      <c r="E177" s="839">
        <v>45684</v>
      </c>
      <c r="F177" s="838" t="s">
        <v>140</v>
      </c>
      <c r="G177" s="838">
        <v>8</v>
      </c>
      <c r="H177" s="838" t="s">
        <v>22</v>
      </c>
      <c r="I177" s="838" t="s">
        <v>28</v>
      </c>
      <c r="J177" s="21" t="s">
        <v>29</v>
      </c>
      <c r="K177" s="21"/>
      <c r="L177" s="21"/>
      <c r="M177" s="22" t="s">
        <v>30</v>
      </c>
      <c r="N177" s="23">
        <v>45747</v>
      </c>
      <c r="O177" s="21"/>
      <c r="P177" s="22" t="s">
        <v>30</v>
      </c>
      <c r="Q177" s="23">
        <v>45747</v>
      </c>
      <c r="R177" s="24" t="s">
        <v>67</v>
      </c>
      <c r="S177" s="22" t="s">
        <v>32</v>
      </c>
      <c r="T177" s="22"/>
      <c r="U177" s="24" t="s">
        <v>48</v>
      </c>
      <c r="V177" s="23">
        <v>45748</v>
      </c>
      <c r="W177" s="840" t="s">
        <v>113</v>
      </c>
      <c r="Y177"/>
      <c r="Z177"/>
      <c r="AA177"/>
    </row>
    <row r="178" spans="1:30">
      <c r="A178" s="834" t="s">
        <v>137</v>
      </c>
      <c r="B178" s="835">
        <v>175</v>
      </c>
      <c r="C178" s="838" t="s">
        <v>348</v>
      </c>
      <c r="D178" s="834" t="s">
        <v>225</v>
      </c>
      <c r="E178" s="839">
        <v>45684</v>
      </c>
      <c r="F178" s="838" t="s">
        <v>140</v>
      </c>
      <c r="G178" s="838">
        <v>1</v>
      </c>
      <c r="H178" s="838" t="s">
        <v>21</v>
      </c>
      <c r="I178" s="838" t="s">
        <v>36</v>
      </c>
      <c r="J178" s="21" t="s">
        <v>29</v>
      </c>
      <c r="K178" s="21"/>
      <c r="L178" s="21"/>
      <c r="M178" s="22" t="s">
        <v>30</v>
      </c>
      <c r="N178" s="23">
        <v>45747</v>
      </c>
      <c r="O178" s="21"/>
      <c r="P178" s="22" t="s">
        <v>30</v>
      </c>
      <c r="Q178" s="23">
        <v>45747</v>
      </c>
      <c r="R178" s="24" t="s">
        <v>67</v>
      </c>
      <c r="S178" s="22" t="s">
        <v>32</v>
      </c>
      <c r="T178" s="22"/>
      <c r="U178" s="24" t="s">
        <v>48</v>
      </c>
      <c r="V178" s="23">
        <v>45748</v>
      </c>
      <c r="W178" s="840" t="s">
        <v>113</v>
      </c>
      <c r="Y178"/>
      <c r="Z178"/>
      <c r="AA178"/>
    </row>
    <row r="179" spans="1:30">
      <c r="A179" s="834" t="s">
        <v>137</v>
      </c>
      <c r="B179" s="835">
        <v>176</v>
      </c>
      <c r="C179" s="838" t="s">
        <v>349</v>
      </c>
      <c r="D179" s="834" t="s">
        <v>350</v>
      </c>
      <c r="E179" s="839">
        <v>45684</v>
      </c>
      <c r="F179" s="838" t="s">
        <v>140</v>
      </c>
      <c r="G179" s="838">
        <v>2</v>
      </c>
      <c r="H179" s="838" t="s">
        <v>22</v>
      </c>
      <c r="I179" s="838" t="s">
        <v>28</v>
      </c>
      <c r="J179" s="21" t="s">
        <v>29</v>
      </c>
      <c r="K179" s="21"/>
      <c r="L179" s="21"/>
      <c r="M179" s="22" t="s">
        <v>30</v>
      </c>
      <c r="N179" s="23">
        <v>45747</v>
      </c>
      <c r="O179" s="21"/>
      <c r="P179" s="22" t="s">
        <v>30</v>
      </c>
      <c r="Q179" s="23">
        <v>45747</v>
      </c>
      <c r="R179" s="24" t="s">
        <v>67</v>
      </c>
      <c r="S179" s="22" t="s">
        <v>32</v>
      </c>
      <c r="T179" s="22"/>
      <c r="U179" s="24" t="s">
        <v>48</v>
      </c>
      <c r="V179" s="23">
        <v>45748</v>
      </c>
      <c r="W179" s="840" t="s">
        <v>113</v>
      </c>
      <c r="Y179" s="776"/>
      <c r="Z179" s="776"/>
      <c r="AA179" s="776"/>
    </row>
    <row r="180" spans="1:30">
      <c r="A180" s="834" t="s">
        <v>137</v>
      </c>
      <c r="B180" s="835">
        <v>177</v>
      </c>
      <c r="C180" s="838" t="s">
        <v>351</v>
      </c>
      <c r="D180" s="834" t="s">
        <v>352</v>
      </c>
      <c r="E180" s="839">
        <v>45684</v>
      </c>
      <c r="F180" s="838" t="s">
        <v>140</v>
      </c>
      <c r="G180" s="838">
        <v>1</v>
      </c>
      <c r="H180" s="838" t="s">
        <v>22</v>
      </c>
      <c r="I180" s="838" t="s">
        <v>28</v>
      </c>
      <c r="J180" s="21" t="s">
        <v>29</v>
      </c>
      <c r="K180" s="21"/>
      <c r="L180" s="21"/>
      <c r="M180" s="22" t="s">
        <v>30</v>
      </c>
      <c r="N180" s="23">
        <v>45747</v>
      </c>
      <c r="O180" s="21"/>
      <c r="P180" s="22" t="s">
        <v>30</v>
      </c>
      <c r="Q180" s="23">
        <v>45747</v>
      </c>
      <c r="R180" s="24" t="s">
        <v>67</v>
      </c>
      <c r="S180" s="22" t="s">
        <v>32</v>
      </c>
      <c r="T180" s="22"/>
      <c r="U180" s="24" t="s">
        <v>48</v>
      </c>
      <c r="V180" s="23">
        <v>45748</v>
      </c>
      <c r="W180" s="840" t="s">
        <v>113</v>
      </c>
      <c r="Y180" s="776"/>
      <c r="Z180" s="776"/>
      <c r="AA180" s="776"/>
    </row>
    <row r="181" spans="1:30">
      <c r="A181" s="834" t="s">
        <v>137</v>
      </c>
      <c r="B181" s="835">
        <v>178</v>
      </c>
      <c r="C181" s="838" t="s">
        <v>353</v>
      </c>
      <c r="D181" s="834" t="s">
        <v>354</v>
      </c>
      <c r="E181" s="839">
        <v>45684</v>
      </c>
      <c r="F181" s="838" t="s">
        <v>140</v>
      </c>
      <c r="G181" s="838">
        <v>2</v>
      </c>
      <c r="H181" s="838" t="s">
        <v>291</v>
      </c>
      <c r="I181" s="838" t="s">
        <v>292</v>
      </c>
      <c r="J181" s="21" t="s">
        <v>29</v>
      </c>
      <c r="K181" s="21"/>
      <c r="L181" s="21"/>
      <c r="M181" s="22" t="s">
        <v>30</v>
      </c>
      <c r="N181" s="23">
        <v>45747</v>
      </c>
      <c r="O181" s="21"/>
      <c r="P181" s="22" t="s">
        <v>30</v>
      </c>
      <c r="Q181" s="23">
        <v>45747</v>
      </c>
      <c r="R181" s="24" t="s">
        <v>67</v>
      </c>
      <c r="S181" s="22" t="s">
        <v>32</v>
      </c>
      <c r="T181" s="22"/>
      <c r="U181" s="24" t="s">
        <v>48</v>
      </c>
      <c r="V181" s="23">
        <v>45748</v>
      </c>
      <c r="W181" s="840" t="s">
        <v>113</v>
      </c>
      <c r="Y181" s="776"/>
      <c r="Z181" s="776"/>
      <c r="AA181" s="776"/>
    </row>
    <row r="182" spans="1:30">
      <c r="A182" s="834" t="s">
        <v>137</v>
      </c>
      <c r="B182" s="835">
        <v>179</v>
      </c>
      <c r="C182" s="838" t="s">
        <v>355</v>
      </c>
      <c r="D182" s="834" t="s">
        <v>356</v>
      </c>
      <c r="E182" s="839">
        <v>45684</v>
      </c>
      <c r="F182" s="838" t="s">
        <v>140</v>
      </c>
      <c r="G182" s="838">
        <v>4</v>
      </c>
      <c r="H182" s="838" t="s">
        <v>291</v>
      </c>
      <c r="I182" s="838" t="s">
        <v>292</v>
      </c>
      <c r="J182" s="21" t="s">
        <v>29</v>
      </c>
      <c r="K182" s="21"/>
      <c r="L182" s="21"/>
      <c r="M182" s="22" t="s">
        <v>30</v>
      </c>
      <c r="N182" s="23">
        <v>45747</v>
      </c>
      <c r="O182" s="21"/>
      <c r="P182" s="22" t="s">
        <v>30</v>
      </c>
      <c r="Q182" s="23">
        <v>45747</v>
      </c>
      <c r="R182" s="24" t="s">
        <v>67</v>
      </c>
      <c r="S182" s="22" t="s">
        <v>32</v>
      </c>
      <c r="T182" s="22"/>
      <c r="U182" s="24" t="s">
        <v>48</v>
      </c>
      <c r="V182" s="23">
        <v>45748</v>
      </c>
      <c r="W182" s="840" t="s">
        <v>113</v>
      </c>
      <c r="Y182"/>
      <c r="Z182"/>
      <c r="AA182"/>
    </row>
    <row r="183" spans="1:30">
      <c r="A183" s="834" t="s">
        <v>137</v>
      </c>
      <c r="B183" s="835">
        <v>180</v>
      </c>
      <c r="C183" s="838" t="s">
        <v>357</v>
      </c>
      <c r="D183" s="834" t="s">
        <v>358</v>
      </c>
      <c r="E183" s="839">
        <v>45684</v>
      </c>
      <c r="F183" s="838" t="s">
        <v>140</v>
      </c>
      <c r="G183" s="838">
        <v>1</v>
      </c>
      <c r="H183" s="838" t="s">
        <v>22</v>
      </c>
      <c r="I183" s="846" t="s">
        <v>28</v>
      </c>
      <c r="J183" s="21" t="s">
        <v>29</v>
      </c>
      <c r="K183" s="21"/>
      <c r="L183" s="21"/>
      <c r="M183" s="22" t="s">
        <v>30</v>
      </c>
      <c r="N183" s="23">
        <v>45747</v>
      </c>
      <c r="O183" s="21"/>
      <c r="P183" s="22" t="s">
        <v>30</v>
      </c>
      <c r="Q183" s="23">
        <v>45747</v>
      </c>
      <c r="R183" s="24" t="s">
        <v>67</v>
      </c>
      <c r="S183" s="22" t="s">
        <v>32</v>
      </c>
      <c r="T183" s="22"/>
      <c r="U183" s="24" t="s">
        <v>48</v>
      </c>
      <c r="V183" s="23">
        <v>45748</v>
      </c>
      <c r="W183" s="840" t="s">
        <v>113</v>
      </c>
      <c r="Y183"/>
      <c r="Z183"/>
      <c r="AA183"/>
    </row>
    <row r="184" spans="1:30">
      <c r="A184" s="834" t="s">
        <v>137</v>
      </c>
      <c r="B184" s="835">
        <v>181</v>
      </c>
      <c r="C184" s="838" t="s">
        <v>359</v>
      </c>
      <c r="D184" s="834" t="s">
        <v>360</v>
      </c>
      <c r="E184" s="839">
        <v>45684</v>
      </c>
      <c r="F184" s="838" t="s">
        <v>140</v>
      </c>
      <c r="G184" s="838">
        <v>120</v>
      </c>
      <c r="H184" s="838" t="s">
        <v>21</v>
      </c>
      <c r="I184" s="846" t="s">
        <v>36</v>
      </c>
      <c r="J184" s="21" t="s">
        <v>29</v>
      </c>
      <c r="K184" s="21"/>
      <c r="L184" s="21"/>
      <c r="M184" s="22" t="s">
        <v>30</v>
      </c>
      <c r="N184" s="23">
        <v>45747</v>
      </c>
      <c r="O184" s="21" t="s">
        <v>31</v>
      </c>
      <c r="P184" s="22" t="s">
        <v>30</v>
      </c>
      <c r="Q184" s="23">
        <v>45747</v>
      </c>
      <c r="R184" s="24" t="s">
        <v>37</v>
      </c>
      <c r="S184" s="22" t="s">
        <v>32</v>
      </c>
      <c r="T184" s="22">
        <v>120</v>
      </c>
      <c r="U184" s="24" t="s">
        <v>48</v>
      </c>
      <c r="V184" s="23">
        <v>45748</v>
      </c>
      <c r="W184" s="840" t="s">
        <v>113</v>
      </c>
      <c r="X184">
        <v>120</v>
      </c>
      <c r="Y184"/>
      <c r="Z184"/>
      <c r="AA184">
        <f>SUBTOTAL(9,X184:Z184)</f>
        <v>120</v>
      </c>
      <c r="AB184" s="74">
        <f>+X184/$AA184*AB$1</f>
        <v>9</v>
      </c>
      <c r="AC184" s="74">
        <f>+Y184/$AA184*AC$1</f>
        <v>0</v>
      </c>
      <c r="AD184" s="74">
        <f>+Z184/$AA184*AD$1</f>
        <v>0</v>
      </c>
    </row>
    <row r="185" spans="1:30">
      <c r="A185" s="834" t="s">
        <v>137</v>
      </c>
      <c r="B185" s="835">
        <v>182</v>
      </c>
      <c r="C185" s="838" t="s">
        <v>361</v>
      </c>
      <c r="D185" s="834" t="s">
        <v>362</v>
      </c>
      <c r="E185" s="839">
        <v>45684</v>
      </c>
      <c r="F185" s="838" t="s">
        <v>140</v>
      </c>
      <c r="G185" s="838">
        <v>1</v>
      </c>
      <c r="H185" s="838" t="s">
        <v>22</v>
      </c>
      <c r="I185" s="846" t="s">
        <v>28</v>
      </c>
      <c r="J185" s="21" t="s">
        <v>29</v>
      </c>
      <c r="K185" s="21"/>
      <c r="L185" s="21"/>
      <c r="M185" s="22" t="s">
        <v>30</v>
      </c>
      <c r="N185" s="23">
        <v>45747</v>
      </c>
      <c r="O185" s="21"/>
      <c r="P185" s="22" t="s">
        <v>30</v>
      </c>
      <c r="Q185" s="23">
        <v>45747</v>
      </c>
      <c r="R185" s="24" t="s">
        <v>67</v>
      </c>
      <c r="S185" s="22" t="s">
        <v>32</v>
      </c>
      <c r="T185" s="22"/>
      <c r="U185" s="24" t="s">
        <v>48</v>
      </c>
      <c r="V185" s="23">
        <v>45748</v>
      </c>
      <c r="W185" s="840" t="s">
        <v>113</v>
      </c>
      <c r="Y185"/>
      <c r="Z185"/>
      <c r="AA185"/>
    </row>
    <row r="186" spans="1:30" ht="15.75" customHeight="1">
      <c r="A186" s="834" t="s">
        <v>24</v>
      </c>
      <c r="B186" s="835">
        <v>183</v>
      </c>
      <c r="C186" s="838" t="s">
        <v>363</v>
      </c>
      <c r="D186" s="838" t="s">
        <v>34</v>
      </c>
      <c r="E186" s="839">
        <v>45689</v>
      </c>
      <c r="F186" s="838" t="s">
        <v>364</v>
      </c>
      <c r="G186" s="838">
        <v>10</v>
      </c>
      <c r="H186" s="842" t="s">
        <v>21</v>
      </c>
      <c r="I186" s="838" t="s">
        <v>36</v>
      </c>
      <c r="J186" s="21" t="s">
        <v>29</v>
      </c>
      <c r="K186" s="21"/>
      <c r="L186" s="21"/>
      <c r="M186" s="22" t="s">
        <v>30</v>
      </c>
      <c r="N186" s="23">
        <v>45740</v>
      </c>
      <c r="O186" s="21"/>
      <c r="P186" s="22" t="s">
        <v>30</v>
      </c>
      <c r="Q186" s="23">
        <v>45740</v>
      </c>
      <c r="R186" s="79" t="s">
        <v>21</v>
      </c>
      <c r="S186" s="22" t="s">
        <v>32</v>
      </c>
      <c r="T186" s="22">
        <v>10</v>
      </c>
      <c r="U186" s="24" t="s">
        <v>21</v>
      </c>
      <c r="V186" s="23">
        <v>45740</v>
      </c>
      <c r="W186" s="80" t="s">
        <v>30</v>
      </c>
      <c r="Y186" s="776"/>
      <c r="Z186" s="776"/>
      <c r="AA186" s="776"/>
    </row>
    <row r="187" spans="1:30">
      <c r="A187" s="834" t="s">
        <v>24</v>
      </c>
      <c r="B187" s="835">
        <v>184</v>
      </c>
      <c r="C187" s="838" t="s">
        <v>365</v>
      </c>
      <c r="D187" s="838" t="s">
        <v>34</v>
      </c>
      <c r="E187" s="839">
        <v>45689</v>
      </c>
      <c r="F187" s="838" t="s">
        <v>74</v>
      </c>
      <c r="G187" s="838">
        <v>10</v>
      </c>
      <c r="H187" s="838" t="s">
        <v>141</v>
      </c>
      <c r="I187" s="838" t="s">
        <v>228</v>
      </c>
      <c r="J187" s="21" t="s">
        <v>29</v>
      </c>
      <c r="K187" s="21"/>
      <c r="L187" s="21"/>
      <c r="M187" s="22" t="s">
        <v>30</v>
      </c>
      <c r="N187" s="23">
        <v>45740</v>
      </c>
      <c r="O187" s="21"/>
      <c r="P187" s="22" t="s">
        <v>30</v>
      </c>
      <c r="Q187" s="23">
        <v>45740</v>
      </c>
      <c r="R187" s="79" t="s">
        <v>22</v>
      </c>
      <c r="S187" s="22" t="s">
        <v>32</v>
      </c>
      <c r="T187" s="22">
        <v>10</v>
      </c>
      <c r="U187" s="24" t="s">
        <v>22</v>
      </c>
      <c r="V187" s="23">
        <v>45740</v>
      </c>
      <c r="W187" s="80" t="s">
        <v>30</v>
      </c>
      <c r="Y187" s="776"/>
      <c r="Z187" s="776"/>
      <c r="AA187" s="776"/>
    </row>
    <row r="188" spans="1:30">
      <c r="A188" s="834" t="s">
        <v>24</v>
      </c>
      <c r="B188" s="835">
        <v>185</v>
      </c>
      <c r="C188" s="838" t="s">
        <v>366</v>
      </c>
      <c r="D188" s="838" t="s">
        <v>34</v>
      </c>
      <c r="E188" s="839">
        <v>45689</v>
      </c>
      <c r="F188" s="838" t="s">
        <v>74</v>
      </c>
      <c r="G188" s="838">
        <v>1</v>
      </c>
      <c r="H188" s="838" t="s">
        <v>21</v>
      </c>
      <c r="I188" s="838" t="s">
        <v>36</v>
      </c>
      <c r="J188" s="21" t="s">
        <v>29</v>
      </c>
      <c r="K188" s="215"/>
      <c r="L188" s="21"/>
      <c r="M188" s="22" t="s">
        <v>30</v>
      </c>
      <c r="N188" s="23">
        <v>45747</v>
      </c>
      <c r="O188" s="21"/>
      <c r="P188" s="22" t="s">
        <v>30</v>
      </c>
      <c r="Q188" s="23">
        <v>45747</v>
      </c>
      <c r="R188" s="79" t="s">
        <v>21</v>
      </c>
      <c r="S188" s="22" t="s">
        <v>32</v>
      </c>
      <c r="T188" s="22">
        <v>1</v>
      </c>
      <c r="U188" s="24" t="s">
        <v>21</v>
      </c>
      <c r="V188" s="23">
        <v>45747</v>
      </c>
      <c r="W188" s="80" t="s">
        <v>30</v>
      </c>
      <c r="Y188" s="776"/>
      <c r="Z188" s="776"/>
      <c r="AA188" s="776"/>
    </row>
    <row r="189" spans="1:30">
      <c r="A189" s="834" t="s">
        <v>24</v>
      </c>
      <c r="B189" s="835">
        <v>186</v>
      </c>
      <c r="C189" s="838" t="s">
        <v>367</v>
      </c>
      <c r="D189" s="838" t="s">
        <v>43</v>
      </c>
      <c r="E189" s="839">
        <v>45689</v>
      </c>
      <c r="F189" s="838" t="s">
        <v>368</v>
      </c>
      <c r="G189" s="838">
        <v>7</v>
      </c>
      <c r="H189" s="838" t="s">
        <v>21</v>
      </c>
      <c r="I189" s="838" t="s">
        <v>36</v>
      </c>
      <c r="J189" s="21" t="s">
        <v>29</v>
      </c>
      <c r="K189" s="21"/>
      <c r="L189" s="21"/>
      <c r="M189" s="22" t="s">
        <v>30</v>
      </c>
      <c r="N189" s="23">
        <v>45737</v>
      </c>
      <c r="O189" s="21" t="s">
        <v>66</v>
      </c>
      <c r="P189" s="22" t="s">
        <v>30</v>
      </c>
      <c r="Q189" s="23">
        <v>45737</v>
      </c>
      <c r="R189" s="79" t="s">
        <v>21</v>
      </c>
      <c r="S189" s="22" t="s">
        <v>32</v>
      </c>
      <c r="T189" s="22">
        <v>7</v>
      </c>
      <c r="U189" s="24" t="s">
        <v>21</v>
      </c>
      <c r="V189" s="23">
        <v>45737</v>
      </c>
      <c r="W189" s="80" t="s">
        <v>30</v>
      </c>
      <c r="Y189" s="776"/>
      <c r="Z189" s="776"/>
      <c r="AA189" s="776"/>
    </row>
    <row r="190" spans="1:30">
      <c r="A190" s="834" t="s">
        <v>24</v>
      </c>
      <c r="B190" s="835">
        <v>187</v>
      </c>
      <c r="C190" s="838" t="s">
        <v>369</v>
      </c>
      <c r="D190" s="838" t="s">
        <v>50</v>
      </c>
      <c r="E190" s="839">
        <v>45689</v>
      </c>
      <c r="F190" s="838" t="s">
        <v>368</v>
      </c>
      <c r="G190" s="838">
        <v>7</v>
      </c>
      <c r="H190" s="838" t="s">
        <v>21</v>
      </c>
      <c r="I190" s="838" t="s">
        <v>36</v>
      </c>
      <c r="J190" s="21" t="s">
        <v>29</v>
      </c>
      <c r="K190" s="21"/>
      <c r="L190" s="21"/>
      <c r="M190" s="22" t="s">
        <v>30</v>
      </c>
      <c r="N190" s="23">
        <v>45737</v>
      </c>
      <c r="O190" s="21"/>
      <c r="P190" s="22" t="s">
        <v>30</v>
      </c>
      <c r="Q190" s="23">
        <v>45737</v>
      </c>
      <c r="R190" s="79" t="s">
        <v>21</v>
      </c>
      <c r="S190" s="22" t="s">
        <v>32</v>
      </c>
      <c r="T190" s="22">
        <v>7</v>
      </c>
      <c r="U190" s="24" t="s">
        <v>21</v>
      </c>
      <c r="V190" s="23">
        <v>45737</v>
      </c>
      <c r="W190" s="80" t="s">
        <v>30</v>
      </c>
      <c r="Y190" s="776"/>
      <c r="Z190" s="776"/>
      <c r="AA190" s="776"/>
    </row>
    <row r="191" spans="1:30">
      <c r="A191" s="834" t="s">
        <v>24</v>
      </c>
      <c r="B191" s="835">
        <v>188</v>
      </c>
      <c r="C191" s="838" t="s">
        <v>370</v>
      </c>
      <c r="D191" s="838" t="s">
        <v>64</v>
      </c>
      <c r="E191" s="839">
        <v>45689</v>
      </c>
      <c r="F191" s="838" t="s">
        <v>368</v>
      </c>
      <c r="G191" s="838">
        <v>7</v>
      </c>
      <c r="H191" s="842" t="s">
        <v>21</v>
      </c>
      <c r="I191" s="838" t="s">
        <v>36</v>
      </c>
      <c r="J191" s="21" t="s">
        <v>29</v>
      </c>
      <c r="K191" s="21"/>
      <c r="L191" s="21"/>
      <c r="M191" s="22" t="s">
        <v>30</v>
      </c>
      <c r="N191" s="23">
        <v>45737</v>
      </c>
      <c r="O191" s="21"/>
      <c r="P191" s="22" t="s">
        <v>30</v>
      </c>
      <c r="Q191" s="23">
        <v>45737</v>
      </c>
      <c r="R191" s="79" t="s">
        <v>21</v>
      </c>
      <c r="S191" s="22" t="s">
        <v>32</v>
      </c>
      <c r="T191" s="22">
        <v>7</v>
      </c>
      <c r="U191" s="24" t="s">
        <v>21</v>
      </c>
      <c r="V191" s="23">
        <v>45737</v>
      </c>
      <c r="W191" s="80" t="s">
        <v>30</v>
      </c>
      <c r="Y191" s="776"/>
      <c r="Z191" s="776"/>
      <c r="AA191" s="776"/>
    </row>
    <row r="192" spans="1:30">
      <c r="A192" s="834" t="s">
        <v>24</v>
      </c>
      <c r="B192" s="835">
        <v>189</v>
      </c>
      <c r="C192" s="838" t="s">
        <v>371</v>
      </c>
      <c r="D192" s="838" t="s">
        <v>34</v>
      </c>
      <c r="E192" s="839">
        <v>45689</v>
      </c>
      <c r="F192" s="838" t="s">
        <v>324</v>
      </c>
      <c r="G192" s="838">
        <v>8</v>
      </c>
      <c r="H192" s="838" t="s">
        <v>21</v>
      </c>
      <c r="I192" s="838" t="s">
        <v>36</v>
      </c>
      <c r="J192" s="21" t="s">
        <v>29</v>
      </c>
      <c r="K192" s="215"/>
      <c r="L192" s="21"/>
      <c r="M192" s="22" t="s">
        <v>30</v>
      </c>
      <c r="N192" s="23">
        <v>45743</v>
      </c>
      <c r="O192" s="21"/>
      <c r="P192" s="22" t="s">
        <v>30</v>
      </c>
      <c r="Q192" s="23">
        <v>45743</v>
      </c>
      <c r="R192" s="79" t="s">
        <v>21</v>
      </c>
      <c r="S192" s="22" t="s">
        <v>32</v>
      </c>
      <c r="T192" s="22">
        <v>8</v>
      </c>
      <c r="U192" s="24" t="s">
        <v>21</v>
      </c>
      <c r="V192" s="23">
        <v>45743</v>
      </c>
      <c r="W192" s="80" t="s">
        <v>30</v>
      </c>
      <c r="Y192" s="776"/>
      <c r="Z192" s="776"/>
      <c r="AA192" s="776"/>
    </row>
    <row r="193" spans="1:23">
      <c r="A193" s="834" t="s">
        <v>24</v>
      </c>
      <c r="B193" s="835">
        <v>190</v>
      </c>
      <c r="C193" s="838" t="s">
        <v>372</v>
      </c>
      <c r="D193" s="838" t="s">
        <v>34</v>
      </c>
      <c r="E193" s="839">
        <v>45689</v>
      </c>
      <c r="F193" s="838" t="s">
        <v>324</v>
      </c>
      <c r="G193" s="838">
        <v>5</v>
      </c>
      <c r="H193" s="838" t="s">
        <v>21</v>
      </c>
      <c r="I193" s="838" t="s">
        <v>36</v>
      </c>
      <c r="J193" s="21" t="s">
        <v>29</v>
      </c>
      <c r="K193" s="21"/>
      <c r="L193" s="21"/>
      <c r="M193" s="22" t="s">
        <v>30</v>
      </c>
      <c r="N193" s="23">
        <v>45740</v>
      </c>
      <c r="O193" s="21"/>
      <c r="P193" s="22" t="s">
        <v>30</v>
      </c>
      <c r="Q193" s="23">
        <v>45740</v>
      </c>
      <c r="R193" s="79" t="s">
        <v>21</v>
      </c>
      <c r="S193" s="22" t="s">
        <v>32</v>
      </c>
      <c r="T193" s="22">
        <v>5</v>
      </c>
      <c r="U193" s="22" t="s">
        <v>21</v>
      </c>
      <c r="V193" s="23">
        <v>45740</v>
      </c>
      <c r="W193" s="80" t="s">
        <v>30</v>
      </c>
    </row>
    <row r="194" spans="1:23">
      <c r="A194" s="834" t="s">
        <v>24</v>
      </c>
      <c r="B194" s="835">
        <v>191</v>
      </c>
      <c r="C194" s="838" t="s">
        <v>373</v>
      </c>
      <c r="D194" s="838" t="s">
        <v>374</v>
      </c>
      <c r="E194" s="839">
        <v>45689</v>
      </c>
      <c r="F194" s="838" t="s">
        <v>117</v>
      </c>
      <c r="G194" s="838">
        <v>16</v>
      </c>
      <c r="H194" s="838" t="s">
        <v>22</v>
      </c>
      <c r="I194" s="838" t="s">
        <v>28</v>
      </c>
      <c r="J194" s="21" t="s">
        <v>29</v>
      </c>
      <c r="K194" s="21"/>
      <c r="L194" s="21"/>
      <c r="M194" s="22" t="s">
        <v>30</v>
      </c>
      <c r="N194" s="23">
        <v>45747</v>
      </c>
      <c r="O194" s="21" t="s">
        <v>31</v>
      </c>
      <c r="P194" s="22" t="s">
        <v>30</v>
      </c>
      <c r="Q194" s="23">
        <v>45747</v>
      </c>
      <c r="R194" s="79" t="s">
        <v>22</v>
      </c>
      <c r="S194" s="22" t="s">
        <v>32</v>
      </c>
      <c r="T194" s="22">
        <v>16</v>
      </c>
      <c r="U194" s="24" t="s">
        <v>22</v>
      </c>
      <c r="V194" s="23">
        <v>45747</v>
      </c>
      <c r="W194" s="80" t="s">
        <v>30</v>
      </c>
    </row>
    <row r="195" spans="1:23">
      <c r="A195" s="834" t="s">
        <v>24</v>
      </c>
      <c r="B195" s="835">
        <v>192</v>
      </c>
      <c r="C195" s="838" t="s">
        <v>375</v>
      </c>
      <c r="D195" s="838" t="s">
        <v>43</v>
      </c>
      <c r="E195" s="839">
        <v>45689</v>
      </c>
      <c r="F195" s="838" t="s">
        <v>117</v>
      </c>
      <c r="G195" s="838">
        <v>16</v>
      </c>
      <c r="H195" s="838" t="s">
        <v>22</v>
      </c>
      <c r="I195" s="838" t="s">
        <v>28</v>
      </c>
      <c r="J195" s="21" t="s">
        <v>29</v>
      </c>
      <c r="K195" s="21"/>
      <c r="L195" s="21"/>
      <c r="M195" s="22" t="s">
        <v>30</v>
      </c>
      <c r="N195" s="23">
        <v>45743</v>
      </c>
      <c r="O195" s="21" t="s">
        <v>31</v>
      </c>
      <c r="P195" s="22" t="s">
        <v>30</v>
      </c>
      <c r="Q195" s="23">
        <v>45743</v>
      </c>
      <c r="R195" s="79" t="s">
        <v>22</v>
      </c>
      <c r="S195" s="22" t="s">
        <v>32</v>
      </c>
      <c r="T195" s="22">
        <v>11</v>
      </c>
      <c r="U195" s="22" t="s">
        <v>22</v>
      </c>
      <c r="V195" s="23">
        <v>45743</v>
      </c>
      <c r="W195" s="80" t="s">
        <v>30</v>
      </c>
    </row>
    <row r="196" spans="1:23">
      <c r="A196" s="834" t="s">
        <v>24</v>
      </c>
      <c r="B196" s="835">
        <v>193</v>
      </c>
      <c r="C196" s="838" t="s">
        <v>376</v>
      </c>
      <c r="D196" s="838" t="s">
        <v>34</v>
      </c>
      <c r="E196" s="839">
        <v>45689</v>
      </c>
      <c r="F196" s="838" t="s">
        <v>117</v>
      </c>
      <c r="G196" s="838">
        <v>11</v>
      </c>
      <c r="H196" s="838" t="s">
        <v>22</v>
      </c>
      <c r="I196" s="838" t="s">
        <v>28</v>
      </c>
      <c r="J196" s="21" t="s">
        <v>29</v>
      </c>
      <c r="K196" s="21"/>
      <c r="L196" s="21"/>
      <c r="M196" s="22" t="s">
        <v>30</v>
      </c>
      <c r="N196" s="23">
        <v>45742</v>
      </c>
      <c r="O196" s="21"/>
      <c r="P196" s="22" t="s">
        <v>30</v>
      </c>
      <c r="Q196" s="23">
        <v>45742</v>
      </c>
      <c r="R196" s="79" t="s">
        <v>22</v>
      </c>
      <c r="S196" s="22" t="s">
        <v>32</v>
      </c>
      <c r="T196" s="22">
        <v>16</v>
      </c>
      <c r="U196" s="24" t="s">
        <v>22</v>
      </c>
      <c r="V196" s="23">
        <v>45742</v>
      </c>
      <c r="W196" s="80" t="s">
        <v>30</v>
      </c>
    </row>
    <row r="197" spans="1:23">
      <c r="A197" s="834" t="s">
        <v>24</v>
      </c>
      <c r="B197" s="835">
        <v>194</v>
      </c>
      <c r="C197" s="838" t="s">
        <v>377</v>
      </c>
      <c r="D197" s="838" t="s">
        <v>34</v>
      </c>
      <c r="E197" s="839">
        <v>45689</v>
      </c>
      <c r="F197" s="838" t="s">
        <v>165</v>
      </c>
      <c r="G197" s="838">
        <v>14</v>
      </c>
      <c r="H197" s="838" t="s">
        <v>46</v>
      </c>
      <c r="I197" s="838" t="s">
        <v>47</v>
      </c>
      <c r="J197" s="21" t="s">
        <v>29</v>
      </c>
      <c r="K197" s="21"/>
      <c r="L197" s="21"/>
      <c r="M197" s="22" t="s">
        <v>30</v>
      </c>
      <c r="N197" s="23">
        <v>45769</v>
      </c>
      <c r="O197" s="21"/>
      <c r="P197" s="22" t="s">
        <v>30</v>
      </c>
      <c r="Q197" s="23">
        <v>45769</v>
      </c>
      <c r="R197" s="79" t="s">
        <v>47</v>
      </c>
      <c r="S197" s="22" t="s">
        <v>32</v>
      </c>
      <c r="T197" s="22">
        <v>14</v>
      </c>
      <c r="U197" s="22" t="s">
        <v>47</v>
      </c>
      <c r="V197" s="23">
        <v>45769</v>
      </c>
      <c r="W197" s="80" t="s">
        <v>30</v>
      </c>
    </row>
    <row r="198" spans="1:23">
      <c r="A198" s="834" t="s">
        <v>24</v>
      </c>
      <c r="B198" s="835">
        <v>195</v>
      </c>
      <c r="C198" s="838" t="s">
        <v>378</v>
      </c>
      <c r="D198" s="838" t="s">
        <v>34</v>
      </c>
      <c r="E198" s="839">
        <v>45689</v>
      </c>
      <c r="F198" s="838" t="s">
        <v>296</v>
      </c>
      <c r="G198" s="838">
        <v>14</v>
      </c>
      <c r="H198" s="838" t="s">
        <v>46</v>
      </c>
      <c r="I198" s="838" t="s">
        <v>47</v>
      </c>
      <c r="J198" s="21" t="s">
        <v>29</v>
      </c>
      <c r="K198" s="21"/>
      <c r="L198" s="21"/>
      <c r="M198" s="22" t="s">
        <v>30</v>
      </c>
      <c r="N198" s="23">
        <v>45774</v>
      </c>
      <c r="O198" s="21"/>
      <c r="P198" s="22" t="s">
        <v>30</v>
      </c>
      <c r="Q198" s="23">
        <v>45774</v>
      </c>
      <c r="R198" s="79" t="s">
        <v>47</v>
      </c>
      <c r="S198" s="22" t="s">
        <v>32</v>
      </c>
      <c r="T198" s="22">
        <v>14</v>
      </c>
      <c r="U198" s="24" t="s">
        <v>47</v>
      </c>
      <c r="V198" s="23">
        <v>45774</v>
      </c>
      <c r="W198" s="80" t="s">
        <v>30</v>
      </c>
    </row>
    <row r="199" spans="1:23">
      <c r="A199" s="834" t="s">
        <v>24</v>
      </c>
      <c r="B199" s="835">
        <v>196</v>
      </c>
      <c r="C199" s="838" t="s">
        <v>379</v>
      </c>
      <c r="D199" s="838" t="s">
        <v>43</v>
      </c>
      <c r="E199" s="839">
        <v>45691</v>
      </c>
      <c r="F199" s="838" t="s">
        <v>380</v>
      </c>
      <c r="G199" s="838">
        <v>8</v>
      </c>
      <c r="H199" s="838" t="s">
        <v>21</v>
      </c>
      <c r="I199" s="838" t="s">
        <v>36</v>
      </c>
      <c r="J199" s="21" t="s">
        <v>29</v>
      </c>
      <c r="K199" s="21"/>
      <c r="L199" s="21"/>
      <c r="M199" s="22" t="s">
        <v>30</v>
      </c>
      <c r="N199" s="23">
        <v>45730</v>
      </c>
      <c r="O199" s="21" t="s">
        <v>66</v>
      </c>
      <c r="P199" s="22" t="s">
        <v>30</v>
      </c>
      <c r="Q199" s="23">
        <v>45730</v>
      </c>
      <c r="R199" s="79" t="s">
        <v>21</v>
      </c>
      <c r="S199" s="22" t="s">
        <v>32</v>
      </c>
      <c r="T199" s="22">
        <v>8</v>
      </c>
      <c r="U199" s="24" t="s">
        <v>21</v>
      </c>
      <c r="V199" s="23">
        <v>45730</v>
      </c>
      <c r="W199" s="80" t="s">
        <v>30</v>
      </c>
    </row>
    <row r="200" spans="1:23">
      <c r="A200" s="834" t="s">
        <v>24</v>
      </c>
      <c r="B200" s="835">
        <v>197</v>
      </c>
      <c r="C200" s="838" t="s">
        <v>381</v>
      </c>
      <c r="D200" s="838" t="s">
        <v>50</v>
      </c>
      <c r="E200" s="839">
        <v>45691</v>
      </c>
      <c r="F200" s="838" t="s">
        <v>380</v>
      </c>
      <c r="G200" s="838">
        <v>8</v>
      </c>
      <c r="H200" s="838" t="s">
        <v>21</v>
      </c>
      <c r="I200" s="838" t="s">
        <v>36</v>
      </c>
      <c r="J200" s="21" t="s">
        <v>29</v>
      </c>
      <c r="K200" s="21"/>
      <c r="L200" s="21"/>
      <c r="M200" s="22" t="s">
        <v>30</v>
      </c>
      <c r="N200" s="23">
        <v>45730</v>
      </c>
      <c r="O200" s="21"/>
      <c r="P200" s="22" t="s">
        <v>30</v>
      </c>
      <c r="Q200" s="23">
        <v>45730</v>
      </c>
      <c r="R200" s="79" t="s">
        <v>21</v>
      </c>
      <c r="S200" s="22" t="s">
        <v>32</v>
      </c>
      <c r="T200" s="22">
        <v>8</v>
      </c>
      <c r="U200" s="24" t="s">
        <v>21</v>
      </c>
      <c r="V200" s="23">
        <v>45730</v>
      </c>
      <c r="W200" s="80" t="s">
        <v>30</v>
      </c>
    </row>
    <row r="201" spans="1:23">
      <c r="A201" s="834" t="s">
        <v>24</v>
      </c>
      <c r="B201" s="835">
        <v>198</v>
      </c>
      <c r="C201" s="838" t="s">
        <v>382</v>
      </c>
      <c r="D201" s="838" t="s">
        <v>26</v>
      </c>
      <c r="E201" s="839">
        <v>45691</v>
      </c>
      <c r="F201" s="838" t="s">
        <v>380</v>
      </c>
      <c r="G201" s="838">
        <v>8</v>
      </c>
      <c r="H201" s="838" t="s">
        <v>21</v>
      </c>
      <c r="I201" s="838" t="s">
        <v>36</v>
      </c>
      <c r="J201" s="21" t="s">
        <v>29</v>
      </c>
      <c r="K201" s="21"/>
      <c r="L201" s="21"/>
      <c r="M201" s="22" t="s">
        <v>30</v>
      </c>
      <c r="N201" s="23">
        <v>45730</v>
      </c>
      <c r="O201" s="21"/>
      <c r="P201" s="22" t="s">
        <v>30</v>
      </c>
      <c r="Q201" s="23">
        <v>45730</v>
      </c>
      <c r="R201" s="79" t="s">
        <v>21</v>
      </c>
      <c r="S201" s="22" t="s">
        <v>32</v>
      </c>
      <c r="T201" s="22">
        <v>8</v>
      </c>
      <c r="U201" s="24" t="s">
        <v>21</v>
      </c>
      <c r="V201" s="23">
        <v>45730</v>
      </c>
      <c r="W201" s="80" t="s">
        <v>30</v>
      </c>
    </row>
    <row r="202" spans="1:23">
      <c r="A202" s="834" t="s">
        <v>24</v>
      </c>
      <c r="B202" s="835">
        <v>199</v>
      </c>
      <c r="C202" s="838" t="s">
        <v>383</v>
      </c>
      <c r="D202" s="838" t="s">
        <v>384</v>
      </c>
      <c r="E202" s="839">
        <v>45691</v>
      </c>
      <c r="F202" s="838" t="s">
        <v>385</v>
      </c>
      <c r="G202" s="838">
        <v>35</v>
      </c>
      <c r="H202" s="838" t="s">
        <v>46</v>
      </c>
      <c r="I202" s="838" t="s">
        <v>47</v>
      </c>
      <c r="J202" s="21" t="s">
        <v>29</v>
      </c>
      <c r="K202" s="21"/>
      <c r="L202" s="21"/>
      <c r="M202" s="22" t="s">
        <v>30</v>
      </c>
      <c r="N202" s="23">
        <v>45746</v>
      </c>
      <c r="O202" s="21" t="s">
        <v>31</v>
      </c>
      <c r="P202" s="22" t="s">
        <v>30</v>
      </c>
      <c r="Q202" s="23">
        <v>45746</v>
      </c>
      <c r="R202" s="79" t="s">
        <v>47</v>
      </c>
      <c r="S202" s="22" t="s">
        <v>32</v>
      </c>
      <c r="T202" s="22">
        <v>35</v>
      </c>
      <c r="U202" s="24" t="s">
        <v>47</v>
      </c>
      <c r="V202" s="23">
        <v>45746</v>
      </c>
      <c r="W202" s="80" t="s">
        <v>30</v>
      </c>
    </row>
    <row r="203" spans="1:23">
      <c r="A203" s="834" t="s">
        <v>24</v>
      </c>
      <c r="B203" s="835">
        <v>200</v>
      </c>
      <c r="C203" s="838" t="s">
        <v>386</v>
      </c>
      <c r="D203" s="838" t="s">
        <v>387</v>
      </c>
      <c r="E203" s="839">
        <v>45691</v>
      </c>
      <c r="F203" s="838" t="s">
        <v>385</v>
      </c>
      <c r="G203" s="838">
        <v>35</v>
      </c>
      <c r="H203" s="838" t="s">
        <v>46</v>
      </c>
      <c r="I203" s="838" t="s">
        <v>47</v>
      </c>
      <c r="J203" s="21" t="s">
        <v>29</v>
      </c>
      <c r="K203" s="21"/>
      <c r="L203" s="21"/>
      <c r="M203" s="22" t="s">
        <v>30</v>
      </c>
      <c r="N203" s="23">
        <v>45746</v>
      </c>
      <c r="O203" s="21" t="s">
        <v>31</v>
      </c>
      <c r="P203" s="22" t="s">
        <v>30</v>
      </c>
      <c r="Q203" s="23">
        <v>45746</v>
      </c>
      <c r="R203" s="79" t="s">
        <v>47</v>
      </c>
      <c r="S203" s="22" t="s">
        <v>32</v>
      </c>
      <c r="T203" s="22">
        <v>35</v>
      </c>
      <c r="U203" s="24" t="s">
        <v>47</v>
      </c>
      <c r="V203" s="23">
        <v>45746</v>
      </c>
      <c r="W203" s="80" t="s">
        <v>30</v>
      </c>
    </row>
    <row r="204" spans="1:23">
      <c r="A204" s="834" t="s">
        <v>24</v>
      </c>
      <c r="B204" s="835">
        <v>201</v>
      </c>
      <c r="C204" s="838" t="s">
        <v>388</v>
      </c>
      <c r="D204" s="838" t="s">
        <v>64</v>
      </c>
      <c r="E204" s="839">
        <v>45692</v>
      </c>
      <c r="F204" s="838" t="s">
        <v>389</v>
      </c>
      <c r="G204" s="838">
        <v>14</v>
      </c>
      <c r="H204" s="838" t="s">
        <v>22</v>
      </c>
      <c r="I204" s="838" t="s">
        <v>28</v>
      </c>
      <c r="J204" s="21" t="s">
        <v>29</v>
      </c>
      <c r="K204" s="21"/>
      <c r="L204" s="21"/>
      <c r="M204" s="22" t="s">
        <v>30</v>
      </c>
      <c r="N204" s="23">
        <v>45735</v>
      </c>
      <c r="O204" s="21"/>
      <c r="P204" s="22" t="s">
        <v>30</v>
      </c>
      <c r="Q204" s="23">
        <v>45735</v>
      </c>
      <c r="R204" s="79" t="s">
        <v>22</v>
      </c>
      <c r="S204" s="22" t="s">
        <v>32</v>
      </c>
      <c r="T204" s="22">
        <v>14</v>
      </c>
      <c r="U204" s="24" t="s">
        <v>22</v>
      </c>
      <c r="V204" s="23">
        <v>45735</v>
      </c>
      <c r="W204" s="80" t="s">
        <v>30</v>
      </c>
    </row>
    <row r="205" spans="1:23">
      <c r="A205" s="834" t="s">
        <v>24</v>
      </c>
      <c r="B205" s="835">
        <v>202</v>
      </c>
      <c r="C205" s="838" t="s">
        <v>390</v>
      </c>
      <c r="D205" s="838" t="s">
        <v>102</v>
      </c>
      <c r="E205" s="839">
        <v>45693</v>
      </c>
      <c r="F205" s="838" t="s">
        <v>242</v>
      </c>
      <c r="G205" s="838">
        <v>15</v>
      </c>
      <c r="H205" s="838" t="s">
        <v>46</v>
      </c>
      <c r="I205" s="838" t="s">
        <v>47</v>
      </c>
      <c r="J205" s="21" t="s">
        <v>29</v>
      </c>
      <c r="K205" s="21"/>
      <c r="L205" s="21"/>
      <c r="M205" s="22" t="s">
        <v>30</v>
      </c>
      <c r="N205" s="23">
        <v>45769</v>
      </c>
      <c r="O205" s="21" t="s">
        <v>31</v>
      </c>
      <c r="P205" s="22" t="s">
        <v>30</v>
      </c>
      <c r="Q205" s="23">
        <v>45769</v>
      </c>
      <c r="R205" s="79" t="s">
        <v>47</v>
      </c>
      <c r="S205" s="22" t="s">
        <v>32</v>
      </c>
      <c r="T205" s="22">
        <v>15</v>
      </c>
      <c r="U205" s="24" t="s">
        <v>47</v>
      </c>
      <c r="V205" s="23">
        <v>45769</v>
      </c>
      <c r="W205" s="80" t="s">
        <v>30</v>
      </c>
    </row>
    <row r="206" spans="1:23">
      <c r="A206" s="834" t="s">
        <v>24</v>
      </c>
      <c r="B206" s="835">
        <v>203</v>
      </c>
      <c r="C206" s="838" t="s">
        <v>391</v>
      </c>
      <c r="D206" s="838" t="s">
        <v>234</v>
      </c>
      <c r="E206" s="839">
        <v>45693</v>
      </c>
      <c r="F206" s="838" t="s">
        <v>324</v>
      </c>
      <c r="G206" s="838">
        <v>8</v>
      </c>
      <c r="H206" s="838" t="s">
        <v>21</v>
      </c>
      <c r="I206" s="838" t="s">
        <v>36</v>
      </c>
      <c r="J206" s="21" t="s">
        <v>29</v>
      </c>
      <c r="K206" s="215"/>
      <c r="L206" s="21"/>
      <c r="M206" s="22" t="s">
        <v>30</v>
      </c>
      <c r="N206" s="23">
        <v>45743</v>
      </c>
      <c r="O206" s="21"/>
      <c r="P206" s="22" t="s">
        <v>30</v>
      </c>
      <c r="Q206" s="23">
        <v>45743</v>
      </c>
      <c r="R206" s="79" t="s">
        <v>21</v>
      </c>
      <c r="S206" s="22" t="s">
        <v>32</v>
      </c>
      <c r="T206" s="22">
        <v>8</v>
      </c>
      <c r="U206" s="22" t="s">
        <v>21</v>
      </c>
      <c r="V206" s="23">
        <v>45743</v>
      </c>
      <c r="W206" s="80" t="s">
        <v>30</v>
      </c>
    </row>
    <row r="207" spans="1:23">
      <c r="A207" s="834" t="s">
        <v>24</v>
      </c>
      <c r="B207" s="835">
        <v>204</v>
      </c>
      <c r="C207" s="838" t="s">
        <v>392</v>
      </c>
      <c r="D207" s="838" t="s">
        <v>50</v>
      </c>
      <c r="E207" s="839">
        <v>45694</v>
      </c>
      <c r="F207" s="838" t="s">
        <v>173</v>
      </c>
      <c r="G207" s="838">
        <v>20</v>
      </c>
      <c r="H207" s="838" t="s">
        <v>46</v>
      </c>
      <c r="I207" s="838" t="s">
        <v>47</v>
      </c>
      <c r="J207" s="21" t="s">
        <v>29</v>
      </c>
      <c r="K207" s="21"/>
      <c r="L207" s="21"/>
      <c r="M207" s="22" t="s">
        <v>30</v>
      </c>
      <c r="N207" s="23">
        <v>45742</v>
      </c>
      <c r="O207" s="21" t="s">
        <v>31</v>
      </c>
      <c r="P207" s="22" t="s">
        <v>30</v>
      </c>
      <c r="Q207" s="23">
        <v>45742</v>
      </c>
      <c r="R207" s="79" t="s">
        <v>46</v>
      </c>
      <c r="S207" s="22" t="s">
        <v>32</v>
      </c>
      <c r="T207" s="22">
        <v>20</v>
      </c>
      <c r="U207" s="22" t="s">
        <v>46</v>
      </c>
      <c r="V207" s="23">
        <v>45742</v>
      </c>
      <c r="W207" s="80" t="s">
        <v>30</v>
      </c>
    </row>
    <row r="208" spans="1:23">
      <c r="A208" s="834" t="s">
        <v>24</v>
      </c>
      <c r="B208" s="835">
        <v>205</v>
      </c>
      <c r="C208" s="838" t="s">
        <v>393</v>
      </c>
      <c r="D208" s="838" t="s">
        <v>57</v>
      </c>
      <c r="E208" s="839">
        <v>45694</v>
      </c>
      <c r="F208" s="838" t="s">
        <v>202</v>
      </c>
      <c r="G208" s="838">
        <v>10</v>
      </c>
      <c r="H208" s="838" t="s">
        <v>22</v>
      </c>
      <c r="I208" s="838" t="s">
        <v>28</v>
      </c>
      <c r="J208" s="21" t="s">
        <v>29</v>
      </c>
      <c r="K208" s="21"/>
      <c r="L208" s="21"/>
      <c r="M208" s="22" t="s">
        <v>30</v>
      </c>
      <c r="N208" s="23">
        <v>45736</v>
      </c>
      <c r="O208" s="21"/>
      <c r="P208" s="22" t="s">
        <v>30</v>
      </c>
      <c r="Q208" s="23">
        <v>45736</v>
      </c>
      <c r="R208" s="79" t="s">
        <v>22</v>
      </c>
      <c r="S208" s="22" t="s">
        <v>32</v>
      </c>
      <c r="T208" s="22">
        <v>14</v>
      </c>
      <c r="U208" s="24" t="s">
        <v>22</v>
      </c>
      <c r="V208" s="23">
        <v>45736</v>
      </c>
      <c r="W208" s="80" t="s">
        <v>30</v>
      </c>
    </row>
    <row r="209" spans="1:24">
      <c r="A209" s="834" t="s">
        <v>24</v>
      </c>
      <c r="B209" s="835">
        <v>206</v>
      </c>
      <c r="C209" s="838" t="s">
        <v>394</v>
      </c>
      <c r="D209" s="838" t="s">
        <v>102</v>
      </c>
      <c r="E209" s="839">
        <v>45695</v>
      </c>
      <c r="F209" s="838" t="s">
        <v>395</v>
      </c>
      <c r="G209" s="838">
        <v>13</v>
      </c>
      <c r="H209" s="838" t="s">
        <v>22</v>
      </c>
      <c r="I209" s="838" t="s">
        <v>28</v>
      </c>
      <c r="J209" s="21" t="s">
        <v>29</v>
      </c>
      <c r="K209" s="21"/>
      <c r="L209" s="21"/>
      <c r="M209" s="22" t="s">
        <v>30</v>
      </c>
      <c r="N209" s="23">
        <v>45728</v>
      </c>
      <c r="O209" s="21"/>
      <c r="P209" s="22" t="s">
        <v>30</v>
      </c>
      <c r="Q209" s="23">
        <v>45728</v>
      </c>
      <c r="R209" s="79" t="s">
        <v>22</v>
      </c>
      <c r="S209" s="22" t="s">
        <v>32</v>
      </c>
      <c r="T209" s="22">
        <v>14</v>
      </c>
      <c r="U209" s="24" t="s">
        <v>22</v>
      </c>
      <c r="V209" s="23">
        <v>45728</v>
      </c>
      <c r="W209" s="80" t="s">
        <v>30</v>
      </c>
    </row>
    <row r="210" spans="1:24">
      <c r="A210" s="834" t="s">
        <v>24</v>
      </c>
      <c r="B210" s="835">
        <v>207</v>
      </c>
      <c r="C210" s="838" t="s">
        <v>396</v>
      </c>
      <c r="D210" s="838" t="s">
        <v>397</v>
      </c>
      <c r="E210" s="839">
        <v>45695</v>
      </c>
      <c r="F210" s="838" t="s">
        <v>398</v>
      </c>
      <c r="G210" s="838">
        <v>8</v>
      </c>
      <c r="H210" s="838" t="s">
        <v>21</v>
      </c>
      <c r="I210" s="838" t="s">
        <v>36</v>
      </c>
      <c r="J210" s="21" t="s">
        <v>29</v>
      </c>
      <c r="K210" s="89" t="s">
        <v>399</v>
      </c>
      <c r="L210" s="21"/>
      <c r="M210" s="22"/>
      <c r="N210" s="23"/>
      <c r="O210" s="21"/>
      <c r="P210" s="22"/>
      <c r="Q210" s="23"/>
      <c r="R210" s="79" t="s">
        <v>21</v>
      </c>
      <c r="S210" s="22"/>
      <c r="T210" s="22"/>
      <c r="U210" s="24"/>
      <c r="V210" s="23"/>
      <c r="W210" s="80" t="s">
        <v>32</v>
      </c>
    </row>
    <row r="211" spans="1:24">
      <c r="A211" s="834" t="s">
        <v>24</v>
      </c>
      <c r="B211" s="835">
        <v>208</v>
      </c>
      <c r="C211" s="838" t="s">
        <v>400</v>
      </c>
      <c r="D211" s="838" t="s">
        <v>178</v>
      </c>
      <c r="E211" s="839">
        <v>45695</v>
      </c>
      <c r="F211" s="838" t="s">
        <v>398</v>
      </c>
      <c r="G211" s="838">
        <v>8</v>
      </c>
      <c r="H211" s="838" t="s">
        <v>21</v>
      </c>
      <c r="I211" s="838" t="s">
        <v>36</v>
      </c>
      <c r="J211" s="21" t="s">
        <v>29</v>
      </c>
      <c r="K211" s="21" t="s">
        <v>401</v>
      </c>
      <c r="L211" s="21"/>
      <c r="M211" s="22"/>
      <c r="N211" s="23"/>
      <c r="O211" s="21" t="s">
        <v>66</v>
      </c>
      <c r="P211" s="22"/>
      <c r="Q211" s="23"/>
      <c r="R211" s="79" t="s">
        <v>21</v>
      </c>
      <c r="S211" s="22"/>
      <c r="T211" s="22"/>
      <c r="U211" s="22"/>
      <c r="V211" s="23"/>
      <c r="W211" s="80" t="s">
        <v>32</v>
      </c>
    </row>
    <row r="212" spans="1:24">
      <c r="A212" s="834" t="s">
        <v>24</v>
      </c>
      <c r="B212" s="835">
        <v>209</v>
      </c>
      <c r="C212" s="838" t="s">
        <v>402</v>
      </c>
      <c r="D212" s="838" t="s">
        <v>403</v>
      </c>
      <c r="E212" s="839">
        <v>45695</v>
      </c>
      <c r="F212" s="838" t="s">
        <v>404</v>
      </c>
      <c r="G212" s="838">
        <v>22</v>
      </c>
      <c r="H212" s="838" t="s">
        <v>21</v>
      </c>
      <c r="I212" s="838" t="s">
        <v>36</v>
      </c>
      <c r="J212" s="21" t="s">
        <v>29</v>
      </c>
      <c r="K212" s="222"/>
      <c r="L212" s="21"/>
      <c r="M212" s="22" t="s">
        <v>30</v>
      </c>
      <c r="N212" s="23">
        <v>45742</v>
      </c>
      <c r="O212" s="21" t="s">
        <v>31</v>
      </c>
      <c r="P212" s="22" t="s">
        <v>30</v>
      </c>
      <c r="Q212" s="23">
        <v>45742</v>
      </c>
      <c r="R212" s="79" t="s">
        <v>21</v>
      </c>
      <c r="S212" s="22" t="s">
        <v>32</v>
      </c>
      <c r="T212" s="22">
        <v>22</v>
      </c>
      <c r="U212" s="24" t="s">
        <v>21</v>
      </c>
      <c r="V212" s="23">
        <v>45742</v>
      </c>
      <c r="W212" s="80" t="s">
        <v>30</v>
      </c>
    </row>
    <row r="213" spans="1:24">
      <c r="A213" s="834" t="s">
        <v>24</v>
      </c>
      <c r="B213" s="835">
        <v>210</v>
      </c>
      <c r="C213" s="838" t="s">
        <v>405</v>
      </c>
      <c r="D213" s="838" t="s">
        <v>406</v>
      </c>
      <c r="E213" s="839">
        <v>45695</v>
      </c>
      <c r="F213" s="838" t="s">
        <v>404</v>
      </c>
      <c r="G213" s="838">
        <v>22</v>
      </c>
      <c r="H213" s="838" t="s">
        <v>21</v>
      </c>
      <c r="I213" s="838" t="s">
        <v>36</v>
      </c>
      <c r="J213" s="21" t="s">
        <v>29</v>
      </c>
      <c r="K213" s="21"/>
      <c r="L213" s="21"/>
      <c r="M213" s="22" t="s">
        <v>30</v>
      </c>
      <c r="N213" s="23">
        <v>45722</v>
      </c>
      <c r="O213" s="21" t="s">
        <v>31</v>
      </c>
      <c r="P213" s="22" t="s">
        <v>30</v>
      </c>
      <c r="Q213" s="23">
        <v>45722</v>
      </c>
      <c r="R213" s="79" t="s">
        <v>21</v>
      </c>
      <c r="S213" s="22" t="s">
        <v>32</v>
      </c>
      <c r="T213" s="22">
        <v>22</v>
      </c>
      <c r="U213" s="22" t="s">
        <v>21</v>
      </c>
      <c r="V213" s="23">
        <v>45722</v>
      </c>
      <c r="W213" s="80" t="s">
        <v>30</v>
      </c>
    </row>
    <row r="214" spans="1:24">
      <c r="A214" s="834" t="s">
        <v>24</v>
      </c>
      <c r="B214" s="835">
        <v>211</v>
      </c>
      <c r="C214" s="838" t="s">
        <v>407</v>
      </c>
      <c r="D214" s="838" t="s">
        <v>178</v>
      </c>
      <c r="E214" s="839">
        <v>45695</v>
      </c>
      <c r="F214" s="838" t="s">
        <v>324</v>
      </c>
      <c r="G214" s="838">
        <v>15</v>
      </c>
      <c r="H214" s="838" t="s">
        <v>21</v>
      </c>
      <c r="I214" s="838" t="s">
        <v>36</v>
      </c>
      <c r="J214" s="21" t="s">
        <v>29</v>
      </c>
      <c r="K214" s="215"/>
      <c r="L214" s="21"/>
      <c r="M214" s="22" t="s">
        <v>30</v>
      </c>
      <c r="N214" s="23">
        <v>45742</v>
      </c>
      <c r="O214" s="21" t="s">
        <v>31</v>
      </c>
      <c r="P214" s="22" t="s">
        <v>30</v>
      </c>
      <c r="Q214" s="23">
        <v>45742</v>
      </c>
      <c r="R214" s="79" t="s">
        <v>21</v>
      </c>
      <c r="S214" s="22" t="s">
        <v>32</v>
      </c>
      <c r="T214" s="22">
        <v>15</v>
      </c>
      <c r="U214" s="24" t="s">
        <v>21</v>
      </c>
      <c r="V214" s="23">
        <v>45742</v>
      </c>
      <c r="W214" s="80" t="s">
        <v>30</v>
      </c>
    </row>
    <row r="215" spans="1:24">
      <c r="A215" s="834" t="s">
        <v>24</v>
      </c>
      <c r="B215" s="835">
        <v>212</v>
      </c>
      <c r="C215" s="838" t="s">
        <v>408</v>
      </c>
      <c r="D215" s="838" t="s">
        <v>34</v>
      </c>
      <c r="E215" s="839">
        <v>45695</v>
      </c>
      <c r="F215" s="838" t="s">
        <v>409</v>
      </c>
      <c r="G215" s="838">
        <v>11</v>
      </c>
      <c r="H215" s="842" t="s">
        <v>22</v>
      </c>
      <c r="I215" s="838" t="s">
        <v>28</v>
      </c>
      <c r="J215" s="21" t="s">
        <v>29</v>
      </c>
      <c r="K215" s="21"/>
      <c r="L215" s="21"/>
      <c r="M215" s="22" t="s">
        <v>30</v>
      </c>
      <c r="N215" s="23">
        <v>45726</v>
      </c>
      <c r="O215" s="21"/>
      <c r="P215" s="22" t="s">
        <v>30</v>
      </c>
      <c r="Q215" s="23">
        <v>45726</v>
      </c>
      <c r="R215" s="79" t="s">
        <v>22</v>
      </c>
      <c r="S215" s="22" t="s">
        <v>32</v>
      </c>
      <c r="T215" s="22">
        <v>10</v>
      </c>
      <c r="U215" s="24" t="s">
        <v>22</v>
      </c>
      <c r="V215" s="23">
        <v>45726</v>
      </c>
      <c r="W215" s="80" t="s">
        <v>30</v>
      </c>
    </row>
    <row r="216" spans="1:24">
      <c r="A216" s="834" t="s">
        <v>24</v>
      </c>
      <c r="B216" s="835">
        <v>213</v>
      </c>
      <c r="C216" s="838" t="s">
        <v>410</v>
      </c>
      <c r="D216" s="838" t="s">
        <v>411</v>
      </c>
      <c r="E216" s="839">
        <v>45696</v>
      </c>
      <c r="F216" s="838" t="s">
        <v>412</v>
      </c>
      <c r="G216" s="838">
        <v>8</v>
      </c>
      <c r="H216" s="842" t="s">
        <v>46</v>
      </c>
      <c r="I216" s="838" t="s">
        <v>47</v>
      </c>
      <c r="J216" s="21" t="s">
        <v>29</v>
      </c>
      <c r="K216" s="21"/>
      <c r="L216" s="21"/>
      <c r="M216" s="22" t="s">
        <v>30</v>
      </c>
      <c r="N216" s="23">
        <v>45757</v>
      </c>
      <c r="O216" s="21" t="s">
        <v>66</v>
      </c>
      <c r="P216" s="22" t="s">
        <v>30</v>
      </c>
      <c r="Q216" s="23">
        <v>45757</v>
      </c>
      <c r="R216" s="79" t="s">
        <v>47</v>
      </c>
      <c r="S216" s="22" t="s">
        <v>32</v>
      </c>
      <c r="T216" s="22">
        <v>8</v>
      </c>
      <c r="U216" s="22" t="s">
        <v>47</v>
      </c>
      <c r="V216" s="23">
        <v>45757</v>
      </c>
      <c r="W216" s="80" t="s">
        <v>30</v>
      </c>
      <c r="X216" s="379" t="s">
        <v>30</v>
      </c>
    </row>
    <row r="217" spans="1:24">
      <c r="A217" s="834" t="s">
        <v>24</v>
      </c>
      <c r="B217" s="835">
        <v>214</v>
      </c>
      <c r="C217" s="838" t="s">
        <v>413</v>
      </c>
      <c r="D217" s="838" t="s">
        <v>102</v>
      </c>
      <c r="E217" s="839">
        <v>45696</v>
      </c>
      <c r="F217" s="838" t="s">
        <v>412</v>
      </c>
      <c r="G217" s="838">
        <v>8</v>
      </c>
      <c r="H217" s="842" t="s">
        <v>46</v>
      </c>
      <c r="I217" s="838" t="s">
        <v>47</v>
      </c>
      <c r="J217" s="21" t="s">
        <v>29</v>
      </c>
      <c r="K217" s="21"/>
      <c r="L217" s="21"/>
      <c r="M217" s="22" t="s">
        <v>30</v>
      </c>
      <c r="N217" s="23">
        <v>45756</v>
      </c>
      <c r="O217" s="21"/>
      <c r="P217" s="22" t="s">
        <v>30</v>
      </c>
      <c r="Q217" s="23">
        <v>45756</v>
      </c>
      <c r="R217" s="79" t="s">
        <v>47</v>
      </c>
      <c r="S217" s="22" t="s">
        <v>32</v>
      </c>
      <c r="T217" s="22">
        <v>8</v>
      </c>
      <c r="U217" s="24" t="s">
        <v>47</v>
      </c>
      <c r="V217" s="23">
        <v>45756</v>
      </c>
      <c r="W217" s="80" t="s">
        <v>30</v>
      </c>
    </row>
    <row r="218" spans="1:24">
      <c r="A218" s="834" t="s">
        <v>24</v>
      </c>
      <c r="B218" s="835">
        <v>215</v>
      </c>
      <c r="C218" s="838" t="s">
        <v>414</v>
      </c>
      <c r="D218" s="838" t="s">
        <v>64</v>
      </c>
      <c r="E218" s="839">
        <v>45696</v>
      </c>
      <c r="F218" s="838" t="s">
        <v>65</v>
      </c>
      <c r="G218" s="838">
        <v>8</v>
      </c>
      <c r="H218" s="838" t="s">
        <v>46</v>
      </c>
      <c r="I218" s="838" t="s">
        <v>47</v>
      </c>
      <c r="J218" s="21" t="s">
        <v>29</v>
      </c>
      <c r="K218" s="21" t="s">
        <v>415</v>
      </c>
      <c r="L218" s="21"/>
      <c r="M218" s="22"/>
      <c r="N218" s="23"/>
      <c r="O218" s="21" t="s">
        <v>66</v>
      </c>
      <c r="P218" s="22"/>
      <c r="Q218" s="23"/>
      <c r="R218" s="79" t="s">
        <v>47</v>
      </c>
      <c r="S218" s="22"/>
      <c r="T218" s="22"/>
      <c r="U218" s="24"/>
      <c r="V218" s="23"/>
      <c r="W218" s="80" t="s">
        <v>30</v>
      </c>
    </row>
    <row r="219" spans="1:24">
      <c r="A219" s="834" t="s">
        <v>24</v>
      </c>
      <c r="B219" s="835">
        <v>216</v>
      </c>
      <c r="C219" s="838" t="s">
        <v>416</v>
      </c>
      <c r="D219" s="838" t="s">
        <v>43</v>
      </c>
      <c r="E219" s="839">
        <v>45696</v>
      </c>
      <c r="F219" s="838" t="s">
        <v>65</v>
      </c>
      <c r="G219" s="838">
        <v>8</v>
      </c>
      <c r="H219" s="842" t="s">
        <v>46</v>
      </c>
      <c r="I219" s="838" t="s">
        <v>47</v>
      </c>
      <c r="J219" s="21" t="s">
        <v>29</v>
      </c>
      <c r="K219" s="21" t="s">
        <v>415</v>
      </c>
      <c r="L219" s="21"/>
      <c r="M219" s="22"/>
      <c r="N219" s="23"/>
      <c r="O219" s="21"/>
      <c r="P219" s="22"/>
      <c r="Q219" s="23"/>
      <c r="R219" s="79" t="s">
        <v>47</v>
      </c>
      <c r="S219" s="22"/>
      <c r="T219" s="22"/>
      <c r="U219" s="24"/>
      <c r="V219" s="23"/>
      <c r="W219" s="80" t="s">
        <v>30</v>
      </c>
    </row>
    <row r="220" spans="1:24">
      <c r="A220" s="834" t="s">
        <v>24</v>
      </c>
      <c r="B220" s="835">
        <v>217</v>
      </c>
      <c r="C220" s="838" t="s">
        <v>417</v>
      </c>
      <c r="D220" s="838" t="s">
        <v>50</v>
      </c>
      <c r="E220" s="839">
        <v>45696</v>
      </c>
      <c r="F220" s="838" t="s">
        <v>65</v>
      </c>
      <c r="G220" s="838">
        <v>8</v>
      </c>
      <c r="H220" s="838" t="s">
        <v>46</v>
      </c>
      <c r="I220" s="838" t="s">
        <v>47</v>
      </c>
      <c r="J220" s="21" t="s">
        <v>29</v>
      </c>
      <c r="K220" s="21" t="s">
        <v>415</v>
      </c>
      <c r="L220" s="21"/>
      <c r="M220" s="22"/>
      <c r="N220" s="23"/>
      <c r="O220" s="21"/>
      <c r="P220" s="22"/>
      <c r="Q220" s="23"/>
      <c r="R220" s="79" t="s">
        <v>47</v>
      </c>
      <c r="S220" s="22"/>
      <c r="T220" s="22"/>
      <c r="U220" s="24"/>
      <c r="V220" s="23"/>
      <c r="W220" s="80" t="s">
        <v>30</v>
      </c>
    </row>
    <row r="221" spans="1:24">
      <c r="A221" s="834" t="s">
        <v>24</v>
      </c>
      <c r="B221" s="835">
        <v>218</v>
      </c>
      <c r="C221" s="838" t="s">
        <v>418</v>
      </c>
      <c r="D221" s="838" t="s">
        <v>102</v>
      </c>
      <c r="E221" s="839">
        <v>45696</v>
      </c>
      <c r="F221" s="838" t="s">
        <v>65</v>
      </c>
      <c r="G221" s="838">
        <v>2</v>
      </c>
      <c r="H221" s="838" t="s">
        <v>46</v>
      </c>
      <c r="I221" s="838" t="s">
        <v>47</v>
      </c>
      <c r="J221" s="21" t="s">
        <v>29</v>
      </c>
      <c r="K221" s="21" t="s">
        <v>415</v>
      </c>
      <c r="L221" s="21"/>
      <c r="M221" s="22"/>
      <c r="N221" s="23"/>
      <c r="O221" s="21"/>
      <c r="P221" s="22"/>
      <c r="Q221" s="23"/>
      <c r="R221" s="79" t="s">
        <v>47</v>
      </c>
      <c r="S221" s="22"/>
      <c r="T221" s="22"/>
      <c r="U221" s="22"/>
      <c r="V221" s="23"/>
      <c r="W221" s="80" t="s">
        <v>30</v>
      </c>
    </row>
    <row r="222" spans="1:24">
      <c r="A222" s="834" t="s">
        <v>24</v>
      </c>
      <c r="B222" s="835">
        <v>219</v>
      </c>
      <c r="C222" s="838" t="s">
        <v>419</v>
      </c>
      <c r="D222" s="838" t="s">
        <v>34</v>
      </c>
      <c r="E222" s="839">
        <v>45696</v>
      </c>
      <c r="F222" s="838" t="s">
        <v>187</v>
      </c>
      <c r="G222" s="838">
        <v>24</v>
      </c>
      <c r="H222" s="842" t="s">
        <v>21</v>
      </c>
      <c r="I222" s="838" t="s">
        <v>36</v>
      </c>
      <c r="J222" s="21" t="s">
        <v>29</v>
      </c>
      <c r="K222" s="21"/>
      <c r="L222" s="21"/>
      <c r="M222" s="22" t="s">
        <v>30</v>
      </c>
      <c r="N222" s="23">
        <v>45734</v>
      </c>
      <c r="O222" s="21" t="s">
        <v>31</v>
      </c>
      <c r="P222" s="22" t="s">
        <v>30</v>
      </c>
      <c r="Q222" s="23">
        <v>45734</v>
      </c>
      <c r="R222" s="79" t="s">
        <v>21</v>
      </c>
      <c r="S222" s="22" t="s">
        <v>32</v>
      </c>
      <c r="T222" s="22">
        <v>24</v>
      </c>
      <c r="U222" s="24" t="s">
        <v>21</v>
      </c>
      <c r="V222" s="23">
        <v>45734</v>
      </c>
      <c r="W222" s="80" t="s">
        <v>30</v>
      </c>
    </row>
    <row r="223" spans="1:24">
      <c r="A223" s="834" t="s">
        <v>24</v>
      </c>
      <c r="B223" s="835">
        <v>220</v>
      </c>
      <c r="C223" s="838" t="s">
        <v>420</v>
      </c>
      <c r="D223" s="838" t="s">
        <v>34</v>
      </c>
      <c r="E223" s="839">
        <v>45696</v>
      </c>
      <c r="F223" s="838" t="s">
        <v>421</v>
      </c>
      <c r="G223" s="838">
        <v>14</v>
      </c>
      <c r="H223" s="842" t="s">
        <v>21</v>
      </c>
      <c r="I223" s="838" t="s">
        <v>36</v>
      </c>
      <c r="J223" s="21" t="s">
        <v>29</v>
      </c>
      <c r="K223" s="21"/>
      <c r="L223" s="21"/>
      <c r="M223" s="22" t="s">
        <v>30</v>
      </c>
      <c r="N223" s="23">
        <v>45736</v>
      </c>
      <c r="O223" s="21"/>
      <c r="P223" s="22" t="s">
        <v>30</v>
      </c>
      <c r="Q223" s="23">
        <v>45736</v>
      </c>
      <c r="R223" s="79" t="s">
        <v>21</v>
      </c>
      <c r="S223" s="22" t="s">
        <v>32</v>
      </c>
      <c r="T223" s="22">
        <v>13</v>
      </c>
      <c r="U223" s="22" t="s">
        <v>21</v>
      </c>
      <c r="V223" s="23">
        <v>45736</v>
      </c>
      <c r="W223" s="80" t="s">
        <v>30</v>
      </c>
    </row>
    <row r="224" spans="1:24">
      <c r="A224" s="834" t="s">
        <v>24</v>
      </c>
      <c r="B224" s="835">
        <v>221</v>
      </c>
      <c r="C224" s="838" t="s">
        <v>96</v>
      </c>
      <c r="D224" s="838" t="s">
        <v>34</v>
      </c>
      <c r="E224" s="839">
        <v>45696</v>
      </c>
      <c r="F224" s="838" t="s">
        <v>422</v>
      </c>
      <c r="G224" s="838">
        <v>15</v>
      </c>
      <c r="H224" s="842" t="s">
        <v>21</v>
      </c>
      <c r="I224" s="838" t="s">
        <v>36</v>
      </c>
      <c r="J224" s="21" t="s">
        <v>29</v>
      </c>
      <c r="K224" s="21"/>
      <c r="L224" s="21"/>
      <c r="M224" s="22" t="s">
        <v>30</v>
      </c>
      <c r="N224" s="23">
        <v>45740</v>
      </c>
      <c r="O224" s="21" t="s">
        <v>31</v>
      </c>
      <c r="P224" s="22" t="s">
        <v>30</v>
      </c>
      <c r="Q224" s="23">
        <v>45740</v>
      </c>
      <c r="R224" s="79" t="s">
        <v>21</v>
      </c>
      <c r="S224" s="22" t="s">
        <v>32</v>
      </c>
      <c r="T224" s="22">
        <v>15</v>
      </c>
      <c r="U224" s="22" t="s">
        <v>21</v>
      </c>
      <c r="V224" s="23">
        <v>45740</v>
      </c>
      <c r="W224" s="80" t="s">
        <v>30</v>
      </c>
    </row>
    <row r="225" spans="1:23">
      <c r="A225" s="834" t="s">
        <v>24</v>
      </c>
      <c r="B225" s="835">
        <v>222</v>
      </c>
      <c r="C225" s="838" t="s">
        <v>423</v>
      </c>
      <c r="D225" s="838" t="s">
        <v>34</v>
      </c>
      <c r="E225" s="839">
        <v>45696</v>
      </c>
      <c r="F225" s="838" t="s">
        <v>272</v>
      </c>
      <c r="G225" s="838">
        <v>6</v>
      </c>
      <c r="H225" s="838" t="s">
        <v>21</v>
      </c>
      <c r="I225" s="838" t="s">
        <v>36</v>
      </c>
      <c r="J225" s="21" t="s">
        <v>29</v>
      </c>
      <c r="K225" s="21"/>
      <c r="L225" s="21"/>
      <c r="M225" s="22" t="s">
        <v>30</v>
      </c>
      <c r="N225" s="23">
        <v>45730</v>
      </c>
      <c r="O225" s="21"/>
      <c r="P225" s="22" t="s">
        <v>30</v>
      </c>
      <c r="Q225" s="23">
        <v>45730</v>
      </c>
      <c r="R225" s="79" t="s">
        <v>21</v>
      </c>
      <c r="S225" s="22" t="s">
        <v>32</v>
      </c>
      <c r="T225" s="22">
        <v>6</v>
      </c>
      <c r="U225" s="24" t="s">
        <v>21</v>
      </c>
      <c r="V225" s="23">
        <v>45730</v>
      </c>
      <c r="W225" s="80" t="s">
        <v>30</v>
      </c>
    </row>
    <row r="226" spans="1:23">
      <c r="A226" s="834" t="s">
        <v>24</v>
      </c>
      <c r="B226" s="835">
        <v>223</v>
      </c>
      <c r="C226" s="838" t="s">
        <v>424</v>
      </c>
      <c r="D226" s="838" t="s">
        <v>425</v>
      </c>
      <c r="E226" s="839">
        <v>45696</v>
      </c>
      <c r="F226" s="838" t="s">
        <v>272</v>
      </c>
      <c r="G226" s="838">
        <v>6</v>
      </c>
      <c r="H226" s="842" t="s">
        <v>21</v>
      </c>
      <c r="I226" s="838" t="s">
        <v>36</v>
      </c>
      <c r="J226" s="21" t="s">
        <v>29</v>
      </c>
      <c r="K226" s="21"/>
      <c r="L226" s="21"/>
      <c r="M226" s="22" t="s">
        <v>30</v>
      </c>
      <c r="N226" s="23">
        <v>45730</v>
      </c>
      <c r="O226" s="21"/>
      <c r="P226" s="22" t="s">
        <v>30</v>
      </c>
      <c r="Q226" s="23">
        <v>45730</v>
      </c>
      <c r="R226" s="79" t="s">
        <v>21</v>
      </c>
      <c r="S226" s="22" t="s">
        <v>32</v>
      </c>
      <c r="T226" s="22">
        <v>6</v>
      </c>
      <c r="U226" s="24" t="s">
        <v>21</v>
      </c>
      <c r="V226" s="23">
        <v>45730</v>
      </c>
      <c r="W226" s="80" t="s">
        <v>30</v>
      </c>
    </row>
    <row r="227" spans="1:23">
      <c r="A227" s="834" t="s">
        <v>24</v>
      </c>
      <c r="B227" s="835">
        <v>224</v>
      </c>
      <c r="C227" s="838" t="s">
        <v>426</v>
      </c>
      <c r="D227" s="838" t="s">
        <v>34</v>
      </c>
      <c r="E227" s="839">
        <v>45696</v>
      </c>
      <c r="F227" s="838" t="s">
        <v>272</v>
      </c>
      <c r="G227" s="838">
        <v>8</v>
      </c>
      <c r="H227" s="842" t="s">
        <v>21</v>
      </c>
      <c r="I227" s="838" t="s">
        <v>36</v>
      </c>
      <c r="J227" s="21" t="s">
        <v>29</v>
      </c>
      <c r="K227" s="21"/>
      <c r="L227" s="21"/>
      <c r="M227" s="22" t="s">
        <v>30</v>
      </c>
      <c r="N227" s="23">
        <v>45737</v>
      </c>
      <c r="O227" s="21"/>
      <c r="P227" s="22" t="s">
        <v>30</v>
      </c>
      <c r="Q227" s="23">
        <v>45737</v>
      </c>
      <c r="R227" s="79" t="s">
        <v>21</v>
      </c>
      <c r="S227" s="22" t="s">
        <v>32</v>
      </c>
      <c r="T227" s="22">
        <v>8</v>
      </c>
      <c r="U227" s="24" t="s">
        <v>21</v>
      </c>
      <c r="V227" s="23">
        <v>45737</v>
      </c>
      <c r="W227" s="80" t="s">
        <v>30</v>
      </c>
    </row>
    <row r="228" spans="1:23">
      <c r="A228" s="834" t="s">
        <v>24</v>
      </c>
      <c r="B228" s="835">
        <v>225</v>
      </c>
      <c r="C228" s="838" t="s">
        <v>427</v>
      </c>
      <c r="D228" s="838" t="s">
        <v>43</v>
      </c>
      <c r="E228" s="839">
        <v>45696</v>
      </c>
      <c r="F228" s="838" t="s">
        <v>97</v>
      </c>
      <c r="G228" s="838">
        <v>16</v>
      </c>
      <c r="H228" s="842" t="s">
        <v>22</v>
      </c>
      <c r="I228" s="838" t="s">
        <v>28</v>
      </c>
      <c r="J228" s="21" t="s">
        <v>29</v>
      </c>
      <c r="K228" s="21"/>
      <c r="L228" s="21"/>
      <c r="M228" s="22" t="s">
        <v>30</v>
      </c>
      <c r="N228" s="23">
        <v>45727</v>
      </c>
      <c r="O228" s="21" t="s">
        <v>31</v>
      </c>
      <c r="P228" s="22" t="s">
        <v>30</v>
      </c>
      <c r="Q228" s="23">
        <v>45727</v>
      </c>
      <c r="R228" s="79" t="s">
        <v>22</v>
      </c>
      <c r="S228" s="22" t="s">
        <v>32</v>
      </c>
      <c r="T228" s="22">
        <v>16</v>
      </c>
      <c r="U228" s="24" t="s">
        <v>22</v>
      </c>
      <c r="V228" s="23">
        <v>45727</v>
      </c>
      <c r="W228" s="80" t="s">
        <v>30</v>
      </c>
    </row>
    <row r="229" spans="1:23">
      <c r="A229" s="834" t="s">
        <v>24</v>
      </c>
      <c r="B229" s="835">
        <v>226</v>
      </c>
      <c r="C229" s="838" t="s">
        <v>295</v>
      </c>
      <c r="D229" s="838" t="s">
        <v>428</v>
      </c>
      <c r="E229" s="839">
        <v>45696</v>
      </c>
      <c r="F229" s="838" t="s">
        <v>110</v>
      </c>
      <c r="G229" s="838">
        <v>13</v>
      </c>
      <c r="H229" s="842" t="s">
        <v>22</v>
      </c>
      <c r="I229" s="838" t="s">
        <v>28</v>
      </c>
      <c r="J229" s="21" t="s">
        <v>29</v>
      </c>
      <c r="K229" s="21"/>
      <c r="L229" s="21"/>
      <c r="M229" s="22" t="s">
        <v>30</v>
      </c>
      <c r="N229" s="23">
        <v>45743</v>
      </c>
      <c r="O229" s="21"/>
      <c r="P229" s="22" t="s">
        <v>30</v>
      </c>
      <c r="Q229" s="23">
        <v>45743</v>
      </c>
      <c r="R229" s="79" t="s">
        <v>48</v>
      </c>
      <c r="S229" s="22" t="s">
        <v>32</v>
      </c>
      <c r="T229" s="22">
        <v>13</v>
      </c>
      <c r="U229" s="24" t="s">
        <v>48</v>
      </c>
      <c r="V229" s="23">
        <v>45743</v>
      </c>
      <c r="W229" s="80" t="s">
        <v>113</v>
      </c>
    </row>
    <row r="230" spans="1:23">
      <c r="A230" s="834" t="s">
        <v>24</v>
      </c>
      <c r="B230" s="835">
        <v>227</v>
      </c>
      <c r="C230" s="838" t="s">
        <v>429</v>
      </c>
      <c r="D230" s="838" t="s">
        <v>102</v>
      </c>
      <c r="E230" s="839">
        <v>45698</v>
      </c>
      <c r="F230" s="838" t="s">
        <v>430</v>
      </c>
      <c r="G230" s="838">
        <v>12</v>
      </c>
      <c r="H230" s="842" t="s">
        <v>46</v>
      </c>
      <c r="I230" s="838" t="s">
        <v>47</v>
      </c>
      <c r="J230" s="21" t="s">
        <v>29</v>
      </c>
      <c r="K230" s="21"/>
      <c r="L230" s="21"/>
      <c r="M230" s="22" t="s">
        <v>30</v>
      </c>
      <c r="N230" s="23">
        <v>45762</v>
      </c>
      <c r="O230" s="21"/>
      <c r="P230" s="22" t="s">
        <v>30</v>
      </c>
      <c r="Q230" s="23">
        <v>45762</v>
      </c>
      <c r="R230" s="79" t="s">
        <v>47</v>
      </c>
      <c r="S230" s="22" t="s">
        <v>32</v>
      </c>
      <c r="T230" s="22">
        <v>12</v>
      </c>
      <c r="U230" s="24" t="s">
        <v>47</v>
      </c>
      <c r="V230" s="23">
        <v>45762</v>
      </c>
      <c r="W230" s="80" t="s">
        <v>30</v>
      </c>
    </row>
    <row r="231" spans="1:23">
      <c r="A231" s="834" t="s">
        <v>24</v>
      </c>
      <c r="B231" s="835">
        <v>228</v>
      </c>
      <c r="C231" s="838" t="s">
        <v>431</v>
      </c>
      <c r="D231" s="838" t="s">
        <v>406</v>
      </c>
      <c r="E231" s="839">
        <v>45698</v>
      </c>
      <c r="F231" s="838" t="s">
        <v>167</v>
      </c>
      <c r="G231" s="838">
        <v>7</v>
      </c>
      <c r="H231" s="842" t="s">
        <v>22</v>
      </c>
      <c r="I231" s="838" t="s">
        <v>28</v>
      </c>
      <c r="J231" s="21" t="s">
        <v>29</v>
      </c>
      <c r="K231" s="21"/>
      <c r="L231" s="21"/>
      <c r="M231" s="22" t="s">
        <v>30</v>
      </c>
      <c r="N231" s="23">
        <v>45741</v>
      </c>
      <c r="O231" s="21"/>
      <c r="P231" s="22" t="s">
        <v>30</v>
      </c>
      <c r="Q231" s="23">
        <v>45741</v>
      </c>
      <c r="R231" s="79" t="s">
        <v>22</v>
      </c>
      <c r="S231" s="22" t="s">
        <v>32</v>
      </c>
      <c r="T231" s="22">
        <v>7</v>
      </c>
      <c r="U231" s="24" t="s">
        <v>22</v>
      </c>
      <c r="V231" s="23">
        <v>45741</v>
      </c>
      <c r="W231" s="80" t="s">
        <v>30</v>
      </c>
    </row>
    <row r="232" spans="1:23">
      <c r="A232" s="834" t="s">
        <v>24</v>
      </c>
      <c r="B232" s="835">
        <v>229</v>
      </c>
      <c r="C232" s="838" t="s">
        <v>363</v>
      </c>
      <c r="D232" s="838" t="s">
        <v>432</v>
      </c>
      <c r="E232" s="839">
        <v>45698</v>
      </c>
      <c r="F232" s="838" t="s">
        <v>167</v>
      </c>
      <c r="G232" s="838">
        <v>6</v>
      </c>
      <c r="H232" s="842" t="s">
        <v>22</v>
      </c>
      <c r="I232" s="838" t="s">
        <v>28</v>
      </c>
      <c r="J232" s="21" t="s">
        <v>29</v>
      </c>
      <c r="K232" s="21" t="s">
        <v>401</v>
      </c>
      <c r="L232" s="21"/>
      <c r="M232" s="22" t="s">
        <v>30</v>
      </c>
      <c r="N232" s="23">
        <v>45740</v>
      </c>
      <c r="O232" s="21"/>
      <c r="P232" s="22" t="s">
        <v>30</v>
      </c>
      <c r="Q232" s="23">
        <v>45740</v>
      </c>
      <c r="R232" s="79" t="s">
        <v>22</v>
      </c>
      <c r="S232" s="22" t="s">
        <v>32</v>
      </c>
      <c r="T232" s="22">
        <v>8</v>
      </c>
      <c r="U232" s="22" t="s">
        <v>22</v>
      </c>
      <c r="V232" s="23">
        <v>45740</v>
      </c>
      <c r="W232" s="80" t="s">
        <v>32</v>
      </c>
    </row>
    <row r="233" spans="1:23">
      <c r="A233" s="834" t="s">
        <v>24</v>
      </c>
      <c r="B233" s="835">
        <v>230</v>
      </c>
      <c r="C233" s="838" t="s">
        <v>433</v>
      </c>
      <c r="D233" s="838" t="s">
        <v>34</v>
      </c>
      <c r="E233" s="839">
        <v>45700</v>
      </c>
      <c r="F233" s="838" t="s">
        <v>245</v>
      </c>
      <c r="G233" s="838">
        <v>13</v>
      </c>
      <c r="H233" s="842" t="s">
        <v>46</v>
      </c>
      <c r="I233" s="838" t="s">
        <v>47</v>
      </c>
      <c r="J233" s="21" t="s">
        <v>29</v>
      </c>
      <c r="K233" s="21"/>
      <c r="L233" s="21"/>
      <c r="M233" s="22" t="s">
        <v>30</v>
      </c>
      <c r="N233" s="23">
        <v>45726</v>
      </c>
      <c r="O233" s="21"/>
      <c r="P233" s="22" t="s">
        <v>30</v>
      </c>
      <c r="Q233" s="23">
        <v>45726</v>
      </c>
      <c r="R233" s="79" t="s">
        <v>46</v>
      </c>
      <c r="S233" s="22" t="s">
        <v>32</v>
      </c>
      <c r="T233" s="22">
        <v>13</v>
      </c>
      <c r="U233" s="22" t="s">
        <v>46</v>
      </c>
      <c r="V233" s="23">
        <v>45730</v>
      </c>
      <c r="W233" s="80" t="s">
        <v>30</v>
      </c>
    </row>
    <row r="234" spans="1:23">
      <c r="A234" s="834" t="s">
        <v>24</v>
      </c>
      <c r="B234" s="835">
        <v>231</v>
      </c>
      <c r="C234" s="838" t="s">
        <v>434</v>
      </c>
      <c r="D234" s="838" t="s">
        <v>43</v>
      </c>
      <c r="E234" s="839">
        <v>45700</v>
      </c>
      <c r="F234" s="838" t="s">
        <v>435</v>
      </c>
      <c r="G234" s="838">
        <v>9</v>
      </c>
      <c r="H234" s="842" t="s">
        <v>21</v>
      </c>
      <c r="I234" s="838" t="s">
        <v>47</v>
      </c>
      <c r="J234" s="21" t="s">
        <v>29</v>
      </c>
      <c r="K234" s="223"/>
      <c r="L234" s="21"/>
      <c r="M234" s="22" t="s">
        <v>30</v>
      </c>
      <c r="N234" s="23">
        <v>45742</v>
      </c>
      <c r="O234" s="21"/>
      <c r="P234" s="22" t="s">
        <v>30</v>
      </c>
      <c r="Q234" s="23">
        <v>45742</v>
      </c>
      <c r="R234" s="79" t="s">
        <v>21</v>
      </c>
      <c r="S234" s="22" t="s">
        <v>32</v>
      </c>
      <c r="T234" s="22">
        <v>9</v>
      </c>
      <c r="U234" s="24" t="s">
        <v>21</v>
      </c>
      <c r="V234" s="23">
        <v>45742</v>
      </c>
      <c r="W234" s="80" t="s">
        <v>32</v>
      </c>
    </row>
    <row r="235" spans="1:23">
      <c r="A235" s="834" t="s">
        <v>24</v>
      </c>
      <c r="B235" s="835">
        <v>232</v>
      </c>
      <c r="C235" s="838" t="s">
        <v>436</v>
      </c>
      <c r="D235" s="838" t="s">
        <v>50</v>
      </c>
      <c r="E235" s="839">
        <v>45700</v>
      </c>
      <c r="F235" s="838" t="s">
        <v>435</v>
      </c>
      <c r="G235" s="838">
        <v>9</v>
      </c>
      <c r="H235" s="842" t="s">
        <v>21</v>
      </c>
      <c r="I235" s="838" t="s">
        <v>47</v>
      </c>
      <c r="J235" s="21" t="s">
        <v>29</v>
      </c>
      <c r="K235" s="21" t="s">
        <v>401</v>
      </c>
      <c r="L235" s="21"/>
      <c r="M235" s="22" t="s">
        <v>30</v>
      </c>
      <c r="N235" s="23">
        <v>45742</v>
      </c>
      <c r="O235" s="21" t="s">
        <v>66</v>
      </c>
      <c r="P235" s="22" t="s">
        <v>30</v>
      </c>
      <c r="Q235" s="23">
        <v>45742</v>
      </c>
      <c r="R235" s="79" t="s">
        <v>21</v>
      </c>
      <c r="S235" s="22" t="s">
        <v>32</v>
      </c>
      <c r="T235" s="22">
        <v>9</v>
      </c>
      <c r="U235" s="24" t="s">
        <v>21</v>
      </c>
      <c r="V235" s="23">
        <v>45742</v>
      </c>
      <c r="W235" s="80" t="s">
        <v>32</v>
      </c>
    </row>
    <row r="236" spans="1:23">
      <c r="A236" s="834" t="s">
        <v>24</v>
      </c>
      <c r="B236" s="835">
        <v>233</v>
      </c>
      <c r="C236" s="838" t="s">
        <v>437</v>
      </c>
      <c r="D236" s="838" t="s">
        <v>438</v>
      </c>
      <c r="E236" s="839">
        <v>45701</v>
      </c>
      <c r="F236" s="838" t="s">
        <v>439</v>
      </c>
      <c r="G236" s="838">
        <v>18</v>
      </c>
      <c r="H236" s="842" t="s">
        <v>22</v>
      </c>
      <c r="I236" s="838" t="s">
        <v>28</v>
      </c>
      <c r="J236" s="21" t="s">
        <v>29</v>
      </c>
      <c r="K236" s="21"/>
      <c r="L236" s="21"/>
      <c r="M236" s="22" t="s">
        <v>30</v>
      </c>
      <c r="N236" s="23">
        <v>45740</v>
      </c>
      <c r="O236" s="21" t="s">
        <v>31</v>
      </c>
      <c r="P236" s="22" t="s">
        <v>30</v>
      </c>
      <c r="Q236" s="23">
        <v>45740</v>
      </c>
      <c r="R236" s="79" t="s">
        <v>22</v>
      </c>
      <c r="S236" s="22" t="s">
        <v>32</v>
      </c>
      <c r="T236" s="22">
        <v>15</v>
      </c>
      <c r="U236" s="22" t="s">
        <v>22</v>
      </c>
      <c r="V236" s="23">
        <v>45740</v>
      </c>
      <c r="W236" s="80" t="s">
        <v>30</v>
      </c>
    </row>
    <row r="237" spans="1:23">
      <c r="A237" s="834" t="s">
        <v>24</v>
      </c>
      <c r="B237" s="835">
        <v>234</v>
      </c>
      <c r="C237" s="838" t="s">
        <v>440</v>
      </c>
      <c r="D237" s="838" t="s">
        <v>34</v>
      </c>
      <c r="E237" s="839">
        <v>45701</v>
      </c>
      <c r="F237" s="838" t="s">
        <v>35</v>
      </c>
      <c r="G237" s="838">
        <v>4</v>
      </c>
      <c r="H237" s="838" t="s">
        <v>21</v>
      </c>
      <c r="I237" s="838" t="s">
        <v>36</v>
      </c>
      <c r="J237" s="21" t="s">
        <v>29</v>
      </c>
      <c r="K237" s="21"/>
      <c r="L237" s="21"/>
      <c r="M237" s="22" t="s">
        <v>30</v>
      </c>
      <c r="N237" s="23">
        <v>45735</v>
      </c>
      <c r="O237" s="21"/>
      <c r="P237" s="22" t="s">
        <v>30</v>
      </c>
      <c r="Q237" s="23">
        <v>45735</v>
      </c>
      <c r="R237" s="79" t="s">
        <v>21</v>
      </c>
      <c r="S237" s="22" t="s">
        <v>32</v>
      </c>
      <c r="T237" s="22">
        <v>4</v>
      </c>
      <c r="U237" s="24" t="s">
        <v>21</v>
      </c>
      <c r="V237" s="23">
        <v>45735</v>
      </c>
      <c r="W237" s="80" t="s">
        <v>30</v>
      </c>
    </row>
    <row r="238" spans="1:23">
      <c r="A238" s="834" t="s">
        <v>24</v>
      </c>
      <c r="B238" s="835">
        <v>235</v>
      </c>
      <c r="C238" s="838" t="s">
        <v>441</v>
      </c>
      <c r="D238" s="838" t="s">
        <v>178</v>
      </c>
      <c r="E238" s="839">
        <v>45701</v>
      </c>
      <c r="F238" s="838" t="s">
        <v>35</v>
      </c>
      <c r="G238" s="838">
        <v>4</v>
      </c>
      <c r="H238" s="838" t="s">
        <v>21</v>
      </c>
      <c r="I238" s="838" t="s">
        <v>36</v>
      </c>
      <c r="J238" s="21" t="s">
        <v>29</v>
      </c>
      <c r="K238" s="21"/>
      <c r="L238" s="21"/>
      <c r="M238" s="22" t="s">
        <v>30</v>
      </c>
      <c r="N238" s="23">
        <v>45735</v>
      </c>
      <c r="O238" s="21"/>
      <c r="P238" s="22" t="s">
        <v>30</v>
      </c>
      <c r="Q238" s="23">
        <v>45735</v>
      </c>
      <c r="R238" s="79" t="s">
        <v>21</v>
      </c>
      <c r="S238" s="22" t="s">
        <v>32</v>
      </c>
      <c r="T238" s="22">
        <v>4</v>
      </c>
      <c r="U238" s="24" t="s">
        <v>21</v>
      </c>
      <c r="V238" s="23">
        <v>45735</v>
      </c>
      <c r="W238" s="80" t="s">
        <v>30</v>
      </c>
    </row>
    <row r="239" spans="1:23">
      <c r="A239" s="834" t="s">
        <v>24</v>
      </c>
      <c r="B239" s="835">
        <v>236</v>
      </c>
      <c r="C239" s="838" t="s">
        <v>442</v>
      </c>
      <c r="D239" s="838" t="s">
        <v>83</v>
      </c>
      <c r="E239" s="839">
        <v>45701</v>
      </c>
      <c r="F239" s="838" t="s">
        <v>35</v>
      </c>
      <c r="G239" s="838">
        <v>4</v>
      </c>
      <c r="H239" s="838" t="s">
        <v>21</v>
      </c>
      <c r="I239" s="838" t="s">
        <v>36</v>
      </c>
      <c r="J239" s="21" t="s">
        <v>29</v>
      </c>
      <c r="K239" s="21"/>
      <c r="L239" s="21"/>
      <c r="M239" s="22" t="s">
        <v>30</v>
      </c>
      <c r="N239" s="23">
        <v>45735</v>
      </c>
      <c r="O239" s="21"/>
      <c r="P239" s="22" t="s">
        <v>30</v>
      </c>
      <c r="Q239" s="23">
        <v>45735</v>
      </c>
      <c r="R239" s="79" t="s">
        <v>21</v>
      </c>
      <c r="S239" s="22" t="s">
        <v>32</v>
      </c>
      <c r="T239" s="22">
        <v>4</v>
      </c>
      <c r="U239" s="24" t="s">
        <v>21</v>
      </c>
      <c r="V239" s="23">
        <v>45735</v>
      </c>
      <c r="W239" s="80" t="s">
        <v>30</v>
      </c>
    </row>
    <row r="240" spans="1:23">
      <c r="A240" s="834" t="s">
        <v>24</v>
      </c>
      <c r="B240" s="835">
        <v>237</v>
      </c>
      <c r="C240" s="838" t="s">
        <v>443</v>
      </c>
      <c r="D240" s="838" t="s">
        <v>83</v>
      </c>
      <c r="E240" s="839">
        <v>45701</v>
      </c>
      <c r="F240" s="838" t="s">
        <v>202</v>
      </c>
      <c r="G240" s="838">
        <v>10</v>
      </c>
      <c r="H240" s="838" t="s">
        <v>22</v>
      </c>
      <c r="I240" s="838" t="s">
        <v>28</v>
      </c>
      <c r="J240" s="21" t="s">
        <v>29</v>
      </c>
      <c r="K240" s="21"/>
      <c r="L240" s="21"/>
      <c r="M240" s="22" t="s">
        <v>30</v>
      </c>
      <c r="N240" s="23">
        <v>45726</v>
      </c>
      <c r="O240" s="21"/>
      <c r="P240" s="22" t="s">
        <v>30</v>
      </c>
      <c r="Q240" s="23">
        <v>45726</v>
      </c>
      <c r="R240" s="79" t="s">
        <v>22</v>
      </c>
      <c r="S240" s="22" t="s">
        <v>32</v>
      </c>
      <c r="T240" s="22">
        <v>10</v>
      </c>
      <c r="U240" s="22" t="s">
        <v>22</v>
      </c>
      <c r="V240" s="23">
        <v>45737</v>
      </c>
      <c r="W240" s="80" t="s">
        <v>30</v>
      </c>
    </row>
    <row r="241" spans="1:23">
      <c r="A241" s="834" t="s">
        <v>24</v>
      </c>
      <c r="B241" s="835">
        <v>238</v>
      </c>
      <c r="C241" s="843" t="s">
        <v>444</v>
      </c>
      <c r="D241" s="843" t="s">
        <v>102</v>
      </c>
      <c r="E241" s="839">
        <v>45702</v>
      </c>
      <c r="F241" s="838" t="s">
        <v>104</v>
      </c>
      <c r="G241" s="838">
        <v>12</v>
      </c>
      <c r="H241" s="838" t="s">
        <v>22</v>
      </c>
      <c r="I241" s="838" t="s">
        <v>28</v>
      </c>
      <c r="J241" s="21" t="s">
        <v>29</v>
      </c>
      <c r="K241" s="21"/>
      <c r="L241" s="21"/>
      <c r="M241" s="22" t="s">
        <v>30</v>
      </c>
      <c r="N241" s="23">
        <v>45733</v>
      </c>
      <c r="O241" s="21" t="s">
        <v>66</v>
      </c>
      <c r="P241" s="22" t="s">
        <v>30</v>
      </c>
      <c r="Q241" s="23">
        <v>45733</v>
      </c>
      <c r="R241" s="79" t="s">
        <v>22</v>
      </c>
      <c r="S241" s="22" t="s">
        <v>32</v>
      </c>
      <c r="T241" s="22">
        <v>12</v>
      </c>
      <c r="U241" s="22" t="s">
        <v>22</v>
      </c>
      <c r="V241" s="23">
        <v>45733</v>
      </c>
      <c r="W241" s="80" t="s">
        <v>30</v>
      </c>
    </row>
    <row r="242" spans="1:23">
      <c r="A242" s="834" t="s">
        <v>24</v>
      </c>
      <c r="B242" s="835">
        <v>239</v>
      </c>
      <c r="C242" s="838" t="s">
        <v>445</v>
      </c>
      <c r="D242" s="838" t="s">
        <v>446</v>
      </c>
      <c r="E242" s="844">
        <v>45702</v>
      </c>
      <c r="F242" s="838" t="s">
        <v>104</v>
      </c>
      <c r="G242" s="838">
        <v>12</v>
      </c>
      <c r="H242" s="838" t="s">
        <v>22</v>
      </c>
      <c r="I242" s="838" t="s">
        <v>28</v>
      </c>
      <c r="J242" s="21" t="s">
        <v>29</v>
      </c>
      <c r="K242" s="21"/>
      <c r="L242" s="21"/>
      <c r="M242" s="22" t="s">
        <v>30</v>
      </c>
      <c r="N242" s="23">
        <v>45734</v>
      </c>
      <c r="O242" s="21"/>
      <c r="P242" s="22" t="s">
        <v>30</v>
      </c>
      <c r="Q242" s="23">
        <v>45734</v>
      </c>
      <c r="R242" s="79" t="s">
        <v>22</v>
      </c>
      <c r="S242" s="22" t="s">
        <v>32</v>
      </c>
      <c r="T242" s="22">
        <v>12</v>
      </c>
      <c r="U242" s="24" t="s">
        <v>22</v>
      </c>
      <c r="V242" s="23">
        <v>45734</v>
      </c>
      <c r="W242" s="80" t="s">
        <v>30</v>
      </c>
    </row>
    <row r="243" spans="1:23">
      <c r="A243" s="834" t="s">
        <v>24</v>
      </c>
      <c r="B243" s="835">
        <v>240</v>
      </c>
      <c r="C243" s="838" t="s">
        <v>447</v>
      </c>
      <c r="D243" s="838" t="s">
        <v>374</v>
      </c>
      <c r="E243" s="844">
        <v>45702</v>
      </c>
      <c r="F243" s="838" t="s">
        <v>206</v>
      </c>
      <c r="G243" s="838">
        <v>13</v>
      </c>
      <c r="H243" s="838" t="s">
        <v>22</v>
      </c>
      <c r="I243" s="838" t="s">
        <v>28</v>
      </c>
      <c r="J243" s="21" t="s">
        <v>29</v>
      </c>
      <c r="K243" s="21"/>
      <c r="L243" s="21"/>
      <c r="M243" s="22" t="s">
        <v>30</v>
      </c>
      <c r="N243" s="23">
        <v>45747</v>
      </c>
      <c r="O243" s="21"/>
      <c r="P243" s="22" t="s">
        <v>30</v>
      </c>
      <c r="Q243" s="23">
        <v>45747</v>
      </c>
      <c r="R243" s="79" t="s">
        <v>28</v>
      </c>
      <c r="S243" s="22" t="s">
        <v>32</v>
      </c>
      <c r="T243" s="22">
        <v>13</v>
      </c>
      <c r="U243" s="24" t="s">
        <v>28</v>
      </c>
      <c r="V243" s="23">
        <v>45747</v>
      </c>
      <c r="W243" s="80" t="s">
        <v>30</v>
      </c>
    </row>
    <row r="244" spans="1:23">
      <c r="A244" s="834" t="s">
        <v>24</v>
      </c>
      <c r="B244" s="835">
        <v>241</v>
      </c>
      <c r="C244" s="838" t="s">
        <v>448</v>
      </c>
      <c r="D244" s="838" t="s">
        <v>34</v>
      </c>
      <c r="E244" s="844">
        <v>45703</v>
      </c>
      <c r="F244" s="838" t="s">
        <v>97</v>
      </c>
      <c r="G244" s="838">
        <v>4</v>
      </c>
      <c r="H244" s="838" t="s">
        <v>22</v>
      </c>
      <c r="I244" s="838" t="s">
        <v>28</v>
      </c>
      <c r="J244" s="21" t="s">
        <v>29</v>
      </c>
      <c r="K244" s="21"/>
      <c r="L244" s="21"/>
      <c r="M244" s="22" t="s">
        <v>30</v>
      </c>
      <c r="N244" s="23">
        <v>45736</v>
      </c>
      <c r="O244" s="21"/>
      <c r="P244" s="22" t="s">
        <v>30</v>
      </c>
      <c r="Q244" s="23">
        <v>45736</v>
      </c>
      <c r="R244" s="79" t="s">
        <v>28</v>
      </c>
      <c r="S244" s="22" t="s">
        <v>32</v>
      </c>
      <c r="T244" s="22">
        <v>4</v>
      </c>
      <c r="U244" s="24" t="s">
        <v>28</v>
      </c>
      <c r="V244" s="23">
        <v>45736</v>
      </c>
      <c r="W244" s="80" t="s">
        <v>30</v>
      </c>
    </row>
    <row r="245" spans="1:23">
      <c r="A245" s="834" t="s">
        <v>24</v>
      </c>
      <c r="B245" s="835">
        <v>242</v>
      </c>
      <c r="C245" s="838" t="s">
        <v>449</v>
      </c>
      <c r="D245" s="838" t="s">
        <v>34</v>
      </c>
      <c r="E245" s="844">
        <v>45703</v>
      </c>
      <c r="F245" s="838" t="s">
        <v>97</v>
      </c>
      <c r="G245" s="838">
        <v>6</v>
      </c>
      <c r="H245" s="838" t="s">
        <v>22</v>
      </c>
      <c r="I245" s="838" t="s">
        <v>28</v>
      </c>
      <c r="J245" s="21" t="s">
        <v>29</v>
      </c>
      <c r="K245" s="21"/>
      <c r="L245" s="21"/>
      <c r="M245" s="22" t="s">
        <v>30</v>
      </c>
      <c r="N245" s="23">
        <v>45736</v>
      </c>
      <c r="O245" s="21"/>
      <c r="P245" s="22" t="s">
        <v>30</v>
      </c>
      <c r="Q245" s="23">
        <v>45736</v>
      </c>
      <c r="R245" s="79" t="s">
        <v>28</v>
      </c>
      <c r="S245" s="22" t="s">
        <v>32</v>
      </c>
      <c r="T245" s="22">
        <v>6</v>
      </c>
      <c r="U245" s="24" t="s">
        <v>28</v>
      </c>
      <c r="V245" s="23">
        <v>45736</v>
      </c>
      <c r="W245" s="80" t="s">
        <v>30</v>
      </c>
    </row>
    <row r="246" spans="1:23">
      <c r="A246" s="834" t="s">
        <v>24</v>
      </c>
      <c r="B246" s="835">
        <v>243</v>
      </c>
      <c r="C246" s="838" t="s">
        <v>450</v>
      </c>
      <c r="D246" s="838" t="s">
        <v>451</v>
      </c>
      <c r="E246" s="844">
        <v>45703</v>
      </c>
      <c r="F246" s="838" t="s">
        <v>202</v>
      </c>
      <c r="G246" s="838">
        <v>13</v>
      </c>
      <c r="H246" s="838" t="s">
        <v>22</v>
      </c>
      <c r="I246" s="838" t="s">
        <v>28</v>
      </c>
      <c r="J246" s="21" t="s">
        <v>29</v>
      </c>
      <c r="K246" s="21"/>
      <c r="L246" s="21"/>
      <c r="M246" s="22" t="s">
        <v>30</v>
      </c>
      <c r="N246" s="23">
        <v>45733</v>
      </c>
      <c r="O246" s="21"/>
      <c r="P246" s="22" t="s">
        <v>30</v>
      </c>
      <c r="Q246" s="23">
        <v>45733</v>
      </c>
      <c r="R246" s="79" t="s">
        <v>28</v>
      </c>
      <c r="S246" s="22" t="s">
        <v>32</v>
      </c>
      <c r="T246" s="22">
        <v>13</v>
      </c>
      <c r="U246" s="22" t="s">
        <v>28</v>
      </c>
      <c r="V246" s="23">
        <v>45733</v>
      </c>
      <c r="W246" s="80" t="s">
        <v>30</v>
      </c>
    </row>
    <row r="247" spans="1:23">
      <c r="A247" s="834" t="s">
        <v>24</v>
      </c>
      <c r="B247" s="835">
        <v>244</v>
      </c>
      <c r="C247" s="838" t="s">
        <v>452</v>
      </c>
      <c r="D247" s="838" t="s">
        <v>34</v>
      </c>
      <c r="E247" s="844">
        <v>45703</v>
      </c>
      <c r="F247" s="838" t="s">
        <v>206</v>
      </c>
      <c r="G247" s="838">
        <v>9</v>
      </c>
      <c r="H247" s="838" t="s">
        <v>22</v>
      </c>
      <c r="I247" s="838" t="s">
        <v>28</v>
      </c>
      <c r="J247" s="21" t="s">
        <v>29</v>
      </c>
      <c r="K247" s="21"/>
      <c r="L247" s="21"/>
      <c r="M247" s="22" t="s">
        <v>30</v>
      </c>
      <c r="N247" s="23">
        <v>45733</v>
      </c>
      <c r="O247" s="21"/>
      <c r="P247" s="22" t="s">
        <v>30</v>
      </c>
      <c r="Q247" s="23">
        <v>45733</v>
      </c>
      <c r="R247" s="79" t="s">
        <v>28</v>
      </c>
      <c r="S247" s="22" t="s">
        <v>32</v>
      </c>
      <c r="T247" s="22">
        <v>9</v>
      </c>
      <c r="U247" s="22" t="s">
        <v>28</v>
      </c>
      <c r="V247" s="23">
        <v>45735</v>
      </c>
      <c r="W247" s="80" t="s">
        <v>30</v>
      </c>
    </row>
    <row r="248" spans="1:23">
      <c r="A248" s="834" t="s">
        <v>24</v>
      </c>
      <c r="B248" s="835">
        <v>245</v>
      </c>
      <c r="C248" s="838" t="s">
        <v>453</v>
      </c>
      <c r="D248" s="838" t="s">
        <v>34</v>
      </c>
      <c r="E248" s="844">
        <v>45703</v>
      </c>
      <c r="F248" s="838" t="s">
        <v>202</v>
      </c>
      <c r="G248" s="838">
        <v>11</v>
      </c>
      <c r="H248" s="838" t="s">
        <v>22</v>
      </c>
      <c r="I248" s="838" t="s">
        <v>28</v>
      </c>
      <c r="J248" s="21" t="s">
        <v>29</v>
      </c>
      <c r="K248" s="21"/>
      <c r="L248" s="21"/>
      <c r="M248" s="22" t="s">
        <v>30</v>
      </c>
      <c r="N248" s="23">
        <v>45733</v>
      </c>
      <c r="O248" s="21"/>
      <c r="P248" s="22" t="s">
        <v>30</v>
      </c>
      <c r="Q248" s="23">
        <v>45733</v>
      </c>
      <c r="R248" s="79" t="s">
        <v>28</v>
      </c>
      <c r="S248" s="22" t="s">
        <v>32</v>
      </c>
      <c r="T248" s="22">
        <v>11</v>
      </c>
      <c r="U248" s="22" t="s">
        <v>28</v>
      </c>
      <c r="V248" s="23">
        <v>45735</v>
      </c>
      <c r="W248" s="80" t="s">
        <v>30</v>
      </c>
    </row>
    <row r="249" spans="1:23">
      <c r="A249" s="834" t="s">
        <v>24</v>
      </c>
      <c r="B249" s="835">
        <v>246</v>
      </c>
      <c r="C249" s="838" t="s">
        <v>454</v>
      </c>
      <c r="D249" s="838" t="s">
        <v>234</v>
      </c>
      <c r="E249" s="844">
        <v>45703</v>
      </c>
      <c r="F249" s="838" t="s">
        <v>455</v>
      </c>
      <c r="G249" s="838">
        <v>10</v>
      </c>
      <c r="H249" s="838" t="s">
        <v>22</v>
      </c>
      <c r="I249" s="838" t="s">
        <v>28</v>
      </c>
      <c r="J249" s="21" t="s">
        <v>29</v>
      </c>
      <c r="K249" s="21"/>
      <c r="L249" s="21"/>
      <c r="M249" s="22" t="s">
        <v>30</v>
      </c>
      <c r="N249" s="23">
        <v>45733</v>
      </c>
      <c r="O249" s="21"/>
      <c r="P249" s="22" t="s">
        <v>30</v>
      </c>
      <c r="Q249" s="23">
        <v>45733</v>
      </c>
      <c r="R249" s="79" t="s">
        <v>28</v>
      </c>
      <c r="S249" s="22" t="s">
        <v>32</v>
      </c>
      <c r="T249" s="22">
        <v>10</v>
      </c>
      <c r="U249" s="22" t="s">
        <v>28</v>
      </c>
      <c r="V249" s="23">
        <v>45733</v>
      </c>
      <c r="W249" s="80" t="s">
        <v>30</v>
      </c>
    </row>
    <row r="250" spans="1:23">
      <c r="A250" s="834" t="s">
        <v>24</v>
      </c>
      <c r="B250" s="835">
        <v>247</v>
      </c>
      <c r="C250" s="838" t="s">
        <v>456</v>
      </c>
      <c r="D250" s="838" t="s">
        <v>83</v>
      </c>
      <c r="E250" s="844">
        <v>45703</v>
      </c>
      <c r="F250" s="838" t="s">
        <v>165</v>
      </c>
      <c r="G250" s="838">
        <v>13</v>
      </c>
      <c r="H250" s="838" t="s">
        <v>46</v>
      </c>
      <c r="I250" s="838" t="s">
        <v>47</v>
      </c>
      <c r="J250" s="21" t="s">
        <v>29</v>
      </c>
      <c r="K250" s="21" t="s">
        <v>457</v>
      </c>
      <c r="L250" s="21"/>
      <c r="M250" s="22" t="s">
        <v>30</v>
      </c>
      <c r="N250" s="23">
        <v>45736</v>
      </c>
      <c r="O250" s="21" t="s">
        <v>66</v>
      </c>
      <c r="P250" s="22" t="s">
        <v>30</v>
      </c>
      <c r="Q250" s="23">
        <v>45736</v>
      </c>
      <c r="R250" s="79" t="s">
        <v>46</v>
      </c>
      <c r="S250" s="22" t="s">
        <v>32</v>
      </c>
      <c r="T250" s="22">
        <v>13</v>
      </c>
      <c r="U250" s="24" t="s">
        <v>46</v>
      </c>
      <c r="V250" s="23">
        <v>45736</v>
      </c>
      <c r="W250" s="80" t="s">
        <v>32</v>
      </c>
    </row>
    <row r="251" spans="1:23">
      <c r="A251" s="834" t="s">
        <v>24</v>
      </c>
      <c r="B251" s="835">
        <v>248</v>
      </c>
      <c r="C251" s="838" t="s">
        <v>458</v>
      </c>
      <c r="D251" s="838" t="s">
        <v>64</v>
      </c>
      <c r="E251" s="844">
        <v>45703</v>
      </c>
      <c r="F251" s="838" t="s">
        <v>165</v>
      </c>
      <c r="G251" s="838">
        <v>13</v>
      </c>
      <c r="H251" s="838" t="s">
        <v>46</v>
      </c>
      <c r="I251" s="838" t="s">
        <v>47</v>
      </c>
      <c r="J251" s="21" t="s">
        <v>29</v>
      </c>
      <c r="K251" s="21" t="s">
        <v>401</v>
      </c>
      <c r="L251" s="21"/>
      <c r="M251" s="22" t="s">
        <v>30</v>
      </c>
      <c r="N251" s="23">
        <v>45740</v>
      </c>
      <c r="O251" s="21"/>
      <c r="P251" s="22" t="s">
        <v>30</v>
      </c>
      <c r="Q251" s="23">
        <v>45740</v>
      </c>
      <c r="R251" s="79" t="s">
        <v>46</v>
      </c>
      <c r="S251" s="22" t="s">
        <v>32</v>
      </c>
      <c r="T251" s="22">
        <v>13</v>
      </c>
      <c r="U251" s="24" t="s">
        <v>46</v>
      </c>
      <c r="V251" s="23">
        <v>45740</v>
      </c>
      <c r="W251" s="80" t="s">
        <v>32</v>
      </c>
    </row>
    <row r="252" spans="1:23">
      <c r="A252" s="834" t="s">
        <v>24</v>
      </c>
      <c r="B252" s="835">
        <v>249</v>
      </c>
      <c r="C252" s="845" t="s">
        <v>459</v>
      </c>
      <c r="D252" s="845" t="s">
        <v>34</v>
      </c>
      <c r="E252" s="839">
        <v>45703</v>
      </c>
      <c r="F252" s="838" t="s">
        <v>165</v>
      </c>
      <c r="G252" s="838">
        <v>16</v>
      </c>
      <c r="H252" s="838" t="s">
        <v>46</v>
      </c>
      <c r="I252" s="838" t="s">
        <v>47</v>
      </c>
      <c r="J252" s="21" t="s">
        <v>29</v>
      </c>
      <c r="K252" s="21"/>
      <c r="L252" s="21"/>
      <c r="M252" s="22" t="s">
        <v>30</v>
      </c>
      <c r="N252" s="23">
        <v>45782</v>
      </c>
      <c r="O252" s="21" t="s">
        <v>31</v>
      </c>
      <c r="P252" s="22" t="s">
        <v>30</v>
      </c>
      <c r="Q252" s="23">
        <v>45782</v>
      </c>
      <c r="R252" s="79" t="s">
        <v>47</v>
      </c>
      <c r="S252" s="22" t="s">
        <v>32</v>
      </c>
      <c r="T252" s="22">
        <v>16</v>
      </c>
      <c r="U252" s="22" t="s">
        <v>47</v>
      </c>
      <c r="V252" s="23">
        <v>45782</v>
      </c>
      <c r="W252" s="80" t="s">
        <v>30</v>
      </c>
    </row>
    <row r="253" spans="1:23">
      <c r="A253" s="834" t="s">
        <v>24</v>
      </c>
      <c r="B253" s="835">
        <v>250</v>
      </c>
      <c r="C253" s="838" t="s">
        <v>460</v>
      </c>
      <c r="D253" s="838" t="s">
        <v>34</v>
      </c>
      <c r="E253" s="839">
        <v>45703</v>
      </c>
      <c r="F253" s="838" t="s">
        <v>165</v>
      </c>
      <c r="G253" s="838">
        <v>2</v>
      </c>
      <c r="H253" s="838" t="s">
        <v>46</v>
      </c>
      <c r="I253" s="838" t="s">
        <v>47</v>
      </c>
      <c r="J253" s="21" t="s">
        <v>29</v>
      </c>
      <c r="K253" s="89"/>
      <c r="L253" s="21"/>
      <c r="M253" s="22" t="s">
        <v>30</v>
      </c>
      <c r="N253" s="23">
        <v>45742</v>
      </c>
      <c r="O253" s="21"/>
      <c r="P253" s="22" t="s">
        <v>30</v>
      </c>
      <c r="Q253" s="23">
        <v>45742</v>
      </c>
      <c r="R253" s="79" t="s">
        <v>46</v>
      </c>
      <c r="S253" s="22" t="s">
        <v>32</v>
      </c>
      <c r="T253" s="22">
        <v>2</v>
      </c>
      <c r="U253" s="22" t="s">
        <v>46</v>
      </c>
      <c r="V253" s="23">
        <v>45742</v>
      </c>
      <c r="W253" s="80" t="s">
        <v>30</v>
      </c>
    </row>
    <row r="254" spans="1:23">
      <c r="A254" s="834" t="s">
        <v>24</v>
      </c>
      <c r="B254" s="835">
        <v>251</v>
      </c>
      <c r="C254" s="838" t="s">
        <v>461</v>
      </c>
      <c r="D254" s="838" t="s">
        <v>34</v>
      </c>
      <c r="E254" s="839">
        <v>45703</v>
      </c>
      <c r="F254" s="838" t="s">
        <v>462</v>
      </c>
      <c r="G254" s="838">
        <v>26</v>
      </c>
      <c r="H254" s="838" t="s">
        <v>46</v>
      </c>
      <c r="I254" s="838" t="s">
        <v>47</v>
      </c>
      <c r="J254" s="21" t="s">
        <v>29</v>
      </c>
      <c r="K254" s="21"/>
      <c r="L254" s="21"/>
      <c r="M254" s="22" t="s">
        <v>30</v>
      </c>
      <c r="N254" s="23">
        <v>45743</v>
      </c>
      <c r="O254" s="21" t="s">
        <v>31</v>
      </c>
      <c r="P254" s="22" t="s">
        <v>30</v>
      </c>
      <c r="Q254" s="23">
        <v>45743</v>
      </c>
      <c r="R254" s="79" t="s">
        <v>46</v>
      </c>
      <c r="S254" s="22" t="s">
        <v>32</v>
      </c>
      <c r="T254" s="22">
        <v>26</v>
      </c>
      <c r="U254" s="22" t="s">
        <v>46</v>
      </c>
      <c r="V254" s="23">
        <v>45742</v>
      </c>
      <c r="W254" s="80" t="s">
        <v>30</v>
      </c>
    </row>
    <row r="255" spans="1:23">
      <c r="A255" s="834" t="s">
        <v>24</v>
      </c>
      <c r="B255" s="835">
        <v>252</v>
      </c>
      <c r="C255" s="838" t="s">
        <v>463</v>
      </c>
      <c r="D255" s="838" t="s">
        <v>83</v>
      </c>
      <c r="E255" s="839">
        <v>45703</v>
      </c>
      <c r="F255" s="838" t="s">
        <v>464</v>
      </c>
      <c r="G255" s="838">
        <v>13</v>
      </c>
      <c r="H255" s="838" t="s">
        <v>21</v>
      </c>
      <c r="I255" s="838" t="s">
        <v>36</v>
      </c>
      <c r="J255" s="21" t="s">
        <v>29</v>
      </c>
      <c r="K255" s="21"/>
      <c r="L255" s="21"/>
      <c r="M255" s="22" t="s">
        <v>30</v>
      </c>
      <c r="N255" s="23">
        <v>45748</v>
      </c>
      <c r="O255" s="21"/>
      <c r="P255" s="22" t="s">
        <v>30</v>
      </c>
      <c r="Q255" s="23">
        <v>45748</v>
      </c>
      <c r="R255" s="79" t="s">
        <v>67</v>
      </c>
      <c r="S255" s="22" t="s">
        <v>32</v>
      </c>
      <c r="T255" s="22">
        <v>13</v>
      </c>
      <c r="U255" s="22" t="s">
        <v>67</v>
      </c>
      <c r="V255" s="23">
        <v>45748</v>
      </c>
      <c r="W255" s="80" t="s">
        <v>30</v>
      </c>
    </row>
    <row r="256" spans="1:23">
      <c r="A256" s="834" t="s">
        <v>24</v>
      </c>
      <c r="B256" s="835">
        <v>253</v>
      </c>
      <c r="C256" s="838" t="s">
        <v>465</v>
      </c>
      <c r="D256" s="838" t="s">
        <v>102</v>
      </c>
      <c r="E256" s="839">
        <v>45703</v>
      </c>
      <c r="F256" s="838" t="s">
        <v>421</v>
      </c>
      <c r="G256" s="838">
        <v>11</v>
      </c>
      <c r="H256" s="842" t="s">
        <v>21</v>
      </c>
      <c r="I256" s="838" t="s">
        <v>36</v>
      </c>
      <c r="J256" s="21" t="s">
        <v>29</v>
      </c>
      <c r="K256" s="21"/>
      <c r="L256" s="21"/>
      <c r="M256" s="22" t="s">
        <v>30</v>
      </c>
      <c r="N256" s="23">
        <v>45747</v>
      </c>
      <c r="O256" s="21"/>
      <c r="P256" s="22" t="s">
        <v>30</v>
      </c>
      <c r="Q256" s="23">
        <v>45747</v>
      </c>
      <c r="R256" s="79" t="s">
        <v>37</v>
      </c>
      <c r="S256" s="22" t="s">
        <v>32</v>
      </c>
      <c r="T256" s="22">
        <v>11</v>
      </c>
      <c r="U256" s="22" t="s">
        <v>37</v>
      </c>
      <c r="V256" s="23">
        <v>45747</v>
      </c>
      <c r="W256" s="80" t="s">
        <v>30</v>
      </c>
    </row>
    <row r="257" spans="1:23">
      <c r="A257" s="834" t="s">
        <v>24</v>
      </c>
      <c r="B257" s="835">
        <v>254</v>
      </c>
      <c r="C257" s="838" t="s">
        <v>466</v>
      </c>
      <c r="D257" s="838" t="s">
        <v>64</v>
      </c>
      <c r="E257" s="839">
        <v>45703</v>
      </c>
      <c r="F257" s="838" t="s">
        <v>421</v>
      </c>
      <c r="G257" s="838">
        <v>33</v>
      </c>
      <c r="H257" s="842" t="s">
        <v>21</v>
      </c>
      <c r="I257" s="838" t="s">
        <v>36</v>
      </c>
      <c r="J257" s="21" t="s">
        <v>29</v>
      </c>
      <c r="K257" s="21"/>
      <c r="L257" s="21"/>
      <c r="M257" s="22" t="s">
        <v>30</v>
      </c>
      <c r="N257" s="23">
        <v>45745</v>
      </c>
      <c r="O257" s="21" t="s">
        <v>31</v>
      </c>
      <c r="P257" s="22" t="s">
        <v>30</v>
      </c>
      <c r="Q257" s="23">
        <v>45745</v>
      </c>
      <c r="R257" s="79" t="s">
        <v>37</v>
      </c>
      <c r="S257" s="22" t="s">
        <v>32</v>
      </c>
      <c r="T257" s="22">
        <v>33</v>
      </c>
      <c r="U257" s="22" t="s">
        <v>37</v>
      </c>
      <c r="V257" s="23">
        <v>45745</v>
      </c>
      <c r="W257" s="80" t="s">
        <v>30</v>
      </c>
    </row>
    <row r="258" spans="1:23">
      <c r="A258" s="834" t="s">
        <v>24</v>
      </c>
      <c r="B258" s="835">
        <v>255</v>
      </c>
      <c r="C258" s="838" t="s">
        <v>467</v>
      </c>
      <c r="D258" s="838" t="s">
        <v>102</v>
      </c>
      <c r="E258" s="839">
        <v>45705</v>
      </c>
      <c r="F258" s="838" t="s">
        <v>202</v>
      </c>
      <c r="G258" s="838">
        <v>9</v>
      </c>
      <c r="H258" s="842" t="s">
        <v>22</v>
      </c>
      <c r="I258" s="838" t="s">
        <v>28</v>
      </c>
      <c r="J258" s="21" t="s">
        <v>29</v>
      </c>
      <c r="K258" s="21"/>
      <c r="L258" s="21"/>
      <c r="M258" s="22" t="s">
        <v>30</v>
      </c>
      <c r="N258" s="23">
        <v>45733</v>
      </c>
      <c r="O258" s="21" t="s">
        <v>66</v>
      </c>
      <c r="P258" s="22" t="s">
        <v>30</v>
      </c>
      <c r="Q258" s="23">
        <v>45733</v>
      </c>
      <c r="R258" s="79" t="s">
        <v>28</v>
      </c>
      <c r="S258" s="22" t="s">
        <v>32</v>
      </c>
      <c r="T258" s="22">
        <v>11</v>
      </c>
      <c r="U258" s="22" t="s">
        <v>28</v>
      </c>
      <c r="V258" s="23">
        <v>45733</v>
      </c>
      <c r="W258" s="80" t="s">
        <v>30</v>
      </c>
    </row>
    <row r="259" spans="1:23">
      <c r="A259" s="834" t="s">
        <v>24</v>
      </c>
      <c r="B259" s="835">
        <v>256</v>
      </c>
      <c r="C259" s="838" t="s">
        <v>468</v>
      </c>
      <c r="D259" s="838" t="s">
        <v>469</v>
      </c>
      <c r="E259" s="839">
        <v>45705</v>
      </c>
      <c r="F259" s="838" t="s">
        <v>202</v>
      </c>
      <c r="G259" s="838">
        <v>9</v>
      </c>
      <c r="H259" s="842" t="s">
        <v>22</v>
      </c>
      <c r="I259" s="838" t="s">
        <v>28</v>
      </c>
      <c r="J259" s="21" t="s">
        <v>29</v>
      </c>
      <c r="K259" s="21"/>
      <c r="L259" s="21"/>
      <c r="M259" s="22" t="s">
        <v>30</v>
      </c>
      <c r="N259" s="23">
        <v>45733</v>
      </c>
      <c r="O259" s="21"/>
      <c r="P259" s="22" t="s">
        <v>30</v>
      </c>
      <c r="Q259" s="23">
        <v>45733</v>
      </c>
      <c r="R259" s="79" t="s">
        <v>28</v>
      </c>
      <c r="S259" s="22" t="s">
        <v>32</v>
      </c>
      <c r="T259" s="22">
        <v>11</v>
      </c>
      <c r="U259" s="22" t="s">
        <v>28</v>
      </c>
      <c r="V259" s="23">
        <v>45733</v>
      </c>
      <c r="W259" s="80" t="s">
        <v>30</v>
      </c>
    </row>
    <row r="260" spans="1:23">
      <c r="A260" s="834" t="s">
        <v>24</v>
      </c>
      <c r="B260" s="835">
        <v>257</v>
      </c>
      <c r="C260" s="838" t="s">
        <v>470</v>
      </c>
      <c r="D260" s="838" t="s">
        <v>234</v>
      </c>
      <c r="E260" s="839">
        <v>45705</v>
      </c>
      <c r="F260" s="838" t="s">
        <v>324</v>
      </c>
      <c r="G260" s="838">
        <v>10</v>
      </c>
      <c r="H260" s="838" t="s">
        <v>21</v>
      </c>
      <c r="I260" s="838" t="s">
        <v>36</v>
      </c>
      <c r="J260" s="21" t="s">
        <v>29</v>
      </c>
      <c r="K260" s="21"/>
      <c r="L260" s="21"/>
      <c r="M260" s="22" t="s">
        <v>30</v>
      </c>
      <c r="N260" s="23">
        <v>45748</v>
      </c>
      <c r="O260" s="21"/>
      <c r="P260" s="22" t="s">
        <v>30</v>
      </c>
      <c r="Q260" s="23">
        <v>45748</v>
      </c>
      <c r="R260" s="79" t="s">
        <v>67</v>
      </c>
      <c r="S260" s="22" t="s">
        <v>32</v>
      </c>
      <c r="T260" s="22">
        <v>10</v>
      </c>
      <c r="U260" s="22" t="s">
        <v>67</v>
      </c>
      <c r="V260" s="23">
        <v>45748</v>
      </c>
      <c r="W260" s="80" t="s">
        <v>30</v>
      </c>
    </row>
    <row r="261" spans="1:23">
      <c r="A261" s="834" t="s">
        <v>24</v>
      </c>
      <c r="B261" s="835">
        <v>258</v>
      </c>
      <c r="C261" s="838" t="s">
        <v>471</v>
      </c>
      <c r="D261" s="838" t="s">
        <v>472</v>
      </c>
      <c r="E261" s="839">
        <v>45707</v>
      </c>
      <c r="F261" s="838" t="s">
        <v>97</v>
      </c>
      <c r="G261" s="838">
        <v>14</v>
      </c>
      <c r="H261" s="838" t="s">
        <v>22</v>
      </c>
      <c r="I261" s="838" t="s">
        <v>28</v>
      </c>
      <c r="J261" s="21" t="s">
        <v>29</v>
      </c>
      <c r="K261" s="21"/>
      <c r="L261" s="21"/>
      <c r="M261" s="22" t="s">
        <v>30</v>
      </c>
      <c r="N261" s="23">
        <v>45727</v>
      </c>
      <c r="O261" s="21"/>
      <c r="P261" s="22" t="s">
        <v>30</v>
      </c>
      <c r="Q261" s="23">
        <v>45727</v>
      </c>
      <c r="R261" s="79" t="s">
        <v>28</v>
      </c>
      <c r="S261" s="22" t="s">
        <v>32</v>
      </c>
      <c r="T261" s="22">
        <v>12</v>
      </c>
      <c r="U261" s="22" t="s">
        <v>28</v>
      </c>
      <c r="V261" s="23">
        <v>45727</v>
      </c>
      <c r="W261" s="80" t="s">
        <v>30</v>
      </c>
    </row>
    <row r="262" spans="1:23">
      <c r="A262" s="834" t="s">
        <v>24</v>
      </c>
      <c r="B262" s="835">
        <v>259</v>
      </c>
      <c r="C262" s="838" t="s">
        <v>473</v>
      </c>
      <c r="D262" s="838" t="s">
        <v>234</v>
      </c>
      <c r="E262" s="839">
        <v>45708</v>
      </c>
      <c r="F262" s="838" t="s">
        <v>173</v>
      </c>
      <c r="G262" s="838">
        <v>20</v>
      </c>
      <c r="H262" s="842" t="s">
        <v>46</v>
      </c>
      <c r="I262" s="838" t="s">
        <v>47</v>
      </c>
      <c r="J262" s="21" t="s">
        <v>29</v>
      </c>
      <c r="K262" s="21"/>
      <c r="L262" s="21"/>
      <c r="M262" s="22" t="s">
        <v>30</v>
      </c>
      <c r="N262" s="23">
        <v>45735</v>
      </c>
      <c r="O262" s="21" t="s">
        <v>31</v>
      </c>
      <c r="P262" s="22" t="s">
        <v>30</v>
      </c>
      <c r="Q262" s="23">
        <v>45735</v>
      </c>
      <c r="R262" s="79" t="s">
        <v>46</v>
      </c>
      <c r="S262" s="22" t="s">
        <v>32</v>
      </c>
      <c r="T262" s="22">
        <v>20</v>
      </c>
      <c r="U262" s="22" t="s">
        <v>46</v>
      </c>
      <c r="V262" s="23">
        <v>45735</v>
      </c>
      <c r="W262" s="80" t="s">
        <v>30</v>
      </c>
    </row>
    <row r="263" spans="1:23">
      <c r="A263" s="834" t="s">
        <v>24</v>
      </c>
      <c r="B263" s="835">
        <v>260</v>
      </c>
      <c r="C263" s="838" t="s">
        <v>474</v>
      </c>
      <c r="D263" s="838" t="s">
        <v>83</v>
      </c>
      <c r="E263" s="839">
        <v>45708</v>
      </c>
      <c r="F263" s="838" t="s">
        <v>202</v>
      </c>
      <c r="G263" s="838">
        <v>9</v>
      </c>
      <c r="H263" s="842" t="s">
        <v>22</v>
      </c>
      <c r="I263" s="838" t="s">
        <v>28</v>
      </c>
      <c r="J263" s="21" t="s">
        <v>29</v>
      </c>
      <c r="K263" s="21"/>
      <c r="L263" s="21"/>
      <c r="M263" s="22" t="s">
        <v>30</v>
      </c>
      <c r="N263" s="23">
        <v>45729</v>
      </c>
      <c r="O263" s="21"/>
      <c r="P263" s="22" t="s">
        <v>30</v>
      </c>
      <c r="Q263" s="23">
        <v>45729</v>
      </c>
      <c r="R263" s="79" t="s">
        <v>28</v>
      </c>
      <c r="S263" s="22" t="s">
        <v>32</v>
      </c>
      <c r="T263" s="22">
        <v>13</v>
      </c>
      <c r="U263" s="22" t="s">
        <v>28</v>
      </c>
      <c r="V263" s="23">
        <v>45729</v>
      </c>
      <c r="W263" s="80" t="s">
        <v>30</v>
      </c>
    </row>
    <row r="264" spans="1:23">
      <c r="A264" s="834" t="s">
        <v>24</v>
      </c>
      <c r="B264" s="835">
        <v>261</v>
      </c>
      <c r="C264" s="838" t="s">
        <v>475</v>
      </c>
      <c r="D264" s="838" t="s">
        <v>374</v>
      </c>
      <c r="E264" s="839">
        <v>45709</v>
      </c>
      <c r="F264" s="838" t="s">
        <v>206</v>
      </c>
      <c r="G264" s="838">
        <v>12</v>
      </c>
      <c r="H264" s="838" t="s">
        <v>22</v>
      </c>
      <c r="I264" s="838" t="s">
        <v>28</v>
      </c>
      <c r="J264" s="21" t="s">
        <v>29</v>
      </c>
      <c r="K264" s="21"/>
      <c r="L264" s="21"/>
      <c r="M264" s="22" t="s">
        <v>30</v>
      </c>
      <c r="N264" s="23">
        <v>45747</v>
      </c>
      <c r="O264" s="21"/>
      <c r="P264" s="22" t="s">
        <v>30</v>
      </c>
      <c r="Q264" s="23">
        <v>45747</v>
      </c>
      <c r="R264" s="79" t="s">
        <v>28</v>
      </c>
      <c r="S264" s="22" t="s">
        <v>32</v>
      </c>
      <c r="T264" s="22">
        <v>12</v>
      </c>
      <c r="U264" s="24" t="s">
        <v>28</v>
      </c>
      <c r="V264" s="23">
        <v>45747</v>
      </c>
      <c r="W264" s="80" t="s">
        <v>30</v>
      </c>
    </row>
    <row r="265" spans="1:23">
      <c r="A265" s="834" t="s">
        <v>24</v>
      </c>
      <c r="B265" s="835">
        <v>262</v>
      </c>
      <c r="C265" s="838" t="s">
        <v>476</v>
      </c>
      <c r="D265" s="838" t="s">
        <v>477</v>
      </c>
      <c r="E265" s="839">
        <v>45709</v>
      </c>
      <c r="F265" s="838" t="s">
        <v>187</v>
      </c>
      <c r="G265" s="838">
        <v>12</v>
      </c>
      <c r="H265" s="838" t="s">
        <v>21</v>
      </c>
      <c r="I265" s="838" t="s">
        <v>36</v>
      </c>
      <c r="J265" s="21" t="s">
        <v>29</v>
      </c>
      <c r="K265" s="21"/>
      <c r="L265" s="21"/>
      <c r="M265" s="22" t="s">
        <v>30</v>
      </c>
      <c r="N265" s="23">
        <v>45746</v>
      </c>
      <c r="O265" s="21"/>
      <c r="P265" s="22" t="s">
        <v>30</v>
      </c>
      <c r="Q265" s="23">
        <v>45746</v>
      </c>
      <c r="R265" s="79" t="s">
        <v>127</v>
      </c>
      <c r="S265" s="22" t="s">
        <v>32</v>
      </c>
      <c r="T265" s="22">
        <v>12</v>
      </c>
      <c r="U265" s="22" t="s">
        <v>127</v>
      </c>
      <c r="V265" s="23">
        <v>45746</v>
      </c>
      <c r="W265" s="80" t="s">
        <v>30</v>
      </c>
    </row>
    <row r="266" spans="1:23">
      <c r="A266" s="834" t="s">
        <v>24</v>
      </c>
      <c r="B266" s="835">
        <v>263</v>
      </c>
      <c r="C266" s="838" t="s">
        <v>478</v>
      </c>
      <c r="D266" s="838" t="s">
        <v>60</v>
      </c>
      <c r="E266" s="839">
        <v>45710</v>
      </c>
      <c r="F266" s="838" t="s">
        <v>187</v>
      </c>
      <c r="G266" s="838">
        <v>7</v>
      </c>
      <c r="H266" s="838" t="s">
        <v>21</v>
      </c>
      <c r="I266" s="838" t="s">
        <v>36</v>
      </c>
      <c r="J266" s="21" t="s">
        <v>29</v>
      </c>
      <c r="K266" s="21"/>
      <c r="L266" s="21"/>
      <c r="M266" s="22" t="s">
        <v>30</v>
      </c>
      <c r="N266" s="23">
        <v>45743</v>
      </c>
      <c r="O266" s="21"/>
      <c r="P266" s="22" t="s">
        <v>30</v>
      </c>
      <c r="Q266" s="23">
        <v>45743</v>
      </c>
      <c r="R266" s="79" t="s">
        <v>67</v>
      </c>
      <c r="S266" s="22" t="s">
        <v>32</v>
      </c>
      <c r="T266" s="22">
        <v>7</v>
      </c>
      <c r="U266" s="22" t="s">
        <v>67</v>
      </c>
      <c r="V266" s="23">
        <v>45744</v>
      </c>
      <c r="W266" s="80" t="s">
        <v>30</v>
      </c>
    </row>
    <row r="267" spans="1:23">
      <c r="A267" s="834" t="s">
        <v>24</v>
      </c>
      <c r="B267" s="835">
        <v>264</v>
      </c>
      <c r="C267" s="838" t="s">
        <v>479</v>
      </c>
      <c r="D267" s="838" t="s">
        <v>83</v>
      </c>
      <c r="E267" s="839">
        <v>45710</v>
      </c>
      <c r="F267" s="838" t="s">
        <v>187</v>
      </c>
      <c r="G267" s="838">
        <v>7</v>
      </c>
      <c r="H267" s="838" t="s">
        <v>21</v>
      </c>
      <c r="I267" s="838" t="s">
        <v>36</v>
      </c>
      <c r="J267" s="21" t="s">
        <v>29</v>
      </c>
      <c r="K267" s="21"/>
      <c r="L267" s="21"/>
      <c r="M267" s="22" t="s">
        <v>30</v>
      </c>
      <c r="N267" s="23">
        <v>45743</v>
      </c>
      <c r="O267" s="21"/>
      <c r="P267" s="22" t="s">
        <v>30</v>
      </c>
      <c r="Q267" s="23">
        <v>45743</v>
      </c>
      <c r="R267" s="79" t="s">
        <v>67</v>
      </c>
      <c r="S267" s="22" t="s">
        <v>32</v>
      </c>
      <c r="T267" s="22">
        <v>7</v>
      </c>
      <c r="U267" s="22" t="s">
        <v>67</v>
      </c>
      <c r="V267" s="23">
        <v>45744</v>
      </c>
      <c r="W267" s="80" t="s">
        <v>30</v>
      </c>
    </row>
    <row r="268" spans="1:23">
      <c r="A268" s="834" t="s">
        <v>24</v>
      </c>
      <c r="B268" s="835">
        <v>265</v>
      </c>
      <c r="C268" s="838" t="s">
        <v>480</v>
      </c>
      <c r="D268" s="838" t="s">
        <v>34</v>
      </c>
      <c r="E268" s="839">
        <v>45710</v>
      </c>
      <c r="F268" s="838" t="s">
        <v>481</v>
      </c>
      <c r="G268" s="838">
        <v>6</v>
      </c>
      <c r="H268" s="838" t="s">
        <v>21</v>
      </c>
      <c r="I268" s="838" t="s">
        <v>36</v>
      </c>
      <c r="J268" s="21" t="s">
        <v>29</v>
      </c>
      <c r="K268" s="21"/>
      <c r="L268" s="21"/>
      <c r="M268" s="22" t="s">
        <v>30</v>
      </c>
      <c r="N268" s="23">
        <v>45743</v>
      </c>
      <c r="O268" s="21"/>
      <c r="P268" s="22" t="s">
        <v>30</v>
      </c>
      <c r="Q268" s="23">
        <v>45743</v>
      </c>
      <c r="R268" s="79" t="s">
        <v>67</v>
      </c>
      <c r="S268" s="22" t="s">
        <v>32</v>
      </c>
      <c r="T268" s="22">
        <v>6</v>
      </c>
      <c r="U268" s="22" t="s">
        <v>67</v>
      </c>
      <c r="V268" s="23">
        <v>45744</v>
      </c>
      <c r="W268" s="80" t="s">
        <v>30</v>
      </c>
    </row>
    <row r="269" spans="1:23">
      <c r="A269" s="834" t="s">
        <v>24</v>
      </c>
      <c r="B269" s="835">
        <v>266</v>
      </c>
      <c r="C269" s="838" t="s">
        <v>482</v>
      </c>
      <c r="D269" s="838" t="s">
        <v>83</v>
      </c>
      <c r="E269" s="839">
        <v>45710</v>
      </c>
      <c r="F269" s="838" t="s">
        <v>481</v>
      </c>
      <c r="G269" s="838">
        <v>6</v>
      </c>
      <c r="H269" s="838" t="s">
        <v>21</v>
      </c>
      <c r="I269" s="838" t="s">
        <v>36</v>
      </c>
      <c r="J269" s="21" t="s">
        <v>29</v>
      </c>
      <c r="K269" s="21"/>
      <c r="L269" s="21"/>
      <c r="M269" s="22" t="s">
        <v>30</v>
      </c>
      <c r="N269" s="23">
        <v>45743</v>
      </c>
      <c r="O269" s="21"/>
      <c r="P269" s="22" t="s">
        <v>30</v>
      </c>
      <c r="Q269" s="23">
        <v>45743</v>
      </c>
      <c r="R269" s="79" t="s">
        <v>67</v>
      </c>
      <c r="S269" s="22" t="s">
        <v>32</v>
      </c>
      <c r="T269" s="22">
        <v>6</v>
      </c>
      <c r="U269" s="22" t="s">
        <v>67</v>
      </c>
      <c r="V269" s="23">
        <v>45744</v>
      </c>
      <c r="W269" s="80" t="s">
        <v>30</v>
      </c>
    </row>
    <row r="270" spans="1:23">
      <c r="A270" s="834" t="s">
        <v>24</v>
      </c>
      <c r="B270" s="835">
        <v>267</v>
      </c>
      <c r="C270" s="838" t="s">
        <v>483</v>
      </c>
      <c r="D270" s="838" t="s">
        <v>34</v>
      </c>
      <c r="E270" s="839">
        <v>45710</v>
      </c>
      <c r="F270" s="838" t="s">
        <v>324</v>
      </c>
      <c r="G270" s="838">
        <v>8</v>
      </c>
      <c r="H270" s="838" t="s">
        <v>21</v>
      </c>
      <c r="I270" s="838" t="s">
        <v>36</v>
      </c>
      <c r="J270" s="21" t="s">
        <v>29</v>
      </c>
      <c r="K270" s="21"/>
      <c r="L270" s="21"/>
      <c r="M270" s="22" t="s">
        <v>30</v>
      </c>
      <c r="N270" s="23">
        <v>45743</v>
      </c>
      <c r="O270" s="21" t="s">
        <v>66</v>
      </c>
      <c r="P270" s="22" t="s">
        <v>30</v>
      </c>
      <c r="Q270" s="23">
        <v>45743</v>
      </c>
      <c r="R270" s="79" t="s">
        <v>67</v>
      </c>
      <c r="S270" s="22" t="s">
        <v>32</v>
      </c>
      <c r="T270" s="22">
        <v>8</v>
      </c>
      <c r="U270" s="22" t="s">
        <v>67</v>
      </c>
      <c r="V270" s="23">
        <v>45744</v>
      </c>
      <c r="W270" s="80" t="s">
        <v>30</v>
      </c>
    </row>
    <row r="271" spans="1:23">
      <c r="A271" s="834" t="s">
        <v>24</v>
      </c>
      <c r="B271" s="835">
        <v>268</v>
      </c>
      <c r="C271" s="838" t="s">
        <v>484</v>
      </c>
      <c r="D271" s="838" t="s">
        <v>178</v>
      </c>
      <c r="E271" s="839">
        <v>45710</v>
      </c>
      <c r="F271" s="838" t="s">
        <v>324</v>
      </c>
      <c r="G271" s="838">
        <v>8</v>
      </c>
      <c r="H271" s="838" t="s">
        <v>21</v>
      </c>
      <c r="I271" s="838" t="s">
        <v>36</v>
      </c>
      <c r="J271" s="21" t="s">
        <v>29</v>
      </c>
      <c r="K271" s="21"/>
      <c r="L271" s="21"/>
      <c r="M271" s="22" t="s">
        <v>30</v>
      </c>
      <c r="N271" s="23">
        <v>45743</v>
      </c>
      <c r="O271" s="21"/>
      <c r="P271" s="22" t="s">
        <v>30</v>
      </c>
      <c r="Q271" s="23">
        <v>45743</v>
      </c>
      <c r="R271" s="79" t="s">
        <v>67</v>
      </c>
      <c r="S271" s="22" t="s">
        <v>32</v>
      </c>
      <c r="T271" s="22">
        <v>8</v>
      </c>
      <c r="U271" s="22" t="s">
        <v>67</v>
      </c>
      <c r="V271" s="23">
        <v>45744</v>
      </c>
      <c r="W271" s="80" t="s">
        <v>30</v>
      </c>
    </row>
    <row r="272" spans="1:23">
      <c r="A272" s="834" t="s">
        <v>24</v>
      </c>
      <c r="B272" s="835">
        <v>269</v>
      </c>
      <c r="C272" s="838" t="s">
        <v>485</v>
      </c>
      <c r="D272" s="838" t="s">
        <v>486</v>
      </c>
      <c r="E272" s="839">
        <v>45710</v>
      </c>
      <c r="F272" s="838" t="s">
        <v>187</v>
      </c>
      <c r="G272" s="838">
        <v>13</v>
      </c>
      <c r="H272" s="838" t="s">
        <v>21</v>
      </c>
      <c r="I272" s="838" t="s">
        <v>36</v>
      </c>
      <c r="J272" s="21" t="s">
        <v>29</v>
      </c>
      <c r="K272" s="21"/>
      <c r="L272" s="21"/>
      <c r="M272" s="22" t="s">
        <v>30</v>
      </c>
      <c r="N272" s="23">
        <v>45737</v>
      </c>
      <c r="O272" s="21"/>
      <c r="P272" s="22" t="s">
        <v>30</v>
      </c>
      <c r="Q272" s="23">
        <v>45737</v>
      </c>
      <c r="R272" s="79" t="s">
        <v>67</v>
      </c>
      <c r="S272" s="22" t="s">
        <v>32</v>
      </c>
      <c r="T272" s="22">
        <v>13</v>
      </c>
      <c r="U272" s="22" t="s">
        <v>67</v>
      </c>
      <c r="V272" s="23">
        <v>45737</v>
      </c>
      <c r="W272" s="80" t="s">
        <v>30</v>
      </c>
    </row>
    <row r="273" spans="1:23">
      <c r="A273" s="834" t="s">
        <v>24</v>
      </c>
      <c r="B273" s="835">
        <v>270</v>
      </c>
      <c r="C273" s="838" t="s">
        <v>487</v>
      </c>
      <c r="D273" s="838" t="s">
        <v>43</v>
      </c>
      <c r="E273" s="839">
        <v>45710</v>
      </c>
      <c r="F273" s="838" t="s">
        <v>488</v>
      </c>
      <c r="G273" s="838">
        <v>12</v>
      </c>
      <c r="H273" s="838" t="s">
        <v>21</v>
      </c>
      <c r="I273" s="838" t="s">
        <v>36</v>
      </c>
      <c r="J273" s="21" t="s">
        <v>29</v>
      </c>
      <c r="K273" s="21"/>
      <c r="L273" s="21"/>
      <c r="M273" s="22" t="s">
        <v>30</v>
      </c>
      <c r="N273" s="23">
        <v>45743</v>
      </c>
      <c r="O273" s="21" t="s">
        <v>66</v>
      </c>
      <c r="P273" s="22" t="s">
        <v>30</v>
      </c>
      <c r="Q273" s="23">
        <v>45743</v>
      </c>
      <c r="R273" s="79" t="s">
        <v>67</v>
      </c>
      <c r="S273" s="22" t="s">
        <v>32</v>
      </c>
      <c r="T273" s="22">
        <v>12</v>
      </c>
      <c r="U273" s="22" t="s">
        <v>67</v>
      </c>
      <c r="V273" s="23">
        <v>45744</v>
      </c>
      <c r="W273" s="80" t="s">
        <v>30</v>
      </c>
    </row>
    <row r="274" spans="1:23">
      <c r="A274" s="834" t="s">
        <v>24</v>
      </c>
      <c r="B274" s="835">
        <v>271</v>
      </c>
      <c r="C274" s="838" t="s">
        <v>489</v>
      </c>
      <c r="D274" s="838" t="s">
        <v>50</v>
      </c>
      <c r="E274" s="839">
        <v>45710</v>
      </c>
      <c r="F274" s="838" t="s">
        <v>488</v>
      </c>
      <c r="G274" s="838">
        <v>12</v>
      </c>
      <c r="H274" s="838" t="s">
        <v>21</v>
      </c>
      <c r="I274" s="838" t="s">
        <v>36</v>
      </c>
      <c r="J274" s="21" t="s">
        <v>29</v>
      </c>
      <c r="K274" s="21"/>
      <c r="L274" s="21"/>
      <c r="M274" s="22" t="s">
        <v>30</v>
      </c>
      <c r="N274" s="23">
        <v>45743</v>
      </c>
      <c r="O274" s="21"/>
      <c r="P274" s="22" t="s">
        <v>30</v>
      </c>
      <c r="Q274" s="23">
        <v>45743</v>
      </c>
      <c r="R274" s="79" t="s">
        <v>67</v>
      </c>
      <c r="S274" s="22" t="s">
        <v>32</v>
      </c>
      <c r="T274" s="22">
        <v>12</v>
      </c>
      <c r="U274" s="22" t="s">
        <v>67</v>
      </c>
      <c r="V274" s="23">
        <v>45744</v>
      </c>
      <c r="W274" s="80" t="s">
        <v>30</v>
      </c>
    </row>
    <row r="275" spans="1:23">
      <c r="A275" s="834" t="s">
        <v>24</v>
      </c>
      <c r="B275" s="835">
        <v>272</v>
      </c>
      <c r="C275" s="838" t="s">
        <v>490</v>
      </c>
      <c r="D275" s="838" t="s">
        <v>270</v>
      </c>
      <c r="E275" s="839">
        <v>45710</v>
      </c>
      <c r="F275" s="838" t="s">
        <v>488</v>
      </c>
      <c r="G275" s="838">
        <v>12</v>
      </c>
      <c r="H275" s="838" t="s">
        <v>21</v>
      </c>
      <c r="I275" s="838" t="s">
        <v>36</v>
      </c>
      <c r="J275" s="21" t="s">
        <v>29</v>
      </c>
      <c r="K275" s="21"/>
      <c r="L275" s="21"/>
      <c r="M275" s="22" t="s">
        <v>30</v>
      </c>
      <c r="N275" s="23">
        <v>45743</v>
      </c>
      <c r="O275" s="21"/>
      <c r="P275" s="22" t="s">
        <v>30</v>
      </c>
      <c r="Q275" s="23">
        <v>45743</v>
      </c>
      <c r="R275" s="79" t="s">
        <v>67</v>
      </c>
      <c r="S275" s="22" t="s">
        <v>32</v>
      </c>
      <c r="T275" s="22">
        <v>12</v>
      </c>
      <c r="U275" s="22" t="s">
        <v>67</v>
      </c>
      <c r="V275" s="23">
        <v>45744</v>
      </c>
      <c r="W275" s="80" t="s">
        <v>30</v>
      </c>
    </row>
    <row r="276" spans="1:23">
      <c r="A276" s="834" t="s">
        <v>24</v>
      </c>
      <c r="B276" s="835">
        <v>273</v>
      </c>
      <c r="C276" s="838" t="s">
        <v>491</v>
      </c>
      <c r="D276" s="838" t="s">
        <v>34</v>
      </c>
      <c r="E276" s="839">
        <v>45710</v>
      </c>
      <c r="F276" s="838" t="s">
        <v>35</v>
      </c>
      <c r="G276" s="838">
        <v>14</v>
      </c>
      <c r="H276" s="838" t="s">
        <v>21</v>
      </c>
      <c r="I276" s="838" t="s">
        <v>36</v>
      </c>
      <c r="J276" s="21" t="s">
        <v>29</v>
      </c>
      <c r="K276" s="21"/>
      <c r="L276" s="21"/>
      <c r="M276" s="22" t="s">
        <v>30</v>
      </c>
      <c r="N276" s="23">
        <v>45737</v>
      </c>
      <c r="O276" s="21"/>
      <c r="P276" s="22" t="s">
        <v>30</v>
      </c>
      <c r="Q276" s="23">
        <v>45737</v>
      </c>
      <c r="R276" s="79" t="s">
        <v>67</v>
      </c>
      <c r="S276" s="22" t="s">
        <v>32</v>
      </c>
      <c r="T276" s="22">
        <v>14</v>
      </c>
      <c r="U276" s="22" t="s">
        <v>67</v>
      </c>
      <c r="V276" s="23">
        <v>45737</v>
      </c>
      <c r="W276" s="80" t="s">
        <v>30</v>
      </c>
    </row>
    <row r="277" spans="1:23">
      <c r="A277" s="834" t="s">
        <v>24</v>
      </c>
      <c r="B277" s="835">
        <v>274</v>
      </c>
      <c r="C277" s="838" t="s">
        <v>492</v>
      </c>
      <c r="D277" s="838" t="s">
        <v>34</v>
      </c>
      <c r="E277" s="839">
        <v>45710</v>
      </c>
      <c r="F277" s="838" t="s">
        <v>421</v>
      </c>
      <c r="G277" s="838">
        <v>19</v>
      </c>
      <c r="H277" s="842" t="s">
        <v>21</v>
      </c>
      <c r="I277" s="838" t="s">
        <v>36</v>
      </c>
      <c r="J277" s="21" t="s">
        <v>29</v>
      </c>
      <c r="K277" s="21"/>
      <c r="L277" s="21"/>
      <c r="M277" s="22" t="s">
        <v>30</v>
      </c>
      <c r="N277" s="23">
        <v>45743</v>
      </c>
      <c r="O277" s="21" t="s">
        <v>31</v>
      </c>
      <c r="P277" s="22" t="s">
        <v>30</v>
      </c>
      <c r="Q277" s="23">
        <v>45743</v>
      </c>
      <c r="R277" s="79" t="s">
        <v>67</v>
      </c>
      <c r="S277" s="22" t="s">
        <v>32</v>
      </c>
      <c r="T277" s="22">
        <v>19</v>
      </c>
      <c r="U277" s="22" t="s">
        <v>67</v>
      </c>
      <c r="V277" s="23">
        <v>45744</v>
      </c>
      <c r="W277" s="80" t="s">
        <v>30</v>
      </c>
    </row>
    <row r="278" spans="1:23">
      <c r="A278" s="834" t="s">
        <v>24</v>
      </c>
      <c r="B278" s="835">
        <v>275</v>
      </c>
      <c r="C278" s="845" t="s">
        <v>493</v>
      </c>
      <c r="D278" s="845" t="s">
        <v>83</v>
      </c>
      <c r="E278" s="839">
        <v>45710</v>
      </c>
      <c r="F278" s="838" t="s">
        <v>494</v>
      </c>
      <c r="G278" s="838">
        <v>9</v>
      </c>
      <c r="H278" s="842" t="s">
        <v>21</v>
      </c>
      <c r="I278" s="838" t="s">
        <v>36</v>
      </c>
      <c r="J278" s="21" t="s">
        <v>29</v>
      </c>
      <c r="K278" s="21"/>
      <c r="L278" s="21"/>
      <c r="M278" s="22" t="s">
        <v>30</v>
      </c>
      <c r="N278" s="23">
        <v>45747</v>
      </c>
      <c r="O278" s="21"/>
      <c r="P278" s="22" t="s">
        <v>30</v>
      </c>
      <c r="Q278" s="23">
        <v>45747</v>
      </c>
      <c r="R278" s="79" t="s">
        <v>127</v>
      </c>
      <c r="S278" s="22" t="s">
        <v>32</v>
      </c>
      <c r="T278" s="22">
        <v>9</v>
      </c>
      <c r="U278" s="22" t="s">
        <v>127</v>
      </c>
      <c r="V278" s="23">
        <v>45747</v>
      </c>
      <c r="W278" s="80" t="s">
        <v>30</v>
      </c>
    </row>
    <row r="279" spans="1:23">
      <c r="A279" s="834" t="s">
        <v>24</v>
      </c>
      <c r="B279" s="835">
        <v>276</v>
      </c>
      <c r="C279" s="838" t="s">
        <v>495</v>
      </c>
      <c r="D279" s="838" t="s">
        <v>43</v>
      </c>
      <c r="E279" s="839">
        <v>45710</v>
      </c>
      <c r="F279" s="838" t="s">
        <v>496</v>
      </c>
      <c r="G279" s="838">
        <v>11</v>
      </c>
      <c r="H279" s="842" t="s">
        <v>21</v>
      </c>
      <c r="I279" s="838" t="s">
        <v>36</v>
      </c>
      <c r="J279" s="21" t="s">
        <v>29</v>
      </c>
      <c r="K279" s="21"/>
      <c r="L279" s="21"/>
      <c r="M279" s="22" t="s">
        <v>30</v>
      </c>
      <c r="N279" s="23">
        <v>45737</v>
      </c>
      <c r="O279" s="21" t="s">
        <v>66</v>
      </c>
      <c r="P279" s="22" t="s">
        <v>30</v>
      </c>
      <c r="Q279" s="23">
        <v>45737</v>
      </c>
      <c r="R279" s="79" t="s">
        <v>127</v>
      </c>
      <c r="S279" s="22" t="s">
        <v>32</v>
      </c>
      <c r="T279" s="22">
        <v>11</v>
      </c>
      <c r="U279" s="22" t="s">
        <v>127</v>
      </c>
      <c r="V279" s="23">
        <v>45737</v>
      </c>
      <c r="W279" s="80" t="s">
        <v>30</v>
      </c>
    </row>
    <row r="280" spans="1:23">
      <c r="A280" s="834" t="s">
        <v>24</v>
      </c>
      <c r="B280" s="835">
        <v>277</v>
      </c>
      <c r="C280" s="838" t="s">
        <v>497</v>
      </c>
      <c r="D280" s="838" t="s">
        <v>26</v>
      </c>
      <c r="E280" s="839">
        <v>45710</v>
      </c>
      <c r="F280" s="838" t="s">
        <v>496</v>
      </c>
      <c r="G280" s="838">
        <v>11</v>
      </c>
      <c r="H280" s="842" t="s">
        <v>21</v>
      </c>
      <c r="I280" s="838" t="s">
        <v>36</v>
      </c>
      <c r="J280" s="21" t="s">
        <v>29</v>
      </c>
      <c r="K280" s="21"/>
      <c r="L280" s="21"/>
      <c r="M280" s="22" t="s">
        <v>30</v>
      </c>
      <c r="N280" s="23">
        <v>45742</v>
      </c>
      <c r="O280" s="21"/>
      <c r="P280" s="22" t="s">
        <v>30</v>
      </c>
      <c r="Q280" s="23">
        <v>45742</v>
      </c>
      <c r="R280" s="79" t="s">
        <v>127</v>
      </c>
      <c r="S280" s="22" t="s">
        <v>32</v>
      </c>
      <c r="T280" s="22">
        <v>11</v>
      </c>
      <c r="U280" s="22" t="s">
        <v>127</v>
      </c>
      <c r="V280" s="23">
        <v>45742</v>
      </c>
      <c r="W280" s="80" t="s">
        <v>30</v>
      </c>
    </row>
    <row r="281" spans="1:23">
      <c r="A281" s="834" t="s">
        <v>24</v>
      </c>
      <c r="B281" s="835">
        <v>278</v>
      </c>
      <c r="C281" s="838" t="s">
        <v>498</v>
      </c>
      <c r="D281" s="838" t="s">
        <v>50</v>
      </c>
      <c r="E281" s="839">
        <v>45710</v>
      </c>
      <c r="F281" s="838" t="s">
        <v>496</v>
      </c>
      <c r="G281" s="838">
        <v>11</v>
      </c>
      <c r="H281" s="842" t="s">
        <v>21</v>
      </c>
      <c r="I281" s="838" t="s">
        <v>36</v>
      </c>
      <c r="J281" s="21" t="s">
        <v>29</v>
      </c>
      <c r="K281" s="21"/>
      <c r="L281" s="21"/>
      <c r="M281" s="22" t="s">
        <v>30</v>
      </c>
      <c r="N281" s="23">
        <v>45742</v>
      </c>
      <c r="O281" s="21"/>
      <c r="P281" s="22" t="s">
        <v>30</v>
      </c>
      <c r="Q281" s="23">
        <v>45742</v>
      </c>
      <c r="R281" s="79" t="s">
        <v>127</v>
      </c>
      <c r="S281" s="22" t="s">
        <v>32</v>
      </c>
      <c r="T281" s="22">
        <v>11</v>
      </c>
      <c r="U281" s="22" t="s">
        <v>127</v>
      </c>
      <c r="V281" s="23">
        <v>45742</v>
      </c>
      <c r="W281" s="80" t="s">
        <v>30</v>
      </c>
    </row>
    <row r="282" spans="1:23">
      <c r="A282" s="834" t="s">
        <v>24</v>
      </c>
      <c r="B282" s="835">
        <v>279</v>
      </c>
      <c r="C282" s="838" t="s">
        <v>499</v>
      </c>
      <c r="D282" s="838" t="s">
        <v>34</v>
      </c>
      <c r="E282" s="839">
        <v>45710</v>
      </c>
      <c r="F282" s="838" t="s">
        <v>500</v>
      </c>
      <c r="G282" s="838">
        <v>14</v>
      </c>
      <c r="H282" s="842" t="s">
        <v>46</v>
      </c>
      <c r="I282" s="838" t="s">
        <v>47</v>
      </c>
      <c r="J282" s="21" t="s">
        <v>29</v>
      </c>
      <c r="K282" s="21"/>
      <c r="L282" s="21"/>
      <c r="M282" s="22" t="s">
        <v>30</v>
      </c>
      <c r="N282" s="23">
        <v>45741</v>
      </c>
      <c r="O282" s="21"/>
      <c r="P282" s="22" t="s">
        <v>30</v>
      </c>
      <c r="Q282" s="23">
        <v>45741</v>
      </c>
      <c r="R282" s="79" t="s">
        <v>46</v>
      </c>
      <c r="S282" s="22" t="s">
        <v>32</v>
      </c>
      <c r="T282" s="22">
        <v>14</v>
      </c>
      <c r="U282" s="22" t="s">
        <v>46</v>
      </c>
      <c r="V282" s="23">
        <v>45741</v>
      </c>
      <c r="W282" s="80" t="s">
        <v>30</v>
      </c>
    </row>
    <row r="283" spans="1:23">
      <c r="A283" s="834" t="s">
        <v>24</v>
      </c>
      <c r="B283" s="835">
        <v>280</v>
      </c>
      <c r="C283" s="838" t="s">
        <v>501</v>
      </c>
      <c r="D283" s="838" t="s">
        <v>34</v>
      </c>
      <c r="E283" s="839">
        <v>45710</v>
      </c>
      <c r="F283" s="838" t="s">
        <v>462</v>
      </c>
      <c r="G283" s="838">
        <v>47</v>
      </c>
      <c r="H283" s="842" t="s">
        <v>46</v>
      </c>
      <c r="I283" s="838" t="s">
        <v>47</v>
      </c>
      <c r="J283" s="21" t="s">
        <v>29</v>
      </c>
      <c r="K283" s="21"/>
      <c r="L283" s="21"/>
      <c r="M283" s="22" t="s">
        <v>30</v>
      </c>
      <c r="N283" s="23">
        <v>45747</v>
      </c>
      <c r="O283" s="21" t="s">
        <v>31</v>
      </c>
      <c r="P283" s="22" t="s">
        <v>30</v>
      </c>
      <c r="Q283" s="23">
        <v>45747</v>
      </c>
      <c r="R283" s="79" t="s">
        <v>46</v>
      </c>
      <c r="S283" s="22" t="s">
        <v>32</v>
      </c>
      <c r="T283" s="22">
        <v>47</v>
      </c>
      <c r="U283" s="22" t="s">
        <v>46</v>
      </c>
      <c r="V283" s="23">
        <v>45745</v>
      </c>
      <c r="W283" s="80" t="s">
        <v>30</v>
      </c>
    </row>
    <row r="284" spans="1:23">
      <c r="A284" s="834" t="s">
        <v>24</v>
      </c>
      <c r="B284" s="835">
        <v>281</v>
      </c>
      <c r="C284" s="838" t="s">
        <v>502</v>
      </c>
      <c r="D284" s="838" t="s">
        <v>34</v>
      </c>
      <c r="E284" s="839">
        <v>45710</v>
      </c>
      <c r="F284" s="838" t="s">
        <v>65</v>
      </c>
      <c r="G284" s="838">
        <v>6</v>
      </c>
      <c r="H284" s="842" t="s">
        <v>46</v>
      </c>
      <c r="I284" s="838" t="s">
        <v>47</v>
      </c>
      <c r="J284" s="21" t="s">
        <v>29</v>
      </c>
      <c r="K284" s="21"/>
      <c r="L284" s="21"/>
      <c r="M284" s="22" t="s">
        <v>30</v>
      </c>
      <c r="N284" s="23">
        <v>45734</v>
      </c>
      <c r="O284" s="21" t="s">
        <v>66</v>
      </c>
      <c r="P284" s="22" t="s">
        <v>30</v>
      </c>
      <c r="Q284" s="23">
        <v>45734</v>
      </c>
      <c r="R284" s="79" t="s">
        <v>46</v>
      </c>
      <c r="S284" s="22" t="s">
        <v>32</v>
      </c>
      <c r="T284" s="22">
        <v>6</v>
      </c>
      <c r="U284" s="22" t="s">
        <v>46</v>
      </c>
      <c r="V284" s="23">
        <v>45734</v>
      </c>
      <c r="W284" s="80" t="s">
        <v>30</v>
      </c>
    </row>
    <row r="285" spans="1:23">
      <c r="A285" s="834" t="s">
        <v>24</v>
      </c>
      <c r="B285" s="835">
        <v>282</v>
      </c>
      <c r="C285" s="838" t="s">
        <v>503</v>
      </c>
      <c r="D285" s="838" t="s">
        <v>178</v>
      </c>
      <c r="E285" s="839">
        <v>45710</v>
      </c>
      <c r="F285" s="838" t="s">
        <v>65</v>
      </c>
      <c r="G285" s="838">
        <v>6</v>
      </c>
      <c r="H285" s="838" t="s">
        <v>46</v>
      </c>
      <c r="I285" s="838" t="s">
        <v>47</v>
      </c>
      <c r="J285" s="21" t="s">
        <v>29</v>
      </c>
      <c r="K285" s="21"/>
      <c r="L285" s="21"/>
      <c r="M285" s="22" t="s">
        <v>30</v>
      </c>
      <c r="N285" s="23">
        <v>45734</v>
      </c>
      <c r="O285" s="21"/>
      <c r="P285" s="22" t="s">
        <v>30</v>
      </c>
      <c r="Q285" s="23">
        <v>45734</v>
      </c>
      <c r="R285" s="79" t="s">
        <v>46</v>
      </c>
      <c r="S285" s="22" t="s">
        <v>32</v>
      </c>
      <c r="T285" s="22">
        <v>6</v>
      </c>
      <c r="U285" s="22" t="s">
        <v>46</v>
      </c>
      <c r="V285" s="23">
        <v>45734</v>
      </c>
      <c r="W285" s="80" t="s">
        <v>30</v>
      </c>
    </row>
    <row r="286" spans="1:23">
      <c r="A286" s="834" t="s">
        <v>24</v>
      </c>
      <c r="B286" s="835">
        <v>283</v>
      </c>
      <c r="C286" s="838" t="s">
        <v>504</v>
      </c>
      <c r="D286" s="838" t="s">
        <v>72</v>
      </c>
      <c r="E286" s="839">
        <v>45710</v>
      </c>
      <c r="F286" s="838" t="s">
        <v>65</v>
      </c>
      <c r="G286" s="838">
        <v>6</v>
      </c>
      <c r="H286" s="838" t="s">
        <v>46</v>
      </c>
      <c r="I286" s="838" t="s">
        <v>47</v>
      </c>
      <c r="J286" s="21" t="s">
        <v>29</v>
      </c>
      <c r="K286" s="21"/>
      <c r="L286" s="21"/>
      <c r="M286" s="22" t="s">
        <v>30</v>
      </c>
      <c r="N286" s="23">
        <v>45734</v>
      </c>
      <c r="O286" s="21"/>
      <c r="P286" s="22" t="s">
        <v>30</v>
      </c>
      <c r="Q286" s="23">
        <v>45734</v>
      </c>
      <c r="R286" s="79" t="s">
        <v>46</v>
      </c>
      <c r="S286" s="22" t="s">
        <v>32</v>
      </c>
      <c r="T286" s="22">
        <v>6</v>
      </c>
      <c r="U286" s="22" t="s">
        <v>46</v>
      </c>
      <c r="V286" s="23">
        <v>45734</v>
      </c>
      <c r="W286" s="80" t="s">
        <v>30</v>
      </c>
    </row>
    <row r="287" spans="1:23">
      <c r="A287" s="834" t="s">
        <v>24</v>
      </c>
      <c r="B287" s="835">
        <v>284</v>
      </c>
      <c r="C287" s="838" t="s">
        <v>505</v>
      </c>
      <c r="D287" s="838" t="s">
        <v>34</v>
      </c>
      <c r="E287" s="839">
        <v>45710</v>
      </c>
      <c r="F287" s="838" t="s">
        <v>506</v>
      </c>
      <c r="G287" s="838">
        <v>13</v>
      </c>
      <c r="H287" s="838" t="s">
        <v>22</v>
      </c>
      <c r="I287" s="838" t="s">
        <v>28</v>
      </c>
      <c r="J287" s="21" t="s">
        <v>29</v>
      </c>
      <c r="K287" s="21" t="s">
        <v>507</v>
      </c>
      <c r="L287" s="21"/>
      <c r="M287" s="22" t="s">
        <v>30</v>
      </c>
      <c r="N287" s="23">
        <v>45747</v>
      </c>
      <c r="O287" s="21" t="s">
        <v>508</v>
      </c>
      <c r="P287" s="22" t="s">
        <v>30</v>
      </c>
      <c r="Q287" s="23">
        <v>45747</v>
      </c>
      <c r="R287" s="79" t="s">
        <v>28</v>
      </c>
      <c r="S287" s="22" t="s">
        <v>32</v>
      </c>
      <c r="T287" s="22">
        <v>13</v>
      </c>
      <c r="U287" s="24" t="s">
        <v>28</v>
      </c>
      <c r="V287" s="23">
        <v>45747</v>
      </c>
      <c r="W287" s="80" t="s">
        <v>30</v>
      </c>
    </row>
    <row r="288" spans="1:23">
      <c r="A288" s="834" t="s">
        <v>24</v>
      </c>
      <c r="B288" s="835">
        <v>285</v>
      </c>
      <c r="C288" s="838" t="s">
        <v>509</v>
      </c>
      <c r="D288" s="838" t="s">
        <v>34</v>
      </c>
      <c r="E288" s="839">
        <v>45710</v>
      </c>
      <c r="F288" s="838" t="s">
        <v>97</v>
      </c>
      <c r="G288" s="838">
        <v>11</v>
      </c>
      <c r="H288" s="838" t="s">
        <v>22</v>
      </c>
      <c r="I288" s="838" t="s">
        <v>28</v>
      </c>
      <c r="J288" s="21" t="s">
        <v>29</v>
      </c>
      <c r="K288" s="21"/>
      <c r="L288" s="21"/>
      <c r="M288" s="22" t="s">
        <v>30</v>
      </c>
      <c r="N288" s="23">
        <v>45733</v>
      </c>
      <c r="O288" s="21"/>
      <c r="P288" s="22" t="s">
        <v>30</v>
      </c>
      <c r="Q288" s="23">
        <v>45733</v>
      </c>
      <c r="R288" s="79" t="s">
        <v>28</v>
      </c>
      <c r="S288" s="22" t="s">
        <v>32</v>
      </c>
      <c r="T288" s="22">
        <v>11</v>
      </c>
      <c r="U288" s="22" t="s">
        <v>28</v>
      </c>
      <c r="V288" s="23">
        <v>45733</v>
      </c>
      <c r="W288" s="80" t="s">
        <v>30</v>
      </c>
    </row>
    <row r="289" spans="1:23">
      <c r="A289" s="834" t="s">
        <v>24</v>
      </c>
      <c r="B289" s="835">
        <v>286</v>
      </c>
      <c r="C289" s="838" t="s">
        <v>510</v>
      </c>
      <c r="D289" s="838" t="s">
        <v>34</v>
      </c>
      <c r="E289" s="839">
        <v>45710</v>
      </c>
      <c r="F289" s="838" t="s">
        <v>511</v>
      </c>
      <c r="G289" s="838">
        <v>16</v>
      </c>
      <c r="H289" s="838" t="s">
        <v>22</v>
      </c>
      <c r="I289" s="838" t="s">
        <v>28</v>
      </c>
      <c r="J289" s="21" t="s">
        <v>29</v>
      </c>
      <c r="K289" s="21"/>
      <c r="L289" s="21"/>
      <c r="M289" s="22" t="s">
        <v>30</v>
      </c>
      <c r="N289" s="23">
        <v>45729</v>
      </c>
      <c r="O289" s="21" t="s">
        <v>31</v>
      </c>
      <c r="P289" s="22" t="s">
        <v>30</v>
      </c>
      <c r="Q289" s="23">
        <v>45729</v>
      </c>
      <c r="R289" s="79" t="s">
        <v>28</v>
      </c>
      <c r="S289" s="22" t="s">
        <v>32</v>
      </c>
      <c r="T289" s="22">
        <v>16</v>
      </c>
      <c r="U289" s="22" t="s">
        <v>28</v>
      </c>
      <c r="V289" s="23">
        <v>45729</v>
      </c>
      <c r="W289" s="80" t="s">
        <v>30</v>
      </c>
    </row>
    <row r="290" spans="1:23">
      <c r="A290" s="834" t="s">
        <v>24</v>
      </c>
      <c r="B290" s="835">
        <v>287</v>
      </c>
      <c r="C290" s="838" t="s">
        <v>512</v>
      </c>
      <c r="D290" s="838" t="s">
        <v>34</v>
      </c>
      <c r="E290" s="839">
        <v>45710</v>
      </c>
      <c r="F290" s="838" t="s">
        <v>511</v>
      </c>
      <c r="G290" s="838">
        <v>6</v>
      </c>
      <c r="H290" s="838" t="s">
        <v>22</v>
      </c>
      <c r="I290" s="838" t="s">
        <v>28</v>
      </c>
      <c r="J290" s="21" t="s">
        <v>29</v>
      </c>
      <c r="K290" s="21"/>
      <c r="L290" s="21"/>
      <c r="M290" s="22" t="s">
        <v>30</v>
      </c>
      <c r="N290" s="23">
        <v>45727</v>
      </c>
      <c r="O290" s="21"/>
      <c r="P290" s="22" t="s">
        <v>30</v>
      </c>
      <c r="Q290" s="23">
        <v>45727</v>
      </c>
      <c r="R290" s="79" t="s">
        <v>28</v>
      </c>
      <c r="S290" s="22" t="s">
        <v>32</v>
      </c>
      <c r="T290" s="22">
        <v>6</v>
      </c>
      <c r="U290" s="24" t="s">
        <v>28</v>
      </c>
      <c r="V290" s="23">
        <v>45729</v>
      </c>
      <c r="W290" s="80" t="s">
        <v>30</v>
      </c>
    </row>
    <row r="291" spans="1:23">
      <c r="A291" s="834" t="s">
        <v>24</v>
      </c>
      <c r="B291" s="835">
        <v>288</v>
      </c>
      <c r="C291" s="838" t="s">
        <v>513</v>
      </c>
      <c r="D291" s="838" t="s">
        <v>374</v>
      </c>
      <c r="E291" s="839">
        <v>45712</v>
      </c>
      <c r="F291" s="838" t="s">
        <v>62</v>
      </c>
      <c r="G291" s="838">
        <v>19</v>
      </c>
      <c r="H291" s="838" t="s">
        <v>46</v>
      </c>
      <c r="I291" s="838" t="s">
        <v>47</v>
      </c>
      <c r="J291" s="21" t="s">
        <v>29</v>
      </c>
      <c r="K291" s="21" t="s">
        <v>457</v>
      </c>
      <c r="L291" s="21"/>
      <c r="M291" s="22" t="s">
        <v>30</v>
      </c>
      <c r="N291" s="23">
        <v>45730</v>
      </c>
      <c r="O291" s="21" t="s">
        <v>31</v>
      </c>
      <c r="P291" s="22" t="s">
        <v>30</v>
      </c>
      <c r="Q291" s="23">
        <v>45730</v>
      </c>
      <c r="R291" s="79" t="s">
        <v>46</v>
      </c>
      <c r="S291" s="22" t="s">
        <v>32</v>
      </c>
      <c r="T291" s="22">
        <v>20</v>
      </c>
      <c r="U291" s="22" t="s">
        <v>46</v>
      </c>
      <c r="V291" s="23">
        <v>45730</v>
      </c>
      <c r="W291" s="80" t="s">
        <v>30</v>
      </c>
    </row>
    <row r="292" spans="1:23">
      <c r="A292" s="834" t="s">
        <v>24</v>
      </c>
      <c r="B292" s="835">
        <v>289</v>
      </c>
      <c r="C292" s="838" t="s">
        <v>514</v>
      </c>
      <c r="D292" s="838" t="s">
        <v>234</v>
      </c>
      <c r="E292" s="839">
        <v>45712</v>
      </c>
      <c r="F292" s="838" t="s">
        <v>324</v>
      </c>
      <c r="G292" s="838">
        <v>9</v>
      </c>
      <c r="H292" s="838" t="s">
        <v>21</v>
      </c>
      <c r="I292" s="838" t="s">
        <v>36</v>
      </c>
      <c r="J292" s="21" t="s">
        <v>29</v>
      </c>
      <c r="K292" s="21"/>
      <c r="L292" s="21"/>
      <c r="M292" s="22" t="s">
        <v>30</v>
      </c>
      <c r="N292" s="23">
        <v>45747</v>
      </c>
      <c r="O292" s="21"/>
      <c r="P292" s="22" t="s">
        <v>30</v>
      </c>
      <c r="Q292" s="23">
        <v>45747</v>
      </c>
      <c r="R292" s="79" t="s">
        <v>67</v>
      </c>
      <c r="S292" s="22" t="s">
        <v>32</v>
      </c>
      <c r="T292" s="22">
        <v>9</v>
      </c>
      <c r="U292" s="22" t="s">
        <v>67</v>
      </c>
      <c r="V292" s="23">
        <v>45747</v>
      </c>
      <c r="W292" s="80" t="s">
        <v>30</v>
      </c>
    </row>
    <row r="293" spans="1:23">
      <c r="A293" s="834" t="s">
        <v>24</v>
      </c>
      <c r="B293" s="835">
        <v>290</v>
      </c>
      <c r="C293" s="838" t="s">
        <v>515</v>
      </c>
      <c r="D293" s="838" t="s">
        <v>34</v>
      </c>
      <c r="E293" s="839">
        <v>45712</v>
      </c>
      <c r="F293" s="838" t="s">
        <v>106</v>
      </c>
      <c r="G293" s="838">
        <v>15</v>
      </c>
      <c r="H293" s="838" t="s">
        <v>22</v>
      </c>
      <c r="I293" s="838" t="s">
        <v>28</v>
      </c>
      <c r="J293" s="21" t="s">
        <v>29</v>
      </c>
      <c r="K293" s="21" t="s">
        <v>516</v>
      </c>
      <c r="L293" s="21"/>
      <c r="M293" s="22" t="s">
        <v>30</v>
      </c>
      <c r="N293" s="23">
        <v>45729</v>
      </c>
      <c r="O293" s="21" t="s">
        <v>31</v>
      </c>
      <c r="P293" s="22" t="s">
        <v>30</v>
      </c>
      <c r="Q293" s="23">
        <v>45729</v>
      </c>
      <c r="R293" s="79" t="s">
        <v>28</v>
      </c>
      <c r="S293" s="22" t="s">
        <v>32</v>
      </c>
      <c r="T293" s="22">
        <v>15</v>
      </c>
      <c r="U293" s="22" t="s">
        <v>28</v>
      </c>
      <c r="V293" s="23">
        <v>45729</v>
      </c>
      <c r="W293" s="80" t="s">
        <v>30</v>
      </c>
    </row>
    <row r="294" spans="1:23">
      <c r="A294" s="834" t="s">
        <v>137</v>
      </c>
      <c r="B294" s="835">
        <v>291</v>
      </c>
      <c r="C294" s="838" t="s">
        <v>517</v>
      </c>
      <c r="D294" s="834" t="s">
        <v>139</v>
      </c>
      <c r="E294" s="839">
        <v>45691.458333333336</v>
      </c>
      <c r="F294" s="838" t="s">
        <v>140</v>
      </c>
      <c r="G294" s="838">
        <v>6</v>
      </c>
      <c r="H294" s="838" t="s">
        <v>141</v>
      </c>
      <c r="I294" s="838" t="s">
        <v>228</v>
      </c>
      <c r="J294" s="21" t="s">
        <v>29</v>
      </c>
      <c r="K294" s="21"/>
      <c r="L294" s="21"/>
      <c r="M294" s="22" t="s">
        <v>30</v>
      </c>
      <c r="N294" s="23">
        <v>45747</v>
      </c>
      <c r="O294" s="21"/>
      <c r="P294" s="22" t="s">
        <v>30</v>
      </c>
      <c r="Q294" s="23">
        <v>45747</v>
      </c>
      <c r="R294" s="79" t="s">
        <v>48</v>
      </c>
      <c r="S294" s="22" t="s">
        <v>32</v>
      </c>
      <c r="T294" s="22">
        <v>6</v>
      </c>
      <c r="U294" s="22" t="s">
        <v>48</v>
      </c>
      <c r="V294" s="23">
        <v>45747</v>
      </c>
      <c r="W294" s="840"/>
    </row>
    <row r="295" spans="1:23">
      <c r="A295" s="834" t="s">
        <v>137</v>
      </c>
      <c r="B295" s="835">
        <v>292</v>
      </c>
      <c r="C295" s="838" t="s">
        <v>518</v>
      </c>
      <c r="D295" s="834" t="s">
        <v>519</v>
      </c>
      <c r="E295" s="839">
        <v>45691.375</v>
      </c>
      <c r="F295" s="838" t="s">
        <v>140</v>
      </c>
      <c r="G295" s="838">
        <v>10</v>
      </c>
      <c r="H295" s="838" t="s">
        <v>520</v>
      </c>
      <c r="I295" s="838" t="s">
        <v>521</v>
      </c>
      <c r="J295" s="21" t="s">
        <v>29</v>
      </c>
      <c r="K295" s="21"/>
      <c r="L295" s="21"/>
      <c r="M295" s="22" t="s">
        <v>30</v>
      </c>
      <c r="N295" s="23">
        <v>45747</v>
      </c>
      <c r="O295" s="21"/>
      <c r="P295" s="22" t="s">
        <v>30</v>
      </c>
      <c r="Q295" s="23">
        <v>45747</v>
      </c>
      <c r="R295" s="79" t="s">
        <v>48</v>
      </c>
      <c r="S295" s="22" t="s">
        <v>32</v>
      </c>
      <c r="T295" s="22">
        <v>10</v>
      </c>
      <c r="U295" s="24" t="s">
        <v>48</v>
      </c>
      <c r="V295" s="23">
        <v>45747</v>
      </c>
      <c r="W295" s="840"/>
    </row>
    <row r="296" spans="1:23">
      <c r="A296" s="834" t="s">
        <v>137</v>
      </c>
      <c r="B296" s="835">
        <v>293</v>
      </c>
      <c r="C296" s="838" t="s">
        <v>522</v>
      </c>
      <c r="D296" s="834" t="s">
        <v>523</v>
      </c>
      <c r="E296" s="839">
        <v>45691.375</v>
      </c>
      <c r="F296" s="838" t="s">
        <v>140</v>
      </c>
      <c r="G296" s="838">
        <v>34</v>
      </c>
      <c r="H296" s="838" t="s">
        <v>520</v>
      </c>
      <c r="I296" s="838" t="s">
        <v>521</v>
      </c>
      <c r="J296" s="21" t="s">
        <v>29</v>
      </c>
      <c r="K296" s="21"/>
      <c r="L296" s="21"/>
      <c r="M296" s="22" t="s">
        <v>30</v>
      </c>
      <c r="N296" s="23">
        <v>45779</v>
      </c>
      <c r="O296" s="21" t="s">
        <v>31</v>
      </c>
      <c r="P296" s="22" t="s">
        <v>30</v>
      </c>
      <c r="Q296" s="23">
        <v>45779</v>
      </c>
      <c r="R296" s="79" t="s">
        <v>67</v>
      </c>
      <c r="S296" s="22" t="s">
        <v>32</v>
      </c>
      <c r="T296" s="22">
        <v>34</v>
      </c>
      <c r="U296" s="24" t="s">
        <v>67</v>
      </c>
      <c r="V296" s="23">
        <v>45779</v>
      </c>
      <c r="W296" s="80"/>
    </row>
    <row r="297" spans="1:23">
      <c r="A297" s="834" t="s">
        <v>137</v>
      </c>
      <c r="B297" s="835">
        <v>294</v>
      </c>
      <c r="C297" s="838" t="s">
        <v>524</v>
      </c>
      <c r="D297" s="834" t="s">
        <v>159</v>
      </c>
      <c r="E297" s="839">
        <v>45691.375</v>
      </c>
      <c r="F297" s="838" t="s">
        <v>140</v>
      </c>
      <c r="G297" s="838">
        <v>6</v>
      </c>
      <c r="H297" s="838" t="s">
        <v>210</v>
      </c>
      <c r="I297" s="838" t="s">
        <v>211</v>
      </c>
      <c r="J297" s="21" t="s">
        <v>29</v>
      </c>
      <c r="K297" s="21"/>
      <c r="L297" s="21"/>
      <c r="M297" s="22" t="s">
        <v>30</v>
      </c>
      <c r="N297" s="23">
        <v>45768</v>
      </c>
      <c r="O297" s="21"/>
      <c r="P297" s="22" t="s">
        <v>30</v>
      </c>
      <c r="Q297" s="23">
        <v>45768</v>
      </c>
      <c r="R297" s="79" t="s">
        <v>67</v>
      </c>
      <c r="S297" s="22" t="s">
        <v>32</v>
      </c>
      <c r="T297" s="22">
        <v>4</v>
      </c>
      <c r="U297" s="22" t="s">
        <v>67</v>
      </c>
      <c r="V297" s="23">
        <v>45768</v>
      </c>
      <c r="W297" s="840"/>
    </row>
    <row r="298" spans="1:23">
      <c r="A298" s="834" t="s">
        <v>137</v>
      </c>
      <c r="B298" s="835">
        <v>295</v>
      </c>
      <c r="C298" s="838" t="s">
        <v>525</v>
      </c>
      <c r="D298" s="834" t="s">
        <v>526</v>
      </c>
      <c r="E298" s="839">
        <v>45691.375</v>
      </c>
      <c r="F298" s="838" t="s">
        <v>140</v>
      </c>
      <c r="G298" s="838">
        <v>20</v>
      </c>
      <c r="H298" s="838" t="s">
        <v>520</v>
      </c>
      <c r="I298" s="838" t="s">
        <v>521</v>
      </c>
      <c r="J298" s="21" t="s">
        <v>29</v>
      </c>
      <c r="K298" s="21"/>
      <c r="L298" s="21"/>
      <c r="M298" s="22" t="s">
        <v>30</v>
      </c>
      <c r="N298" s="23">
        <v>45768</v>
      </c>
      <c r="O298" s="21" t="s">
        <v>31</v>
      </c>
      <c r="P298" s="22" t="s">
        <v>30</v>
      </c>
      <c r="Q298" s="23">
        <v>45768</v>
      </c>
      <c r="R298" s="79" t="s">
        <v>67</v>
      </c>
      <c r="S298" s="22" t="s">
        <v>32</v>
      </c>
      <c r="T298" s="22">
        <v>20</v>
      </c>
      <c r="U298" s="22" t="s">
        <v>67</v>
      </c>
      <c r="V298" s="23">
        <v>45768</v>
      </c>
      <c r="W298" s="840"/>
    </row>
    <row r="299" spans="1:23">
      <c r="A299" s="834" t="s">
        <v>137</v>
      </c>
      <c r="B299" s="835">
        <v>296</v>
      </c>
      <c r="C299" s="838" t="s">
        <v>527</v>
      </c>
      <c r="D299" s="834" t="s">
        <v>528</v>
      </c>
      <c r="E299" s="839">
        <v>45691.375</v>
      </c>
      <c r="F299" s="838" t="s">
        <v>140</v>
      </c>
      <c r="G299" s="838">
        <v>4</v>
      </c>
      <c r="H299" s="838" t="s">
        <v>141</v>
      </c>
      <c r="I299" s="838" t="s">
        <v>228</v>
      </c>
      <c r="J299" s="21" t="s">
        <v>29</v>
      </c>
      <c r="K299" s="21"/>
      <c r="L299" s="21"/>
      <c r="M299" s="22" t="s">
        <v>30</v>
      </c>
      <c r="N299" s="23">
        <v>45777</v>
      </c>
      <c r="O299" s="21"/>
      <c r="P299" s="22" t="s">
        <v>30</v>
      </c>
      <c r="Q299" s="23">
        <v>45777</v>
      </c>
      <c r="R299" s="79" t="s">
        <v>67</v>
      </c>
      <c r="S299" s="22" t="s">
        <v>32</v>
      </c>
      <c r="T299" s="22">
        <v>4</v>
      </c>
      <c r="U299" s="22" t="s">
        <v>67</v>
      </c>
      <c r="V299" s="23">
        <v>45777</v>
      </c>
      <c r="W299" s="80"/>
    </row>
    <row r="300" spans="1:23">
      <c r="A300" s="834" t="s">
        <v>137</v>
      </c>
      <c r="B300" s="835">
        <v>297</v>
      </c>
      <c r="C300" s="838" t="s">
        <v>529</v>
      </c>
      <c r="D300" s="834" t="s">
        <v>358</v>
      </c>
      <c r="E300" s="839">
        <v>45691.375</v>
      </c>
      <c r="F300" s="838" t="s">
        <v>140</v>
      </c>
      <c r="G300" s="838">
        <v>23</v>
      </c>
      <c r="H300" s="838" t="s">
        <v>22</v>
      </c>
      <c r="I300" s="838" t="s">
        <v>28</v>
      </c>
      <c r="J300" s="21" t="s">
        <v>29</v>
      </c>
      <c r="K300" s="21"/>
      <c r="L300" s="21"/>
      <c r="M300" s="22" t="s">
        <v>30</v>
      </c>
      <c r="N300" s="23">
        <v>45777</v>
      </c>
      <c r="O300" s="21" t="s">
        <v>31</v>
      </c>
      <c r="P300" s="22" t="s">
        <v>30</v>
      </c>
      <c r="Q300" s="23">
        <v>45777</v>
      </c>
      <c r="R300" s="79" t="s">
        <v>67</v>
      </c>
      <c r="S300" s="22" t="s">
        <v>32</v>
      </c>
      <c r="T300" s="22">
        <v>25</v>
      </c>
      <c r="U300" s="22" t="s">
        <v>67</v>
      </c>
      <c r="V300" s="23">
        <v>45777</v>
      </c>
      <c r="W300" s="80"/>
    </row>
    <row r="301" spans="1:23">
      <c r="A301" s="834" t="s">
        <v>137</v>
      </c>
      <c r="B301" s="835">
        <v>298</v>
      </c>
      <c r="C301" s="838" t="s">
        <v>530</v>
      </c>
      <c r="D301" s="834" t="s">
        <v>531</v>
      </c>
      <c r="E301" s="839">
        <v>45691.375</v>
      </c>
      <c r="F301" s="838" t="s">
        <v>140</v>
      </c>
      <c r="G301" s="838">
        <v>1</v>
      </c>
      <c r="H301" s="838" t="s">
        <v>46</v>
      </c>
      <c r="I301" s="838" t="s">
        <v>47</v>
      </c>
      <c r="J301" s="21" t="s">
        <v>29</v>
      </c>
      <c r="K301" s="21"/>
      <c r="L301" s="21"/>
      <c r="M301" s="22" t="s">
        <v>30</v>
      </c>
      <c r="N301" s="23">
        <v>45747</v>
      </c>
      <c r="O301" s="21"/>
      <c r="P301" s="22" t="s">
        <v>30</v>
      </c>
      <c r="Q301" s="23">
        <v>45747</v>
      </c>
      <c r="R301" s="79" t="s">
        <v>48</v>
      </c>
      <c r="S301" s="22" t="s">
        <v>32</v>
      </c>
      <c r="T301" s="22">
        <v>1</v>
      </c>
      <c r="U301" s="24" t="s">
        <v>48</v>
      </c>
      <c r="V301" s="23">
        <v>45747</v>
      </c>
      <c r="W301" s="840"/>
    </row>
    <row r="302" spans="1:23">
      <c r="A302" s="834" t="s">
        <v>137</v>
      </c>
      <c r="B302" s="835">
        <v>299</v>
      </c>
      <c r="C302" s="838" t="s">
        <v>532</v>
      </c>
      <c r="D302" s="834" t="s">
        <v>533</v>
      </c>
      <c r="E302" s="839">
        <v>45691.375</v>
      </c>
      <c r="F302" s="838" t="s">
        <v>140</v>
      </c>
      <c r="G302" s="838">
        <v>1</v>
      </c>
      <c r="H302" s="838" t="s">
        <v>22</v>
      </c>
      <c r="I302" s="838" t="s">
        <v>28</v>
      </c>
      <c r="J302" s="21" t="s">
        <v>29</v>
      </c>
      <c r="K302" s="21"/>
      <c r="L302" s="21"/>
      <c r="M302" s="22" t="s">
        <v>30</v>
      </c>
      <c r="N302" s="23">
        <v>45747</v>
      </c>
      <c r="O302" s="21"/>
      <c r="P302" s="22" t="s">
        <v>30</v>
      </c>
      <c r="Q302" s="23">
        <v>45747</v>
      </c>
      <c r="R302" s="79" t="s">
        <v>48</v>
      </c>
      <c r="S302" s="22" t="s">
        <v>32</v>
      </c>
      <c r="T302" s="22">
        <v>1</v>
      </c>
      <c r="U302" s="24" t="s">
        <v>48</v>
      </c>
      <c r="V302" s="23">
        <v>45747</v>
      </c>
      <c r="W302" s="840"/>
    </row>
    <row r="303" spans="1:23">
      <c r="A303" s="834" t="s">
        <v>137</v>
      </c>
      <c r="B303" s="835">
        <v>300</v>
      </c>
      <c r="C303" s="838" t="s">
        <v>534</v>
      </c>
      <c r="D303" s="834" t="s">
        <v>535</v>
      </c>
      <c r="E303" s="839">
        <v>45691.375</v>
      </c>
      <c r="F303" s="838" t="s">
        <v>140</v>
      </c>
      <c r="G303" s="838">
        <v>1</v>
      </c>
      <c r="H303" s="838" t="s">
        <v>22</v>
      </c>
      <c r="I303" s="838" t="s">
        <v>28</v>
      </c>
      <c r="J303" s="21" t="s">
        <v>29</v>
      </c>
      <c r="K303" s="21"/>
      <c r="L303" s="21"/>
      <c r="M303" s="22" t="s">
        <v>30</v>
      </c>
      <c r="N303" s="23">
        <v>45747</v>
      </c>
      <c r="O303" s="21"/>
      <c r="P303" s="22" t="s">
        <v>30</v>
      </c>
      <c r="Q303" s="23">
        <v>45747</v>
      </c>
      <c r="R303" s="79" t="s">
        <v>48</v>
      </c>
      <c r="S303" s="22" t="s">
        <v>32</v>
      </c>
      <c r="T303" s="22">
        <v>1</v>
      </c>
      <c r="U303" s="24" t="s">
        <v>48</v>
      </c>
      <c r="V303" s="23">
        <v>45747</v>
      </c>
      <c r="W303" s="840"/>
    </row>
    <row r="304" spans="1:23">
      <c r="A304" s="834" t="s">
        <v>137</v>
      </c>
      <c r="B304" s="835">
        <v>301</v>
      </c>
      <c r="C304" s="838" t="s">
        <v>536</v>
      </c>
      <c r="D304" s="834" t="s">
        <v>537</v>
      </c>
      <c r="E304" s="839">
        <v>45691.375</v>
      </c>
      <c r="F304" s="838" t="s">
        <v>140</v>
      </c>
      <c r="G304" s="838">
        <v>1</v>
      </c>
      <c r="H304" s="838" t="s">
        <v>22</v>
      </c>
      <c r="I304" s="838" t="s">
        <v>28</v>
      </c>
      <c r="J304" s="21" t="s">
        <v>29</v>
      </c>
      <c r="K304" s="21"/>
      <c r="L304" s="21"/>
      <c r="M304" s="22" t="s">
        <v>30</v>
      </c>
      <c r="N304" s="23">
        <v>45747</v>
      </c>
      <c r="O304" s="21"/>
      <c r="P304" s="22" t="s">
        <v>30</v>
      </c>
      <c r="Q304" s="23">
        <v>45747</v>
      </c>
      <c r="R304" s="79" t="s">
        <v>48</v>
      </c>
      <c r="S304" s="22" t="s">
        <v>32</v>
      </c>
      <c r="T304" s="22">
        <v>1</v>
      </c>
      <c r="U304" s="24" t="s">
        <v>48</v>
      </c>
      <c r="V304" s="23">
        <v>45747</v>
      </c>
      <c r="W304" s="840"/>
    </row>
    <row r="305" spans="1:23">
      <c r="A305" s="834" t="s">
        <v>137</v>
      </c>
      <c r="B305" s="835">
        <v>302</v>
      </c>
      <c r="C305" s="838" t="s">
        <v>538</v>
      </c>
      <c r="D305" s="834" t="s">
        <v>539</v>
      </c>
      <c r="E305" s="839">
        <v>45698.375</v>
      </c>
      <c r="F305" s="838" t="s">
        <v>140</v>
      </c>
      <c r="G305" s="838">
        <v>2</v>
      </c>
      <c r="H305" s="838" t="s">
        <v>22</v>
      </c>
      <c r="I305" s="838" t="s">
        <v>28</v>
      </c>
      <c r="J305" s="21" t="s">
        <v>29</v>
      </c>
      <c r="K305" s="21"/>
      <c r="L305" s="21"/>
      <c r="M305" s="22"/>
      <c r="N305" s="23"/>
      <c r="O305" s="21"/>
      <c r="P305" s="22"/>
      <c r="Q305" s="23"/>
      <c r="R305" s="79" t="s">
        <v>37</v>
      </c>
      <c r="S305" s="22"/>
      <c r="T305" s="22">
        <v>2</v>
      </c>
      <c r="U305" s="24"/>
      <c r="V305" s="23"/>
      <c r="W305" s="80"/>
    </row>
    <row r="306" spans="1:23">
      <c r="A306" s="834" t="s">
        <v>137</v>
      </c>
      <c r="B306" s="835">
        <v>303</v>
      </c>
      <c r="C306" s="838" t="s">
        <v>540</v>
      </c>
      <c r="D306" s="834" t="s">
        <v>139</v>
      </c>
      <c r="E306" s="839">
        <v>45698.375</v>
      </c>
      <c r="F306" s="838" t="s">
        <v>140</v>
      </c>
      <c r="G306" s="838">
        <v>2</v>
      </c>
      <c r="H306" s="838" t="s">
        <v>210</v>
      </c>
      <c r="I306" s="838" t="s">
        <v>211</v>
      </c>
      <c r="J306" s="21" t="s">
        <v>29</v>
      </c>
      <c r="K306" s="21"/>
      <c r="L306" s="21"/>
      <c r="M306" s="22" t="s">
        <v>30</v>
      </c>
      <c r="N306" s="23">
        <v>45783</v>
      </c>
      <c r="O306" s="21"/>
      <c r="P306" s="22" t="s">
        <v>30</v>
      </c>
      <c r="Q306" s="23">
        <v>45783</v>
      </c>
      <c r="R306" s="79" t="s">
        <v>37</v>
      </c>
      <c r="S306" s="22" t="s">
        <v>32</v>
      </c>
      <c r="T306" s="22">
        <v>2</v>
      </c>
      <c r="U306" s="24" t="s">
        <v>37</v>
      </c>
      <c r="V306" s="23">
        <v>45784</v>
      </c>
      <c r="W306" s="80"/>
    </row>
    <row r="307" spans="1:23">
      <c r="A307" s="834" t="s">
        <v>137</v>
      </c>
      <c r="B307" s="835">
        <v>304</v>
      </c>
      <c r="C307" s="838" t="s">
        <v>541</v>
      </c>
      <c r="D307" s="834" t="s">
        <v>542</v>
      </c>
      <c r="E307" s="839">
        <v>45698.375</v>
      </c>
      <c r="F307" s="838" t="s">
        <v>140</v>
      </c>
      <c r="G307" s="838">
        <v>15</v>
      </c>
      <c r="H307" s="838" t="s">
        <v>210</v>
      </c>
      <c r="I307" s="838" t="s">
        <v>211</v>
      </c>
      <c r="J307" s="21" t="s">
        <v>29</v>
      </c>
      <c r="K307" s="21"/>
      <c r="L307" s="21"/>
      <c r="M307" s="22"/>
      <c r="N307" s="23"/>
      <c r="O307" s="21" t="s">
        <v>31</v>
      </c>
      <c r="P307" s="22"/>
      <c r="Q307" s="23"/>
      <c r="R307" s="79" t="s">
        <v>37</v>
      </c>
      <c r="S307" s="22"/>
      <c r="T307" s="22"/>
      <c r="U307" s="22"/>
      <c r="V307" s="23"/>
      <c r="W307" s="80"/>
    </row>
    <row r="308" spans="1:23">
      <c r="A308" s="834" t="s">
        <v>137</v>
      </c>
      <c r="B308" s="835">
        <v>305</v>
      </c>
      <c r="C308" s="838" t="s">
        <v>543</v>
      </c>
      <c r="D308" s="834" t="s">
        <v>523</v>
      </c>
      <c r="E308" s="839">
        <v>45698.375</v>
      </c>
      <c r="F308" s="838" t="s">
        <v>140</v>
      </c>
      <c r="G308" s="838">
        <v>3</v>
      </c>
      <c r="H308" s="838" t="s">
        <v>22</v>
      </c>
      <c r="I308" s="838" t="s">
        <v>28</v>
      </c>
      <c r="J308" s="21" t="s">
        <v>29</v>
      </c>
      <c r="K308" s="21"/>
      <c r="L308" s="21"/>
      <c r="M308" s="22" t="s">
        <v>30</v>
      </c>
      <c r="N308" s="23">
        <v>45783</v>
      </c>
      <c r="O308" s="21"/>
      <c r="P308" s="22" t="s">
        <v>30</v>
      </c>
      <c r="Q308" s="23">
        <v>45783</v>
      </c>
      <c r="R308" s="79" t="s">
        <v>37</v>
      </c>
      <c r="S308" s="22" t="s">
        <v>32</v>
      </c>
      <c r="T308" s="22">
        <v>3</v>
      </c>
      <c r="U308" s="22" t="s">
        <v>37</v>
      </c>
      <c r="V308" s="23">
        <v>45784</v>
      </c>
      <c r="W308" s="80"/>
    </row>
    <row r="309" spans="1:23">
      <c r="A309" s="834" t="s">
        <v>137</v>
      </c>
      <c r="B309" s="835">
        <v>306</v>
      </c>
      <c r="C309" s="838" t="s">
        <v>544</v>
      </c>
      <c r="D309" s="834" t="s">
        <v>159</v>
      </c>
      <c r="E309" s="839">
        <v>45698.458333333336</v>
      </c>
      <c r="F309" s="838" t="s">
        <v>140</v>
      </c>
      <c r="G309" s="838">
        <v>6</v>
      </c>
      <c r="H309" s="838" t="s">
        <v>141</v>
      </c>
      <c r="I309" s="838" t="s">
        <v>228</v>
      </c>
      <c r="J309" s="21" t="s">
        <v>29</v>
      </c>
      <c r="K309" s="21"/>
      <c r="L309" s="21"/>
      <c r="M309" s="22" t="s">
        <v>30</v>
      </c>
      <c r="N309" s="23">
        <v>45777</v>
      </c>
      <c r="O309" s="21"/>
      <c r="P309" s="22" t="s">
        <v>30</v>
      </c>
      <c r="Q309" s="23">
        <v>45777</v>
      </c>
      <c r="R309" s="79" t="s">
        <v>37</v>
      </c>
      <c r="S309" s="22" t="s">
        <v>32</v>
      </c>
      <c r="T309" s="22">
        <v>6</v>
      </c>
      <c r="U309" s="22" t="s">
        <v>37</v>
      </c>
      <c r="V309" s="23">
        <v>45777</v>
      </c>
      <c r="W309" s="840"/>
    </row>
    <row r="310" spans="1:23">
      <c r="A310" s="834" t="s">
        <v>137</v>
      </c>
      <c r="B310" s="835">
        <v>307</v>
      </c>
      <c r="C310" s="838" t="s">
        <v>545</v>
      </c>
      <c r="D310" s="834" t="s">
        <v>546</v>
      </c>
      <c r="E310" s="839">
        <v>45698.375</v>
      </c>
      <c r="F310" s="838" t="s">
        <v>140</v>
      </c>
      <c r="G310" s="838">
        <v>1</v>
      </c>
      <c r="H310" s="838" t="s">
        <v>46</v>
      </c>
      <c r="I310" s="838" t="s">
        <v>47</v>
      </c>
      <c r="J310" s="21" t="s">
        <v>29</v>
      </c>
      <c r="K310" s="21"/>
      <c r="L310" s="21"/>
      <c r="M310" s="22" t="s">
        <v>30</v>
      </c>
      <c r="N310" s="23">
        <v>45777</v>
      </c>
      <c r="O310" s="21"/>
      <c r="P310" s="22" t="s">
        <v>30</v>
      </c>
      <c r="Q310" s="23">
        <v>45777</v>
      </c>
      <c r="R310" s="79" t="s">
        <v>37</v>
      </c>
      <c r="S310" s="22" t="s">
        <v>32</v>
      </c>
      <c r="T310" s="22">
        <v>1</v>
      </c>
      <c r="U310" s="22" t="s">
        <v>37</v>
      </c>
      <c r="V310" s="23">
        <v>45777</v>
      </c>
      <c r="W310" s="840"/>
    </row>
    <row r="311" spans="1:23">
      <c r="A311" s="834" t="s">
        <v>137</v>
      </c>
      <c r="B311" s="835">
        <v>308</v>
      </c>
      <c r="C311" s="838" t="s">
        <v>547</v>
      </c>
      <c r="D311" s="834" t="s">
        <v>548</v>
      </c>
      <c r="E311" s="839">
        <v>45698.375</v>
      </c>
      <c r="F311" s="838" t="s">
        <v>140</v>
      </c>
      <c r="G311" s="838">
        <v>12</v>
      </c>
      <c r="H311" s="838" t="s">
        <v>22</v>
      </c>
      <c r="I311" s="838" t="s">
        <v>28</v>
      </c>
      <c r="J311" s="21" t="s">
        <v>29</v>
      </c>
      <c r="K311" s="21"/>
      <c r="L311" s="21"/>
      <c r="M311" s="22" t="s">
        <v>30</v>
      </c>
      <c r="N311" s="23">
        <v>45777</v>
      </c>
      <c r="O311" s="21"/>
      <c r="P311" s="22" t="s">
        <v>30</v>
      </c>
      <c r="Q311" s="23">
        <v>45777</v>
      </c>
      <c r="R311" s="79" t="s">
        <v>37</v>
      </c>
      <c r="S311" s="22" t="s">
        <v>32</v>
      </c>
      <c r="T311" s="22">
        <v>12</v>
      </c>
      <c r="U311" s="22" t="s">
        <v>37</v>
      </c>
      <c r="V311" s="23">
        <v>45777</v>
      </c>
      <c r="W311" s="840"/>
    </row>
    <row r="312" spans="1:23">
      <c r="A312" s="834" t="s">
        <v>137</v>
      </c>
      <c r="B312" s="835">
        <v>309</v>
      </c>
      <c r="C312" s="838" t="s">
        <v>549</v>
      </c>
      <c r="D312" s="834" t="s">
        <v>315</v>
      </c>
      <c r="E312" s="839">
        <v>45698.375</v>
      </c>
      <c r="F312" s="838" t="s">
        <v>140</v>
      </c>
      <c r="G312" s="838">
        <v>2</v>
      </c>
      <c r="H312" s="838" t="s">
        <v>46</v>
      </c>
      <c r="I312" s="838" t="s">
        <v>47</v>
      </c>
      <c r="J312" s="21" t="s">
        <v>29</v>
      </c>
      <c r="K312" s="21"/>
      <c r="L312" s="21"/>
      <c r="M312" s="22" t="s">
        <v>30</v>
      </c>
      <c r="N312" s="23">
        <v>45777</v>
      </c>
      <c r="O312" s="21"/>
      <c r="P312" s="22" t="s">
        <v>30</v>
      </c>
      <c r="Q312" s="23">
        <v>45777</v>
      </c>
      <c r="R312" s="79" t="s">
        <v>37</v>
      </c>
      <c r="S312" s="22" t="s">
        <v>32</v>
      </c>
      <c r="T312" s="22">
        <v>2</v>
      </c>
      <c r="U312" s="22" t="s">
        <v>37</v>
      </c>
      <c r="V312" s="23">
        <v>45777</v>
      </c>
      <c r="W312" s="840"/>
    </row>
    <row r="313" spans="1:23">
      <c r="A313" s="834" t="s">
        <v>137</v>
      </c>
      <c r="B313" s="835">
        <v>310</v>
      </c>
      <c r="C313" s="838" t="s">
        <v>550</v>
      </c>
      <c r="D313" s="834" t="s">
        <v>213</v>
      </c>
      <c r="E313" s="839">
        <v>45698.375</v>
      </c>
      <c r="F313" s="838" t="s">
        <v>140</v>
      </c>
      <c r="G313" s="838">
        <v>8</v>
      </c>
      <c r="H313" s="838" t="s">
        <v>22</v>
      </c>
      <c r="I313" s="838" t="s">
        <v>28</v>
      </c>
      <c r="J313" s="21" t="s">
        <v>29</v>
      </c>
      <c r="K313" s="21"/>
      <c r="L313" s="21"/>
      <c r="M313" s="22" t="s">
        <v>30</v>
      </c>
      <c r="N313" s="23">
        <v>45777</v>
      </c>
      <c r="O313" s="21"/>
      <c r="P313" s="22" t="s">
        <v>30</v>
      </c>
      <c r="Q313" s="23">
        <v>45777</v>
      </c>
      <c r="R313" s="79" t="s">
        <v>37</v>
      </c>
      <c r="S313" s="22" t="s">
        <v>32</v>
      </c>
      <c r="T313" s="22">
        <v>8</v>
      </c>
      <c r="U313" s="24" t="s">
        <v>37</v>
      </c>
      <c r="V313" s="23">
        <v>45777</v>
      </c>
      <c r="W313" s="80"/>
    </row>
    <row r="314" spans="1:23">
      <c r="A314" s="834" t="s">
        <v>137</v>
      </c>
      <c r="B314" s="835">
        <v>311</v>
      </c>
      <c r="C314" s="838" t="s">
        <v>551</v>
      </c>
      <c r="D314" s="834" t="s">
        <v>552</v>
      </c>
      <c r="E314" s="839">
        <v>45698.375</v>
      </c>
      <c r="F314" s="838" t="s">
        <v>140</v>
      </c>
      <c r="G314" s="838">
        <v>1</v>
      </c>
      <c r="H314" s="838" t="s">
        <v>22</v>
      </c>
      <c r="I314" s="838" t="s">
        <v>28</v>
      </c>
      <c r="J314" s="21" t="s">
        <v>29</v>
      </c>
      <c r="K314" s="21"/>
      <c r="L314" s="21"/>
      <c r="M314" s="22" t="s">
        <v>30</v>
      </c>
      <c r="N314" s="23">
        <v>45777</v>
      </c>
      <c r="O314" s="21"/>
      <c r="P314" s="22" t="s">
        <v>30</v>
      </c>
      <c r="Q314" s="23">
        <v>45777</v>
      </c>
      <c r="R314" s="79" t="s">
        <v>37</v>
      </c>
      <c r="S314" s="22" t="s">
        <v>32</v>
      </c>
      <c r="T314" s="22">
        <v>1</v>
      </c>
      <c r="U314" s="22" t="s">
        <v>37</v>
      </c>
      <c r="V314" s="23">
        <v>45777</v>
      </c>
      <c r="W314" s="80"/>
    </row>
    <row r="315" spans="1:23">
      <c r="A315" s="834" t="s">
        <v>137</v>
      </c>
      <c r="B315" s="835">
        <v>312</v>
      </c>
      <c r="C315" s="838" t="s">
        <v>553</v>
      </c>
      <c r="D315" s="834" t="s">
        <v>554</v>
      </c>
      <c r="E315" s="839">
        <v>45698.375</v>
      </c>
      <c r="F315" s="838" t="s">
        <v>140</v>
      </c>
      <c r="G315" s="838">
        <v>26</v>
      </c>
      <c r="H315" s="838" t="s">
        <v>46</v>
      </c>
      <c r="I315" s="838" t="s">
        <v>47</v>
      </c>
      <c r="J315" s="21" t="s">
        <v>29</v>
      </c>
      <c r="K315" s="21"/>
      <c r="L315" s="21"/>
      <c r="M315" s="22" t="s">
        <v>30</v>
      </c>
      <c r="N315" s="23">
        <v>45777</v>
      </c>
      <c r="O315" s="21" t="s">
        <v>31</v>
      </c>
      <c r="P315" s="22" t="s">
        <v>30</v>
      </c>
      <c r="Q315" s="23">
        <v>45777</v>
      </c>
      <c r="R315" s="79" t="s">
        <v>37</v>
      </c>
      <c r="S315" s="22" t="s">
        <v>32</v>
      </c>
      <c r="T315" s="22">
        <v>26</v>
      </c>
      <c r="U315" s="24" t="s">
        <v>37</v>
      </c>
      <c r="V315" s="23">
        <v>45777</v>
      </c>
      <c r="W315" s="80"/>
    </row>
    <row r="316" spans="1:23">
      <c r="A316" s="834" t="s">
        <v>137</v>
      </c>
      <c r="B316" s="835">
        <v>313</v>
      </c>
      <c r="C316" s="838" t="s">
        <v>555</v>
      </c>
      <c r="D316" s="834" t="s">
        <v>539</v>
      </c>
      <c r="E316" s="839">
        <v>45705.375</v>
      </c>
      <c r="F316" s="838" t="s">
        <v>140</v>
      </c>
      <c r="G316" s="838">
        <v>16</v>
      </c>
      <c r="H316" s="838" t="s">
        <v>22</v>
      </c>
      <c r="I316" s="838" t="s">
        <v>28</v>
      </c>
      <c r="J316" s="21" t="s">
        <v>29</v>
      </c>
      <c r="K316" s="21"/>
      <c r="L316" s="21"/>
      <c r="M316" s="22" t="s">
        <v>30</v>
      </c>
      <c r="N316" s="23">
        <v>45777</v>
      </c>
      <c r="O316" s="21" t="s">
        <v>31</v>
      </c>
      <c r="P316" s="22" t="s">
        <v>30</v>
      </c>
      <c r="Q316" s="23">
        <v>45777</v>
      </c>
      <c r="R316" s="79" t="s">
        <v>28</v>
      </c>
      <c r="S316" s="22" t="s">
        <v>32</v>
      </c>
      <c r="T316" s="22">
        <v>16</v>
      </c>
      <c r="U316" s="24" t="s">
        <v>28</v>
      </c>
      <c r="V316" s="23">
        <v>45777</v>
      </c>
      <c r="W316" s="80"/>
    </row>
    <row r="317" spans="1:23">
      <c r="A317" s="834" t="s">
        <v>137</v>
      </c>
      <c r="B317" s="835">
        <v>314</v>
      </c>
      <c r="C317" s="838" t="s">
        <v>556</v>
      </c>
      <c r="D317" s="834" t="s">
        <v>139</v>
      </c>
      <c r="E317" s="839">
        <v>45705.375</v>
      </c>
      <c r="F317" s="838" t="s">
        <v>140</v>
      </c>
      <c r="G317" s="838">
        <v>9</v>
      </c>
      <c r="H317" s="838" t="s">
        <v>22</v>
      </c>
      <c r="I317" s="838" t="s">
        <v>28</v>
      </c>
      <c r="J317" s="21" t="s">
        <v>29</v>
      </c>
      <c r="K317" s="21"/>
      <c r="L317" s="21"/>
      <c r="M317" s="22" t="s">
        <v>30</v>
      </c>
      <c r="N317" s="23">
        <v>45777</v>
      </c>
      <c r="O317" s="21"/>
      <c r="P317" s="22" t="s">
        <v>30</v>
      </c>
      <c r="Q317" s="23">
        <v>45777</v>
      </c>
      <c r="R317" s="79" t="s">
        <v>67</v>
      </c>
      <c r="S317" s="22" t="s">
        <v>32</v>
      </c>
      <c r="T317" s="22">
        <v>9</v>
      </c>
      <c r="U317" s="22" t="s">
        <v>67</v>
      </c>
      <c r="V317" s="23">
        <v>45777</v>
      </c>
      <c r="W317" s="840"/>
    </row>
    <row r="318" spans="1:23">
      <c r="A318" s="834" t="s">
        <v>137</v>
      </c>
      <c r="B318" s="835">
        <v>315</v>
      </c>
      <c r="C318" s="838" t="s">
        <v>557</v>
      </c>
      <c r="D318" s="834" t="s">
        <v>558</v>
      </c>
      <c r="E318" s="839">
        <v>45705.458333333336</v>
      </c>
      <c r="F318" s="838" t="s">
        <v>140</v>
      </c>
      <c r="G318" s="838">
        <v>2</v>
      </c>
      <c r="H318" s="838" t="s">
        <v>21</v>
      </c>
      <c r="I318" s="838" t="s">
        <v>36</v>
      </c>
      <c r="J318" s="21" t="s">
        <v>29</v>
      </c>
      <c r="K318" s="21"/>
      <c r="L318" s="21"/>
      <c r="M318" s="22" t="s">
        <v>30</v>
      </c>
      <c r="N318" s="23">
        <v>45777</v>
      </c>
      <c r="O318" s="21"/>
      <c r="P318" s="22" t="s">
        <v>30</v>
      </c>
      <c r="Q318" s="23">
        <v>45777</v>
      </c>
      <c r="R318" s="79" t="s">
        <v>67</v>
      </c>
      <c r="S318" s="22" t="s">
        <v>32</v>
      </c>
      <c r="T318" s="22">
        <v>2</v>
      </c>
      <c r="U318" s="22" t="s">
        <v>67</v>
      </c>
      <c r="V318" s="23">
        <v>45777</v>
      </c>
      <c r="W318" s="840"/>
    </row>
    <row r="319" spans="1:23">
      <c r="A319" s="834" t="s">
        <v>137</v>
      </c>
      <c r="B319" s="835">
        <v>316</v>
      </c>
      <c r="C319" s="838" t="s">
        <v>559</v>
      </c>
      <c r="D319" s="834" t="s">
        <v>523</v>
      </c>
      <c r="E319" s="839">
        <v>45705.375</v>
      </c>
      <c r="F319" s="838" t="s">
        <v>140</v>
      </c>
      <c r="G319" s="838">
        <v>20</v>
      </c>
      <c r="H319" s="838" t="s">
        <v>291</v>
      </c>
      <c r="I319" s="838" t="s">
        <v>292</v>
      </c>
      <c r="J319" s="21" t="s">
        <v>29</v>
      </c>
      <c r="K319" s="21"/>
      <c r="L319" s="21"/>
      <c r="M319" s="22" t="s">
        <v>30</v>
      </c>
      <c r="N319" s="23">
        <v>45777</v>
      </c>
      <c r="O319" s="21" t="s">
        <v>31</v>
      </c>
      <c r="P319" s="22" t="s">
        <v>30</v>
      </c>
      <c r="Q319" s="23">
        <v>45777</v>
      </c>
      <c r="R319" s="79" t="s">
        <v>67</v>
      </c>
      <c r="S319" s="22" t="s">
        <v>32</v>
      </c>
      <c r="T319" s="22">
        <v>20</v>
      </c>
      <c r="U319" s="22" t="s">
        <v>67</v>
      </c>
      <c r="V319" s="23">
        <v>45777</v>
      </c>
      <c r="W319" s="840"/>
    </row>
    <row r="320" spans="1:23">
      <c r="A320" s="834" t="s">
        <v>137</v>
      </c>
      <c r="B320" s="835">
        <v>317</v>
      </c>
      <c r="C320" s="838" t="s">
        <v>560</v>
      </c>
      <c r="D320" s="834" t="s">
        <v>561</v>
      </c>
      <c r="E320" s="839">
        <v>45705.375</v>
      </c>
      <c r="F320" s="838" t="s">
        <v>140</v>
      </c>
      <c r="G320" s="838">
        <v>10</v>
      </c>
      <c r="H320" s="838" t="s">
        <v>46</v>
      </c>
      <c r="I320" s="838" t="s">
        <v>47</v>
      </c>
      <c r="J320" s="21" t="s">
        <v>29</v>
      </c>
      <c r="K320" s="21"/>
      <c r="L320" s="21"/>
      <c r="M320" s="22" t="s">
        <v>30</v>
      </c>
      <c r="N320" s="23">
        <v>45777</v>
      </c>
      <c r="O320" s="21"/>
      <c r="P320" s="22" t="s">
        <v>30</v>
      </c>
      <c r="Q320" s="23">
        <v>45777</v>
      </c>
      <c r="R320" s="79" t="s">
        <v>67</v>
      </c>
      <c r="S320" s="22" t="s">
        <v>32</v>
      </c>
      <c r="T320" s="22">
        <v>10</v>
      </c>
      <c r="U320" s="22" t="s">
        <v>67</v>
      </c>
      <c r="V320" s="23">
        <v>45777</v>
      </c>
      <c r="W320" s="840"/>
    </row>
    <row r="321" spans="1:23">
      <c r="A321" s="834" t="s">
        <v>137</v>
      </c>
      <c r="B321" s="835">
        <v>318</v>
      </c>
      <c r="C321" s="838" t="s">
        <v>562</v>
      </c>
      <c r="D321" s="834" t="s">
        <v>519</v>
      </c>
      <c r="E321" s="839">
        <v>45705.375</v>
      </c>
      <c r="F321" s="838" t="s">
        <v>140</v>
      </c>
      <c r="G321" s="838">
        <v>3</v>
      </c>
      <c r="H321" s="838" t="s">
        <v>22</v>
      </c>
      <c r="I321" s="838" t="s">
        <v>28</v>
      </c>
      <c r="J321" s="21" t="s">
        <v>29</v>
      </c>
      <c r="K321" s="21"/>
      <c r="L321" s="21"/>
      <c r="M321" s="22" t="s">
        <v>30</v>
      </c>
      <c r="N321" s="23">
        <v>45777</v>
      </c>
      <c r="O321" s="21"/>
      <c r="P321" s="22" t="s">
        <v>30</v>
      </c>
      <c r="Q321" s="23">
        <v>45777</v>
      </c>
      <c r="R321" s="79" t="s">
        <v>67</v>
      </c>
      <c r="S321" s="22" t="s">
        <v>32</v>
      </c>
      <c r="T321" s="22">
        <v>3</v>
      </c>
      <c r="U321" s="22" t="s">
        <v>67</v>
      </c>
      <c r="V321" s="23">
        <v>45777</v>
      </c>
      <c r="W321" s="840"/>
    </row>
    <row r="322" spans="1:23">
      <c r="A322" s="834" t="s">
        <v>137</v>
      </c>
      <c r="B322" s="835">
        <v>319</v>
      </c>
      <c r="C322" s="838" t="s">
        <v>563</v>
      </c>
      <c r="D322" s="834" t="s">
        <v>564</v>
      </c>
      <c r="E322" s="839">
        <v>45705.458333333336</v>
      </c>
      <c r="F322" s="838" t="s">
        <v>140</v>
      </c>
      <c r="G322" s="838">
        <v>6</v>
      </c>
      <c r="H322" s="838" t="s">
        <v>141</v>
      </c>
      <c r="I322" s="838" t="s">
        <v>228</v>
      </c>
      <c r="J322" s="21" t="s">
        <v>29</v>
      </c>
      <c r="K322" s="21"/>
      <c r="L322" s="21"/>
      <c r="M322" s="22" t="s">
        <v>30</v>
      </c>
      <c r="N322" s="23">
        <v>45777</v>
      </c>
      <c r="O322" s="21"/>
      <c r="P322" s="22" t="s">
        <v>30</v>
      </c>
      <c r="Q322" s="23">
        <v>45777</v>
      </c>
      <c r="R322" s="79" t="s">
        <v>67</v>
      </c>
      <c r="S322" s="22" t="s">
        <v>32</v>
      </c>
      <c r="T322" s="22">
        <v>6</v>
      </c>
      <c r="U322" s="22" t="s">
        <v>67</v>
      </c>
      <c r="V322" s="23">
        <v>45777</v>
      </c>
      <c r="W322" s="840"/>
    </row>
    <row r="323" spans="1:23">
      <c r="A323" s="834" t="s">
        <v>137</v>
      </c>
      <c r="B323" s="835">
        <v>320</v>
      </c>
      <c r="C323" s="838" t="s">
        <v>565</v>
      </c>
      <c r="D323" s="834" t="s">
        <v>566</v>
      </c>
      <c r="E323" s="839">
        <v>45705.375</v>
      </c>
      <c r="F323" s="838" t="s">
        <v>140</v>
      </c>
      <c r="G323" s="838">
        <v>8</v>
      </c>
      <c r="H323" s="838" t="s">
        <v>46</v>
      </c>
      <c r="I323" s="838" t="s">
        <v>47</v>
      </c>
      <c r="J323" s="21" t="s">
        <v>29</v>
      </c>
      <c r="K323" s="21"/>
      <c r="L323" s="21"/>
      <c r="M323" s="22"/>
      <c r="N323" s="23"/>
      <c r="O323" s="21"/>
      <c r="P323" s="22"/>
      <c r="Q323" s="23"/>
      <c r="R323" s="79" t="s">
        <v>67</v>
      </c>
      <c r="S323" s="22"/>
      <c r="T323" s="22">
        <v>8</v>
      </c>
      <c r="U323" s="24" t="s">
        <v>67</v>
      </c>
      <c r="V323" s="23"/>
      <c r="W323" s="840"/>
    </row>
    <row r="324" spans="1:23">
      <c r="A324" s="834" t="s">
        <v>137</v>
      </c>
      <c r="B324" s="835">
        <v>321</v>
      </c>
      <c r="C324" s="838" t="s">
        <v>567</v>
      </c>
      <c r="D324" s="834" t="s">
        <v>526</v>
      </c>
      <c r="E324" s="839">
        <v>45705.375</v>
      </c>
      <c r="F324" s="838" t="s">
        <v>140</v>
      </c>
      <c r="G324" s="838">
        <v>3</v>
      </c>
      <c r="H324" s="838" t="s">
        <v>301</v>
      </c>
      <c r="I324" s="838" t="s">
        <v>302</v>
      </c>
      <c r="J324" s="21" t="s">
        <v>29</v>
      </c>
      <c r="K324" s="21"/>
      <c r="L324" s="21"/>
      <c r="M324" s="22" t="s">
        <v>30</v>
      </c>
      <c r="N324" s="23">
        <v>45777</v>
      </c>
      <c r="O324" s="21"/>
      <c r="P324" s="22" t="s">
        <v>30</v>
      </c>
      <c r="Q324" s="23">
        <v>45777</v>
      </c>
      <c r="R324" s="79" t="s">
        <v>67</v>
      </c>
      <c r="S324" s="22" t="s">
        <v>32</v>
      </c>
      <c r="T324" s="22">
        <v>3</v>
      </c>
      <c r="U324" s="22" t="s">
        <v>67</v>
      </c>
      <c r="V324" s="23">
        <v>45777</v>
      </c>
      <c r="W324" s="840"/>
    </row>
    <row r="325" spans="1:23">
      <c r="A325" s="834" t="s">
        <v>137</v>
      </c>
      <c r="B325" s="835">
        <v>322</v>
      </c>
      <c r="C325" s="838" t="s">
        <v>568</v>
      </c>
      <c r="D325" s="834" t="s">
        <v>569</v>
      </c>
      <c r="E325" s="839">
        <v>45705.375</v>
      </c>
      <c r="F325" s="838" t="s">
        <v>140</v>
      </c>
      <c r="G325" s="838">
        <v>1</v>
      </c>
      <c r="H325" s="838" t="s">
        <v>22</v>
      </c>
      <c r="I325" s="838" t="s">
        <v>28</v>
      </c>
      <c r="J325" s="21" t="s">
        <v>29</v>
      </c>
      <c r="K325" s="21"/>
      <c r="L325" s="21"/>
      <c r="M325" s="22"/>
      <c r="N325" s="23"/>
      <c r="O325" s="21"/>
      <c r="P325" s="22"/>
      <c r="Q325" s="23"/>
      <c r="R325" s="79" t="s">
        <v>67</v>
      </c>
      <c r="S325" s="22"/>
      <c r="T325" s="22">
        <v>1</v>
      </c>
      <c r="U325" s="24" t="s">
        <v>67</v>
      </c>
      <c r="V325" s="23"/>
      <c r="W325" s="80"/>
    </row>
    <row r="326" spans="1:23">
      <c r="A326" s="834" t="s">
        <v>137</v>
      </c>
      <c r="B326" s="835">
        <v>323</v>
      </c>
      <c r="C326" s="838" t="s">
        <v>570</v>
      </c>
      <c r="D326" s="834" t="s">
        <v>571</v>
      </c>
      <c r="E326" s="839">
        <v>45705.375</v>
      </c>
      <c r="F326" s="838" t="s">
        <v>140</v>
      </c>
      <c r="G326" s="838">
        <v>2</v>
      </c>
      <c r="H326" s="838" t="s">
        <v>46</v>
      </c>
      <c r="I326" s="838" t="s">
        <v>47</v>
      </c>
      <c r="J326" s="21" t="s">
        <v>29</v>
      </c>
      <c r="K326" s="21"/>
      <c r="L326" s="21"/>
      <c r="M326" s="22" t="s">
        <v>30</v>
      </c>
      <c r="N326" s="23">
        <v>45765</v>
      </c>
      <c r="O326" s="21"/>
      <c r="P326" s="22" t="s">
        <v>30</v>
      </c>
      <c r="Q326" s="23">
        <v>45765</v>
      </c>
      <c r="R326" s="79" t="s">
        <v>67</v>
      </c>
      <c r="S326" s="22" t="s">
        <v>32</v>
      </c>
      <c r="T326" s="22">
        <v>2</v>
      </c>
      <c r="U326" s="24" t="s">
        <v>67</v>
      </c>
      <c r="V326" s="23">
        <v>45765</v>
      </c>
      <c r="W326" s="840"/>
    </row>
    <row r="327" spans="1:23">
      <c r="A327" s="834" t="s">
        <v>137</v>
      </c>
      <c r="B327" s="835">
        <v>324</v>
      </c>
      <c r="C327" s="838" t="s">
        <v>572</v>
      </c>
      <c r="D327" s="834" t="s">
        <v>298</v>
      </c>
      <c r="E327" s="839">
        <v>45712.458333333336</v>
      </c>
      <c r="F327" s="838" t="s">
        <v>140</v>
      </c>
      <c r="G327" s="838">
        <v>6</v>
      </c>
      <c r="H327" s="838" t="s">
        <v>78</v>
      </c>
      <c r="I327" s="838" t="s">
        <v>79</v>
      </c>
      <c r="J327" s="21" t="s">
        <v>29</v>
      </c>
      <c r="K327" s="21"/>
      <c r="L327" s="21"/>
      <c r="M327" s="22" t="s">
        <v>30</v>
      </c>
      <c r="N327" s="23">
        <v>45765</v>
      </c>
      <c r="O327" s="21"/>
      <c r="P327" s="22" t="s">
        <v>30</v>
      </c>
      <c r="Q327" s="23">
        <v>45765</v>
      </c>
      <c r="R327" s="79" t="s">
        <v>67</v>
      </c>
      <c r="S327" s="22" t="s">
        <v>32</v>
      </c>
      <c r="T327" s="22">
        <v>6</v>
      </c>
      <c r="U327" s="22" t="s">
        <v>67</v>
      </c>
      <c r="V327" s="23">
        <v>45765</v>
      </c>
      <c r="W327" s="80"/>
    </row>
    <row r="328" spans="1:23">
      <c r="A328" s="834" t="s">
        <v>137</v>
      </c>
      <c r="B328" s="835">
        <v>325</v>
      </c>
      <c r="C328" s="838" t="s">
        <v>573</v>
      </c>
      <c r="D328" s="834" t="s">
        <v>523</v>
      </c>
      <c r="E328" s="839">
        <v>45712.375</v>
      </c>
      <c r="F328" s="838" t="s">
        <v>140</v>
      </c>
      <c r="G328" s="838">
        <v>27</v>
      </c>
      <c r="H328" s="838" t="s">
        <v>520</v>
      </c>
      <c r="I328" s="838" t="s">
        <v>521</v>
      </c>
      <c r="J328" s="21" t="s">
        <v>29</v>
      </c>
      <c r="K328" s="21"/>
      <c r="L328" s="21"/>
      <c r="M328" s="22" t="s">
        <v>30</v>
      </c>
      <c r="N328" s="23">
        <v>45765</v>
      </c>
      <c r="O328" s="21" t="s">
        <v>31</v>
      </c>
      <c r="P328" s="22" t="s">
        <v>30</v>
      </c>
      <c r="Q328" s="23">
        <v>45765</v>
      </c>
      <c r="R328" s="79" t="s">
        <v>67</v>
      </c>
      <c r="S328" s="22" t="s">
        <v>32</v>
      </c>
      <c r="T328" s="22">
        <v>27</v>
      </c>
      <c r="U328" s="22" t="s">
        <v>67</v>
      </c>
      <c r="V328" s="23">
        <v>45765</v>
      </c>
      <c r="W328" s="80"/>
    </row>
    <row r="329" spans="1:23">
      <c r="A329" s="834" t="s">
        <v>137</v>
      </c>
      <c r="B329" s="835">
        <v>326</v>
      </c>
      <c r="C329" s="838" t="s">
        <v>574</v>
      </c>
      <c r="D329" s="834" t="s">
        <v>575</v>
      </c>
      <c r="E329" s="839">
        <v>45712.375</v>
      </c>
      <c r="F329" s="838" t="s">
        <v>140</v>
      </c>
      <c r="G329" s="838">
        <v>32</v>
      </c>
      <c r="H329" s="838" t="s">
        <v>78</v>
      </c>
      <c r="I329" s="838" t="s">
        <v>79</v>
      </c>
      <c r="J329" s="21" t="s">
        <v>29</v>
      </c>
      <c r="K329" s="21"/>
      <c r="L329" s="21"/>
      <c r="M329" s="22" t="s">
        <v>30</v>
      </c>
      <c r="N329" s="23">
        <v>45765</v>
      </c>
      <c r="O329" s="21" t="s">
        <v>31</v>
      </c>
      <c r="P329" s="22" t="s">
        <v>30</v>
      </c>
      <c r="Q329" s="23">
        <v>45765</v>
      </c>
      <c r="R329" s="79" t="s">
        <v>67</v>
      </c>
      <c r="S329" s="22" t="s">
        <v>32</v>
      </c>
      <c r="T329" s="22">
        <v>32</v>
      </c>
      <c r="U329" s="22" t="s">
        <v>67</v>
      </c>
      <c r="V329" s="23">
        <v>45765</v>
      </c>
      <c r="W329" s="80"/>
    </row>
    <row r="330" spans="1:23">
      <c r="A330" s="834" t="s">
        <v>137</v>
      </c>
      <c r="B330" s="835">
        <v>327</v>
      </c>
      <c r="C330" s="838" t="s">
        <v>576</v>
      </c>
      <c r="D330" s="834" t="s">
        <v>213</v>
      </c>
      <c r="E330" s="839">
        <v>45712.375</v>
      </c>
      <c r="F330" s="838" t="s">
        <v>140</v>
      </c>
      <c r="G330" s="838">
        <v>29</v>
      </c>
      <c r="H330" s="838" t="s">
        <v>520</v>
      </c>
      <c r="I330" s="838" t="s">
        <v>521</v>
      </c>
      <c r="J330" s="21" t="s">
        <v>29</v>
      </c>
      <c r="K330" s="21"/>
      <c r="L330" s="21"/>
      <c r="M330" s="22" t="s">
        <v>30</v>
      </c>
      <c r="N330" s="23">
        <v>45765</v>
      </c>
      <c r="O330" s="21" t="s">
        <v>31</v>
      </c>
      <c r="P330" s="22" t="s">
        <v>30</v>
      </c>
      <c r="Q330" s="23">
        <v>45765</v>
      </c>
      <c r="R330" s="79" t="s">
        <v>67</v>
      </c>
      <c r="S330" s="22" t="s">
        <v>32</v>
      </c>
      <c r="T330" s="22">
        <v>29</v>
      </c>
      <c r="U330" s="22" t="s">
        <v>67</v>
      </c>
      <c r="V330" s="23">
        <v>45765</v>
      </c>
      <c r="W330" s="80"/>
    </row>
    <row r="331" spans="1:23">
      <c r="A331" s="834" t="s">
        <v>137</v>
      </c>
      <c r="B331" s="835">
        <v>328</v>
      </c>
      <c r="C331" s="838" t="s">
        <v>577</v>
      </c>
      <c r="D331" s="834" t="s">
        <v>578</v>
      </c>
      <c r="E331" s="839">
        <v>45712.375</v>
      </c>
      <c r="F331" s="838" t="s">
        <v>140</v>
      </c>
      <c r="G331" s="838">
        <v>10</v>
      </c>
      <c r="H331" s="838" t="s">
        <v>46</v>
      </c>
      <c r="I331" s="838" t="s">
        <v>47</v>
      </c>
      <c r="J331" s="21" t="s">
        <v>29</v>
      </c>
      <c r="K331" s="21"/>
      <c r="L331" s="21"/>
      <c r="M331" s="22" t="s">
        <v>30</v>
      </c>
      <c r="N331" s="23">
        <v>45765</v>
      </c>
      <c r="O331" s="21"/>
      <c r="P331" s="22" t="s">
        <v>30</v>
      </c>
      <c r="Q331" s="23">
        <v>45765</v>
      </c>
      <c r="R331" s="79" t="s">
        <v>67</v>
      </c>
      <c r="S331" s="22" t="s">
        <v>32</v>
      </c>
      <c r="T331" s="22">
        <v>10</v>
      </c>
      <c r="U331" s="22" t="s">
        <v>67</v>
      </c>
      <c r="V331" s="23">
        <v>45765</v>
      </c>
      <c r="W331" s="840"/>
    </row>
    <row r="332" spans="1:23">
      <c r="A332" s="834" t="s">
        <v>137</v>
      </c>
      <c r="B332" s="835">
        <v>329</v>
      </c>
      <c r="C332" s="838" t="s">
        <v>579</v>
      </c>
      <c r="D332" s="834" t="s">
        <v>580</v>
      </c>
      <c r="E332" s="839">
        <v>45712.375</v>
      </c>
      <c r="F332" s="838" t="s">
        <v>140</v>
      </c>
      <c r="G332" s="838">
        <v>4</v>
      </c>
      <c r="H332" s="838" t="s">
        <v>22</v>
      </c>
      <c r="I332" s="838" t="s">
        <v>28</v>
      </c>
      <c r="J332" s="21" t="s">
        <v>29</v>
      </c>
      <c r="K332" s="21"/>
      <c r="L332" s="21"/>
      <c r="M332" s="22" t="s">
        <v>30</v>
      </c>
      <c r="N332" s="23">
        <v>45765</v>
      </c>
      <c r="O332" s="21"/>
      <c r="P332" s="22" t="s">
        <v>30</v>
      </c>
      <c r="Q332" s="23">
        <v>45765</v>
      </c>
      <c r="R332" s="79" t="s">
        <v>67</v>
      </c>
      <c r="S332" s="22" t="s">
        <v>32</v>
      </c>
      <c r="T332" s="22">
        <v>4</v>
      </c>
      <c r="U332" s="22" t="s">
        <v>67</v>
      </c>
      <c r="V332" s="23">
        <v>45765</v>
      </c>
      <c r="W332" s="840"/>
    </row>
    <row r="333" spans="1:23">
      <c r="A333" s="834" t="s">
        <v>137</v>
      </c>
      <c r="B333" s="835">
        <v>330</v>
      </c>
      <c r="C333" s="838" t="s">
        <v>581</v>
      </c>
      <c r="D333" s="834" t="s">
        <v>564</v>
      </c>
      <c r="E333" s="839">
        <v>45712.375</v>
      </c>
      <c r="F333" s="838" t="s">
        <v>140</v>
      </c>
      <c r="G333" s="838">
        <v>3</v>
      </c>
      <c r="H333" s="838" t="s">
        <v>301</v>
      </c>
      <c r="I333" s="838" t="s">
        <v>302</v>
      </c>
      <c r="J333" s="21" t="s">
        <v>29</v>
      </c>
      <c r="K333" s="21"/>
      <c r="L333" s="21"/>
      <c r="M333" s="22" t="s">
        <v>30</v>
      </c>
      <c r="N333" s="23">
        <v>45765</v>
      </c>
      <c r="O333" s="21"/>
      <c r="P333" s="22" t="s">
        <v>30</v>
      </c>
      <c r="Q333" s="23">
        <v>45765</v>
      </c>
      <c r="R333" s="79" t="s">
        <v>67</v>
      </c>
      <c r="S333" s="22" t="s">
        <v>32</v>
      </c>
      <c r="T333" s="22">
        <v>3</v>
      </c>
      <c r="U333" s="24" t="s">
        <v>67</v>
      </c>
      <c r="V333" s="23">
        <v>45765</v>
      </c>
      <c r="W333" s="840"/>
    </row>
    <row r="334" spans="1:23">
      <c r="A334" s="834" t="s">
        <v>137</v>
      </c>
      <c r="B334" s="835">
        <v>331</v>
      </c>
      <c r="C334" s="838" t="s">
        <v>582</v>
      </c>
      <c r="D334" s="834" t="s">
        <v>308</v>
      </c>
      <c r="E334" s="839">
        <v>45712.375</v>
      </c>
      <c r="F334" s="838" t="s">
        <v>140</v>
      </c>
      <c r="G334" s="838">
        <v>9</v>
      </c>
      <c r="H334" s="838" t="s">
        <v>22</v>
      </c>
      <c r="I334" s="838" t="s">
        <v>28</v>
      </c>
      <c r="J334" s="21" t="s">
        <v>29</v>
      </c>
      <c r="K334" s="21"/>
      <c r="L334" s="21"/>
      <c r="M334" s="22" t="s">
        <v>30</v>
      </c>
      <c r="N334" s="23">
        <v>45777</v>
      </c>
      <c r="O334" s="21"/>
      <c r="P334" s="22" t="s">
        <v>30</v>
      </c>
      <c r="Q334" s="23">
        <v>45777</v>
      </c>
      <c r="R334" s="79" t="s">
        <v>67</v>
      </c>
      <c r="S334" s="22" t="s">
        <v>32</v>
      </c>
      <c r="T334" s="22">
        <v>9</v>
      </c>
      <c r="U334" s="22" t="s">
        <v>67</v>
      </c>
      <c r="V334" s="23">
        <v>45777</v>
      </c>
      <c r="W334" s="840"/>
    </row>
    <row r="335" spans="1:23">
      <c r="A335" s="834" t="s">
        <v>137</v>
      </c>
      <c r="B335" s="835">
        <v>332</v>
      </c>
      <c r="C335" s="838" t="s">
        <v>583</v>
      </c>
      <c r="D335" s="834" t="s">
        <v>526</v>
      </c>
      <c r="E335" s="839">
        <v>45712.375</v>
      </c>
      <c r="F335" s="838" t="s">
        <v>140</v>
      </c>
      <c r="G335" s="838">
        <v>19</v>
      </c>
      <c r="H335" s="838" t="s">
        <v>520</v>
      </c>
      <c r="I335" s="838" t="s">
        <v>521</v>
      </c>
      <c r="J335" s="21" t="s">
        <v>29</v>
      </c>
      <c r="K335" s="21"/>
      <c r="L335" s="21"/>
      <c r="M335" s="22" t="s">
        <v>30</v>
      </c>
      <c r="N335" s="23">
        <v>45777</v>
      </c>
      <c r="O335" s="21" t="s">
        <v>31</v>
      </c>
      <c r="P335" s="22" t="s">
        <v>30</v>
      </c>
      <c r="Q335" s="23">
        <v>45777</v>
      </c>
      <c r="R335" s="79" t="s">
        <v>67</v>
      </c>
      <c r="S335" s="22" t="s">
        <v>32</v>
      </c>
      <c r="T335" s="22">
        <v>19</v>
      </c>
      <c r="U335" s="24" t="s">
        <v>67</v>
      </c>
      <c r="V335" s="23">
        <v>45777</v>
      </c>
      <c r="W335" s="840"/>
    </row>
    <row r="336" spans="1:23">
      <c r="A336" s="834" t="s">
        <v>137</v>
      </c>
      <c r="B336" s="835">
        <v>333</v>
      </c>
      <c r="C336" s="838" t="s">
        <v>584</v>
      </c>
      <c r="D336" s="834" t="s">
        <v>554</v>
      </c>
      <c r="E336" s="839">
        <v>45712.375</v>
      </c>
      <c r="F336" s="838" t="s">
        <v>140</v>
      </c>
      <c r="G336" s="838">
        <v>1</v>
      </c>
      <c r="H336" s="838" t="s">
        <v>46</v>
      </c>
      <c r="I336" s="838" t="s">
        <v>47</v>
      </c>
      <c r="J336" s="21" t="s">
        <v>29</v>
      </c>
      <c r="K336" s="21"/>
      <c r="L336" s="21"/>
      <c r="M336" s="22" t="s">
        <v>30</v>
      </c>
      <c r="N336" s="23">
        <v>45777</v>
      </c>
      <c r="O336" s="21"/>
      <c r="P336" s="22" t="s">
        <v>30</v>
      </c>
      <c r="Q336" s="23">
        <v>45777</v>
      </c>
      <c r="R336" s="79" t="s">
        <v>67</v>
      </c>
      <c r="S336" s="22" t="s">
        <v>32</v>
      </c>
      <c r="T336" s="22">
        <v>1</v>
      </c>
      <c r="U336" s="24" t="s">
        <v>67</v>
      </c>
      <c r="V336" s="23">
        <v>45777</v>
      </c>
      <c r="W336" s="840"/>
    </row>
    <row r="337" spans="1:23">
      <c r="A337" s="834" t="s">
        <v>137</v>
      </c>
      <c r="B337" s="835">
        <v>334</v>
      </c>
      <c r="C337" s="838" t="s">
        <v>585</v>
      </c>
      <c r="D337" s="840" t="s">
        <v>586</v>
      </c>
      <c r="E337" s="839">
        <v>45691.375</v>
      </c>
      <c r="F337" s="838" t="s">
        <v>140</v>
      </c>
      <c r="G337" s="838">
        <v>1</v>
      </c>
      <c r="H337" s="838" t="s">
        <v>46</v>
      </c>
      <c r="I337" s="838" t="s">
        <v>47</v>
      </c>
      <c r="J337" s="21" t="s">
        <v>29</v>
      </c>
      <c r="K337" s="21"/>
      <c r="L337" s="21"/>
      <c r="M337" s="22" t="s">
        <v>30</v>
      </c>
      <c r="N337" s="23">
        <v>45777</v>
      </c>
      <c r="O337" s="21"/>
      <c r="P337" s="22" t="s">
        <v>30</v>
      </c>
      <c r="Q337" s="23">
        <v>45777</v>
      </c>
      <c r="R337" s="79" t="s">
        <v>67</v>
      </c>
      <c r="S337" s="22" t="s">
        <v>32</v>
      </c>
      <c r="T337" s="22">
        <v>1</v>
      </c>
      <c r="U337" s="24" t="s">
        <v>67</v>
      </c>
      <c r="V337" s="23">
        <v>45777</v>
      </c>
      <c r="W337" s="840"/>
    </row>
    <row r="338" spans="1:23">
      <c r="A338" s="834" t="s">
        <v>137</v>
      </c>
      <c r="B338" s="835">
        <v>335</v>
      </c>
      <c r="C338" s="838" t="s">
        <v>587</v>
      </c>
      <c r="D338" s="840" t="s">
        <v>588</v>
      </c>
      <c r="E338" s="839">
        <v>45691.375</v>
      </c>
      <c r="F338" s="838" t="s">
        <v>140</v>
      </c>
      <c r="G338" s="838">
        <v>3</v>
      </c>
      <c r="H338" s="838" t="s">
        <v>46</v>
      </c>
      <c r="I338" s="838" t="s">
        <v>47</v>
      </c>
      <c r="J338" s="21" t="s">
        <v>29</v>
      </c>
      <c r="K338" s="21"/>
      <c r="L338" s="21"/>
      <c r="M338" s="22" t="s">
        <v>30</v>
      </c>
      <c r="N338" s="23">
        <v>45777</v>
      </c>
      <c r="O338" s="21"/>
      <c r="P338" s="22" t="s">
        <v>30</v>
      </c>
      <c r="Q338" s="23">
        <v>45777</v>
      </c>
      <c r="R338" s="79" t="s">
        <v>67</v>
      </c>
      <c r="S338" s="22" t="s">
        <v>32</v>
      </c>
      <c r="T338" s="22">
        <v>3</v>
      </c>
      <c r="U338" s="24" t="s">
        <v>67</v>
      </c>
      <c r="V338" s="23">
        <v>45777</v>
      </c>
      <c r="W338" s="840"/>
    </row>
    <row r="339" spans="1:23">
      <c r="A339" s="834" t="s">
        <v>137</v>
      </c>
      <c r="B339" s="835">
        <v>336</v>
      </c>
      <c r="C339" s="838" t="s">
        <v>589</v>
      </c>
      <c r="D339" s="840" t="s">
        <v>588</v>
      </c>
      <c r="E339" s="839">
        <v>45698.375</v>
      </c>
      <c r="F339" s="838" t="s">
        <v>140</v>
      </c>
      <c r="G339" s="838">
        <v>1</v>
      </c>
      <c r="H339" s="838" t="s">
        <v>46</v>
      </c>
      <c r="I339" s="838" t="s">
        <v>47</v>
      </c>
      <c r="J339" s="21" t="s">
        <v>29</v>
      </c>
      <c r="K339" s="21"/>
      <c r="L339" s="21"/>
      <c r="M339" s="22" t="s">
        <v>30</v>
      </c>
      <c r="N339" s="23">
        <v>45777</v>
      </c>
      <c r="O339" s="21"/>
      <c r="P339" s="22" t="s">
        <v>30</v>
      </c>
      <c r="Q339" s="23">
        <v>45777</v>
      </c>
      <c r="R339" s="79" t="s">
        <v>67</v>
      </c>
      <c r="S339" s="22" t="s">
        <v>32</v>
      </c>
      <c r="T339" s="22">
        <v>1</v>
      </c>
      <c r="U339" s="24" t="s">
        <v>67</v>
      </c>
      <c r="V339" s="23">
        <v>45777</v>
      </c>
      <c r="W339" s="840"/>
    </row>
    <row r="340" spans="1:23">
      <c r="A340" s="834" t="s">
        <v>137</v>
      </c>
      <c r="B340" s="835">
        <v>337</v>
      </c>
      <c r="C340" s="838" t="s">
        <v>590</v>
      </c>
      <c r="D340" s="840" t="s">
        <v>157</v>
      </c>
      <c r="E340" s="839">
        <v>45698.458333333336</v>
      </c>
      <c r="F340" s="838" t="s">
        <v>140</v>
      </c>
      <c r="G340" s="838">
        <v>1</v>
      </c>
      <c r="H340" s="838" t="s">
        <v>21</v>
      </c>
      <c r="I340" s="838" t="s">
        <v>36</v>
      </c>
      <c r="J340" s="21" t="s">
        <v>29</v>
      </c>
      <c r="K340" s="21"/>
      <c r="L340" s="21"/>
      <c r="M340" s="22" t="s">
        <v>30</v>
      </c>
      <c r="N340" s="23">
        <v>45777</v>
      </c>
      <c r="O340" s="21"/>
      <c r="P340" s="22" t="s">
        <v>30</v>
      </c>
      <c r="Q340" s="23">
        <v>45777</v>
      </c>
      <c r="R340" s="79" t="s">
        <v>67</v>
      </c>
      <c r="S340" s="22" t="s">
        <v>32</v>
      </c>
      <c r="T340" s="22">
        <v>1</v>
      </c>
      <c r="U340" s="24" t="s">
        <v>67</v>
      </c>
      <c r="V340" s="23">
        <v>45777</v>
      </c>
      <c r="W340" s="840"/>
    </row>
    <row r="341" spans="1:23">
      <c r="A341" s="834" t="s">
        <v>137</v>
      </c>
      <c r="B341" s="835">
        <v>338</v>
      </c>
      <c r="C341" s="838" t="s">
        <v>591</v>
      </c>
      <c r="D341" s="840" t="s">
        <v>592</v>
      </c>
      <c r="E341" s="839">
        <v>45705.375</v>
      </c>
      <c r="F341" s="838" t="s">
        <v>140</v>
      </c>
      <c r="G341" s="838">
        <v>2</v>
      </c>
      <c r="H341" s="838" t="s">
        <v>22</v>
      </c>
      <c r="I341" s="838" t="s">
        <v>28</v>
      </c>
      <c r="J341" s="21" t="s">
        <v>29</v>
      </c>
      <c r="K341" s="21"/>
      <c r="L341" s="21"/>
      <c r="M341" s="22" t="s">
        <v>30</v>
      </c>
      <c r="N341" s="23">
        <v>45777</v>
      </c>
      <c r="O341" s="21"/>
      <c r="P341" s="22" t="s">
        <v>30</v>
      </c>
      <c r="Q341" s="23">
        <v>45777</v>
      </c>
      <c r="R341" s="79" t="s">
        <v>67</v>
      </c>
      <c r="S341" s="22" t="s">
        <v>32</v>
      </c>
      <c r="T341" s="22">
        <v>2</v>
      </c>
      <c r="U341" s="24" t="s">
        <v>67</v>
      </c>
      <c r="V341" s="23">
        <v>45777</v>
      </c>
      <c r="W341" s="840"/>
    </row>
    <row r="342" spans="1:23">
      <c r="A342" s="834" t="s">
        <v>137</v>
      </c>
      <c r="B342" s="835">
        <v>339</v>
      </c>
      <c r="C342" s="838" t="s">
        <v>593</v>
      </c>
      <c r="D342" s="840" t="s">
        <v>588</v>
      </c>
      <c r="E342" s="839">
        <v>45705.375</v>
      </c>
      <c r="F342" s="838" t="s">
        <v>140</v>
      </c>
      <c r="G342" s="838">
        <v>1</v>
      </c>
      <c r="H342" s="838" t="s">
        <v>46</v>
      </c>
      <c r="I342" s="838" t="s">
        <v>47</v>
      </c>
      <c r="J342" s="21" t="s">
        <v>29</v>
      </c>
      <c r="K342" s="21"/>
      <c r="L342" s="21"/>
      <c r="M342" s="22" t="s">
        <v>30</v>
      </c>
      <c r="N342" s="23">
        <v>45777</v>
      </c>
      <c r="O342" s="21"/>
      <c r="P342" s="22" t="s">
        <v>30</v>
      </c>
      <c r="Q342" s="23">
        <v>45777</v>
      </c>
      <c r="R342" s="79" t="s">
        <v>67</v>
      </c>
      <c r="S342" s="22" t="s">
        <v>32</v>
      </c>
      <c r="T342" s="22">
        <v>1</v>
      </c>
      <c r="U342" s="24" t="s">
        <v>67</v>
      </c>
      <c r="V342" s="23">
        <v>45777</v>
      </c>
      <c r="W342" s="840"/>
    </row>
    <row r="343" spans="1:23">
      <c r="A343" s="834" t="s">
        <v>137</v>
      </c>
      <c r="B343" s="835">
        <v>340</v>
      </c>
      <c r="C343" s="838" t="s">
        <v>594</v>
      </c>
      <c r="D343" s="840" t="s">
        <v>139</v>
      </c>
      <c r="E343" s="839">
        <v>45705.375</v>
      </c>
      <c r="F343" s="838" t="s">
        <v>140</v>
      </c>
      <c r="G343" s="838">
        <v>4</v>
      </c>
      <c r="H343" s="838" t="s">
        <v>210</v>
      </c>
      <c r="I343" s="838" t="s">
        <v>211</v>
      </c>
      <c r="J343" s="21" t="s">
        <v>29</v>
      </c>
      <c r="K343" s="21"/>
      <c r="L343" s="21"/>
      <c r="M343" s="22" t="s">
        <v>30</v>
      </c>
      <c r="N343" s="23">
        <v>45777</v>
      </c>
      <c r="O343" s="21"/>
      <c r="P343" s="22" t="s">
        <v>30</v>
      </c>
      <c r="Q343" s="23">
        <v>45777</v>
      </c>
      <c r="R343" s="79" t="s">
        <v>67</v>
      </c>
      <c r="S343" s="22" t="s">
        <v>32</v>
      </c>
      <c r="T343" s="22">
        <v>4</v>
      </c>
      <c r="U343" s="24" t="s">
        <v>67</v>
      </c>
      <c r="V343" s="23">
        <v>45777</v>
      </c>
      <c r="W343" s="840"/>
    </row>
    <row r="344" spans="1:23">
      <c r="A344" s="834" t="s">
        <v>24</v>
      </c>
      <c r="B344" s="835">
        <v>341</v>
      </c>
      <c r="C344" s="838" t="s">
        <v>595</v>
      </c>
      <c r="D344" s="838" t="s">
        <v>34</v>
      </c>
      <c r="E344" s="839">
        <v>45717</v>
      </c>
      <c r="F344" s="838" t="s">
        <v>464</v>
      </c>
      <c r="G344" s="838">
        <v>10</v>
      </c>
      <c r="H344" s="838" t="s">
        <v>21</v>
      </c>
      <c r="I344" s="838" t="s">
        <v>36</v>
      </c>
      <c r="J344" s="21" t="s">
        <v>29</v>
      </c>
      <c r="K344" s="21"/>
      <c r="L344" s="21"/>
      <c r="M344" s="22" t="s">
        <v>30</v>
      </c>
      <c r="N344" s="23">
        <v>45761</v>
      </c>
      <c r="O344" s="21" t="s">
        <v>66</v>
      </c>
      <c r="P344" s="22" t="s">
        <v>30</v>
      </c>
      <c r="Q344" s="23">
        <v>45761</v>
      </c>
      <c r="R344" s="79" t="s">
        <v>67</v>
      </c>
      <c r="S344" s="22" t="s">
        <v>32</v>
      </c>
      <c r="T344" s="22">
        <v>10</v>
      </c>
      <c r="U344" s="24" t="s">
        <v>67</v>
      </c>
      <c r="V344" s="23">
        <v>45761</v>
      </c>
      <c r="W344" s="80" t="s">
        <v>30</v>
      </c>
    </row>
    <row r="345" spans="1:23">
      <c r="A345" s="834" t="s">
        <v>24</v>
      </c>
      <c r="B345" s="835">
        <v>342</v>
      </c>
      <c r="C345" s="838" t="s">
        <v>596</v>
      </c>
      <c r="D345" s="838" t="s">
        <v>178</v>
      </c>
      <c r="E345" s="839">
        <v>45717</v>
      </c>
      <c r="F345" s="838" t="s">
        <v>464</v>
      </c>
      <c r="G345" s="838">
        <v>10</v>
      </c>
      <c r="H345" s="838" t="s">
        <v>21</v>
      </c>
      <c r="I345" s="838" t="s">
        <v>36</v>
      </c>
      <c r="J345" s="21" t="s">
        <v>29</v>
      </c>
      <c r="K345" s="21"/>
      <c r="L345" s="21"/>
      <c r="M345" s="22" t="s">
        <v>30</v>
      </c>
      <c r="N345" s="23">
        <v>45761</v>
      </c>
      <c r="O345" s="21"/>
      <c r="P345" s="22" t="s">
        <v>30</v>
      </c>
      <c r="Q345" s="23">
        <v>45761</v>
      </c>
      <c r="R345" s="79" t="s">
        <v>67</v>
      </c>
      <c r="S345" s="22" t="s">
        <v>32</v>
      </c>
      <c r="T345" s="22">
        <v>10</v>
      </c>
      <c r="U345" s="24" t="s">
        <v>67</v>
      </c>
      <c r="V345" s="23">
        <v>45761</v>
      </c>
      <c r="W345" s="80" t="s">
        <v>30</v>
      </c>
    </row>
    <row r="346" spans="1:23">
      <c r="A346" s="834" t="s">
        <v>24</v>
      </c>
      <c r="B346" s="835">
        <v>343</v>
      </c>
      <c r="C346" s="838" t="s">
        <v>597</v>
      </c>
      <c r="D346" s="838" t="s">
        <v>83</v>
      </c>
      <c r="E346" s="839">
        <v>45717</v>
      </c>
      <c r="F346" s="838" t="s">
        <v>464</v>
      </c>
      <c r="G346" s="838">
        <v>10</v>
      </c>
      <c r="H346" s="838" t="s">
        <v>21</v>
      </c>
      <c r="I346" s="838" t="s">
        <v>36</v>
      </c>
      <c r="J346" s="21" t="s">
        <v>29</v>
      </c>
      <c r="K346" s="21"/>
      <c r="L346" s="21"/>
      <c r="M346" s="22" t="s">
        <v>30</v>
      </c>
      <c r="N346" s="23">
        <v>45761</v>
      </c>
      <c r="O346" s="21"/>
      <c r="P346" s="22" t="s">
        <v>30</v>
      </c>
      <c r="Q346" s="23">
        <v>45761</v>
      </c>
      <c r="R346" s="79" t="s">
        <v>67</v>
      </c>
      <c r="S346" s="22" t="s">
        <v>32</v>
      </c>
      <c r="T346" s="22">
        <v>10</v>
      </c>
      <c r="U346" s="24" t="s">
        <v>67</v>
      </c>
      <c r="V346" s="23">
        <v>45761</v>
      </c>
      <c r="W346" s="80" t="s">
        <v>30</v>
      </c>
    </row>
    <row r="347" spans="1:23">
      <c r="A347" s="834" t="s">
        <v>24</v>
      </c>
      <c r="B347" s="835">
        <v>344</v>
      </c>
      <c r="C347" s="838" t="s">
        <v>598</v>
      </c>
      <c r="D347" s="838" t="s">
        <v>43</v>
      </c>
      <c r="E347" s="839">
        <v>45717</v>
      </c>
      <c r="F347" s="838" t="s">
        <v>187</v>
      </c>
      <c r="G347" s="838">
        <v>6</v>
      </c>
      <c r="H347" s="838" t="s">
        <v>21</v>
      </c>
      <c r="I347" s="838" t="s">
        <v>36</v>
      </c>
      <c r="J347" s="21" t="s">
        <v>29</v>
      </c>
      <c r="K347" s="21"/>
      <c r="L347" s="21"/>
      <c r="M347" s="22" t="s">
        <v>30</v>
      </c>
      <c r="N347" s="23">
        <v>45761</v>
      </c>
      <c r="O347" s="21" t="s">
        <v>66</v>
      </c>
      <c r="P347" s="22" t="s">
        <v>30</v>
      </c>
      <c r="Q347" s="23">
        <v>45761</v>
      </c>
      <c r="R347" s="79" t="s">
        <v>67</v>
      </c>
      <c r="S347" s="22" t="s">
        <v>32</v>
      </c>
      <c r="T347" s="22">
        <v>6</v>
      </c>
      <c r="U347" s="24" t="s">
        <v>67</v>
      </c>
      <c r="V347" s="23">
        <v>45761</v>
      </c>
      <c r="W347" s="80" t="s">
        <v>30</v>
      </c>
    </row>
    <row r="348" spans="1:23">
      <c r="A348" s="834" t="s">
        <v>24</v>
      </c>
      <c r="B348" s="835">
        <v>345</v>
      </c>
      <c r="C348" s="838" t="s">
        <v>599</v>
      </c>
      <c r="D348" s="838" t="s">
        <v>50</v>
      </c>
      <c r="E348" s="839">
        <v>45717</v>
      </c>
      <c r="F348" s="838" t="s">
        <v>187</v>
      </c>
      <c r="G348" s="838">
        <v>6</v>
      </c>
      <c r="H348" s="838" t="s">
        <v>21</v>
      </c>
      <c r="I348" s="838" t="s">
        <v>36</v>
      </c>
      <c r="J348" s="21" t="s">
        <v>29</v>
      </c>
      <c r="K348" s="21"/>
      <c r="L348" s="21"/>
      <c r="M348" s="22" t="s">
        <v>30</v>
      </c>
      <c r="N348" s="23">
        <v>45761</v>
      </c>
      <c r="O348" s="21"/>
      <c r="P348" s="22" t="s">
        <v>30</v>
      </c>
      <c r="Q348" s="23">
        <v>45761</v>
      </c>
      <c r="R348" s="79" t="s">
        <v>67</v>
      </c>
      <c r="S348" s="22" t="s">
        <v>32</v>
      </c>
      <c r="T348" s="22">
        <v>6</v>
      </c>
      <c r="U348" s="24" t="s">
        <v>67</v>
      </c>
      <c r="V348" s="23">
        <v>45761</v>
      </c>
      <c r="W348" s="80" t="s">
        <v>30</v>
      </c>
    </row>
    <row r="349" spans="1:23">
      <c r="A349" s="834" t="s">
        <v>24</v>
      </c>
      <c r="B349" s="835">
        <v>346</v>
      </c>
      <c r="C349" s="838" t="s">
        <v>600</v>
      </c>
      <c r="D349" s="838" t="s">
        <v>26</v>
      </c>
      <c r="E349" s="839">
        <v>45717</v>
      </c>
      <c r="F349" s="838" t="s">
        <v>187</v>
      </c>
      <c r="G349" s="838">
        <v>6</v>
      </c>
      <c r="H349" s="838" t="s">
        <v>21</v>
      </c>
      <c r="I349" s="838" t="s">
        <v>36</v>
      </c>
      <c r="J349" s="21" t="s">
        <v>29</v>
      </c>
      <c r="K349" s="21"/>
      <c r="L349" s="21"/>
      <c r="M349" s="22" t="s">
        <v>30</v>
      </c>
      <c r="N349" s="23">
        <v>45761</v>
      </c>
      <c r="O349" s="21"/>
      <c r="P349" s="22" t="s">
        <v>30</v>
      </c>
      <c r="Q349" s="23">
        <v>45761</v>
      </c>
      <c r="R349" s="79" t="s">
        <v>67</v>
      </c>
      <c r="S349" s="22" t="s">
        <v>32</v>
      </c>
      <c r="T349" s="22">
        <v>6</v>
      </c>
      <c r="U349" s="24" t="s">
        <v>67</v>
      </c>
      <c r="V349" s="23">
        <v>45761</v>
      </c>
      <c r="W349" s="80" t="s">
        <v>30</v>
      </c>
    </row>
    <row r="350" spans="1:23">
      <c r="A350" s="834" t="s">
        <v>24</v>
      </c>
      <c r="B350" s="835">
        <v>347</v>
      </c>
      <c r="C350" s="838" t="s">
        <v>601</v>
      </c>
      <c r="D350" s="838" t="s">
        <v>34</v>
      </c>
      <c r="E350" s="839">
        <v>45717</v>
      </c>
      <c r="F350" s="838" t="s">
        <v>87</v>
      </c>
      <c r="G350" s="838">
        <v>13</v>
      </c>
      <c r="H350" s="838" t="s">
        <v>21</v>
      </c>
      <c r="I350" s="838" t="s">
        <v>36</v>
      </c>
      <c r="J350" s="21" t="s">
        <v>29</v>
      </c>
      <c r="K350" s="21"/>
      <c r="L350" s="21"/>
      <c r="M350" s="22" t="s">
        <v>30</v>
      </c>
      <c r="N350" s="23">
        <v>45777</v>
      </c>
      <c r="O350" s="21"/>
      <c r="P350" s="22" t="s">
        <v>30</v>
      </c>
      <c r="Q350" s="23">
        <v>45777</v>
      </c>
      <c r="R350" s="79" t="s">
        <v>67</v>
      </c>
      <c r="S350" s="22" t="s">
        <v>32</v>
      </c>
      <c r="T350" s="22">
        <v>13</v>
      </c>
      <c r="U350" s="22" t="s">
        <v>67</v>
      </c>
      <c r="V350" s="23">
        <v>45777</v>
      </c>
      <c r="W350" s="80" t="s">
        <v>30</v>
      </c>
    </row>
    <row r="351" spans="1:23">
      <c r="A351" s="834" t="s">
        <v>24</v>
      </c>
      <c r="B351" s="835">
        <v>348</v>
      </c>
      <c r="C351" s="838" t="s">
        <v>602</v>
      </c>
      <c r="D351" s="838" t="s">
        <v>64</v>
      </c>
      <c r="E351" s="839">
        <v>45717</v>
      </c>
      <c r="F351" s="838" t="s">
        <v>603</v>
      </c>
      <c r="G351" s="838">
        <v>19</v>
      </c>
      <c r="H351" s="838" t="s">
        <v>21</v>
      </c>
      <c r="I351" s="838" t="s">
        <v>36</v>
      </c>
      <c r="J351" s="21" t="s">
        <v>29</v>
      </c>
      <c r="K351" s="21"/>
      <c r="L351" s="21"/>
      <c r="M351" s="22" t="s">
        <v>30</v>
      </c>
      <c r="N351" s="23">
        <v>45777</v>
      </c>
      <c r="O351" s="21" t="s">
        <v>31</v>
      </c>
      <c r="P351" s="22" t="s">
        <v>30</v>
      </c>
      <c r="Q351" s="23">
        <v>45777</v>
      </c>
      <c r="R351" s="79" t="s">
        <v>67</v>
      </c>
      <c r="S351" s="22" t="s">
        <v>32</v>
      </c>
      <c r="T351" s="22">
        <v>19</v>
      </c>
      <c r="U351" s="22" t="s">
        <v>67</v>
      </c>
      <c r="V351" s="23">
        <v>45777</v>
      </c>
      <c r="W351" s="80" t="s">
        <v>30</v>
      </c>
    </row>
    <row r="352" spans="1:23">
      <c r="A352" s="834" t="s">
        <v>24</v>
      </c>
      <c r="B352" s="835">
        <v>349</v>
      </c>
      <c r="C352" s="838" t="s">
        <v>604</v>
      </c>
      <c r="D352" s="838" t="s">
        <v>50</v>
      </c>
      <c r="E352" s="839">
        <v>45717</v>
      </c>
      <c r="F352" s="838" t="s">
        <v>603</v>
      </c>
      <c r="G352" s="838">
        <v>19</v>
      </c>
      <c r="H352" s="838" t="s">
        <v>21</v>
      </c>
      <c r="I352" s="838" t="s">
        <v>36</v>
      </c>
      <c r="J352" s="21" t="s">
        <v>29</v>
      </c>
      <c r="K352" s="21"/>
      <c r="L352" s="21"/>
      <c r="M352" s="22" t="s">
        <v>30</v>
      </c>
      <c r="N352" s="23">
        <v>45777</v>
      </c>
      <c r="O352" s="21" t="s">
        <v>31</v>
      </c>
      <c r="P352" s="22" t="s">
        <v>30</v>
      </c>
      <c r="Q352" s="23">
        <v>45777</v>
      </c>
      <c r="R352" s="79" t="s">
        <v>67</v>
      </c>
      <c r="S352" s="22" t="s">
        <v>32</v>
      </c>
      <c r="T352" s="22">
        <v>19</v>
      </c>
      <c r="U352" s="24" t="s">
        <v>67</v>
      </c>
      <c r="V352" s="23">
        <v>45777</v>
      </c>
      <c r="W352" s="80" t="s">
        <v>30</v>
      </c>
    </row>
    <row r="353" spans="1:23">
      <c r="A353" s="834" t="s">
        <v>24</v>
      </c>
      <c r="B353" s="835">
        <v>350</v>
      </c>
      <c r="C353" s="838" t="s">
        <v>605</v>
      </c>
      <c r="D353" s="838" t="s">
        <v>606</v>
      </c>
      <c r="E353" s="839">
        <v>45717</v>
      </c>
      <c r="F353" s="838" t="s">
        <v>272</v>
      </c>
      <c r="G353" s="838">
        <v>20</v>
      </c>
      <c r="H353" s="838" t="s">
        <v>21</v>
      </c>
      <c r="I353" s="838" t="s">
        <v>36</v>
      </c>
      <c r="J353" s="21" t="s">
        <v>29</v>
      </c>
      <c r="K353" s="21"/>
      <c r="L353" s="21"/>
      <c r="M353" s="22" t="s">
        <v>30</v>
      </c>
      <c r="N353" s="23">
        <v>45777</v>
      </c>
      <c r="O353" s="21" t="s">
        <v>31</v>
      </c>
      <c r="P353" s="22" t="s">
        <v>30</v>
      </c>
      <c r="Q353" s="23">
        <v>45777</v>
      </c>
      <c r="R353" s="79" t="s">
        <v>67</v>
      </c>
      <c r="S353" s="22" t="s">
        <v>32</v>
      </c>
      <c r="T353" s="22">
        <v>20</v>
      </c>
      <c r="U353" s="22" t="s">
        <v>67</v>
      </c>
      <c r="V353" s="23">
        <v>45777</v>
      </c>
      <c r="W353" s="80" t="s">
        <v>607</v>
      </c>
    </row>
    <row r="354" spans="1:23">
      <c r="A354" s="834" t="s">
        <v>24</v>
      </c>
      <c r="B354" s="835">
        <v>351</v>
      </c>
      <c r="C354" s="838" t="s">
        <v>608</v>
      </c>
      <c r="D354" s="838" t="s">
        <v>43</v>
      </c>
      <c r="E354" s="839">
        <v>45717</v>
      </c>
      <c r="F354" s="838" t="s">
        <v>506</v>
      </c>
      <c r="G354" s="838">
        <v>19</v>
      </c>
      <c r="H354" s="838" t="s">
        <v>22</v>
      </c>
      <c r="I354" s="838" t="s">
        <v>28</v>
      </c>
      <c r="J354" s="21" t="s">
        <v>29</v>
      </c>
      <c r="K354" s="21"/>
      <c r="L354" s="21"/>
      <c r="M354" s="22" t="s">
        <v>30</v>
      </c>
      <c r="N354" s="23">
        <v>45755</v>
      </c>
      <c r="O354" s="21" t="s">
        <v>31</v>
      </c>
      <c r="P354" s="22" t="s">
        <v>30</v>
      </c>
      <c r="Q354" s="23">
        <v>45755</v>
      </c>
      <c r="R354" s="79" t="s">
        <v>22</v>
      </c>
      <c r="S354" s="22" t="s">
        <v>32</v>
      </c>
      <c r="T354" s="22">
        <v>16</v>
      </c>
      <c r="U354" s="24" t="s">
        <v>22</v>
      </c>
      <c r="V354" s="23">
        <v>45755</v>
      </c>
      <c r="W354" s="80" t="s">
        <v>30</v>
      </c>
    </row>
    <row r="355" spans="1:23">
      <c r="A355" s="834" t="s">
        <v>24</v>
      </c>
      <c r="B355" s="835">
        <v>352</v>
      </c>
      <c r="C355" s="838" t="s">
        <v>609</v>
      </c>
      <c r="D355" s="838" t="s">
        <v>50</v>
      </c>
      <c r="E355" s="839">
        <v>45717</v>
      </c>
      <c r="F355" s="838" t="s">
        <v>506</v>
      </c>
      <c r="G355" s="838">
        <v>19</v>
      </c>
      <c r="H355" s="838" t="s">
        <v>22</v>
      </c>
      <c r="I355" s="838" t="s">
        <v>28</v>
      </c>
      <c r="J355" s="21" t="s">
        <v>29</v>
      </c>
      <c r="K355" s="21"/>
      <c r="L355" s="21"/>
      <c r="M355" s="22" t="s">
        <v>30</v>
      </c>
      <c r="N355" s="23">
        <v>45764</v>
      </c>
      <c r="O355" s="21" t="s">
        <v>31</v>
      </c>
      <c r="P355" s="22" t="s">
        <v>30</v>
      </c>
      <c r="Q355" s="23">
        <v>45764</v>
      </c>
      <c r="R355" s="79" t="s">
        <v>22</v>
      </c>
      <c r="S355" s="22" t="s">
        <v>32</v>
      </c>
      <c r="T355" s="22">
        <v>19</v>
      </c>
      <c r="U355" s="22" t="s">
        <v>22</v>
      </c>
      <c r="V355" s="23">
        <v>45764</v>
      </c>
      <c r="W355" s="80" t="s">
        <v>30</v>
      </c>
    </row>
    <row r="356" spans="1:23">
      <c r="A356" s="834" t="s">
        <v>24</v>
      </c>
      <c r="B356" s="835">
        <v>353</v>
      </c>
      <c r="C356" s="838" t="s">
        <v>610</v>
      </c>
      <c r="D356" s="838" t="s">
        <v>26</v>
      </c>
      <c r="E356" s="839">
        <v>45717</v>
      </c>
      <c r="F356" s="838" t="s">
        <v>506</v>
      </c>
      <c r="G356" s="838">
        <v>19</v>
      </c>
      <c r="H356" s="838" t="s">
        <v>22</v>
      </c>
      <c r="I356" s="838" t="s">
        <v>28</v>
      </c>
      <c r="J356" s="21" t="s">
        <v>29</v>
      </c>
      <c r="K356" s="21"/>
      <c r="L356" s="21"/>
      <c r="M356" s="22" t="s">
        <v>30</v>
      </c>
      <c r="N356" s="23">
        <v>45755</v>
      </c>
      <c r="O356" s="21" t="s">
        <v>31</v>
      </c>
      <c r="P356" s="22" t="s">
        <v>30</v>
      </c>
      <c r="Q356" s="23">
        <v>45755</v>
      </c>
      <c r="R356" s="79" t="s">
        <v>22</v>
      </c>
      <c r="S356" s="22" t="s">
        <v>32</v>
      </c>
      <c r="T356" s="22">
        <v>19</v>
      </c>
      <c r="U356" s="24" t="s">
        <v>22</v>
      </c>
      <c r="V356" s="23">
        <v>45755</v>
      </c>
      <c r="W356" s="80" t="s">
        <v>30</v>
      </c>
    </row>
    <row r="357" spans="1:23">
      <c r="A357" s="834" t="s">
        <v>24</v>
      </c>
      <c r="B357" s="835">
        <v>354</v>
      </c>
      <c r="C357" s="838" t="s">
        <v>611</v>
      </c>
      <c r="D357" s="838" t="s">
        <v>34</v>
      </c>
      <c r="E357" s="839">
        <v>45717</v>
      </c>
      <c r="F357" s="838" t="s">
        <v>612</v>
      </c>
      <c r="G357" s="838">
        <v>9</v>
      </c>
      <c r="H357" s="838" t="s">
        <v>22</v>
      </c>
      <c r="I357" s="838" t="s">
        <v>28</v>
      </c>
      <c r="J357" s="21" t="s">
        <v>29</v>
      </c>
      <c r="K357" s="21"/>
      <c r="L357" s="21"/>
      <c r="M357" s="22" t="s">
        <v>30</v>
      </c>
      <c r="N357" s="23">
        <v>45751</v>
      </c>
      <c r="O357" s="21"/>
      <c r="P357" s="22" t="s">
        <v>30</v>
      </c>
      <c r="Q357" s="23">
        <v>45751</v>
      </c>
      <c r="R357" s="79" t="s">
        <v>22</v>
      </c>
      <c r="S357" s="22" t="s">
        <v>32</v>
      </c>
      <c r="T357" s="22">
        <v>10</v>
      </c>
      <c r="U357" s="24" t="s">
        <v>22</v>
      </c>
      <c r="V357" s="23">
        <v>45751</v>
      </c>
      <c r="W357" s="80" t="s">
        <v>30</v>
      </c>
    </row>
    <row r="358" spans="1:23">
      <c r="A358" s="834" t="s">
        <v>24</v>
      </c>
      <c r="B358" s="835">
        <v>355</v>
      </c>
      <c r="C358" s="217" t="s">
        <v>613</v>
      </c>
      <c r="D358" s="217" t="s">
        <v>34</v>
      </c>
      <c r="E358" s="218">
        <v>45717</v>
      </c>
      <c r="F358" s="217" t="s">
        <v>614</v>
      </c>
      <c r="G358" s="217">
        <v>15</v>
      </c>
      <c r="H358" s="217" t="s">
        <v>46</v>
      </c>
      <c r="I358" s="217" t="s">
        <v>47</v>
      </c>
      <c r="J358" s="21" t="s">
        <v>29</v>
      </c>
      <c r="K358" s="21"/>
      <c r="L358" s="21"/>
      <c r="M358" s="22" t="s">
        <v>30</v>
      </c>
      <c r="N358" s="23">
        <v>45757</v>
      </c>
      <c r="O358" s="21" t="s">
        <v>31</v>
      </c>
      <c r="P358" s="22" t="s">
        <v>30</v>
      </c>
      <c r="Q358" s="23">
        <v>45757</v>
      </c>
      <c r="R358" s="79" t="s">
        <v>47</v>
      </c>
      <c r="S358" s="22" t="s">
        <v>32</v>
      </c>
      <c r="T358" s="22">
        <v>15</v>
      </c>
      <c r="U358" s="22" t="s">
        <v>47</v>
      </c>
      <c r="V358" s="23">
        <v>45757</v>
      </c>
      <c r="W358" s="80" t="s">
        <v>30</v>
      </c>
    </row>
    <row r="359" spans="1:23">
      <c r="A359" s="834" t="s">
        <v>24</v>
      </c>
      <c r="B359" s="835">
        <v>356</v>
      </c>
      <c r="C359" s="217" t="s">
        <v>615</v>
      </c>
      <c r="D359" s="217" t="s">
        <v>34</v>
      </c>
      <c r="E359" s="218">
        <v>45717</v>
      </c>
      <c r="F359" s="217" t="s">
        <v>65</v>
      </c>
      <c r="G359" s="217">
        <v>20</v>
      </c>
      <c r="H359" s="217" t="s">
        <v>46</v>
      </c>
      <c r="I359" s="217" t="s">
        <v>47</v>
      </c>
      <c r="J359" s="21" t="s">
        <v>29</v>
      </c>
      <c r="K359" s="21"/>
      <c r="L359" s="21"/>
      <c r="M359" s="22" t="s">
        <v>30</v>
      </c>
      <c r="N359" s="23">
        <v>45763</v>
      </c>
      <c r="O359" s="21" t="s">
        <v>31</v>
      </c>
      <c r="P359" s="22" t="s">
        <v>30</v>
      </c>
      <c r="Q359" s="23">
        <v>45763</v>
      </c>
      <c r="R359" s="79" t="s">
        <v>47</v>
      </c>
      <c r="S359" s="22" t="s">
        <v>32</v>
      </c>
      <c r="T359" s="22">
        <v>21</v>
      </c>
      <c r="U359" s="22" t="s">
        <v>47</v>
      </c>
      <c r="V359" s="23">
        <v>45763</v>
      </c>
      <c r="W359" s="80" t="s">
        <v>30</v>
      </c>
    </row>
    <row r="360" spans="1:23">
      <c r="A360" s="834" t="s">
        <v>24</v>
      </c>
      <c r="B360" s="835">
        <v>357</v>
      </c>
      <c r="C360" s="217" t="s">
        <v>616</v>
      </c>
      <c r="D360" s="217" t="s">
        <v>34</v>
      </c>
      <c r="E360" s="218">
        <v>45717</v>
      </c>
      <c r="F360" s="217" t="s">
        <v>179</v>
      </c>
      <c r="G360" s="217">
        <v>19</v>
      </c>
      <c r="H360" s="217" t="s">
        <v>46</v>
      </c>
      <c r="I360" s="217" t="s">
        <v>47</v>
      </c>
      <c r="J360" s="21" t="s">
        <v>29</v>
      </c>
      <c r="K360" s="21"/>
      <c r="L360" s="21"/>
      <c r="M360" s="22" t="s">
        <v>30</v>
      </c>
      <c r="N360" s="23">
        <v>45780</v>
      </c>
      <c r="O360" s="21" t="s">
        <v>31</v>
      </c>
      <c r="P360" s="22" t="s">
        <v>30</v>
      </c>
      <c r="Q360" s="23">
        <v>45780</v>
      </c>
      <c r="R360" s="79" t="s">
        <v>47</v>
      </c>
      <c r="S360" s="22" t="s">
        <v>32</v>
      </c>
      <c r="T360" s="22">
        <v>20</v>
      </c>
      <c r="U360" s="24" t="s">
        <v>47</v>
      </c>
      <c r="V360" s="23">
        <v>45780</v>
      </c>
      <c r="W360" s="80" t="s">
        <v>30</v>
      </c>
    </row>
    <row r="361" spans="1:23">
      <c r="A361" s="834" t="s">
        <v>24</v>
      </c>
      <c r="B361" s="835">
        <v>358</v>
      </c>
      <c r="C361" s="224" t="s">
        <v>617</v>
      </c>
      <c r="D361" s="224" t="s">
        <v>34</v>
      </c>
      <c r="E361" s="218">
        <v>45717</v>
      </c>
      <c r="F361" s="224" t="s">
        <v>618</v>
      </c>
      <c r="G361" s="224">
        <v>13</v>
      </c>
      <c r="H361" s="224" t="s">
        <v>46</v>
      </c>
      <c r="I361" s="224" t="s">
        <v>47</v>
      </c>
      <c r="J361" s="21" t="s">
        <v>29</v>
      </c>
      <c r="K361" s="21"/>
      <c r="L361" s="21"/>
      <c r="M361" s="22" t="s">
        <v>30</v>
      </c>
      <c r="N361" s="23">
        <v>45770</v>
      </c>
      <c r="O361" s="21"/>
      <c r="P361" s="22" t="s">
        <v>30</v>
      </c>
      <c r="Q361" s="23">
        <v>45770</v>
      </c>
      <c r="R361" s="79" t="s">
        <v>47</v>
      </c>
      <c r="S361" s="22" t="s">
        <v>32</v>
      </c>
      <c r="T361" s="22">
        <v>14</v>
      </c>
      <c r="U361" s="24" t="s">
        <v>47</v>
      </c>
      <c r="V361" s="23">
        <v>45770</v>
      </c>
      <c r="W361" s="80" t="s">
        <v>30</v>
      </c>
    </row>
    <row r="362" spans="1:23">
      <c r="A362" s="834" t="s">
        <v>24</v>
      </c>
      <c r="B362" s="835">
        <v>359</v>
      </c>
      <c r="C362" s="217" t="s">
        <v>619</v>
      </c>
      <c r="D362" s="217" t="s">
        <v>477</v>
      </c>
      <c r="E362" s="218">
        <v>45719</v>
      </c>
      <c r="F362" s="217" t="s">
        <v>620</v>
      </c>
      <c r="G362" s="217">
        <v>9</v>
      </c>
      <c r="H362" s="217" t="s">
        <v>22</v>
      </c>
      <c r="I362" s="217" t="s">
        <v>28</v>
      </c>
      <c r="J362" s="21" t="s">
        <v>29</v>
      </c>
      <c r="K362" s="21"/>
      <c r="L362" s="21"/>
      <c r="M362" s="22" t="s">
        <v>30</v>
      </c>
      <c r="N362" s="23">
        <v>45757</v>
      </c>
      <c r="O362" s="21" t="s">
        <v>66</v>
      </c>
      <c r="P362" s="22" t="s">
        <v>30</v>
      </c>
      <c r="Q362" s="23">
        <v>45757</v>
      </c>
      <c r="R362" s="79" t="s">
        <v>22</v>
      </c>
      <c r="S362" s="22" t="s">
        <v>32</v>
      </c>
      <c r="T362" s="22">
        <v>9</v>
      </c>
      <c r="U362" s="24" t="s">
        <v>22</v>
      </c>
      <c r="V362" s="23">
        <v>45757</v>
      </c>
      <c r="W362" s="80" t="s">
        <v>32</v>
      </c>
    </row>
    <row r="363" spans="1:23">
      <c r="A363" s="834" t="s">
        <v>24</v>
      </c>
      <c r="B363" s="835">
        <v>360</v>
      </c>
      <c r="C363" s="217" t="s">
        <v>621</v>
      </c>
      <c r="D363" s="217" t="s">
        <v>193</v>
      </c>
      <c r="E363" s="218">
        <v>45719</v>
      </c>
      <c r="F363" s="217" t="s">
        <v>620</v>
      </c>
      <c r="G363" s="217">
        <v>4</v>
      </c>
      <c r="H363" s="217" t="s">
        <v>22</v>
      </c>
      <c r="I363" s="217" t="s">
        <v>28</v>
      </c>
      <c r="J363" s="21" t="s">
        <v>29</v>
      </c>
      <c r="K363" s="21"/>
      <c r="L363" s="21"/>
      <c r="M363" s="22" t="s">
        <v>30</v>
      </c>
      <c r="N363" s="23">
        <v>45758</v>
      </c>
      <c r="O363" s="21"/>
      <c r="P363" s="22" t="s">
        <v>30</v>
      </c>
      <c r="Q363" s="23">
        <v>45758</v>
      </c>
      <c r="R363" s="79" t="s">
        <v>22</v>
      </c>
      <c r="S363" s="22" t="s">
        <v>32</v>
      </c>
      <c r="T363" s="22">
        <v>4</v>
      </c>
      <c r="U363" s="24" t="s">
        <v>22</v>
      </c>
      <c r="V363" s="23">
        <v>45758</v>
      </c>
      <c r="W363" s="80" t="s">
        <v>32</v>
      </c>
    </row>
    <row r="364" spans="1:23">
      <c r="A364" s="834" t="s">
        <v>24</v>
      </c>
      <c r="B364" s="835">
        <v>361</v>
      </c>
      <c r="C364" s="217" t="s">
        <v>622</v>
      </c>
      <c r="D364" s="217" t="s">
        <v>43</v>
      </c>
      <c r="E364" s="218">
        <v>45719</v>
      </c>
      <c r="F364" s="217" t="s">
        <v>620</v>
      </c>
      <c r="G364" s="217">
        <v>9</v>
      </c>
      <c r="H364" s="217" t="s">
        <v>22</v>
      </c>
      <c r="I364" s="217" t="s">
        <v>28</v>
      </c>
      <c r="J364" s="21" t="s">
        <v>29</v>
      </c>
      <c r="K364" s="21"/>
      <c r="L364" s="21"/>
      <c r="M364" s="22" t="s">
        <v>30</v>
      </c>
      <c r="N364" s="23">
        <v>45758</v>
      </c>
      <c r="O364" s="21"/>
      <c r="P364" s="22" t="s">
        <v>30</v>
      </c>
      <c r="Q364" s="23">
        <v>45758</v>
      </c>
      <c r="R364" s="79" t="s">
        <v>22</v>
      </c>
      <c r="S364" s="22" t="s">
        <v>32</v>
      </c>
      <c r="T364" s="22">
        <v>9</v>
      </c>
      <c r="U364" s="24" t="s">
        <v>22</v>
      </c>
      <c r="V364" s="23">
        <v>45758</v>
      </c>
      <c r="W364" s="80" t="s">
        <v>32</v>
      </c>
    </row>
    <row r="365" spans="1:23">
      <c r="A365" s="834" t="s">
        <v>24</v>
      </c>
      <c r="B365" s="835">
        <v>362</v>
      </c>
      <c r="C365" s="217" t="s">
        <v>623</v>
      </c>
      <c r="D365" s="217" t="s">
        <v>50</v>
      </c>
      <c r="E365" s="218">
        <v>45719</v>
      </c>
      <c r="F365" s="217" t="s">
        <v>620</v>
      </c>
      <c r="G365" s="217">
        <v>9</v>
      </c>
      <c r="H365" s="217" t="s">
        <v>22</v>
      </c>
      <c r="I365" s="217" t="s">
        <v>28</v>
      </c>
      <c r="J365" s="21" t="s">
        <v>29</v>
      </c>
      <c r="K365" s="21"/>
      <c r="L365" s="21"/>
      <c r="M365" s="22" t="s">
        <v>30</v>
      </c>
      <c r="N365" s="23">
        <v>45750</v>
      </c>
      <c r="O365" s="21"/>
      <c r="P365" s="22" t="s">
        <v>30</v>
      </c>
      <c r="Q365" s="23">
        <v>45750</v>
      </c>
      <c r="R365" s="79" t="s">
        <v>22</v>
      </c>
      <c r="S365" s="22" t="s">
        <v>32</v>
      </c>
      <c r="T365" s="22">
        <v>9</v>
      </c>
      <c r="U365" s="24" t="s">
        <v>22</v>
      </c>
      <c r="V365" s="23">
        <v>45750</v>
      </c>
      <c r="W365" s="80" t="s">
        <v>32</v>
      </c>
    </row>
    <row r="366" spans="1:23">
      <c r="A366" s="834" t="s">
        <v>24</v>
      </c>
      <c r="B366" s="835">
        <v>363</v>
      </c>
      <c r="C366" s="217" t="s">
        <v>624</v>
      </c>
      <c r="D366" s="217" t="s">
        <v>26</v>
      </c>
      <c r="E366" s="218">
        <v>45719</v>
      </c>
      <c r="F366" s="217" t="s">
        <v>625</v>
      </c>
      <c r="G366" s="217">
        <v>10</v>
      </c>
      <c r="H366" s="217" t="s">
        <v>22</v>
      </c>
      <c r="I366" s="217" t="s">
        <v>28</v>
      </c>
      <c r="J366" s="21" t="s">
        <v>29</v>
      </c>
      <c r="K366" s="21"/>
      <c r="L366" s="21"/>
      <c r="M366" s="22" t="s">
        <v>30</v>
      </c>
      <c r="N366" s="23">
        <v>45764</v>
      </c>
      <c r="O366" s="21" t="s">
        <v>66</v>
      </c>
      <c r="P366" s="22" t="s">
        <v>30</v>
      </c>
      <c r="Q366" s="23">
        <v>45764</v>
      </c>
      <c r="R366" s="79" t="s">
        <v>22</v>
      </c>
      <c r="S366" s="22" t="s">
        <v>32</v>
      </c>
      <c r="T366" s="22">
        <v>10</v>
      </c>
      <c r="U366" s="22" t="s">
        <v>22</v>
      </c>
      <c r="V366" s="23">
        <v>45764</v>
      </c>
      <c r="W366" s="80" t="s">
        <v>32</v>
      </c>
    </row>
    <row r="367" spans="1:23">
      <c r="A367" s="834" t="s">
        <v>24</v>
      </c>
      <c r="B367" s="835">
        <v>364</v>
      </c>
      <c r="C367" s="217" t="s">
        <v>626</v>
      </c>
      <c r="D367" s="217" t="s">
        <v>43</v>
      </c>
      <c r="E367" s="218">
        <v>45719</v>
      </c>
      <c r="F367" s="217" t="s">
        <v>625</v>
      </c>
      <c r="G367" s="217">
        <v>10</v>
      </c>
      <c r="H367" s="217" t="s">
        <v>22</v>
      </c>
      <c r="I367" s="217" t="s">
        <v>28</v>
      </c>
      <c r="J367" s="21" t="s">
        <v>29</v>
      </c>
      <c r="K367" s="21"/>
      <c r="L367" s="21"/>
      <c r="M367" s="22" t="s">
        <v>30</v>
      </c>
      <c r="N367" s="23">
        <v>45764</v>
      </c>
      <c r="O367" s="21"/>
      <c r="P367" s="22" t="s">
        <v>30</v>
      </c>
      <c r="Q367" s="23">
        <v>45764</v>
      </c>
      <c r="R367" s="79" t="s">
        <v>22</v>
      </c>
      <c r="S367" s="22" t="s">
        <v>32</v>
      </c>
      <c r="T367" s="22">
        <v>10</v>
      </c>
      <c r="U367" s="24" t="s">
        <v>22</v>
      </c>
      <c r="V367" s="23">
        <v>45764</v>
      </c>
      <c r="W367" s="80" t="s">
        <v>32</v>
      </c>
    </row>
    <row r="368" spans="1:23">
      <c r="A368" s="834" t="s">
        <v>24</v>
      </c>
      <c r="B368" s="835">
        <v>365</v>
      </c>
      <c r="C368" s="217" t="s">
        <v>627</v>
      </c>
      <c r="D368" s="217" t="s">
        <v>34</v>
      </c>
      <c r="E368" s="218">
        <v>45719</v>
      </c>
      <c r="F368" s="217" t="s">
        <v>628</v>
      </c>
      <c r="G368" s="217">
        <v>17</v>
      </c>
      <c r="H368" s="217" t="s">
        <v>22</v>
      </c>
      <c r="I368" s="217" t="s">
        <v>28</v>
      </c>
      <c r="J368" s="21" t="s">
        <v>29</v>
      </c>
      <c r="K368" s="21"/>
      <c r="L368" s="21"/>
      <c r="M368" s="22" t="s">
        <v>30</v>
      </c>
      <c r="N368" s="23">
        <v>45748</v>
      </c>
      <c r="O368" s="21" t="s">
        <v>31</v>
      </c>
      <c r="P368" s="22" t="s">
        <v>30</v>
      </c>
      <c r="Q368" s="23">
        <v>45748</v>
      </c>
      <c r="R368" s="79" t="s">
        <v>22</v>
      </c>
      <c r="S368" s="22" t="s">
        <v>32</v>
      </c>
      <c r="T368" s="22">
        <v>19</v>
      </c>
      <c r="U368" s="24" t="s">
        <v>22</v>
      </c>
      <c r="V368" s="23">
        <v>45748</v>
      </c>
      <c r="W368" s="80" t="s">
        <v>30</v>
      </c>
    </row>
    <row r="369" spans="1:23">
      <c r="A369" s="834" t="s">
        <v>24</v>
      </c>
      <c r="B369" s="835">
        <v>366</v>
      </c>
      <c r="C369" s="217" t="s">
        <v>629</v>
      </c>
      <c r="D369" s="217" t="s">
        <v>630</v>
      </c>
      <c r="E369" s="218">
        <v>45719</v>
      </c>
      <c r="F369" s="217" t="s">
        <v>631</v>
      </c>
      <c r="G369" s="217">
        <v>14</v>
      </c>
      <c r="H369" s="217" t="s">
        <v>21</v>
      </c>
      <c r="I369" s="217" t="s">
        <v>36</v>
      </c>
      <c r="J369" s="21" t="s">
        <v>29</v>
      </c>
      <c r="K369" s="21"/>
      <c r="L369" s="21"/>
      <c r="M369" s="22" t="s">
        <v>30</v>
      </c>
      <c r="N369" s="23">
        <v>45761</v>
      </c>
      <c r="O369" s="21" t="s">
        <v>31</v>
      </c>
      <c r="P369" s="22" t="s">
        <v>30</v>
      </c>
      <c r="Q369" s="23">
        <v>45761</v>
      </c>
      <c r="R369" s="79" t="s">
        <v>67</v>
      </c>
      <c r="S369" s="22" t="s">
        <v>32</v>
      </c>
      <c r="T369" s="22">
        <v>14</v>
      </c>
      <c r="U369" s="22" t="s">
        <v>67</v>
      </c>
      <c r="V369" s="23">
        <v>45761</v>
      </c>
      <c r="W369" s="80" t="s">
        <v>30</v>
      </c>
    </row>
    <row r="370" spans="1:23">
      <c r="A370" s="834" t="s">
        <v>24</v>
      </c>
      <c r="B370" s="835">
        <v>367</v>
      </c>
      <c r="C370" s="217" t="s">
        <v>632</v>
      </c>
      <c r="D370" s="217" t="s">
        <v>50</v>
      </c>
      <c r="E370" s="218">
        <v>45719</v>
      </c>
      <c r="F370" s="217" t="s">
        <v>161</v>
      </c>
      <c r="G370" s="217">
        <v>9</v>
      </c>
      <c r="H370" s="217" t="s">
        <v>21</v>
      </c>
      <c r="I370" s="217" t="s">
        <v>36</v>
      </c>
      <c r="J370" s="21" t="s">
        <v>29</v>
      </c>
      <c r="K370" s="21"/>
      <c r="L370" s="21"/>
      <c r="M370" s="22" t="s">
        <v>30</v>
      </c>
      <c r="N370" s="23">
        <v>45763</v>
      </c>
      <c r="O370" s="21"/>
      <c r="P370" s="22" t="s">
        <v>30</v>
      </c>
      <c r="Q370" s="23">
        <v>45763</v>
      </c>
      <c r="R370" s="79" t="s">
        <v>22</v>
      </c>
      <c r="S370" s="22" t="s">
        <v>32</v>
      </c>
      <c r="T370" s="22">
        <v>9</v>
      </c>
      <c r="U370" s="24" t="s">
        <v>22</v>
      </c>
      <c r="V370" s="23">
        <v>45763</v>
      </c>
      <c r="W370" s="80" t="s">
        <v>30</v>
      </c>
    </row>
    <row r="371" spans="1:23">
      <c r="A371" s="834" t="s">
        <v>24</v>
      </c>
      <c r="B371" s="835">
        <v>368</v>
      </c>
      <c r="C371" s="217" t="s">
        <v>633</v>
      </c>
      <c r="D371" s="217" t="s">
        <v>26</v>
      </c>
      <c r="E371" s="218">
        <v>45721</v>
      </c>
      <c r="F371" s="217" t="s">
        <v>161</v>
      </c>
      <c r="G371" s="217">
        <v>9</v>
      </c>
      <c r="H371" s="217" t="s">
        <v>21</v>
      </c>
      <c r="I371" s="217" t="s">
        <v>36</v>
      </c>
      <c r="J371" s="21" t="s">
        <v>29</v>
      </c>
      <c r="K371" s="21"/>
      <c r="L371" s="21"/>
      <c r="M371" s="22" t="s">
        <v>30</v>
      </c>
      <c r="N371" s="23">
        <v>45762</v>
      </c>
      <c r="O371" s="21"/>
      <c r="P371" s="22" t="s">
        <v>30</v>
      </c>
      <c r="Q371" s="23">
        <v>45762</v>
      </c>
      <c r="R371" s="79" t="s">
        <v>22</v>
      </c>
      <c r="S371" s="22" t="s">
        <v>32</v>
      </c>
      <c r="T371" s="22">
        <v>9</v>
      </c>
      <c r="U371" s="22" t="s">
        <v>22</v>
      </c>
      <c r="V371" s="23">
        <v>45762</v>
      </c>
      <c r="W371" s="80" t="s">
        <v>30</v>
      </c>
    </row>
    <row r="372" spans="1:23">
      <c r="A372" s="834" t="s">
        <v>24</v>
      </c>
      <c r="B372" s="835">
        <v>369</v>
      </c>
      <c r="C372" s="838" t="s">
        <v>634</v>
      </c>
      <c r="D372" s="838" t="s">
        <v>34</v>
      </c>
      <c r="E372" s="839">
        <v>45721</v>
      </c>
      <c r="F372" s="838" t="s">
        <v>635</v>
      </c>
      <c r="G372" s="838">
        <v>10</v>
      </c>
      <c r="H372" s="838" t="s">
        <v>22</v>
      </c>
      <c r="I372" s="838" t="s">
        <v>28</v>
      </c>
      <c r="J372" s="21" t="s">
        <v>29</v>
      </c>
      <c r="K372" s="21"/>
      <c r="L372" s="21"/>
      <c r="M372" s="22" t="s">
        <v>30</v>
      </c>
      <c r="N372" s="23">
        <v>45751</v>
      </c>
      <c r="O372" s="21"/>
      <c r="P372" s="22" t="s">
        <v>30</v>
      </c>
      <c r="Q372" s="23">
        <v>45751</v>
      </c>
      <c r="R372" s="79" t="s">
        <v>22</v>
      </c>
      <c r="S372" s="22" t="s">
        <v>32</v>
      </c>
      <c r="T372" s="22">
        <v>10</v>
      </c>
      <c r="U372" s="22" t="s">
        <v>22</v>
      </c>
      <c r="V372" s="23">
        <v>45751</v>
      </c>
      <c r="W372" s="80" t="s">
        <v>30</v>
      </c>
    </row>
    <row r="373" spans="1:23">
      <c r="A373" s="834" t="s">
        <v>24</v>
      </c>
      <c r="B373" s="835">
        <v>370</v>
      </c>
      <c r="C373" s="838" t="s">
        <v>636</v>
      </c>
      <c r="D373" s="838" t="s">
        <v>34</v>
      </c>
      <c r="E373" s="839">
        <v>45723</v>
      </c>
      <c r="F373" s="838" t="s">
        <v>245</v>
      </c>
      <c r="G373" s="838">
        <v>12</v>
      </c>
      <c r="H373" s="838" t="s">
        <v>46</v>
      </c>
      <c r="I373" s="838" t="s">
        <v>47</v>
      </c>
      <c r="J373" s="21" t="s">
        <v>29</v>
      </c>
      <c r="K373" s="21"/>
      <c r="L373" s="21"/>
      <c r="M373" s="22" t="s">
        <v>30</v>
      </c>
      <c r="N373" s="23">
        <v>45782</v>
      </c>
      <c r="O373" s="21"/>
      <c r="P373" s="22" t="s">
        <v>30</v>
      </c>
      <c r="Q373" s="23">
        <v>45782</v>
      </c>
      <c r="R373" s="79" t="s">
        <v>47</v>
      </c>
      <c r="S373" s="22" t="s">
        <v>32</v>
      </c>
      <c r="T373" s="22">
        <v>12</v>
      </c>
      <c r="U373" s="24" t="s">
        <v>47</v>
      </c>
      <c r="V373" s="23">
        <v>45782</v>
      </c>
      <c r="W373" s="80" t="s">
        <v>30</v>
      </c>
    </row>
    <row r="374" spans="1:23">
      <c r="A374" s="834" t="s">
        <v>24</v>
      </c>
      <c r="B374" s="835">
        <v>371</v>
      </c>
      <c r="C374" s="838" t="s">
        <v>637</v>
      </c>
      <c r="D374" s="838" t="s">
        <v>34</v>
      </c>
      <c r="E374" s="839">
        <v>45723</v>
      </c>
      <c r="F374" s="838" t="s">
        <v>187</v>
      </c>
      <c r="G374" s="838">
        <v>16</v>
      </c>
      <c r="H374" s="838" t="s">
        <v>21</v>
      </c>
      <c r="I374" s="838" t="s">
        <v>36</v>
      </c>
      <c r="J374" s="21" t="s">
        <v>29</v>
      </c>
      <c r="K374" s="21"/>
      <c r="L374" s="21"/>
      <c r="M374" s="22" t="s">
        <v>30</v>
      </c>
      <c r="N374" s="23">
        <v>45777</v>
      </c>
      <c r="O374" s="21" t="s">
        <v>31</v>
      </c>
      <c r="P374" s="22" t="s">
        <v>30</v>
      </c>
      <c r="Q374" s="23">
        <v>45777</v>
      </c>
      <c r="R374" s="79" t="s">
        <v>67</v>
      </c>
      <c r="S374" s="22" t="s">
        <v>32</v>
      </c>
      <c r="T374" s="22">
        <v>16</v>
      </c>
      <c r="U374" s="22" t="s">
        <v>67</v>
      </c>
      <c r="V374" s="23">
        <v>45777</v>
      </c>
      <c r="W374" s="80" t="s">
        <v>30</v>
      </c>
    </row>
    <row r="375" spans="1:23">
      <c r="A375" s="834" t="s">
        <v>24</v>
      </c>
      <c r="B375" s="835">
        <v>372</v>
      </c>
      <c r="C375" s="838" t="s">
        <v>638</v>
      </c>
      <c r="D375" s="838" t="s">
        <v>34</v>
      </c>
      <c r="E375" s="839">
        <v>45724</v>
      </c>
      <c r="F375" s="838" t="s">
        <v>639</v>
      </c>
      <c r="G375" s="838">
        <v>15</v>
      </c>
      <c r="H375" s="838" t="s">
        <v>78</v>
      </c>
      <c r="I375" s="838" t="s">
        <v>79</v>
      </c>
      <c r="J375" s="21" t="s">
        <v>29</v>
      </c>
      <c r="K375" s="21"/>
      <c r="L375" s="21"/>
      <c r="M375" s="22" t="s">
        <v>30</v>
      </c>
      <c r="N375" s="23">
        <v>45784</v>
      </c>
      <c r="O375" s="21" t="s">
        <v>31</v>
      </c>
      <c r="P375" s="22" t="s">
        <v>30</v>
      </c>
      <c r="Q375" s="23">
        <v>45784</v>
      </c>
      <c r="R375" s="79" t="s">
        <v>47</v>
      </c>
      <c r="S375" s="22" t="s">
        <v>32</v>
      </c>
      <c r="T375" s="22">
        <v>15</v>
      </c>
      <c r="U375" s="24" t="s">
        <v>47</v>
      </c>
      <c r="V375" s="23">
        <v>45784</v>
      </c>
      <c r="W375" s="80" t="s">
        <v>30</v>
      </c>
    </row>
    <row r="376" spans="1:23">
      <c r="A376" s="834" t="s">
        <v>24</v>
      </c>
      <c r="B376" s="835">
        <v>373</v>
      </c>
      <c r="C376" s="838" t="s">
        <v>640</v>
      </c>
      <c r="D376" s="838" t="s">
        <v>34</v>
      </c>
      <c r="E376" s="839">
        <v>45724</v>
      </c>
      <c r="F376" s="838" t="s">
        <v>641</v>
      </c>
      <c r="G376" s="838">
        <v>14</v>
      </c>
      <c r="H376" s="838" t="s">
        <v>46</v>
      </c>
      <c r="I376" s="838" t="s">
        <v>47</v>
      </c>
      <c r="J376" s="21" t="s">
        <v>29</v>
      </c>
      <c r="K376" s="21"/>
      <c r="L376" s="21"/>
      <c r="M376" s="22" t="s">
        <v>30</v>
      </c>
      <c r="N376" s="23">
        <v>45778</v>
      </c>
      <c r="O376" s="21"/>
      <c r="P376" s="22" t="s">
        <v>30</v>
      </c>
      <c r="Q376" s="23">
        <v>45778</v>
      </c>
      <c r="R376" s="79" t="s">
        <v>47</v>
      </c>
      <c r="S376" s="22" t="s">
        <v>32</v>
      </c>
      <c r="T376" s="22">
        <v>14</v>
      </c>
      <c r="U376" s="24" t="s">
        <v>47</v>
      </c>
      <c r="V376" s="23">
        <v>45778</v>
      </c>
      <c r="W376" s="80" t="s">
        <v>30</v>
      </c>
    </row>
    <row r="377" spans="1:23">
      <c r="A377" s="834" t="s">
        <v>24</v>
      </c>
      <c r="B377" s="835">
        <v>374</v>
      </c>
      <c r="C377" s="838" t="s">
        <v>642</v>
      </c>
      <c r="D377" s="838" t="s">
        <v>34</v>
      </c>
      <c r="E377" s="839">
        <v>45724</v>
      </c>
      <c r="F377" s="838" t="s">
        <v>242</v>
      </c>
      <c r="G377" s="838">
        <v>23</v>
      </c>
      <c r="H377" s="838" t="s">
        <v>46</v>
      </c>
      <c r="I377" s="838" t="s">
        <v>47</v>
      </c>
      <c r="J377" s="21" t="s">
        <v>29</v>
      </c>
      <c r="K377" s="21"/>
      <c r="L377" s="21"/>
      <c r="M377" s="22" t="s">
        <v>30</v>
      </c>
      <c r="N377" s="23">
        <v>45778</v>
      </c>
      <c r="O377" s="21" t="s">
        <v>31</v>
      </c>
      <c r="P377" s="22" t="s">
        <v>30</v>
      </c>
      <c r="Q377" s="23">
        <v>45778</v>
      </c>
      <c r="R377" s="79" t="s">
        <v>47</v>
      </c>
      <c r="S377" s="22" t="s">
        <v>32</v>
      </c>
      <c r="T377" s="22">
        <v>23</v>
      </c>
      <c r="U377" s="22" t="s">
        <v>47</v>
      </c>
      <c r="V377" s="23">
        <v>45778</v>
      </c>
      <c r="W377" s="80" t="s">
        <v>30</v>
      </c>
    </row>
    <row r="378" spans="1:23">
      <c r="A378" s="834" t="s">
        <v>24</v>
      </c>
      <c r="B378" s="835">
        <v>375</v>
      </c>
      <c r="C378" s="838" t="s">
        <v>643</v>
      </c>
      <c r="D378" s="838" t="s">
        <v>34</v>
      </c>
      <c r="E378" s="839">
        <v>45724</v>
      </c>
      <c r="F378" s="838" t="s">
        <v>644</v>
      </c>
      <c r="G378" s="838">
        <v>11</v>
      </c>
      <c r="H378" s="838" t="s">
        <v>22</v>
      </c>
      <c r="I378" s="838" t="s">
        <v>28</v>
      </c>
      <c r="J378" s="21" t="s">
        <v>29</v>
      </c>
      <c r="K378" s="21"/>
      <c r="L378" s="21"/>
      <c r="M378" s="22" t="s">
        <v>30</v>
      </c>
      <c r="N378" s="23">
        <v>45749</v>
      </c>
      <c r="O378" s="21"/>
      <c r="P378" s="22" t="s">
        <v>30</v>
      </c>
      <c r="Q378" s="23">
        <v>45749</v>
      </c>
      <c r="R378" s="79" t="s">
        <v>22</v>
      </c>
      <c r="S378" s="22" t="s">
        <v>32</v>
      </c>
      <c r="T378" s="22">
        <v>11</v>
      </c>
      <c r="U378" s="24" t="s">
        <v>22</v>
      </c>
      <c r="V378" s="23">
        <v>45749</v>
      </c>
      <c r="W378" s="80" t="s">
        <v>30</v>
      </c>
    </row>
    <row r="379" spans="1:23">
      <c r="A379" s="834" t="s">
        <v>24</v>
      </c>
      <c r="B379" s="835">
        <v>376</v>
      </c>
      <c r="C379" s="838" t="s">
        <v>645</v>
      </c>
      <c r="D379" s="838" t="s">
        <v>43</v>
      </c>
      <c r="E379" s="839">
        <v>45726</v>
      </c>
      <c r="F379" s="838" t="s">
        <v>646</v>
      </c>
      <c r="G379" s="838">
        <v>11</v>
      </c>
      <c r="H379" s="842" t="s">
        <v>46</v>
      </c>
      <c r="I379" s="838" t="s">
        <v>47</v>
      </c>
      <c r="J379" s="21" t="s">
        <v>237</v>
      </c>
      <c r="K379" s="21" t="s">
        <v>647</v>
      </c>
      <c r="L379" s="21"/>
      <c r="M379" s="22" t="s">
        <v>30</v>
      </c>
      <c r="N379" s="23">
        <v>45782</v>
      </c>
      <c r="O379" s="21"/>
      <c r="P379" s="22" t="s">
        <v>30</v>
      </c>
      <c r="Q379" s="23">
        <v>45782</v>
      </c>
      <c r="R379" s="79" t="s">
        <v>47</v>
      </c>
      <c r="S379" s="22" t="s">
        <v>32</v>
      </c>
      <c r="T379" s="22">
        <v>11</v>
      </c>
      <c r="U379" s="22" t="s">
        <v>47</v>
      </c>
      <c r="V379" s="23">
        <v>45782</v>
      </c>
      <c r="W379" s="80" t="s">
        <v>32</v>
      </c>
    </row>
    <row r="380" spans="1:23">
      <c r="A380" s="834" t="s">
        <v>24</v>
      </c>
      <c r="B380" s="835">
        <v>377</v>
      </c>
      <c r="C380" s="838" t="s">
        <v>648</v>
      </c>
      <c r="D380" s="838" t="s">
        <v>43</v>
      </c>
      <c r="E380" s="839">
        <v>45727</v>
      </c>
      <c r="F380" s="838" t="s">
        <v>646</v>
      </c>
      <c r="G380" s="838">
        <v>13</v>
      </c>
      <c r="H380" s="842" t="s">
        <v>46</v>
      </c>
      <c r="I380" s="838" t="s">
        <v>47</v>
      </c>
      <c r="J380" s="21" t="s">
        <v>237</v>
      </c>
      <c r="K380" s="21" t="s">
        <v>647</v>
      </c>
      <c r="L380" s="21"/>
      <c r="M380" s="22" t="s">
        <v>30</v>
      </c>
      <c r="N380" s="23">
        <v>45782</v>
      </c>
      <c r="O380" s="21"/>
      <c r="P380" s="22" t="s">
        <v>30</v>
      </c>
      <c r="Q380" s="23">
        <v>45782</v>
      </c>
      <c r="R380" s="79" t="s">
        <v>47</v>
      </c>
      <c r="S380" s="22" t="s">
        <v>32</v>
      </c>
      <c r="T380" s="22">
        <v>11</v>
      </c>
      <c r="U380" s="22" t="s">
        <v>47</v>
      </c>
      <c r="V380" s="23">
        <v>45782</v>
      </c>
      <c r="W380" s="80" t="s">
        <v>32</v>
      </c>
    </row>
    <row r="381" spans="1:23">
      <c r="A381" s="834" t="s">
        <v>24</v>
      </c>
      <c r="B381" s="835">
        <v>378</v>
      </c>
      <c r="C381" s="838" t="s">
        <v>649</v>
      </c>
      <c r="D381" s="838" t="s">
        <v>374</v>
      </c>
      <c r="E381" s="839">
        <v>45728</v>
      </c>
      <c r="F381" s="838" t="s">
        <v>650</v>
      </c>
      <c r="G381" s="838">
        <v>13</v>
      </c>
      <c r="H381" s="838" t="s">
        <v>46</v>
      </c>
      <c r="I381" s="838" t="s">
        <v>47</v>
      </c>
      <c r="J381" s="21" t="s">
        <v>29</v>
      </c>
      <c r="K381" s="21"/>
      <c r="L381" s="21"/>
      <c r="M381" s="22" t="s">
        <v>30</v>
      </c>
      <c r="N381" s="23">
        <v>45778</v>
      </c>
      <c r="O381" s="21"/>
      <c r="P381" s="22" t="s">
        <v>30</v>
      </c>
      <c r="Q381" s="23">
        <v>45778</v>
      </c>
      <c r="R381" s="79" t="s">
        <v>47</v>
      </c>
      <c r="S381" s="22" t="s">
        <v>32</v>
      </c>
      <c r="T381" s="22">
        <v>13</v>
      </c>
      <c r="U381" s="24" t="s">
        <v>47</v>
      </c>
      <c r="V381" s="23">
        <v>45778</v>
      </c>
      <c r="W381" s="80" t="s">
        <v>30</v>
      </c>
    </row>
    <row r="382" spans="1:23">
      <c r="A382" s="834" t="s">
        <v>24</v>
      </c>
      <c r="B382" s="835">
        <v>379</v>
      </c>
      <c r="C382" s="838" t="s">
        <v>651</v>
      </c>
      <c r="D382" s="838" t="s">
        <v>652</v>
      </c>
      <c r="E382" s="839">
        <v>45729</v>
      </c>
      <c r="F382" s="838" t="s">
        <v>653</v>
      </c>
      <c r="G382" s="838">
        <v>15</v>
      </c>
      <c r="H382" s="842" t="s">
        <v>21</v>
      </c>
      <c r="I382" s="838" t="s">
        <v>36</v>
      </c>
      <c r="J382" s="21" t="s">
        <v>237</v>
      </c>
      <c r="K382" s="21"/>
      <c r="L382" s="21"/>
      <c r="M382" s="22" t="s">
        <v>30</v>
      </c>
      <c r="N382" s="23">
        <v>45777</v>
      </c>
      <c r="O382" s="21" t="s">
        <v>31</v>
      </c>
      <c r="P382" s="22" t="s">
        <v>30</v>
      </c>
      <c r="Q382" s="23">
        <v>45777</v>
      </c>
      <c r="R382" s="79" t="s">
        <v>127</v>
      </c>
      <c r="S382" s="22" t="s">
        <v>32</v>
      </c>
      <c r="T382" s="22">
        <v>15</v>
      </c>
      <c r="U382" s="24" t="s">
        <v>127</v>
      </c>
      <c r="V382" s="23">
        <v>45777</v>
      </c>
      <c r="W382" s="80" t="s">
        <v>32</v>
      </c>
    </row>
    <row r="383" spans="1:23">
      <c r="A383" s="834" t="s">
        <v>24</v>
      </c>
      <c r="B383" s="835">
        <v>380</v>
      </c>
      <c r="C383" s="838" t="s">
        <v>654</v>
      </c>
      <c r="D383" s="838" t="s">
        <v>655</v>
      </c>
      <c r="E383" s="839">
        <v>45730</v>
      </c>
      <c r="F383" s="838" t="s">
        <v>653</v>
      </c>
      <c r="G383" s="838">
        <v>15</v>
      </c>
      <c r="H383" s="842" t="s">
        <v>21</v>
      </c>
      <c r="I383" s="838" t="s">
        <v>36</v>
      </c>
      <c r="J383" s="21" t="s">
        <v>237</v>
      </c>
      <c r="K383" s="21"/>
      <c r="L383" s="21"/>
      <c r="M383" s="22" t="s">
        <v>30</v>
      </c>
      <c r="N383" s="23">
        <v>45777</v>
      </c>
      <c r="O383" s="21" t="s">
        <v>31</v>
      </c>
      <c r="P383" s="22" t="s">
        <v>30</v>
      </c>
      <c r="Q383" s="23">
        <v>45777</v>
      </c>
      <c r="R383" s="79" t="s">
        <v>127</v>
      </c>
      <c r="S383" s="22" t="s">
        <v>32</v>
      </c>
      <c r="T383" s="22">
        <v>15</v>
      </c>
      <c r="U383" s="24" t="s">
        <v>127</v>
      </c>
      <c r="V383" s="23">
        <v>45777</v>
      </c>
      <c r="W383" s="80" t="s">
        <v>32</v>
      </c>
    </row>
    <row r="384" spans="1:23">
      <c r="A384" s="834" t="s">
        <v>24</v>
      </c>
      <c r="B384" s="835">
        <v>381</v>
      </c>
      <c r="C384" s="838" t="s">
        <v>656</v>
      </c>
      <c r="D384" s="838" t="s">
        <v>657</v>
      </c>
      <c r="E384" s="839">
        <v>45730</v>
      </c>
      <c r="F384" s="838" t="s">
        <v>395</v>
      </c>
      <c r="G384" s="838">
        <v>13</v>
      </c>
      <c r="H384" s="842" t="s">
        <v>22</v>
      </c>
      <c r="I384" s="838" t="s">
        <v>28</v>
      </c>
      <c r="J384" s="21" t="s">
        <v>29</v>
      </c>
      <c r="K384" s="21"/>
      <c r="L384" s="21"/>
      <c r="M384" s="22" t="s">
        <v>30</v>
      </c>
      <c r="N384" s="23">
        <v>45758</v>
      </c>
      <c r="O384" s="21"/>
      <c r="P384" s="22" t="s">
        <v>30</v>
      </c>
      <c r="Q384" s="23">
        <v>45758</v>
      </c>
      <c r="R384" s="79" t="s">
        <v>28</v>
      </c>
      <c r="S384" s="22" t="s">
        <v>32</v>
      </c>
      <c r="T384" s="22">
        <v>13</v>
      </c>
      <c r="U384" s="24" t="s">
        <v>28</v>
      </c>
      <c r="V384" s="23">
        <v>45758</v>
      </c>
      <c r="W384" s="80" t="s">
        <v>30</v>
      </c>
    </row>
    <row r="385" spans="1:23">
      <c r="A385" s="847" t="s">
        <v>24</v>
      </c>
      <c r="B385" s="835">
        <v>382</v>
      </c>
      <c r="C385" s="838" t="s">
        <v>658</v>
      </c>
      <c r="D385" s="838" t="s">
        <v>102</v>
      </c>
      <c r="E385" s="839">
        <v>45730</v>
      </c>
      <c r="F385" s="838" t="s">
        <v>659</v>
      </c>
      <c r="G385" s="838">
        <v>10</v>
      </c>
      <c r="H385" s="842" t="s">
        <v>22</v>
      </c>
      <c r="I385" s="838" t="s">
        <v>28</v>
      </c>
      <c r="J385" s="21" t="s">
        <v>29</v>
      </c>
      <c r="K385" s="21" t="s">
        <v>647</v>
      </c>
      <c r="L385" s="21"/>
      <c r="M385" s="22" t="s">
        <v>30</v>
      </c>
      <c r="N385" s="23">
        <v>45784</v>
      </c>
      <c r="O385" s="21"/>
      <c r="P385" s="22" t="s">
        <v>30</v>
      </c>
      <c r="Q385" s="23">
        <v>45784</v>
      </c>
      <c r="R385" s="79" t="s">
        <v>28</v>
      </c>
      <c r="S385" s="22" t="s">
        <v>32</v>
      </c>
      <c r="T385" s="22">
        <v>10</v>
      </c>
      <c r="U385" s="24" t="s">
        <v>28</v>
      </c>
      <c r="V385" s="23">
        <v>45784</v>
      </c>
      <c r="W385" s="80" t="s">
        <v>32</v>
      </c>
    </row>
    <row r="386" spans="1:23">
      <c r="A386" s="834" t="s">
        <v>24</v>
      </c>
      <c r="B386" s="835">
        <v>383</v>
      </c>
      <c r="C386" s="838" t="s">
        <v>660</v>
      </c>
      <c r="D386" s="838" t="s">
        <v>34</v>
      </c>
      <c r="E386" s="839">
        <v>45731</v>
      </c>
      <c r="F386" s="838" t="s">
        <v>661</v>
      </c>
      <c r="G386" s="838">
        <v>30</v>
      </c>
      <c r="H386" s="842" t="s">
        <v>46</v>
      </c>
      <c r="I386" s="838" t="s">
        <v>47</v>
      </c>
      <c r="J386" s="21" t="s">
        <v>29</v>
      </c>
      <c r="K386" s="21"/>
      <c r="L386" s="21"/>
      <c r="M386" s="22" t="s">
        <v>30</v>
      </c>
      <c r="N386" s="23">
        <v>45776</v>
      </c>
      <c r="O386" s="21" t="s">
        <v>31</v>
      </c>
      <c r="P386" s="22" t="s">
        <v>30</v>
      </c>
      <c r="Q386" s="23">
        <v>45776</v>
      </c>
      <c r="R386" s="79" t="s">
        <v>47</v>
      </c>
      <c r="S386" s="22" t="s">
        <v>32</v>
      </c>
      <c r="T386" s="22">
        <v>31</v>
      </c>
      <c r="U386" s="24" t="s">
        <v>47</v>
      </c>
      <c r="V386" s="23">
        <v>45777</v>
      </c>
      <c r="W386" s="80" t="s">
        <v>30</v>
      </c>
    </row>
    <row r="387" spans="1:23">
      <c r="A387" s="834" t="s">
        <v>24</v>
      </c>
      <c r="B387" s="835">
        <v>384</v>
      </c>
      <c r="C387" s="838" t="s">
        <v>662</v>
      </c>
      <c r="D387" s="838" t="s">
        <v>43</v>
      </c>
      <c r="E387" s="839">
        <v>45731</v>
      </c>
      <c r="F387" s="838" t="s">
        <v>65</v>
      </c>
      <c r="G387" s="838">
        <v>10</v>
      </c>
      <c r="H387" s="842" t="s">
        <v>46</v>
      </c>
      <c r="I387" s="838" t="s">
        <v>47</v>
      </c>
      <c r="J387" s="21" t="s">
        <v>29</v>
      </c>
      <c r="K387" s="21"/>
      <c r="L387" s="21"/>
      <c r="M387" s="22" t="s">
        <v>30</v>
      </c>
      <c r="N387" s="23">
        <v>45755</v>
      </c>
      <c r="O387" s="21"/>
      <c r="P387" s="22" t="s">
        <v>30</v>
      </c>
      <c r="Q387" s="23">
        <v>45755</v>
      </c>
      <c r="R387" s="79" t="s">
        <v>46</v>
      </c>
      <c r="S387" s="22" t="s">
        <v>32</v>
      </c>
      <c r="T387" s="22">
        <v>10</v>
      </c>
      <c r="U387" s="24" t="s">
        <v>46</v>
      </c>
      <c r="V387" s="23">
        <v>45757</v>
      </c>
      <c r="W387" s="80" t="s">
        <v>30</v>
      </c>
    </row>
    <row r="388" spans="1:23">
      <c r="A388" s="834" t="s">
        <v>24</v>
      </c>
      <c r="B388" s="835">
        <v>385</v>
      </c>
      <c r="C388" s="838" t="s">
        <v>663</v>
      </c>
      <c r="D388" s="838" t="s">
        <v>34</v>
      </c>
      <c r="E388" s="839">
        <v>45731</v>
      </c>
      <c r="F388" s="838" t="s">
        <v>179</v>
      </c>
      <c r="G388" s="838">
        <v>18</v>
      </c>
      <c r="H388" s="842" t="s">
        <v>46</v>
      </c>
      <c r="I388" s="838" t="s">
        <v>47</v>
      </c>
      <c r="J388" s="21" t="s">
        <v>29</v>
      </c>
      <c r="K388" s="21"/>
      <c r="L388" s="21"/>
      <c r="M388" s="22" t="s">
        <v>30</v>
      </c>
      <c r="N388" s="23">
        <v>45751</v>
      </c>
      <c r="O388" s="21" t="s">
        <v>31</v>
      </c>
      <c r="P388" s="22" t="s">
        <v>30</v>
      </c>
      <c r="Q388" s="23">
        <v>45751</v>
      </c>
      <c r="R388" s="79" t="s">
        <v>46</v>
      </c>
      <c r="S388" s="22" t="s">
        <v>32</v>
      </c>
      <c r="T388" s="22">
        <v>18</v>
      </c>
      <c r="U388" s="22" t="s">
        <v>46</v>
      </c>
      <c r="V388" s="23">
        <v>45751</v>
      </c>
      <c r="W388" s="80" t="s">
        <v>30</v>
      </c>
    </row>
    <row r="389" spans="1:23">
      <c r="A389" s="834" t="s">
        <v>24</v>
      </c>
      <c r="B389" s="835">
        <v>386</v>
      </c>
      <c r="C389" s="838" t="s">
        <v>664</v>
      </c>
      <c r="D389" s="838" t="s">
        <v>34</v>
      </c>
      <c r="E389" s="839">
        <v>45731</v>
      </c>
      <c r="F389" s="838" t="s">
        <v>97</v>
      </c>
      <c r="G389" s="838">
        <v>17</v>
      </c>
      <c r="H389" s="842" t="s">
        <v>22</v>
      </c>
      <c r="I389" s="838" t="s">
        <v>28</v>
      </c>
      <c r="J389" s="21" t="s">
        <v>29</v>
      </c>
      <c r="K389" s="21"/>
      <c r="L389" s="21"/>
      <c r="M389" s="22" t="s">
        <v>30</v>
      </c>
      <c r="N389" s="23">
        <v>45761</v>
      </c>
      <c r="O389" s="21" t="s">
        <v>31</v>
      </c>
      <c r="P389" s="22" t="s">
        <v>30</v>
      </c>
      <c r="Q389" s="23">
        <v>45761</v>
      </c>
      <c r="R389" s="79" t="s">
        <v>28</v>
      </c>
      <c r="S389" s="22" t="s">
        <v>32</v>
      </c>
      <c r="T389" s="22">
        <v>17</v>
      </c>
      <c r="U389" s="24" t="s">
        <v>28</v>
      </c>
      <c r="V389" s="23">
        <v>45761</v>
      </c>
      <c r="W389" s="80" t="s">
        <v>30</v>
      </c>
    </row>
    <row r="390" spans="1:23">
      <c r="A390" s="834" t="s">
        <v>24</v>
      </c>
      <c r="B390" s="835">
        <v>387</v>
      </c>
      <c r="C390" s="838" t="s">
        <v>665</v>
      </c>
      <c r="D390" s="838" t="s">
        <v>34</v>
      </c>
      <c r="E390" s="839">
        <v>45731</v>
      </c>
      <c r="F390" s="838" t="s">
        <v>666</v>
      </c>
      <c r="G390" s="838">
        <v>11</v>
      </c>
      <c r="H390" s="842" t="s">
        <v>21</v>
      </c>
      <c r="I390" s="838" t="s">
        <v>36</v>
      </c>
      <c r="J390" s="21" t="s">
        <v>29</v>
      </c>
      <c r="K390" s="21"/>
      <c r="L390" s="21"/>
      <c r="M390" s="22" t="s">
        <v>30</v>
      </c>
      <c r="N390" s="23">
        <v>45777</v>
      </c>
      <c r="O390" s="21"/>
      <c r="P390" s="22" t="s">
        <v>30</v>
      </c>
      <c r="Q390" s="23">
        <v>45777</v>
      </c>
      <c r="R390" s="79" t="s">
        <v>127</v>
      </c>
      <c r="S390" s="22" t="s">
        <v>32</v>
      </c>
      <c r="T390" s="22">
        <v>11</v>
      </c>
      <c r="U390" s="24" t="s">
        <v>127</v>
      </c>
      <c r="V390" s="23">
        <v>45777</v>
      </c>
      <c r="W390" s="80" t="s">
        <v>30</v>
      </c>
    </row>
    <row r="391" spans="1:23">
      <c r="A391" s="834" t="s">
        <v>24</v>
      </c>
      <c r="B391" s="835">
        <v>388</v>
      </c>
      <c r="C391" s="838" t="s">
        <v>667</v>
      </c>
      <c r="D391" s="838" t="s">
        <v>34</v>
      </c>
      <c r="E391" s="839">
        <v>45731</v>
      </c>
      <c r="F391" s="838" t="s">
        <v>668</v>
      </c>
      <c r="G391" s="838">
        <v>11</v>
      </c>
      <c r="H391" s="842" t="s">
        <v>21</v>
      </c>
      <c r="I391" s="838" t="s">
        <v>36</v>
      </c>
      <c r="J391" s="21" t="s">
        <v>29</v>
      </c>
      <c r="K391" s="21"/>
      <c r="L391" s="21"/>
      <c r="M391" s="22" t="s">
        <v>30</v>
      </c>
      <c r="N391" s="23">
        <v>45777</v>
      </c>
      <c r="O391" s="21"/>
      <c r="P391" s="22" t="s">
        <v>30</v>
      </c>
      <c r="Q391" s="23">
        <v>45777</v>
      </c>
      <c r="R391" s="79" t="s">
        <v>127</v>
      </c>
      <c r="S391" s="22" t="s">
        <v>32</v>
      </c>
      <c r="T391" s="22">
        <v>11</v>
      </c>
      <c r="U391" s="24" t="s">
        <v>127</v>
      </c>
      <c r="V391" s="23">
        <v>45777</v>
      </c>
      <c r="W391" s="80" t="s">
        <v>30</v>
      </c>
    </row>
    <row r="392" spans="1:23">
      <c r="A392" s="834" t="s">
        <v>24</v>
      </c>
      <c r="B392" s="835">
        <v>389</v>
      </c>
      <c r="C392" s="838" t="s">
        <v>669</v>
      </c>
      <c r="D392" s="838" t="s">
        <v>34</v>
      </c>
      <c r="E392" s="839">
        <v>45731</v>
      </c>
      <c r="F392" s="838" t="s">
        <v>670</v>
      </c>
      <c r="G392" s="838">
        <v>11</v>
      </c>
      <c r="H392" s="842" t="s">
        <v>21</v>
      </c>
      <c r="I392" s="838" t="s">
        <v>36</v>
      </c>
      <c r="J392" s="21" t="s">
        <v>29</v>
      </c>
      <c r="K392" s="21"/>
      <c r="L392" s="21"/>
      <c r="M392" s="22" t="s">
        <v>30</v>
      </c>
      <c r="N392" s="23">
        <v>45777</v>
      </c>
      <c r="O392" s="21"/>
      <c r="P392" s="22" t="s">
        <v>30</v>
      </c>
      <c r="Q392" s="23">
        <v>45777</v>
      </c>
      <c r="R392" s="79" t="s">
        <v>127</v>
      </c>
      <c r="S392" s="22" t="s">
        <v>32</v>
      </c>
      <c r="T392" s="22">
        <v>11</v>
      </c>
      <c r="U392" s="24" t="s">
        <v>127</v>
      </c>
      <c r="V392" s="23">
        <v>45777</v>
      </c>
      <c r="W392" s="80" t="s">
        <v>30</v>
      </c>
    </row>
    <row r="393" spans="1:23">
      <c r="A393" s="834" t="s">
        <v>24</v>
      </c>
      <c r="B393" s="835">
        <v>390</v>
      </c>
      <c r="C393" s="838" t="s">
        <v>671</v>
      </c>
      <c r="D393" s="838" t="s">
        <v>34</v>
      </c>
      <c r="E393" s="839">
        <v>45731</v>
      </c>
      <c r="F393" s="838" t="s">
        <v>672</v>
      </c>
      <c r="G393" s="838">
        <v>19</v>
      </c>
      <c r="H393" s="838" t="s">
        <v>21</v>
      </c>
      <c r="I393" s="838" t="s">
        <v>47</v>
      </c>
      <c r="J393" s="21" t="s">
        <v>29</v>
      </c>
      <c r="K393" s="21"/>
      <c r="L393" s="21"/>
      <c r="M393" s="22" t="s">
        <v>30</v>
      </c>
      <c r="N393" s="23">
        <v>45777</v>
      </c>
      <c r="O393" s="21" t="s">
        <v>31</v>
      </c>
      <c r="P393" s="22" t="s">
        <v>30</v>
      </c>
      <c r="Q393" s="23">
        <v>45777</v>
      </c>
      <c r="R393" s="79" t="s">
        <v>127</v>
      </c>
      <c r="S393" s="22" t="s">
        <v>32</v>
      </c>
      <c r="T393" s="22">
        <v>19</v>
      </c>
      <c r="U393" s="24" t="s">
        <v>127</v>
      </c>
      <c r="V393" s="23">
        <v>45777</v>
      </c>
      <c r="W393" s="80" t="s">
        <v>32</v>
      </c>
    </row>
    <row r="394" spans="1:23">
      <c r="A394" s="834" t="s">
        <v>24</v>
      </c>
      <c r="B394" s="835">
        <v>391</v>
      </c>
      <c r="C394" s="838" t="s">
        <v>673</v>
      </c>
      <c r="D394" s="838" t="s">
        <v>34</v>
      </c>
      <c r="E394" s="839">
        <v>45731</v>
      </c>
      <c r="F394" s="838" t="s">
        <v>674</v>
      </c>
      <c r="G394" s="838">
        <v>20</v>
      </c>
      <c r="H394" s="838" t="s">
        <v>21</v>
      </c>
      <c r="I394" s="838" t="s">
        <v>47</v>
      </c>
      <c r="J394" s="21" t="s">
        <v>29</v>
      </c>
      <c r="K394" s="21"/>
      <c r="L394" s="21"/>
      <c r="M394" s="22" t="s">
        <v>30</v>
      </c>
      <c r="N394" s="23">
        <v>45777</v>
      </c>
      <c r="O394" s="21" t="s">
        <v>31</v>
      </c>
      <c r="P394" s="22" t="s">
        <v>30</v>
      </c>
      <c r="Q394" s="23">
        <v>45777</v>
      </c>
      <c r="R394" s="79" t="s">
        <v>127</v>
      </c>
      <c r="S394" s="22" t="s">
        <v>32</v>
      </c>
      <c r="T394" s="22">
        <v>20</v>
      </c>
      <c r="U394" s="24" t="s">
        <v>127</v>
      </c>
      <c r="V394" s="23">
        <v>45777</v>
      </c>
      <c r="W394" s="80" t="s">
        <v>30</v>
      </c>
    </row>
    <row r="395" spans="1:23">
      <c r="A395" s="834" t="s">
        <v>24</v>
      </c>
      <c r="B395" s="835">
        <v>392</v>
      </c>
      <c r="C395" s="838" t="s">
        <v>675</v>
      </c>
      <c r="D395" s="838" t="s">
        <v>676</v>
      </c>
      <c r="E395" s="839">
        <v>45733</v>
      </c>
      <c r="F395" s="838" t="s">
        <v>677</v>
      </c>
      <c r="G395" s="838">
        <v>11</v>
      </c>
      <c r="H395" s="838" t="s">
        <v>22</v>
      </c>
      <c r="I395" s="838" t="s">
        <v>28</v>
      </c>
      <c r="J395" s="21" t="s">
        <v>29</v>
      </c>
      <c r="K395" s="21" t="s">
        <v>678</v>
      </c>
      <c r="L395" s="21"/>
      <c r="M395" s="22"/>
      <c r="N395" s="23"/>
      <c r="O395" s="21"/>
      <c r="P395" s="22"/>
      <c r="Q395" s="23"/>
      <c r="R395" s="79" t="s">
        <v>28</v>
      </c>
      <c r="S395" s="22"/>
      <c r="T395" s="22"/>
      <c r="U395" s="24"/>
      <c r="V395" s="23"/>
      <c r="W395" s="80" t="s">
        <v>32</v>
      </c>
    </row>
    <row r="396" spans="1:23">
      <c r="A396" s="834" t="s">
        <v>24</v>
      </c>
      <c r="B396" s="835">
        <v>393</v>
      </c>
      <c r="C396" s="838" t="s">
        <v>679</v>
      </c>
      <c r="D396" s="838" t="s">
        <v>234</v>
      </c>
      <c r="E396" s="839">
        <v>45733</v>
      </c>
      <c r="F396" s="838" t="s">
        <v>324</v>
      </c>
      <c r="G396" s="838">
        <v>9</v>
      </c>
      <c r="H396" s="838" t="s">
        <v>21</v>
      </c>
      <c r="I396" s="838" t="s">
        <v>36</v>
      </c>
      <c r="J396" s="21" t="s">
        <v>29</v>
      </c>
      <c r="K396" s="21"/>
      <c r="L396" s="21"/>
      <c r="M396" s="22" t="s">
        <v>30</v>
      </c>
      <c r="N396" s="23">
        <v>45777</v>
      </c>
      <c r="O396" s="21"/>
      <c r="P396" s="22" t="s">
        <v>30</v>
      </c>
      <c r="Q396" s="23">
        <v>45777</v>
      </c>
      <c r="R396" s="79" t="s">
        <v>127</v>
      </c>
      <c r="S396" s="22" t="s">
        <v>32</v>
      </c>
      <c r="T396" s="22">
        <v>9</v>
      </c>
      <c r="U396" s="22" t="s">
        <v>127</v>
      </c>
      <c r="V396" s="23">
        <v>45777</v>
      </c>
      <c r="W396" s="80" t="s">
        <v>30</v>
      </c>
    </row>
    <row r="397" spans="1:23">
      <c r="A397" s="834" t="s">
        <v>24</v>
      </c>
      <c r="B397" s="835">
        <v>394</v>
      </c>
      <c r="C397" s="843" t="s">
        <v>680</v>
      </c>
      <c r="D397" s="843" t="s">
        <v>50</v>
      </c>
      <c r="E397" s="839">
        <v>45735</v>
      </c>
      <c r="F397" s="838" t="s">
        <v>650</v>
      </c>
      <c r="G397" s="838">
        <v>13</v>
      </c>
      <c r="H397" s="838" t="s">
        <v>46</v>
      </c>
      <c r="I397" s="838" t="s">
        <v>47</v>
      </c>
      <c r="J397" s="21" t="s">
        <v>29</v>
      </c>
      <c r="K397" s="21"/>
      <c r="L397" s="21"/>
      <c r="M397" s="22" t="s">
        <v>30</v>
      </c>
      <c r="N397" s="23">
        <v>45755</v>
      </c>
      <c r="O397" s="21"/>
      <c r="P397" s="22" t="s">
        <v>30</v>
      </c>
      <c r="Q397" s="23">
        <v>45755</v>
      </c>
      <c r="R397" s="79" t="s">
        <v>46</v>
      </c>
      <c r="S397" s="22" t="s">
        <v>32</v>
      </c>
      <c r="T397" s="22">
        <v>13</v>
      </c>
      <c r="U397" s="22" t="s">
        <v>46</v>
      </c>
      <c r="V397" s="23">
        <v>45755</v>
      </c>
      <c r="W397" s="80" t="s">
        <v>32</v>
      </c>
    </row>
    <row r="398" spans="1:23">
      <c r="A398" s="834" t="s">
        <v>24</v>
      </c>
      <c r="B398" s="835">
        <v>395</v>
      </c>
      <c r="C398" s="838" t="s">
        <v>681</v>
      </c>
      <c r="D398" s="838" t="s">
        <v>477</v>
      </c>
      <c r="E398" s="844">
        <v>45737</v>
      </c>
      <c r="F398" s="838" t="s">
        <v>272</v>
      </c>
      <c r="G398" s="838">
        <v>18</v>
      </c>
      <c r="H398" s="838" t="s">
        <v>21</v>
      </c>
      <c r="I398" s="838" t="s">
        <v>36</v>
      </c>
      <c r="J398" s="21" t="s">
        <v>29</v>
      </c>
      <c r="K398" s="21"/>
      <c r="L398" s="21"/>
      <c r="M398" s="22" t="s">
        <v>30</v>
      </c>
      <c r="N398" s="23">
        <v>45777</v>
      </c>
      <c r="O398" s="21" t="s">
        <v>31</v>
      </c>
      <c r="P398" s="22" t="s">
        <v>30</v>
      </c>
      <c r="Q398" s="23">
        <v>45777</v>
      </c>
      <c r="R398" s="79" t="s">
        <v>127</v>
      </c>
      <c r="S398" s="22" t="s">
        <v>32</v>
      </c>
      <c r="T398" s="22">
        <v>18</v>
      </c>
      <c r="U398" s="24" t="s">
        <v>127</v>
      </c>
      <c r="V398" s="23">
        <v>45777</v>
      </c>
      <c r="W398" s="80" t="s">
        <v>30</v>
      </c>
    </row>
    <row r="399" spans="1:23">
      <c r="A399" s="834" t="s">
        <v>24</v>
      </c>
      <c r="B399" s="835">
        <v>396</v>
      </c>
      <c r="C399" s="838" t="s">
        <v>682</v>
      </c>
      <c r="D399" s="838" t="s">
        <v>43</v>
      </c>
      <c r="E399" s="844">
        <v>45737</v>
      </c>
      <c r="F399" s="838" t="s">
        <v>683</v>
      </c>
      <c r="G399" s="838">
        <v>13</v>
      </c>
      <c r="H399" s="838" t="s">
        <v>21</v>
      </c>
      <c r="I399" s="838" t="s">
        <v>36</v>
      </c>
      <c r="J399" s="21" t="s">
        <v>29</v>
      </c>
      <c r="K399" s="21" t="s">
        <v>647</v>
      </c>
      <c r="L399" s="21"/>
      <c r="M399" s="22"/>
      <c r="N399" s="23"/>
      <c r="O399" s="21"/>
      <c r="P399" s="22"/>
      <c r="Q399" s="23"/>
      <c r="R399" s="79" t="s">
        <v>127</v>
      </c>
      <c r="S399" s="22"/>
      <c r="T399" s="22"/>
      <c r="U399" s="24"/>
      <c r="V399" s="23"/>
      <c r="W399" s="80" t="s">
        <v>32</v>
      </c>
    </row>
    <row r="400" spans="1:23">
      <c r="A400" s="834" t="s">
        <v>24</v>
      </c>
      <c r="B400" s="835">
        <v>397</v>
      </c>
      <c r="C400" s="838" t="s">
        <v>684</v>
      </c>
      <c r="D400" s="838" t="s">
        <v>477</v>
      </c>
      <c r="E400" s="844">
        <v>45737</v>
      </c>
      <c r="F400" s="838" t="s">
        <v>199</v>
      </c>
      <c r="G400" s="838">
        <v>18</v>
      </c>
      <c r="H400" s="838" t="s">
        <v>46</v>
      </c>
      <c r="I400" s="838" t="s">
        <v>47</v>
      </c>
      <c r="J400" s="21" t="s">
        <v>237</v>
      </c>
      <c r="K400" s="21"/>
      <c r="L400" s="21"/>
      <c r="M400" s="22" t="s">
        <v>30</v>
      </c>
      <c r="N400" s="23">
        <v>45771</v>
      </c>
      <c r="O400" s="21" t="s">
        <v>31</v>
      </c>
      <c r="P400" s="22" t="s">
        <v>30</v>
      </c>
      <c r="Q400" s="23">
        <v>45771</v>
      </c>
      <c r="R400" s="79" t="s">
        <v>46</v>
      </c>
      <c r="S400" s="22" t="s">
        <v>32</v>
      </c>
      <c r="T400" s="22">
        <v>21</v>
      </c>
      <c r="U400" s="24" t="s">
        <v>46</v>
      </c>
      <c r="V400" s="23">
        <v>45771</v>
      </c>
      <c r="W400" s="80" t="s">
        <v>32</v>
      </c>
    </row>
    <row r="401" spans="1:23">
      <c r="A401" s="834" t="s">
        <v>24</v>
      </c>
      <c r="B401" s="835">
        <v>398</v>
      </c>
      <c r="C401" s="838" t="s">
        <v>685</v>
      </c>
      <c r="D401" s="838" t="s">
        <v>34</v>
      </c>
      <c r="E401" s="844">
        <v>45737</v>
      </c>
      <c r="F401" s="838" t="s">
        <v>245</v>
      </c>
      <c r="G401" s="838">
        <v>9</v>
      </c>
      <c r="H401" s="838" t="s">
        <v>46</v>
      </c>
      <c r="I401" s="838" t="s">
        <v>47</v>
      </c>
      <c r="J401" s="21" t="s">
        <v>29</v>
      </c>
      <c r="K401" s="21"/>
      <c r="L401" s="21"/>
      <c r="M401" s="22" t="s">
        <v>30</v>
      </c>
      <c r="N401" s="23">
        <v>45769</v>
      </c>
      <c r="O401" s="21"/>
      <c r="P401" s="22" t="s">
        <v>30</v>
      </c>
      <c r="Q401" s="23">
        <v>45769</v>
      </c>
      <c r="R401" s="79" t="s">
        <v>46</v>
      </c>
      <c r="S401" s="22" t="s">
        <v>32</v>
      </c>
      <c r="T401" s="22">
        <v>9</v>
      </c>
      <c r="U401" s="22" t="s">
        <v>46</v>
      </c>
      <c r="V401" s="23">
        <v>45769</v>
      </c>
      <c r="W401" s="80" t="s">
        <v>32</v>
      </c>
    </row>
    <row r="402" spans="1:23">
      <c r="A402" s="834" t="s">
        <v>24</v>
      </c>
      <c r="B402" s="835">
        <v>399</v>
      </c>
      <c r="C402" s="838" t="s">
        <v>686</v>
      </c>
      <c r="D402" s="838" t="s">
        <v>34</v>
      </c>
      <c r="E402" s="844">
        <v>45738</v>
      </c>
      <c r="F402" s="838" t="s">
        <v>35</v>
      </c>
      <c r="G402" s="838">
        <v>11</v>
      </c>
      <c r="H402" s="838" t="s">
        <v>21</v>
      </c>
      <c r="I402" s="838" t="s">
        <v>36</v>
      </c>
      <c r="J402" s="21" t="s">
        <v>29</v>
      </c>
      <c r="K402" s="21"/>
      <c r="L402" s="21"/>
      <c r="M402" s="22" t="s">
        <v>30</v>
      </c>
      <c r="N402" s="23">
        <v>45777</v>
      </c>
      <c r="O402" s="21"/>
      <c r="P402" s="22" t="s">
        <v>30</v>
      </c>
      <c r="Q402" s="23">
        <v>45777</v>
      </c>
      <c r="R402" s="79" t="s">
        <v>127</v>
      </c>
      <c r="S402" s="22" t="s">
        <v>32</v>
      </c>
      <c r="T402" s="22">
        <v>11</v>
      </c>
      <c r="U402" s="22" t="s">
        <v>127</v>
      </c>
      <c r="V402" s="23">
        <v>45777</v>
      </c>
      <c r="W402" s="80" t="s">
        <v>30</v>
      </c>
    </row>
    <row r="403" spans="1:23">
      <c r="A403" s="834" t="s">
        <v>24</v>
      </c>
      <c r="B403" s="835">
        <v>400</v>
      </c>
      <c r="C403" s="838" t="s">
        <v>687</v>
      </c>
      <c r="D403" s="838" t="s">
        <v>34</v>
      </c>
      <c r="E403" s="844">
        <v>45738</v>
      </c>
      <c r="F403" s="838" t="s">
        <v>688</v>
      </c>
      <c r="G403" s="838">
        <v>13</v>
      </c>
      <c r="H403" s="838" t="s">
        <v>21</v>
      </c>
      <c r="I403" s="838" t="s">
        <v>36</v>
      </c>
      <c r="J403" s="21" t="s">
        <v>29</v>
      </c>
      <c r="K403" s="21"/>
      <c r="L403" s="21"/>
      <c r="M403" s="22" t="s">
        <v>30</v>
      </c>
      <c r="N403" s="23">
        <v>45777</v>
      </c>
      <c r="O403" s="21"/>
      <c r="P403" s="22" t="s">
        <v>30</v>
      </c>
      <c r="Q403" s="23">
        <v>45777</v>
      </c>
      <c r="R403" s="79" t="s">
        <v>127</v>
      </c>
      <c r="S403" s="22" t="s">
        <v>32</v>
      </c>
      <c r="T403" s="22">
        <v>13</v>
      </c>
      <c r="U403" s="24" t="s">
        <v>127</v>
      </c>
      <c r="V403" s="23">
        <v>45777</v>
      </c>
      <c r="W403" s="80" t="s">
        <v>32</v>
      </c>
    </row>
    <row r="404" spans="1:23">
      <c r="A404" s="834" t="s">
        <v>24</v>
      </c>
      <c r="B404" s="835">
        <v>401</v>
      </c>
      <c r="C404" s="838" t="s">
        <v>689</v>
      </c>
      <c r="D404" s="838" t="s">
        <v>34</v>
      </c>
      <c r="E404" s="844">
        <v>45738</v>
      </c>
      <c r="F404" s="838" t="s">
        <v>690</v>
      </c>
      <c r="G404" s="838">
        <v>13</v>
      </c>
      <c r="H404" s="838" t="s">
        <v>21</v>
      </c>
      <c r="I404" s="838" t="s">
        <v>36</v>
      </c>
      <c r="J404" s="21" t="s">
        <v>29</v>
      </c>
      <c r="K404" s="21"/>
      <c r="L404" s="21"/>
      <c r="M404" s="22" t="s">
        <v>30</v>
      </c>
      <c r="N404" s="23">
        <v>45777</v>
      </c>
      <c r="O404" s="21"/>
      <c r="P404" s="22" t="s">
        <v>30</v>
      </c>
      <c r="Q404" s="23">
        <v>45777</v>
      </c>
      <c r="R404" s="79" t="s">
        <v>127</v>
      </c>
      <c r="S404" s="22" t="s">
        <v>32</v>
      </c>
      <c r="T404" s="22">
        <v>13</v>
      </c>
      <c r="U404" s="24" t="s">
        <v>127</v>
      </c>
      <c r="V404" s="23">
        <v>45777</v>
      </c>
      <c r="W404" s="80" t="s">
        <v>30</v>
      </c>
    </row>
    <row r="405" spans="1:23">
      <c r="A405" s="834" t="s">
        <v>24</v>
      </c>
      <c r="B405" s="835">
        <v>402</v>
      </c>
      <c r="C405" s="838" t="s">
        <v>691</v>
      </c>
      <c r="D405" s="838" t="s">
        <v>34</v>
      </c>
      <c r="E405" s="844">
        <v>45738</v>
      </c>
      <c r="F405" s="838" t="s">
        <v>692</v>
      </c>
      <c r="G405" s="838">
        <v>19</v>
      </c>
      <c r="H405" s="838" t="s">
        <v>21</v>
      </c>
      <c r="I405" s="838" t="s">
        <v>36</v>
      </c>
      <c r="J405" s="21" t="s">
        <v>29</v>
      </c>
      <c r="K405" s="21"/>
      <c r="L405" s="21"/>
      <c r="M405" s="22" t="s">
        <v>30</v>
      </c>
      <c r="N405" s="23">
        <v>45750</v>
      </c>
      <c r="O405" s="21" t="s">
        <v>31</v>
      </c>
      <c r="P405" s="22" t="s">
        <v>30</v>
      </c>
      <c r="Q405" s="23">
        <v>45750</v>
      </c>
      <c r="R405" s="79" t="s">
        <v>21</v>
      </c>
      <c r="S405" s="22" t="s">
        <v>32</v>
      </c>
      <c r="T405" s="22">
        <v>19</v>
      </c>
      <c r="U405" s="24" t="s">
        <v>21</v>
      </c>
      <c r="V405" s="23">
        <v>45750</v>
      </c>
      <c r="W405" s="80" t="s">
        <v>30</v>
      </c>
    </row>
    <row r="406" spans="1:23">
      <c r="A406" s="834" t="s">
        <v>24</v>
      </c>
      <c r="B406" s="835">
        <v>403</v>
      </c>
      <c r="C406" s="838" t="s">
        <v>693</v>
      </c>
      <c r="D406" s="838" t="s">
        <v>34</v>
      </c>
      <c r="E406" s="844">
        <v>45738</v>
      </c>
      <c r="F406" s="838" t="s">
        <v>683</v>
      </c>
      <c r="G406" s="838">
        <v>12</v>
      </c>
      <c r="H406" s="838" t="s">
        <v>21</v>
      </c>
      <c r="I406" s="838" t="s">
        <v>36</v>
      </c>
      <c r="J406" s="21" t="s">
        <v>29</v>
      </c>
      <c r="K406" s="21"/>
      <c r="L406" s="21"/>
      <c r="M406" s="22" t="s">
        <v>30</v>
      </c>
      <c r="N406" s="23">
        <v>45754</v>
      </c>
      <c r="O406" s="21"/>
      <c r="P406" s="22" t="s">
        <v>30</v>
      </c>
      <c r="Q406" s="23">
        <v>45754</v>
      </c>
      <c r="R406" s="79" t="s">
        <v>21</v>
      </c>
      <c r="S406" s="22" t="s">
        <v>32</v>
      </c>
      <c r="T406" s="22">
        <v>12</v>
      </c>
      <c r="U406" s="24" t="s">
        <v>21</v>
      </c>
      <c r="V406" s="23">
        <v>45754</v>
      </c>
      <c r="W406" s="80" t="s">
        <v>30</v>
      </c>
    </row>
    <row r="407" spans="1:23">
      <c r="A407" s="834" t="s">
        <v>24</v>
      </c>
      <c r="B407" s="835">
        <v>404</v>
      </c>
      <c r="C407" s="838" t="s">
        <v>694</v>
      </c>
      <c r="D407" s="838" t="s">
        <v>34</v>
      </c>
      <c r="E407" s="844">
        <v>45738</v>
      </c>
      <c r="F407" s="838" t="s">
        <v>695</v>
      </c>
      <c r="G407" s="838">
        <v>14</v>
      </c>
      <c r="H407" s="838" t="s">
        <v>21</v>
      </c>
      <c r="I407" s="838" t="s">
        <v>36</v>
      </c>
      <c r="J407" s="21" t="s">
        <v>29</v>
      </c>
      <c r="K407" s="21"/>
      <c r="L407" s="21"/>
      <c r="M407" s="22" t="s">
        <v>30</v>
      </c>
      <c r="N407" s="23">
        <v>45758</v>
      </c>
      <c r="O407" s="21"/>
      <c r="P407" s="22" t="s">
        <v>30</v>
      </c>
      <c r="Q407" s="23">
        <v>45758</v>
      </c>
      <c r="R407" s="79" t="s">
        <v>21</v>
      </c>
      <c r="S407" s="22" t="s">
        <v>32</v>
      </c>
      <c r="T407" s="22">
        <v>14</v>
      </c>
      <c r="U407" s="22" t="s">
        <v>21</v>
      </c>
      <c r="V407" s="23">
        <v>45758</v>
      </c>
      <c r="W407" s="80" t="s">
        <v>30</v>
      </c>
    </row>
    <row r="408" spans="1:23">
      <c r="A408" s="834" t="s">
        <v>24</v>
      </c>
      <c r="B408" s="835">
        <v>405</v>
      </c>
      <c r="C408" s="845" t="s">
        <v>696</v>
      </c>
      <c r="D408" s="845" t="s">
        <v>64</v>
      </c>
      <c r="E408" s="839">
        <v>45738</v>
      </c>
      <c r="F408" s="838" t="s">
        <v>272</v>
      </c>
      <c r="G408" s="838">
        <v>20</v>
      </c>
      <c r="H408" s="838" t="s">
        <v>21</v>
      </c>
      <c r="I408" s="838" t="s">
        <v>36</v>
      </c>
      <c r="J408" s="21" t="s">
        <v>29</v>
      </c>
      <c r="K408" s="21"/>
      <c r="L408" s="21"/>
      <c r="M408" s="24" t="s">
        <v>30</v>
      </c>
      <c r="N408" s="23">
        <v>45771</v>
      </c>
      <c r="O408" s="21" t="s">
        <v>31</v>
      </c>
      <c r="P408" s="24" t="s">
        <v>30</v>
      </c>
      <c r="Q408" s="23">
        <v>45771</v>
      </c>
      <c r="R408" s="79" t="s">
        <v>21</v>
      </c>
      <c r="S408" s="22" t="s">
        <v>32</v>
      </c>
      <c r="T408" s="22">
        <v>20</v>
      </c>
      <c r="U408" s="22" t="s">
        <v>21</v>
      </c>
      <c r="V408" s="23">
        <v>45771</v>
      </c>
      <c r="W408" s="80" t="s">
        <v>32</v>
      </c>
    </row>
    <row r="409" spans="1:23">
      <c r="A409" s="834" t="s">
        <v>24</v>
      </c>
      <c r="B409" s="835">
        <v>406</v>
      </c>
      <c r="C409" s="838" t="s">
        <v>697</v>
      </c>
      <c r="D409" s="838" t="s">
        <v>34</v>
      </c>
      <c r="E409" s="839">
        <v>45738</v>
      </c>
      <c r="F409" s="838" t="s">
        <v>698</v>
      </c>
      <c r="G409" s="838">
        <v>11</v>
      </c>
      <c r="H409" s="838" t="s">
        <v>21</v>
      </c>
      <c r="I409" s="838" t="s">
        <v>36</v>
      </c>
      <c r="J409" s="21" t="s">
        <v>29</v>
      </c>
      <c r="K409" s="21"/>
      <c r="L409" s="21"/>
      <c r="M409" s="22" t="s">
        <v>30</v>
      </c>
      <c r="N409" s="23">
        <v>45757</v>
      </c>
      <c r="O409" s="21"/>
      <c r="P409" s="22" t="s">
        <v>30</v>
      </c>
      <c r="Q409" s="23">
        <v>45757</v>
      </c>
      <c r="R409" s="79" t="s">
        <v>21</v>
      </c>
      <c r="S409" s="22" t="s">
        <v>32</v>
      </c>
      <c r="T409" s="22">
        <v>11</v>
      </c>
      <c r="U409" s="22" t="s">
        <v>21</v>
      </c>
      <c r="V409" s="23">
        <v>45757</v>
      </c>
      <c r="W409" s="80" t="s">
        <v>30</v>
      </c>
    </row>
    <row r="410" spans="1:23">
      <c r="A410" s="834" t="s">
        <v>24</v>
      </c>
      <c r="B410" s="835">
        <v>407</v>
      </c>
      <c r="C410" s="838" t="s">
        <v>699</v>
      </c>
      <c r="D410" s="838" t="s">
        <v>34</v>
      </c>
      <c r="E410" s="839">
        <v>45738</v>
      </c>
      <c r="F410" s="838" t="s">
        <v>698</v>
      </c>
      <c r="G410" s="838">
        <v>5</v>
      </c>
      <c r="H410" s="838" t="s">
        <v>21</v>
      </c>
      <c r="I410" s="838" t="s">
        <v>36</v>
      </c>
      <c r="J410" s="21" t="s">
        <v>29</v>
      </c>
      <c r="K410" s="21"/>
      <c r="L410" s="21"/>
      <c r="M410" s="22" t="s">
        <v>30</v>
      </c>
      <c r="N410" s="23">
        <v>45754</v>
      </c>
      <c r="O410" s="21"/>
      <c r="P410" s="22" t="s">
        <v>30</v>
      </c>
      <c r="Q410" s="23">
        <v>45754</v>
      </c>
      <c r="R410" s="79" t="s">
        <v>21</v>
      </c>
      <c r="S410" s="22" t="s">
        <v>32</v>
      </c>
      <c r="T410" s="22">
        <v>5</v>
      </c>
      <c r="U410" s="22" t="s">
        <v>21</v>
      </c>
      <c r="V410" s="23">
        <v>45754</v>
      </c>
      <c r="W410" s="80" t="s">
        <v>30</v>
      </c>
    </row>
    <row r="411" spans="1:23">
      <c r="A411" s="834" t="s">
        <v>24</v>
      </c>
      <c r="B411" s="835">
        <v>408</v>
      </c>
      <c r="C411" s="838" t="s">
        <v>700</v>
      </c>
      <c r="D411" s="838" t="s">
        <v>34</v>
      </c>
      <c r="E411" s="839">
        <v>45738</v>
      </c>
      <c r="F411" s="838" t="s">
        <v>701</v>
      </c>
      <c r="G411" s="838">
        <v>9</v>
      </c>
      <c r="H411" s="838" t="s">
        <v>22</v>
      </c>
      <c r="I411" s="838" t="s">
        <v>28</v>
      </c>
      <c r="J411" s="21" t="s">
        <v>29</v>
      </c>
      <c r="K411" s="21"/>
      <c r="L411" s="21"/>
      <c r="M411" s="22" t="s">
        <v>30</v>
      </c>
      <c r="N411" s="23">
        <v>45756</v>
      </c>
      <c r="O411" s="21"/>
      <c r="P411" s="22" t="s">
        <v>30</v>
      </c>
      <c r="Q411" s="23">
        <v>45756</v>
      </c>
      <c r="R411" s="79" t="s">
        <v>28</v>
      </c>
      <c r="S411" s="22" t="s">
        <v>32</v>
      </c>
      <c r="T411" s="22">
        <v>9</v>
      </c>
      <c r="U411" s="22" t="s">
        <v>28</v>
      </c>
      <c r="V411" s="23">
        <v>45756</v>
      </c>
      <c r="W411" s="80" t="s">
        <v>30</v>
      </c>
    </row>
    <row r="412" spans="1:23">
      <c r="A412" s="834" t="s">
        <v>24</v>
      </c>
      <c r="B412" s="835">
        <v>409</v>
      </c>
      <c r="C412" s="838" t="s">
        <v>702</v>
      </c>
      <c r="D412" s="838" t="s">
        <v>34</v>
      </c>
      <c r="E412" s="839">
        <v>45738</v>
      </c>
      <c r="F412" s="838" t="s">
        <v>206</v>
      </c>
      <c r="G412" s="838">
        <v>17</v>
      </c>
      <c r="H412" s="842" t="s">
        <v>22</v>
      </c>
      <c r="I412" s="838" t="s">
        <v>28</v>
      </c>
      <c r="J412" s="21" t="s">
        <v>29</v>
      </c>
      <c r="K412" s="21"/>
      <c r="L412" s="21"/>
      <c r="M412" s="22" t="s">
        <v>30</v>
      </c>
      <c r="N412" s="23">
        <v>45757</v>
      </c>
      <c r="O412" s="21" t="s">
        <v>31</v>
      </c>
      <c r="P412" s="22" t="s">
        <v>30</v>
      </c>
      <c r="Q412" s="23">
        <v>45757</v>
      </c>
      <c r="R412" s="79" t="s">
        <v>28</v>
      </c>
      <c r="S412" s="22" t="s">
        <v>32</v>
      </c>
      <c r="T412" s="22">
        <v>17</v>
      </c>
      <c r="U412" s="22" t="s">
        <v>28</v>
      </c>
      <c r="V412" s="23">
        <v>45757</v>
      </c>
      <c r="W412" s="80" t="s">
        <v>30</v>
      </c>
    </row>
    <row r="413" spans="1:23">
      <c r="A413" s="834" t="s">
        <v>24</v>
      </c>
      <c r="B413" s="835">
        <v>410</v>
      </c>
      <c r="C413" s="838" t="s">
        <v>703</v>
      </c>
      <c r="D413" s="838" t="s">
        <v>57</v>
      </c>
      <c r="E413" s="839">
        <v>45738</v>
      </c>
      <c r="F413" s="838" t="s">
        <v>412</v>
      </c>
      <c r="G413" s="838">
        <v>11</v>
      </c>
      <c r="H413" s="842" t="s">
        <v>46</v>
      </c>
      <c r="I413" s="838" t="s">
        <v>47</v>
      </c>
      <c r="J413" s="21" t="s">
        <v>29</v>
      </c>
      <c r="K413" s="21"/>
      <c r="L413" s="21"/>
      <c r="M413" s="22" t="s">
        <v>30</v>
      </c>
      <c r="N413" s="23">
        <v>45761</v>
      </c>
      <c r="O413" s="21"/>
      <c r="P413" s="22" t="s">
        <v>30</v>
      </c>
      <c r="Q413" s="23">
        <v>45761</v>
      </c>
      <c r="R413" s="79" t="s">
        <v>46</v>
      </c>
      <c r="S413" s="22" t="s">
        <v>32</v>
      </c>
      <c r="T413" s="22">
        <v>11</v>
      </c>
      <c r="U413" s="22" t="s">
        <v>46</v>
      </c>
      <c r="V413" s="23">
        <v>45761</v>
      </c>
      <c r="W413" s="80" t="s">
        <v>30</v>
      </c>
    </row>
    <row r="414" spans="1:23">
      <c r="A414" s="834" t="s">
        <v>24</v>
      </c>
      <c r="B414" s="835">
        <v>411</v>
      </c>
      <c r="C414" s="838" t="s">
        <v>704</v>
      </c>
      <c r="D414" s="838" t="s">
        <v>34</v>
      </c>
      <c r="E414" s="839">
        <v>45740</v>
      </c>
      <c r="F414" s="838" t="s">
        <v>705</v>
      </c>
      <c r="G414" s="838">
        <v>12</v>
      </c>
      <c r="H414" s="842" t="s">
        <v>21</v>
      </c>
      <c r="I414" s="838" t="s">
        <v>36</v>
      </c>
      <c r="J414" s="21" t="s">
        <v>29</v>
      </c>
      <c r="K414" s="21"/>
      <c r="L414" s="21"/>
      <c r="M414" s="22" t="s">
        <v>30</v>
      </c>
      <c r="N414" s="23">
        <v>45749</v>
      </c>
      <c r="O414" s="21"/>
      <c r="P414" s="22" t="s">
        <v>30</v>
      </c>
      <c r="Q414" s="23">
        <v>45749</v>
      </c>
      <c r="R414" s="79" t="s">
        <v>21</v>
      </c>
      <c r="S414" s="22" t="s">
        <v>32</v>
      </c>
      <c r="T414" s="22">
        <v>12</v>
      </c>
      <c r="U414" s="24" t="s">
        <v>21</v>
      </c>
      <c r="V414" s="23">
        <v>45749</v>
      </c>
      <c r="W414" s="80" t="s">
        <v>30</v>
      </c>
    </row>
    <row r="415" spans="1:23">
      <c r="A415" s="834" t="s">
        <v>24</v>
      </c>
      <c r="B415" s="835">
        <v>412</v>
      </c>
      <c r="C415" s="838" t="s">
        <v>706</v>
      </c>
      <c r="D415" s="838" t="s">
        <v>102</v>
      </c>
      <c r="E415" s="839">
        <v>45740</v>
      </c>
      <c r="F415" s="838" t="s">
        <v>707</v>
      </c>
      <c r="G415" s="838">
        <v>13</v>
      </c>
      <c r="H415" s="842" t="s">
        <v>21</v>
      </c>
      <c r="I415" s="838" t="s">
        <v>36</v>
      </c>
      <c r="J415" s="21" t="s">
        <v>29</v>
      </c>
      <c r="K415" s="21"/>
      <c r="L415" s="21"/>
      <c r="M415" s="22" t="s">
        <v>30</v>
      </c>
      <c r="N415" s="23">
        <v>45755</v>
      </c>
      <c r="O415" s="21"/>
      <c r="P415" s="22" t="s">
        <v>30</v>
      </c>
      <c r="Q415" s="23">
        <v>45755</v>
      </c>
      <c r="R415" s="79" t="s">
        <v>21</v>
      </c>
      <c r="S415" s="22" t="s">
        <v>32</v>
      </c>
      <c r="T415" s="22">
        <v>13</v>
      </c>
      <c r="U415" s="24" t="s">
        <v>708</v>
      </c>
      <c r="V415" s="23">
        <v>45755</v>
      </c>
      <c r="W415" s="80" t="s">
        <v>30</v>
      </c>
    </row>
    <row r="416" spans="1:23">
      <c r="A416" s="834" t="s">
        <v>24</v>
      </c>
      <c r="B416" s="835">
        <v>413</v>
      </c>
      <c r="C416" s="838" t="s">
        <v>709</v>
      </c>
      <c r="D416" s="838" t="s">
        <v>477</v>
      </c>
      <c r="E416" s="839">
        <v>45736</v>
      </c>
      <c r="F416" s="838" t="s">
        <v>272</v>
      </c>
      <c r="G416" s="838">
        <v>18</v>
      </c>
      <c r="H416" s="838" t="s">
        <v>21</v>
      </c>
      <c r="I416" s="838" t="s">
        <v>36</v>
      </c>
      <c r="J416" s="21" t="s">
        <v>29</v>
      </c>
      <c r="K416" s="21"/>
      <c r="L416" s="21"/>
      <c r="M416" s="22" t="s">
        <v>30</v>
      </c>
      <c r="N416" s="23">
        <v>45754</v>
      </c>
      <c r="O416" s="21" t="s">
        <v>31</v>
      </c>
      <c r="P416" s="22" t="s">
        <v>30</v>
      </c>
      <c r="Q416" s="23">
        <v>45754</v>
      </c>
      <c r="R416" s="79" t="s">
        <v>21</v>
      </c>
      <c r="S416" s="22" t="s">
        <v>32</v>
      </c>
      <c r="T416" s="22">
        <v>14</v>
      </c>
      <c r="U416" s="22" t="s">
        <v>21</v>
      </c>
      <c r="V416" s="23">
        <v>45754</v>
      </c>
      <c r="W416" s="80" t="s">
        <v>30</v>
      </c>
    </row>
    <row r="417" spans="1:23">
      <c r="A417" s="834" t="s">
        <v>24</v>
      </c>
      <c r="B417" s="835">
        <v>414</v>
      </c>
      <c r="C417" s="838" t="s">
        <v>710</v>
      </c>
      <c r="D417" s="838" t="s">
        <v>711</v>
      </c>
      <c r="E417" s="839">
        <v>45740</v>
      </c>
      <c r="F417" s="838" t="s">
        <v>395</v>
      </c>
      <c r="G417" s="838">
        <v>18</v>
      </c>
      <c r="H417" s="838" t="s">
        <v>22</v>
      </c>
      <c r="I417" s="838" t="s">
        <v>28</v>
      </c>
      <c r="J417" s="21" t="s">
        <v>29</v>
      </c>
      <c r="K417" s="21" t="s">
        <v>647</v>
      </c>
      <c r="L417" s="21"/>
      <c r="M417" s="22"/>
      <c r="N417" s="23"/>
      <c r="O417" s="21" t="s">
        <v>31</v>
      </c>
      <c r="P417" s="22"/>
      <c r="Q417" s="23"/>
      <c r="R417" s="79" t="s">
        <v>28</v>
      </c>
      <c r="S417" s="22"/>
      <c r="T417" s="22"/>
      <c r="U417" s="24"/>
      <c r="V417" s="23"/>
      <c r="W417" s="80" t="s">
        <v>32</v>
      </c>
    </row>
    <row r="418" spans="1:23">
      <c r="A418" s="834" t="s">
        <v>24</v>
      </c>
      <c r="B418" s="835">
        <v>415</v>
      </c>
      <c r="C418" s="838" t="s">
        <v>712</v>
      </c>
      <c r="D418" s="838" t="s">
        <v>102</v>
      </c>
      <c r="E418" s="839">
        <v>45740</v>
      </c>
      <c r="F418" s="838" t="s">
        <v>430</v>
      </c>
      <c r="G418" s="838">
        <v>10</v>
      </c>
      <c r="H418" s="842" t="s">
        <v>46</v>
      </c>
      <c r="I418" s="838" t="s">
        <v>47</v>
      </c>
      <c r="J418" s="21" t="s">
        <v>29</v>
      </c>
      <c r="K418" s="21"/>
      <c r="L418" s="21"/>
      <c r="M418" s="22" t="s">
        <v>30</v>
      </c>
      <c r="N418" s="23">
        <v>45757</v>
      </c>
      <c r="O418" s="21"/>
      <c r="P418" s="22" t="s">
        <v>30</v>
      </c>
      <c r="Q418" s="23">
        <v>45757</v>
      </c>
      <c r="R418" s="79" t="s">
        <v>46</v>
      </c>
      <c r="S418" s="22" t="s">
        <v>32</v>
      </c>
      <c r="T418" s="22">
        <v>10</v>
      </c>
      <c r="U418" s="24" t="s">
        <v>46</v>
      </c>
      <c r="V418" s="23">
        <v>45757</v>
      </c>
      <c r="W418" s="80" t="s">
        <v>30</v>
      </c>
    </row>
    <row r="419" spans="1:23">
      <c r="A419" s="834" t="s">
        <v>24</v>
      </c>
      <c r="B419" s="835">
        <v>416</v>
      </c>
      <c r="C419" s="838" t="s">
        <v>713</v>
      </c>
      <c r="D419" s="838" t="s">
        <v>34</v>
      </c>
      <c r="E419" s="839">
        <v>45741</v>
      </c>
      <c r="F419" s="838" t="s">
        <v>500</v>
      </c>
      <c r="G419" s="838">
        <v>9</v>
      </c>
      <c r="H419" s="842" t="s">
        <v>46</v>
      </c>
      <c r="I419" s="838" t="s">
        <v>47</v>
      </c>
      <c r="J419" s="21" t="s">
        <v>29</v>
      </c>
      <c r="K419" s="21"/>
      <c r="L419" s="21"/>
      <c r="M419" s="22" t="s">
        <v>30</v>
      </c>
      <c r="N419" s="23">
        <v>45762</v>
      </c>
      <c r="O419" s="21"/>
      <c r="P419" s="22" t="s">
        <v>30</v>
      </c>
      <c r="Q419" s="23">
        <v>45762</v>
      </c>
      <c r="R419" s="79" t="s">
        <v>46</v>
      </c>
      <c r="S419" s="22" t="s">
        <v>32</v>
      </c>
      <c r="T419" s="22">
        <v>9</v>
      </c>
      <c r="U419" s="24" t="s">
        <v>46</v>
      </c>
      <c r="V419" s="23">
        <v>45762</v>
      </c>
      <c r="W419" s="80" t="s">
        <v>30</v>
      </c>
    </row>
    <row r="420" spans="1:23">
      <c r="A420" s="834" t="s">
        <v>24</v>
      </c>
      <c r="B420" s="835">
        <v>417</v>
      </c>
      <c r="C420" s="838" t="s">
        <v>714</v>
      </c>
      <c r="D420" s="838" t="s">
        <v>34</v>
      </c>
      <c r="E420" s="839">
        <v>45741</v>
      </c>
      <c r="F420" s="838" t="s">
        <v>500</v>
      </c>
      <c r="G420" s="838">
        <v>4</v>
      </c>
      <c r="H420" s="838" t="s">
        <v>46</v>
      </c>
      <c r="I420" s="838" t="s">
        <v>47</v>
      </c>
      <c r="J420" s="21" t="s">
        <v>29</v>
      </c>
      <c r="K420" s="21"/>
      <c r="L420" s="21"/>
      <c r="M420" s="22" t="s">
        <v>30</v>
      </c>
      <c r="N420" s="23">
        <v>45762</v>
      </c>
      <c r="O420" s="21"/>
      <c r="P420" s="22" t="s">
        <v>30</v>
      </c>
      <c r="Q420" s="23">
        <v>45762</v>
      </c>
      <c r="R420" s="79" t="s">
        <v>46</v>
      </c>
      <c r="S420" s="22" t="s">
        <v>32</v>
      </c>
      <c r="T420" s="22">
        <v>4</v>
      </c>
      <c r="U420" s="24" t="s">
        <v>46</v>
      </c>
      <c r="V420" s="23">
        <v>45762</v>
      </c>
      <c r="W420" s="80" t="s">
        <v>30</v>
      </c>
    </row>
    <row r="421" spans="1:23">
      <c r="A421" s="834" t="s">
        <v>24</v>
      </c>
      <c r="B421" s="835">
        <v>418</v>
      </c>
      <c r="C421" s="838" t="s">
        <v>715</v>
      </c>
      <c r="D421" s="838" t="s">
        <v>716</v>
      </c>
      <c r="E421" s="839">
        <v>45741</v>
      </c>
      <c r="F421" s="838" t="s">
        <v>707</v>
      </c>
      <c r="G421" s="838">
        <v>13</v>
      </c>
      <c r="H421" s="838" t="s">
        <v>21</v>
      </c>
      <c r="I421" s="838" t="s">
        <v>36</v>
      </c>
      <c r="J421" s="21" t="s">
        <v>29</v>
      </c>
      <c r="K421" s="21"/>
      <c r="L421" s="21"/>
      <c r="M421" s="22" t="s">
        <v>30</v>
      </c>
      <c r="N421" s="23">
        <v>45771</v>
      </c>
      <c r="O421" s="21"/>
      <c r="P421" s="22" t="s">
        <v>30</v>
      </c>
      <c r="Q421" s="23">
        <v>45771</v>
      </c>
      <c r="R421" s="79" t="s">
        <v>21</v>
      </c>
      <c r="S421" s="22" t="s">
        <v>32</v>
      </c>
      <c r="T421" s="22">
        <v>13</v>
      </c>
      <c r="U421" s="22" t="s">
        <v>21</v>
      </c>
      <c r="V421" s="23">
        <v>45771</v>
      </c>
      <c r="W421" s="80" t="s">
        <v>32</v>
      </c>
    </row>
    <row r="422" spans="1:23">
      <c r="A422" s="834" t="s">
        <v>24</v>
      </c>
      <c r="B422" s="835">
        <v>419</v>
      </c>
      <c r="C422" s="838" t="s">
        <v>717</v>
      </c>
      <c r="D422" s="838" t="s">
        <v>50</v>
      </c>
      <c r="E422" s="839">
        <v>45742</v>
      </c>
      <c r="F422" s="838" t="s">
        <v>718</v>
      </c>
      <c r="G422" s="838">
        <v>10</v>
      </c>
      <c r="H422" s="838" t="s">
        <v>21</v>
      </c>
      <c r="I422" s="838" t="s">
        <v>36</v>
      </c>
      <c r="J422" s="21" t="s">
        <v>29</v>
      </c>
      <c r="K422" s="21"/>
      <c r="L422" s="21"/>
      <c r="M422" s="22" t="s">
        <v>30</v>
      </c>
      <c r="N422" s="23">
        <v>45750</v>
      </c>
      <c r="O422" s="21"/>
      <c r="P422" s="22" t="s">
        <v>30</v>
      </c>
      <c r="Q422" s="23">
        <v>45750</v>
      </c>
      <c r="R422" s="79" t="s">
        <v>21</v>
      </c>
      <c r="S422" s="22" t="s">
        <v>32</v>
      </c>
      <c r="T422" s="22">
        <v>10</v>
      </c>
      <c r="U422" s="22" t="s">
        <v>21</v>
      </c>
      <c r="V422" s="23">
        <v>45750</v>
      </c>
      <c r="W422" s="80" t="s">
        <v>30</v>
      </c>
    </row>
    <row r="423" spans="1:23">
      <c r="A423" s="834" t="s">
        <v>24</v>
      </c>
      <c r="B423" s="835">
        <v>420</v>
      </c>
      <c r="C423" s="838" t="s">
        <v>719</v>
      </c>
      <c r="D423" s="838" t="s">
        <v>43</v>
      </c>
      <c r="E423" s="839">
        <v>45742</v>
      </c>
      <c r="F423" s="838" t="s">
        <v>650</v>
      </c>
      <c r="G423" s="838">
        <v>13</v>
      </c>
      <c r="H423" s="838" t="s">
        <v>46</v>
      </c>
      <c r="I423" s="838" t="s">
        <v>47</v>
      </c>
      <c r="J423" s="21" t="s">
        <v>29</v>
      </c>
      <c r="K423" s="21"/>
      <c r="L423" s="21"/>
      <c r="M423" s="22" t="s">
        <v>30</v>
      </c>
      <c r="N423" s="23">
        <v>45764</v>
      </c>
      <c r="O423" s="21"/>
      <c r="P423" s="22" t="s">
        <v>30</v>
      </c>
      <c r="Q423" s="23">
        <v>45764</v>
      </c>
      <c r="R423" s="79" t="s">
        <v>46</v>
      </c>
      <c r="S423" s="22" t="s">
        <v>32</v>
      </c>
      <c r="T423" s="22">
        <v>13</v>
      </c>
      <c r="U423" s="22" t="s">
        <v>46</v>
      </c>
      <c r="V423" s="23">
        <v>45764</v>
      </c>
      <c r="W423" s="80" t="s">
        <v>32</v>
      </c>
    </row>
    <row r="424" spans="1:23">
      <c r="A424" s="834" t="s">
        <v>24</v>
      </c>
      <c r="B424" s="835">
        <v>421</v>
      </c>
      <c r="C424" s="838" t="s">
        <v>720</v>
      </c>
      <c r="D424" s="838" t="s">
        <v>721</v>
      </c>
      <c r="E424" s="839">
        <v>45742</v>
      </c>
      <c r="F424" s="838" t="s">
        <v>707</v>
      </c>
      <c r="G424" s="838">
        <v>13</v>
      </c>
      <c r="H424" s="838" t="s">
        <v>21</v>
      </c>
      <c r="I424" s="838" t="s">
        <v>36</v>
      </c>
      <c r="J424" s="21" t="s">
        <v>29</v>
      </c>
      <c r="K424" s="21"/>
      <c r="L424" s="21"/>
      <c r="M424" s="22" t="s">
        <v>30</v>
      </c>
      <c r="N424" s="23">
        <v>45756</v>
      </c>
      <c r="O424" s="21"/>
      <c r="P424" s="22" t="s">
        <v>30</v>
      </c>
      <c r="Q424" s="23">
        <v>45756</v>
      </c>
      <c r="R424" s="79" t="s">
        <v>21</v>
      </c>
      <c r="S424" s="22" t="s">
        <v>32</v>
      </c>
      <c r="T424" s="22">
        <v>13</v>
      </c>
      <c r="U424" s="22" t="s">
        <v>21</v>
      </c>
      <c r="V424" s="23">
        <v>45756</v>
      </c>
      <c r="W424" s="80" t="s">
        <v>30</v>
      </c>
    </row>
    <row r="425" spans="1:23">
      <c r="A425" s="834" t="s">
        <v>24</v>
      </c>
      <c r="B425" s="835">
        <v>422</v>
      </c>
      <c r="C425" s="838" t="s">
        <v>105</v>
      </c>
      <c r="D425" s="838" t="s">
        <v>234</v>
      </c>
      <c r="E425" s="839">
        <v>45742</v>
      </c>
      <c r="F425" s="838" t="s">
        <v>722</v>
      </c>
      <c r="G425" s="838">
        <v>14</v>
      </c>
      <c r="H425" s="838" t="s">
        <v>22</v>
      </c>
      <c r="I425" s="838" t="s">
        <v>28</v>
      </c>
      <c r="J425" s="21" t="s">
        <v>29</v>
      </c>
      <c r="K425" s="21" t="s">
        <v>723</v>
      </c>
      <c r="L425" s="21"/>
      <c r="M425" s="22" t="s">
        <v>30</v>
      </c>
      <c r="N425" s="23">
        <v>45777</v>
      </c>
      <c r="O425" s="21"/>
      <c r="P425" s="22" t="s">
        <v>30</v>
      </c>
      <c r="Q425" s="23">
        <v>45777</v>
      </c>
      <c r="R425" s="79" t="s">
        <v>28</v>
      </c>
      <c r="S425" s="22" t="s">
        <v>32</v>
      </c>
      <c r="T425" s="22">
        <v>14</v>
      </c>
      <c r="U425" s="24" t="s">
        <v>28</v>
      </c>
      <c r="V425" s="23">
        <v>45777</v>
      </c>
      <c r="W425" s="80" t="s">
        <v>30</v>
      </c>
    </row>
    <row r="426" spans="1:23">
      <c r="A426" s="834" t="s">
        <v>24</v>
      </c>
      <c r="B426" s="835">
        <v>423</v>
      </c>
      <c r="C426" s="838" t="s">
        <v>107</v>
      </c>
      <c r="D426" s="838" t="s">
        <v>234</v>
      </c>
      <c r="E426" s="839">
        <v>45743</v>
      </c>
      <c r="F426" s="838" t="s">
        <v>722</v>
      </c>
      <c r="G426" s="838">
        <v>13</v>
      </c>
      <c r="H426" s="838" t="s">
        <v>22</v>
      </c>
      <c r="I426" s="838" t="s">
        <v>28</v>
      </c>
      <c r="J426" s="21" t="s">
        <v>29</v>
      </c>
      <c r="K426" s="21" t="s">
        <v>723</v>
      </c>
      <c r="L426" s="21"/>
      <c r="M426" s="22" t="s">
        <v>30</v>
      </c>
      <c r="N426" s="23">
        <v>45777</v>
      </c>
      <c r="O426" s="21"/>
      <c r="P426" s="22" t="s">
        <v>30</v>
      </c>
      <c r="Q426" s="23">
        <v>45777</v>
      </c>
      <c r="R426" s="79" t="s">
        <v>28</v>
      </c>
      <c r="S426" s="22" t="s">
        <v>32</v>
      </c>
      <c r="T426" s="22">
        <v>14</v>
      </c>
      <c r="U426" s="24" t="s">
        <v>28</v>
      </c>
      <c r="V426" s="23">
        <v>45777</v>
      </c>
      <c r="W426" s="80" t="s">
        <v>30</v>
      </c>
    </row>
    <row r="427" spans="1:23">
      <c r="A427" s="834" t="s">
        <v>24</v>
      </c>
      <c r="B427" s="835">
        <v>424</v>
      </c>
      <c r="C427" s="838" t="s">
        <v>724</v>
      </c>
      <c r="D427" s="838" t="s">
        <v>64</v>
      </c>
      <c r="E427" s="839">
        <v>45743</v>
      </c>
      <c r="F427" s="838" t="s">
        <v>718</v>
      </c>
      <c r="G427" s="838">
        <v>10</v>
      </c>
      <c r="H427" s="838" t="s">
        <v>21</v>
      </c>
      <c r="I427" s="838" t="s">
        <v>36</v>
      </c>
      <c r="J427" s="21" t="s">
        <v>29</v>
      </c>
      <c r="K427" s="21"/>
      <c r="L427" s="21"/>
      <c r="M427" s="22" t="s">
        <v>30</v>
      </c>
      <c r="N427" s="23">
        <v>45750</v>
      </c>
      <c r="O427" s="21"/>
      <c r="P427" s="22" t="s">
        <v>30</v>
      </c>
      <c r="Q427" s="23">
        <v>45750</v>
      </c>
      <c r="R427" s="79" t="s">
        <v>21</v>
      </c>
      <c r="S427" s="22" t="s">
        <v>32</v>
      </c>
      <c r="T427" s="22">
        <v>10</v>
      </c>
      <c r="U427" s="22" t="s">
        <v>21</v>
      </c>
      <c r="V427" s="23">
        <v>45750</v>
      </c>
      <c r="W427" s="80" t="s">
        <v>30</v>
      </c>
    </row>
    <row r="428" spans="1:23">
      <c r="A428" s="834" t="s">
        <v>24</v>
      </c>
      <c r="B428" s="835">
        <v>425</v>
      </c>
      <c r="C428" s="838" t="s">
        <v>80</v>
      </c>
      <c r="D428" s="838" t="s">
        <v>34</v>
      </c>
      <c r="E428" s="839">
        <v>45743</v>
      </c>
      <c r="F428" s="838" t="s">
        <v>500</v>
      </c>
      <c r="G428" s="838">
        <v>10</v>
      </c>
      <c r="H428" s="838" t="s">
        <v>46</v>
      </c>
      <c r="I428" s="838" t="s">
        <v>47</v>
      </c>
      <c r="J428" s="21" t="s">
        <v>29</v>
      </c>
      <c r="K428" s="21"/>
      <c r="L428" s="21"/>
      <c r="M428" s="22" t="s">
        <v>30</v>
      </c>
      <c r="N428" s="23">
        <v>45764</v>
      </c>
      <c r="O428" s="21"/>
      <c r="P428" s="22" t="s">
        <v>30</v>
      </c>
      <c r="Q428" s="23">
        <v>45764</v>
      </c>
      <c r="R428" s="79" t="s">
        <v>46</v>
      </c>
      <c r="S428" s="22" t="s">
        <v>32</v>
      </c>
      <c r="T428" s="22">
        <v>10</v>
      </c>
      <c r="U428" s="22" t="s">
        <v>46</v>
      </c>
      <c r="V428" s="23">
        <v>45764</v>
      </c>
      <c r="W428" s="80" t="s">
        <v>30</v>
      </c>
    </row>
    <row r="429" spans="1:23">
      <c r="A429" s="834" t="s">
        <v>24</v>
      </c>
      <c r="B429" s="835">
        <v>426</v>
      </c>
      <c r="C429" s="838" t="s">
        <v>725</v>
      </c>
      <c r="D429" s="838" t="s">
        <v>34</v>
      </c>
      <c r="E429" s="839">
        <v>45743</v>
      </c>
      <c r="F429" s="838" t="s">
        <v>500</v>
      </c>
      <c r="G429" s="838">
        <v>2</v>
      </c>
      <c r="H429" s="838" t="s">
        <v>46</v>
      </c>
      <c r="I429" s="838" t="s">
        <v>47</v>
      </c>
      <c r="J429" s="21" t="s">
        <v>29</v>
      </c>
      <c r="K429" s="21"/>
      <c r="L429" s="21"/>
      <c r="M429" s="22" t="s">
        <v>30</v>
      </c>
      <c r="N429" s="23">
        <v>45768</v>
      </c>
      <c r="O429" s="21"/>
      <c r="P429" s="22" t="s">
        <v>30</v>
      </c>
      <c r="Q429" s="23">
        <v>45768</v>
      </c>
      <c r="R429" s="79" t="s">
        <v>46</v>
      </c>
      <c r="S429" s="22" t="s">
        <v>32</v>
      </c>
      <c r="T429" s="22">
        <v>2</v>
      </c>
      <c r="U429" s="22" t="s">
        <v>46</v>
      </c>
      <c r="V429" s="23">
        <v>45768</v>
      </c>
      <c r="W429" s="80" t="s">
        <v>30</v>
      </c>
    </row>
    <row r="430" spans="1:23">
      <c r="A430" s="834" t="s">
        <v>24</v>
      </c>
      <c r="B430" s="835">
        <v>427</v>
      </c>
      <c r="C430" s="838" t="s">
        <v>726</v>
      </c>
      <c r="D430" s="838" t="s">
        <v>43</v>
      </c>
      <c r="E430" s="839">
        <v>45743</v>
      </c>
      <c r="F430" s="838" t="s">
        <v>707</v>
      </c>
      <c r="G430" s="838">
        <v>13</v>
      </c>
      <c r="H430" s="838" t="s">
        <v>21</v>
      </c>
      <c r="I430" s="838" t="s">
        <v>47</v>
      </c>
      <c r="J430" s="21" t="s">
        <v>29</v>
      </c>
      <c r="K430" s="21"/>
      <c r="L430" s="21"/>
      <c r="M430" s="22" t="s">
        <v>30</v>
      </c>
      <c r="N430" s="23">
        <v>45782</v>
      </c>
      <c r="O430" s="21"/>
      <c r="P430" s="22" t="s">
        <v>30</v>
      </c>
      <c r="Q430" s="23">
        <v>45782</v>
      </c>
      <c r="R430" s="79" t="s">
        <v>21</v>
      </c>
      <c r="S430" s="22" t="s">
        <v>32</v>
      </c>
      <c r="T430" s="22">
        <v>13</v>
      </c>
      <c r="U430" s="22" t="s">
        <v>21</v>
      </c>
      <c r="V430" s="23">
        <v>45782</v>
      </c>
      <c r="W430" s="80" t="s">
        <v>32</v>
      </c>
    </row>
    <row r="431" spans="1:23">
      <c r="A431" s="834" t="s">
        <v>24</v>
      </c>
      <c r="B431" s="835">
        <v>428</v>
      </c>
      <c r="C431" s="838" t="s">
        <v>727</v>
      </c>
      <c r="D431" s="838" t="s">
        <v>64</v>
      </c>
      <c r="E431" s="839">
        <v>45744</v>
      </c>
      <c r="F431" s="838" t="s">
        <v>666</v>
      </c>
      <c r="G431" s="838">
        <v>12</v>
      </c>
      <c r="H431" s="838" t="s">
        <v>21</v>
      </c>
      <c r="I431" s="838" t="s">
        <v>36</v>
      </c>
      <c r="J431" s="21" t="s">
        <v>29</v>
      </c>
      <c r="K431" s="21"/>
      <c r="L431" s="21"/>
      <c r="M431" s="22" t="s">
        <v>30</v>
      </c>
      <c r="N431" s="23">
        <v>45752</v>
      </c>
      <c r="O431" s="21"/>
      <c r="P431" s="22" t="s">
        <v>30</v>
      </c>
      <c r="Q431" s="23">
        <v>45752</v>
      </c>
      <c r="R431" s="79" t="s">
        <v>48</v>
      </c>
      <c r="S431" s="22" t="s">
        <v>32</v>
      </c>
      <c r="T431" s="22">
        <v>12</v>
      </c>
      <c r="U431" s="22" t="s">
        <v>48</v>
      </c>
      <c r="V431" s="23">
        <v>45752</v>
      </c>
      <c r="W431" s="840" t="s">
        <v>32</v>
      </c>
    </row>
    <row r="432" spans="1:23">
      <c r="A432" s="834" t="s">
        <v>24</v>
      </c>
      <c r="B432" s="835">
        <v>429</v>
      </c>
      <c r="C432" s="838" t="s">
        <v>728</v>
      </c>
      <c r="D432" s="838" t="s">
        <v>34</v>
      </c>
      <c r="E432" s="839">
        <v>45744</v>
      </c>
      <c r="F432" s="838" t="s">
        <v>729</v>
      </c>
      <c r="G432" s="838">
        <v>11</v>
      </c>
      <c r="H432" s="838" t="s">
        <v>21</v>
      </c>
      <c r="I432" s="838" t="s">
        <v>36</v>
      </c>
      <c r="J432" s="21" t="s">
        <v>29</v>
      </c>
      <c r="K432" s="21"/>
      <c r="L432" s="21"/>
      <c r="M432" s="22" t="s">
        <v>30</v>
      </c>
      <c r="N432" s="23">
        <v>45752</v>
      </c>
      <c r="O432" s="21"/>
      <c r="P432" s="22" t="s">
        <v>30</v>
      </c>
      <c r="Q432" s="23">
        <v>45752</v>
      </c>
      <c r="R432" s="79" t="s">
        <v>48</v>
      </c>
      <c r="S432" s="22" t="s">
        <v>32</v>
      </c>
      <c r="T432" s="22">
        <v>11</v>
      </c>
      <c r="U432" s="22" t="s">
        <v>48</v>
      </c>
      <c r="V432" s="23">
        <v>45752</v>
      </c>
      <c r="W432" s="840" t="s">
        <v>30</v>
      </c>
    </row>
    <row r="433" spans="1:23">
      <c r="A433" s="834" t="s">
        <v>24</v>
      </c>
      <c r="B433" s="835">
        <v>430</v>
      </c>
      <c r="C433" s="838" t="s">
        <v>730</v>
      </c>
      <c r="D433" s="838" t="s">
        <v>102</v>
      </c>
      <c r="E433" s="839">
        <v>45744</v>
      </c>
      <c r="F433" s="838" t="s">
        <v>731</v>
      </c>
      <c r="G433" s="838">
        <v>10</v>
      </c>
      <c r="H433" s="842" t="s">
        <v>22</v>
      </c>
      <c r="I433" s="838" t="s">
        <v>28</v>
      </c>
      <c r="J433" s="21" t="s">
        <v>237</v>
      </c>
      <c r="K433" s="21" t="s">
        <v>647</v>
      </c>
      <c r="L433" s="21"/>
      <c r="M433" s="22" t="s">
        <v>30</v>
      </c>
      <c r="N433" s="23">
        <v>45785</v>
      </c>
      <c r="O433" s="21"/>
      <c r="P433" s="22" t="s">
        <v>30</v>
      </c>
      <c r="Q433" s="23">
        <v>45785</v>
      </c>
      <c r="R433" s="79" t="s">
        <v>28</v>
      </c>
      <c r="S433" s="22" t="s">
        <v>32</v>
      </c>
      <c r="T433" s="22">
        <v>10</v>
      </c>
      <c r="U433" s="24" t="s">
        <v>28</v>
      </c>
      <c r="V433" s="23">
        <v>45785</v>
      </c>
      <c r="W433" s="80" t="s">
        <v>32</v>
      </c>
    </row>
    <row r="434" spans="1:23">
      <c r="A434" s="834" t="s">
        <v>24</v>
      </c>
      <c r="B434" s="835">
        <v>431</v>
      </c>
      <c r="C434" s="845" t="s">
        <v>732</v>
      </c>
      <c r="D434" s="845" t="s">
        <v>178</v>
      </c>
      <c r="E434" s="839">
        <v>45745</v>
      </c>
      <c r="F434" s="838" t="s">
        <v>439</v>
      </c>
      <c r="G434" s="838">
        <v>9</v>
      </c>
      <c r="H434" s="842" t="s">
        <v>22</v>
      </c>
      <c r="I434" s="838" t="s">
        <v>28</v>
      </c>
      <c r="J434" s="21" t="s">
        <v>29</v>
      </c>
      <c r="K434" s="21"/>
      <c r="L434" s="21"/>
      <c r="M434" s="22" t="s">
        <v>30</v>
      </c>
      <c r="N434" s="23">
        <v>45756</v>
      </c>
      <c r="O434" s="21" t="s">
        <v>66</v>
      </c>
      <c r="P434" s="22" t="s">
        <v>30</v>
      </c>
      <c r="Q434" s="23">
        <v>45756</v>
      </c>
      <c r="R434" s="79" t="s">
        <v>28</v>
      </c>
      <c r="S434" s="22" t="s">
        <v>32</v>
      </c>
      <c r="T434" s="22">
        <v>9</v>
      </c>
      <c r="U434" s="22" t="s">
        <v>28</v>
      </c>
      <c r="V434" s="23">
        <v>45756</v>
      </c>
      <c r="W434" s="80" t="s">
        <v>30</v>
      </c>
    </row>
    <row r="435" spans="1:23">
      <c r="A435" s="834" t="s">
        <v>24</v>
      </c>
      <c r="B435" s="835">
        <v>432</v>
      </c>
      <c r="C435" s="838" t="s">
        <v>733</v>
      </c>
      <c r="D435" s="838" t="s">
        <v>83</v>
      </c>
      <c r="E435" s="839">
        <v>45745</v>
      </c>
      <c r="F435" s="838" t="s">
        <v>439</v>
      </c>
      <c r="G435" s="838">
        <v>9</v>
      </c>
      <c r="H435" s="842" t="s">
        <v>22</v>
      </c>
      <c r="I435" s="838" t="s">
        <v>28</v>
      </c>
      <c r="J435" s="21" t="s">
        <v>29</v>
      </c>
      <c r="K435" s="21"/>
      <c r="L435" s="21"/>
      <c r="M435" s="22" t="s">
        <v>30</v>
      </c>
      <c r="N435" s="23">
        <v>45754</v>
      </c>
      <c r="O435" s="21"/>
      <c r="P435" s="22" t="s">
        <v>30</v>
      </c>
      <c r="Q435" s="23">
        <v>45754</v>
      </c>
      <c r="R435" s="79" t="s">
        <v>28</v>
      </c>
      <c r="S435" s="22" t="s">
        <v>32</v>
      </c>
      <c r="T435" s="22">
        <v>9</v>
      </c>
      <c r="U435" s="22" t="s">
        <v>28</v>
      </c>
      <c r="V435" s="23">
        <v>45754</v>
      </c>
      <c r="W435" s="80" t="s">
        <v>30</v>
      </c>
    </row>
    <row r="436" spans="1:23">
      <c r="A436" s="834" t="s">
        <v>24</v>
      </c>
      <c r="B436" s="835">
        <v>433</v>
      </c>
      <c r="C436" s="838" t="s">
        <v>734</v>
      </c>
      <c r="D436" s="838" t="s">
        <v>43</v>
      </c>
      <c r="E436" s="839">
        <v>45745</v>
      </c>
      <c r="F436" s="838" t="s">
        <v>628</v>
      </c>
      <c r="G436" s="838">
        <v>11</v>
      </c>
      <c r="H436" s="842" t="s">
        <v>22</v>
      </c>
      <c r="I436" s="838" t="s">
        <v>28</v>
      </c>
      <c r="J436" s="21" t="s">
        <v>29</v>
      </c>
      <c r="K436" s="21" t="s">
        <v>723</v>
      </c>
      <c r="L436" s="21"/>
      <c r="M436" s="22" t="s">
        <v>30</v>
      </c>
      <c r="N436" s="23">
        <v>45777</v>
      </c>
      <c r="O436" s="21" t="s">
        <v>66</v>
      </c>
      <c r="P436" s="22" t="s">
        <v>30</v>
      </c>
      <c r="Q436" s="23">
        <v>45777</v>
      </c>
      <c r="R436" s="79" t="s">
        <v>28</v>
      </c>
      <c r="S436" s="22" t="s">
        <v>32</v>
      </c>
      <c r="T436" s="22">
        <v>11</v>
      </c>
      <c r="U436" s="24" t="s">
        <v>28</v>
      </c>
      <c r="V436" s="23">
        <v>45777</v>
      </c>
      <c r="W436" s="80" t="s">
        <v>30</v>
      </c>
    </row>
    <row r="437" spans="1:23">
      <c r="A437" s="834" t="s">
        <v>24</v>
      </c>
      <c r="B437" s="835">
        <v>434</v>
      </c>
      <c r="C437" s="838" t="s">
        <v>735</v>
      </c>
      <c r="D437" s="838" t="s">
        <v>26</v>
      </c>
      <c r="E437" s="839">
        <v>45745</v>
      </c>
      <c r="F437" s="838" t="s">
        <v>628</v>
      </c>
      <c r="G437" s="838">
        <v>11</v>
      </c>
      <c r="H437" s="842" t="s">
        <v>22</v>
      </c>
      <c r="I437" s="838" t="s">
        <v>28</v>
      </c>
      <c r="J437" s="21" t="s">
        <v>29</v>
      </c>
      <c r="K437" s="21" t="s">
        <v>723</v>
      </c>
      <c r="L437" s="21"/>
      <c r="M437" s="22" t="s">
        <v>30</v>
      </c>
      <c r="N437" s="23">
        <v>45777</v>
      </c>
      <c r="O437" s="21"/>
      <c r="P437" s="22" t="s">
        <v>30</v>
      </c>
      <c r="Q437" s="23">
        <v>45777</v>
      </c>
      <c r="R437" s="79" t="s">
        <v>28</v>
      </c>
      <c r="S437" s="22" t="s">
        <v>32</v>
      </c>
      <c r="T437" s="22">
        <v>11</v>
      </c>
      <c r="U437" s="24" t="s">
        <v>28</v>
      </c>
      <c r="V437" s="23">
        <v>45777</v>
      </c>
      <c r="W437" s="80" t="s">
        <v>30</v>
      </c>
    </row>
    <row r="438" spans="1:23">
      <c r="A438" s="834" t="s">
        <v>24</v>
      </c>
      <c r="B438" s="835">
        <v>435</v>
      </c>
      <c r="C438" s="838" t="s">
        <v>736</v>
      </c>
      <c r="D438" s="838" t="s">
        <v>34</v>
      </c>
      <c r="E438" s="839">
        <v>45745</v>
      </c>
      <c r="F438" s="838" t="s">
        <v>737</v>
      </c>
      <c r="G438" s="838">
        <v>42</v>
      </c>
      <c r="H438" s="842" t="s">
        <v>46</v>
      </c>
      <c r="I438" s="838" t="s">
        <v>47</v>
      </c>
      <c r="J438" s="21" t="s">
        <v>29</v>
      </c>
      <c r="K438" s="21"/>
      <c r="L438" s="21"/>
      <c r="M438" s="22" t="s">
        <v>30</v>
      </c>
      <c r="N438" s="23">
        <v>45755</v>
      </c>
      <c r="O438" s="21" t="s">
        <v>31</v>
      </c>
      <c r="P438" s="22" t="s">
        <v>30</v>
      </c>
      <c r="Q438" s="23">
        <v>45755</v>
      </c>
      <c r="R438" s="79" t="s">
        <v>46</v>
      </c>
      <c r="S438" s="22" t="s">
        <v>32</v>
      </c>
      <c r="T438" s="22">
        <v>42</v>
      </c>
      <c r="U438" s="22" t="s">
        <v>46</v>
      </c>
      <c r="V438" s="23">
        <v>45755</v>
      </c>
      <c r="W438" s="80" t="s">
        <v>30</v>
      </c>
    </row>
    <row r="439" spans="1:23">
      <c r="A439" s="834" t="s">
        <v>24</v>
      </c>
      <c r="B439" s="835">
        <v>436</v>
      </c>
      <c r="C439" s="838" t="s">
        <v>738</v>
      </c>
      <c r="D439" s="838" t="s">
        <v>34</v>
      </c>
      <c r="E439" s="839">
        <v>45745</v>
      </c>
      <c r="F439" s="838" t="s">
        <v>739</v>
      </c>
      <c r="G439" s="838">
        <v>16</v>
      </c>
      <c r="H439" s="838" t="s">
        <v>46</v>
      </c>
      <c r="I439" s="838" t="s">
        <v>47</v>
      </c>
      <c r="J439" s="21" t="s">
        <v>29</v>
      </c>
      <c r="K439" s="21"/>
      <c r="L439" s="21"/>
      <c r="M439" s="22" t="s">
        <v>30</v>
      </c>
      <c r="N439" s="23">
        <v>45781</v>
      </c>
      <c r="O439" s="21"/>
      <c r="P439" s="22" t="s">
        <v>30</v>
      </c>
      <c r="Q439" s="23">
        <v>45781</v>
      </c>
      <c r="R439" s="79" t="s">
        <v>46</v>
      </c>
      <c r="S439" s="22" t="s">
        <v>32</v>
      </c>
      <c r="T439" s="22">
        <v>16</v>
      </c>
      <c r="U439" s="22" t="s">
        <v>46</v>
      </c>
      <c r="V439" s="23">
        <v>45781</v>
      </c>
      <c r="W439" s="80" t="s">
        <v>30</v>
      </c>
    </row>
    <row r="440" spans="1:23">
      <c r="A440" s="834" t="s">
        <v>24</v>
      </c>
      <c r="B440" s="835">
        <v>437</v>
      </c>
      <c r="C440" s="838" t="s">
        <v>740</v>
      </c>
      <c r="D440" s="838" t="s">
        <v>83</v>
      </c>
      <c r="E440" s="839">
        <v>45745</v>
      </c>
      <c r="F440" s="838" t="s">
        <v>161</v>
      </c>
      <c r="G440" s="838">
        <v>10</v>
      </c>
      <c r="H440" s="838" t="s">
        <v>21</v>
      </c>
      <c r="I440" s="838" t="s">
        <v>36</v>
      </c>
      <c r="J440" s="21" t="s">
        <v>29</v>
      </c>
      <c r="K440" s="21"/>
      <c r="L440" s="21"/>
      <c r="M440" s="22" t="s">
        <v>30</v>
      </c>
      <c r="N440" s="23">
        <v>45755</v>
      </c>
      <c r="O440" s="21"/>
      <c r="P440" s="22" t="s">
        <v>30</v>
      </c>
      <c r="Q440" s="23">
        <v>45755</v>
      </c>
      <c r="R440" s="79" t="s">
        <v>48</v>
      </c>
      <c r="S440" s="22" t="s">
        <v>32</v>
      </c>
      <c r="T440" s="22">
        <v>10</v>
      </c>
      <c r="U440" s="24" t="s">
        <v>48</v>
      </c>
      <c r="V440" s="23">
        <v>45755</v>
      </c>
      <c r="W440" s="840" t="s">
        <v>30</v>
      </c>
    </row>
    <row r="441" spans="1:23">
      <c r="A441" s="834" t="s">
        <v>24</v>
      </c>
      <c r="B441" s="835">
        <v>438</v>
      </c>
      <c r="C441" s="838" t="s">
        <v>741</v>
      </c>
      <c r="D441" s="838" t="s">
        <v>34</v>
      </c>
      <c r="E441" s="839">
        <v>45745</v>
      </c>
      <c r="F441" s="838" t="s">
        <v>187</v>
      </c>
      <c r="G441" s="838">
        <v>28</v>
      </c>
      <c r="H441" s="838" t="s">
        <v>21</v>
      </c>
      <c r="I441" s="838" t="s">
        <v>36</v>
      </c>
      <c r="J441" s="21" t="s">
        <v>29</v>
      </c>
      <c r="K441" s="21"/>
      <c r="L441" s="21"/>
      <c r="M441" s="22" t="s">
        <v>30</v>
      </c>
      <c r="N441" s="23">
        <v>45762</v>
      </c>
      <c r="O441" s="21" t="s">
        <v>31</v>
      </c>
      <c r="P441" s="22" t="s">
        <v>30</v>
      </c>
      <c r="Q441" s="23">
        <v>45762</v>
      </c>
      <c r="R441" s="79" t="s">
        <v>48</v>
      </c>
      <c r="S441" s="22" t="s">
        <v>32</v>
      </c>
      <c r="T441" s="22">
        <v>28</v>
      </c>
      <c r="U441" s="24" t="s">
        <v>48</v>
      </c>
      <c r="V441" s="23">
        <v>45762</v>
      </c>
      <c r="W441" s="840" t="s">
        <v>30</v>
      </c>
    </row>
    <row r="442" spans="1:23">
      <c r="A442" s="834" t="s">
        <v>24</v>
      </c>
      <c r="B442" s="835">
        <v>439</v>
      </c>
      <c r="C442" s="838" t="s">
        <v>742</v>
      </c>
      <c r="D442" s="838" t="s">
        <v>102</v>
      </c>
      <c r="E442" s="839">
        <v>45745</v>
      </c>
      <c r="F442" s="838" t="s">
        <v>743</v>
      </c>
      <c r="G442" s="838">
        <v>16</v>
      </c>
      <c r="H442" s="838" t="s">
        <v>21</v>
      </c>
      <c r="I442" s="838" t="s">
        <v>36</v>
      </c>
      <c r="J442" s="21" t="s">
        <v>29</v>
      </c>
      <c r="K442" s="21"/>
      <c r="L442" s="21"/>
      <c r="M442" s="22" t="s">
        <v>30</v>
      </c>
      <c r="N442" s="23">
        <v>45761</v>
      </c>
      <c r="O442" s="21" t="s">
        <v>31</v>
      </c>
      <c r="P442" s="22" t="s">
        <v>30</v>
      </c>
      <c r="Q442" s="23">
        <v>45761</v>
      </c>
      <c r="R442" s="79" t="s">
        <v>48</v>
      </c>
      <c r="S442" s="22" t="s">
        <v>32</v>
      </c>
      <c r="T442" s="22">
        <v>16</v>
      </c>
      <c r="U442" s="24" t="s">
        <v>48</v>
      </c>
      <c r="V442" s="23">
        <v>45761</v>
      </c>
      <c r="W442" s="840" t="s">
        <v>32</v>
      </c>
    </row>
    <row r="443" spans="1:23">
      <c r="A443" s="834" t="s">
        <v>24</v>
      </c>
      <c r="B443" s="835">
        <v>440</v>
      </c>
      <c r="C443" s="838" t="s">
        <v>744</v>
      </c>
      <c r="D443" s="838" t="s">
        <v>34</v>
      </c>
      <c r="E443" s="839">
        <v>45745</v>
      </c>
      <c r="F443" s="838" t="s">
        <v>364</v>
      </c>
      <c r="G443" s="838">
        <v>16</v>
      </c>
      <c r="H443" s="838" t="s">
        <v>21</v>
      </c>
      <c r="I443" s="838" t="s">
        <v>36</v>
      </c>
      <c r="J443" s="21" t="s">
        <v>29</v>
      </c>
      <c r="K443" s="21"/>
      <c r="L443" s="21"/>
      <c r="M443" s="22" t="s">
        <v>30</v>
      </c>
      <c r="N443" s="23">
        <v>45761</v>
      </c>
      <c r="O443" s="21" t="s">
        <v>31</v>
      </c>
      <c r="P443" s="22" t="s">
        <v>30</v>
      </c>
      <c r="Q443" s="23">
        <v>45761</v>
      </c>
      <c r="R443" s="79" t="s">
        <v>48</v>
      </c>
      <c r="S443" s="22" t="s">
        <v>32</v>
      </c>
      <c r="T443" s="22">
        <v>16</v>
      </c>
      <c r="U443" s="22" t="s">
        <v>48</v>
      </c>
      <c r="V443" s="23">
        <v>45761</v>
      </c>
      <c r="W443" s="840" t="s">
        <v>30</v>
      </c>
    </row>
    <row r="444" spans="1:23">
      <c r="A444" s="834" t="s">
        <v>24</v>
      </c>
      <c r="B444" s="835">
        <v>441</v>
      </c>
      <c r="C444" s="838" t="s">
        <v>745</v>
      </c>
      <c r="D444" s="838" t="s">
        <v>34</v>
      </c>
      <c r="E444" s="839">
        <v>45745</v>
      </c>
      <c r="F444" s="838" t="s">
        <v>746</v>
      </c>
      <c r="G444" s="838">
        <v>11</v>
      </c>
      <c r="H444" s="838" t="s">
        <v>21</v>
      </c>
      <c r="I444" s="838" t="s">
        <v>36</v>
      </c>
      <c r="J444" s="21" t="s">
        <v>29</v>
      </c>
      <c r="K444" s="21"/>
      <c r="L444" s="21"/>
      <c r="M444" s="22" t="s">
        <v>30</v>
      </c>
      <c r="N444" s="23">
        <v>45761</v>
      </c>
      <c r="O444" s="21"/>
      <c r="P444" s="22" t="s">
        <v>30</v>
      </c>
      <c r="Q444" s="23">
        <v>45761</v>
      </c>
      <c r="R444" s="79" t="s">
        <v>48</v>
      </c>
      <c r="S444" s="22" t="s">
        <v>32</v>
      </c>
      <c r="T444" s="22">
        <v>11</v>
      </c>
      <c r="U444" s="22" t="s">
        <v>48</v>
      </c>
      <c r="V444" s="23">
        <v>45761</v>
      </c>
      <c r="W444" s="840" t="s">
        <v>30</v>
      </c>
    </row>
    <row r="445" spans="1:23">
      <c r="A445" s="834" t="s">
        <v>24</v>
      </c>
      <c r="B445" s="835">
        <v>442</v>
      </c>
      <c r="C445" s="838" t="s">
        <v>747</v>
      </c>
      <c r="D445" s="838" t="s">
        <v>64</v>
      </c>
      <c r="E445" s="839">
        <v>45745</v>
      </c>
      <c r="F445" s="838" t="s">
        <v>35</v>
      </c>
      <c r="G445" s="838">
        <v>11</v>
      </c>
      <c r="H445" s="838" t="s">
        <v>21</v>
      </c>
      <c r="I445" s="838" t="s">
        <v>36</v>
      </c>
      <c r="J445" s="21" t="s">
        <v>29</v>
      </c>
      <c r="K445" s="21"/>
      <c r="L445" s="21"/>
      <c r="M445" s="22" t="s">
        <v>30</v>
      </c>
      <c r="N445" s="23">
        <v>45755</v>
      </c>
      <c r="O445" s="21"/>
      <c r="P445" s="22" t="s">
        <v>30</v>
      </c>
      <c r="Q445" s="23">
        <v>45755</v>
      </c>
      <c r="R445" s="79" t="s">
        <v>48</v>
      </c>
      <c r="S445" s="22" t="s">
        <v>32</v>
      </c>
      <c r="T445" s="22">
        <v>11</v>
      </c>
      <c r="U445" s="22" t="s">
        <v>48</v>
      </c>
      <c r="V445" s="23">
        <v>45755</v>
      </c>
      <c r="W445" s="840" t="s">
        <v>30</v>
      </c>
    </row>
    <row r="446" spans="1:23">
      <c r="A446" s="834" t="s">
        <v>24</v>
      </c>
      <c r="B446" s="835">
        <v>443</v>
      </c>
      <c r="C446" s="838" t="s">
        <v>748</v>
      </c>
      <c r="D446" s="838" t="s">
        <v>432</v>
      </c>
      <c r="E446" s="839">
        <v>45745</v>
      </c>
      <c r="F446" s="838" t="s">
        <v>368</v>
      </c>
      <c r="G446" s="838">
        <v>7</v>
      </c>
      <c r="H446" s="838" t="s">
        <v>21</v>
      </c>
      <c r="I446" s="838" t="s">
        <v>36</v>
      </c>
      <c r="J446" s="21" t="s">
        <v>29</v>
      </c>
      <c r="K446" s="21"/>
      <c r="L446" s="21"/>
      <c r="M446" s="22" t="s">
        <v>30</v>
      </c>
      <c r="N446" s="23">
        <v>45760</v>
      </c>
      <c r="O446" s="21"/>
      <c r="P446" s="22" t="s">
        <v>30</v>
      </c>
      <c r="Q446" s="23">
        <v>45760</v>
      </c>
      <c r="R446" s="79" t="s">
        <v>48</v>
      </c>
      <c r="S446" s="22" t="s">
        <v>32</v>
      </c>
      <c r="T446" s="22">
        <v>6</v>
      </c>
      <c r="U446" s="22" t="s">
        <v>48</v>
      </c>
      <c r="V446" s="23">
        <v>45760</v>
      </c>
      <c r="W446" s="840" t="s">
        <v>32</v>
      </c>
    </row>
    <row r="447" spans="1:23">
      <c r="A447" s="834" t="s">
        <v>24</v>
      </c>
      <c r="B447" s="835">
        <v>444</v>
      </c>
      <c r="C447" s="838" t="s">
        <v>749</v>
      </c>
      <c r="D447" s="838" t="s">
        <v>406</v>
      </c>
      <c r="E447" s="839">
        <v>45745</v>
      </c>
      <c r="F447" s="838" t="s">
        <v>368</v>
      </c>
      <c r="G447" s="838">
        <v>7</v>
      </c>
      <c r="H447" s="838" t="s">
        <v>21</v>
      </c>
      <c r="I447" s="838" t="s">
        <v>36</v>
      </c>
      <c r="J447" s="21" t="s">
        <v>29</v>
      </c>
      <c r="K447" s="21"/>
      <c r="L447" s="21"/>
      <c r="M447" s="22" t="s">
        <v>30</v>
      </c>
      <c r="N447" s="23">
        <v>45760</v>
      </c>
      <c r="O447" s="21"/>
      <c r="P447" s="22" t="s">
        <v>30</v>
      </c>
      <c r="Q447" s="23">
        <v>45760</v>
      </c>
      <c r="R447" s="79" t="s">
        <v>48</v>
      </c>
      <c r="S447" s="22" t="s">
        <v>32</v>
      </c>
      <c r="T447" s="22">
        <v>6</v>
      </c>
      <c r="U447" s="22" t="s">
        <v>48</v>
      </c>
      <c r="V447" s="23">
        <v>45760</v>
      </c>
      <c r="W447" s="840" t="s">
        <v>32</v>
      </c>
    </row>
    <row r="448" spans="1:23">
      <c r="A448" s="834" t="s">
        <v>24</v>
      </c>
      <c r="B448" s="835">
        <v>445</v>
      </c>
      <c r="C448" s="838" t="s">
        <v>750</v>
      </c>
      <c r="D448" s="838" t="s">
        <v>751</v>
      </c>
      <c r="E448" s="839">
        <v>45745</v>
      </c>
      <c r="F448" s="838" t="s">
        <v>368</v>
      </c>
      <c r="G448" s="838">
        <v>9</v>
      </c>
      <c r="H448" s="838" t="s">
        <v>21</v>
      </c>
      <c r="I448" s="838" t="s">
        <v>36</v>
      </c>
      <c r="J448" s="21" t="s">
        <v>29</v>
      </c>
      <c r="K448" s="21"/>
      <c r="L448" s="21"/>
      <c r="M448" s="22" t="s">
        <v>30</v>
      </c>
      <c r="N448" s="23">
        <v>45755</v>
      </c>
      <c r="O448" s="21" t="s">
        <v>66</v>
      </c>
      <c r="P448" s="22" t="s">
        <v>30</v>
      </c>
      <c r="Q448" s="23">
        <v>45755</v>
      </c>
      <c r="R448" s="79" t="s">
        <v>48</v>
      </c>
      <c r="S448" s="22" t="s">
        <v>32</v>
      </c>
      <c r="T448" s="22">
        <v>9</v>
      </c>
      <c r="U448" s="22" t="s">
        <v>48</v>
      </c>
      <c r="V448" s="23">
        <v>45755</v>
      </c>
      <c r="W448" s="840" t="s">
        <v>32</v>
      </c>
    </row>
    <row r="449" spans="1:23">
      <c r="A449" s="834" t="s">
        <v>24</v>
      </c>
      <c r="B449" s="835">
        <v>446</v>
      </c>
      <c r="C449" s="838" t="s">
        <v>752</v>
      </c>
      <c r="D449" s="838" t="s">
        <v>178</v>
      </c>
      <c r="E449" s="839">
        <v>45745</v>
      </c>
      <c r="F449" s="838" t="s">
        <v>368</v>
      </c>
      <c r="G449" s="838">
        <v>9</v>
      </c>
      <c r="H449" s="838" t="s">
        <v>21</v>
      </c>
      <c r="I449" s="838" t="s">
        <v>36</v>
      </c>
      <c r="J449" s="21" t="s">
        <v>29</v>
      </c>
      <c r="K449" s="21"/>
      <c r="L449" s="21"/>
      <c r="M449" s="22" t="s">
        <v>30</v>
      </c>
      <c r="N449" s="23">
        <v>45755</v>
      </c>
      <c r="O449" s="21"/>
      <c r="P449" s="22" t="s">
        <v>30</v>
      </c>
      <c r="Q449" s="23">
        <v>45755</v>
      </c>
      <c r="R449" s="79" t="s">
        <v>48</v>
      </c>
      <c r="S449" s="22" t="s">
        <v>32</v>
      </c>
      <c r="T449" s="22">
        <v>9</v>
      </c>
      <c r="U449" s="22" t="s">
        <v>48</v>
      </c>
      <c r="V449" s="23">
        <v>45755</v>
      </c>
      <c r="W449" s="840" t="s">
        <v>32</v>
      </c>
    </row>
    <row r="450" spans="1:23">
      <c r="A450" s="834" t="s">
        <v>137</v>
      </c>
      <c r="B450" s="835">
        <v>447</v>
      </c>
      <c r="C450" s="21" t="s">
        <v>753</v>
      </c>
      <c r="D450" s="834" t="s">
        <v>754</v>
      </c>
      <c r="E450" s="839">
        <v>45719.375</v>
      </c>
      <c r="F450" s="838" t="s">
        <v>140</v>
      </c>
      <c r="G450" s="838">
        <v>1</v>
      </c>
      <c r="H450" s="838" t="s">
        <v>46</v>
      </c>
      <c r="I450" s="838" t="s">
        <v>47</v>
      </c>
      <c r="J450" s="21" t="s">
        <v>29</v>
      </c>
      <c r="K450" s="21"/>
      <c r="L450" s="21"/>
      <c r="M450" s="22" t="s">
        <v>30</v>
      </c>
      <c r="N450" s="23">
        <v>45777</v>
      </c>
      <c r="O450" s="21"/>
      <c r="P450" s="22" t="s">
        <v>30</v>
      </c>
      <c r="Q450" s="23">
        <v>45777</v>
      </c>
      <c r="R450" s="79" t="s">
        <v>67</v>
      </c>
      <c r="S450" s="22" t="s">
        <v>32</v>
      </c>
      <c r="T450" s="22">
        <v>1</v>
      </c>
      <c r="U450" s="22" t="s">
        <v>67</v>
      </c>
      <c r="V450" s="23">
        <v>45777</v>
      </c>
      <c r="W450" s="840"/>
    </row>
    <row r="451" spans="1:23">
      <c r="A451" s="834" t="s">
        <v>137</v>
      </c>
      <c r="B451" s="835">
        <v>448</v>
      </c>
      <c r="C451" s="21" t="s">
        <v>755</v>
      </c>
      <c r="D451" s="834" t="s">
        <v>756</v>
      </c>
      <c r="E451" s="839">
        <v>45719.375</v>
      </c>
      <c r="F451" s="838" t="s">
        <v>140</v>
      </c>
      <c r="G451" s="838">
        <v>1</v>
      </c>
      <c r="H451" s="838" t="s">
        <v>46</v>
      </c>
      <c r="I451" s="838" t="s">
        <v>47</v>
      </c>
      <c r="J451" s="21" t="s">
        <v>29</v>
      </c>
      <c r="K451" s="21"/>
      <c r="L451" s="21"/>
      <c r="M451" s="22" t="s">
        <v>30</v>
      </c>
      <c r="N451" s="23">
        <v>45777</v>
      </c>
      <c r="O451" s="21"/>
      <c r="P451" s="22" t="s">
        <v>30</v>
      </c>
      <c r="Q451" s="23">
        <v>45777</v>
      </c>
      <c r="R451" s="79" t="s">
        <v>67</v>
      </c>
      <c r="S451" s="22" t="s">
        <v>32</v>
      </c>
      <c r="T451" s="22">
        <v>1</v>
      </c>
      <c r="U451" s="22" t="s">
        <v>67</v>
      </c>
      <c r="V451" s="23">
        <v>45777</v>
      </c>
      <c r="W451" s="80"/>
    </row>
    <row r="452" spans="1:23">
      <c r="A452" s="834" t="s">
        <v>137</v>
      </c>
      <c r="B452" s="835">
        <v>449</v>
      </c>
      <c r="C452" s="21" t="s">
        <v>757</v>
      </c>
      <c r="D452" s="834" t="s">
        <v>758</v>
      </c>
      <c r="E452" s="839">
        <v>45719.375</v>
      </c>
      <c r="F452" s="838" t="s">
        <v>140</v>
      </c>
      <c r="G452" s="838">
        <v>2</v>
      </c>
      <c r="H452" s="838" t="s">
        <v>22</v>
      </c>
      <c r="I452" s="838" t="s">
        <v>28</v>
      </c>
      <c r="J452" s="21" t="s">
        <v>29</v>
      </c>
      <c r="K452" s="21"/>
      <c r="L452" s="21"/>
      <c r="M452" s="22" t="s">
        <v>30</v>
      </c>
      <c r="N452" s="23">
        <v>45777</v>
      </c>
      <c r="O452" s="21"/>
      <c r="P452" s="22" t="s">
        <v>30</v>
      </c>
      <c r="Q452" s="23">
        <v>45777</v>
      </c>
      <c r="R452" s="79" t="s">
        <v>67</v>
      </c>
      <c r="S452" s="22" t="s">
        <v>32</v>
      </c>
      <c r="T452" s="22">
        <v>2</v>
      </c>
      <c r="U452" s="22" t="s">
        <v>67</v>
      </c>
      <c r="V452" s="23">
        <v>45777</v>
      </c>
      <c r="W452" s="80"/>
    </row>
    <row r="453" spans="1:23">
      <c r="A453" s="834" t="s">
        <v>137</v>
      </c>
      <c r="B453" s="835">
        <v>450</v>
      </c>
      <c r="C453" s="21" t="s">
        <v>759</v>
      </c>
      <c r="D453" s="834" t="s">
        <v>564</v>
      </c>
      <c r="E453" s="839">
        <v>45719.375</v>
      </c>
      <c r="F453" s="838" t="s">
        <v>140</v>
      </c>
      <c r="G453" s="838">
        <v>4</v>
      </c>
      <c r="H453" s="838" t="s">
        <v>291</v>
      </c>
      <c r="I453" s="838" t="s">
        <v>760</v>
      </c>
      <c r="J453" s="21" t="s">
        <v>29</v>
      </c>
      <c r="K453" s="21"/>
      <c r="L453" s="21"/>
      <c r="M453" s="22" t="s">
        <v>30</v>
      </c>
      <c r="N453" s="23">
        <v>45777</v>
      </c>
      <c r="O453" s="21"/>
      <c r="P453" s="22" t="s">
        <v>30</v>
      </c>
      <c r="Q453" s="23">
        <v>45777</v>
      </c>
      <c r="R453" s="79" t="s">
        <v>67</v>
      </c>
      <c r="S453" s="22" t="s">
        <v>32</v>
      </c>
      <c r="T453" s="22">
        <v>4</v>
      </c>
      <c r="U453" s="22" t="s">
        <v>67</v>
      </c>
      <c r="V453" s="23">
        <v>45777</v>
      </c>
      <c r="W453" s="80"/>
    </row>
    <row r="454" spans="1:23">
      <c r="A454" s="834" t="s">
        <v>137</v>
      </c>
      <c r="B454" s="835">
        <v>451</v>
      </c>
      <c r="C454" s="21" t="s">
        <v>761</v>
      </c>
      <c r="D454" s="834" t="s">
        <v>762</v>
      </c>
      <c r="E454" s="839">
        <v>45719.375</v>
      </c>
      <c r="F454" s="838" t="s">
        <v>140</v>
      </c>
      <c r="G454" s="838">
        <v>10</v>
      </c>
      <c r="H454" s="838" t="s">
        <v>22</v>
      </c>
      <c r="I454" s="838" t="s">
        <v>28</v>
      </c>
      <c r="J454" s="21" t="s">
        <v>29</v>
      </c>
      <c r="K454" s="21"/>
      <c r="L454" s="21"/>
      <c r="M454" s="22" t="s">
        <v>30</v>
      </c>
      <c r="N454" s="23">
        <v>45777</v>
      </c>
      <c r="O454" s="21"/>
      <c r="P454" s="22" t="s">
        <v>30</v>
      </c>
      <c r="Q454" s="23">
        <v>45777</v>
      </c>
      <c r="R454" s="79" t="s">
        <v>67</v>
      </c>
      <c r="S454" s="22" t="s">
        <v>32</v>
      </c>
      <c r="T454" s="22">
        <v>10</v>
      </c>
      <c r="U454" s="22" t="s">
        <v>67</v>
      </c>
      <c r="V454" s="23">
        <v>45777</v>
      </c>
      <c r="W454" s="80"/>
    </row>
    <row r="455" spans="1:23">
      <c r="A455" s="834" t="s">
        <v>137</v>
      </c>
      <c r="B455" s="835">
        <v>452</v>
      </c>
      <c r="C455" s="21" t="s">
        <v>763</v>
      </c>
      <c r="D455" s="834" t="s">
        <v>306</v>
      </c>
      <c r="E455" s="839">
        <v>45719.375</v>
      </c>
      <c r="F455" s="838" t="s">
        <v>140</v>
      </c>
      <c r="G455" s="838">
        <v>16</v>
      </c>
      <c r="H455" s="838" t="s">
        <v>291</v>
      </c>
      <c r="I455" s="838" t="s">
        <v>760</v>
      </c>
      <c r="J455" s="21" t="s">
        <v>29</v>
      </c>
      <c r="K455" s="21"/>
      <c r="L455" s="21"/>
      <c r="M455" s="22" t="s">
        <v>30</v>
      </c>
      <c r="N455" s="23">
        <v>45777</v>
      </c>
      <c r="O455" s="21" t="s">
        <v>31</v>
      </c>
      <c r="P455" s="22" t="s">
        <v>30</v>
      </c>
      <c r="Q455" s="23">
        <v>45777</v>
      </c>
      <c r="R455" s="79" t="s">
        <v>67</v>
      </c>
      <c r="S455" s="22" t="s">
        <v>32</v>
      </c>
      <c r="T455" s="22">
        <v>16</v>
      </c>
      <c r="U455" s="22" t="s">
        <v>67</v>
      </c>
      <c r="V455" s="23">
        <v>45777</v>
      </c>
      <c r="W455" s="80"/>
    </row>
    <row r="456" spans="1:23">
      <c r="A456" s="834" t="s">
        <v>137</v>
      </c>
      <c r="B456" s="835">
        <v>453</v>
      </c>
      <c r="C456" s="21" t="s">
        <v>764</v>
      </c>
      <c r="D456" s="834" t="s">
        <v>765</v>
      </c>
      <c r="E456" s="839">
        <v>45719.458333333336</v>
      </c>
      <c r="F456" s="838" t="s">
        <v>140</v>
      </c>
      <c r="G456" s="838">
        <v>2</v>
      </c>
      <c r="H456" s="838" t="s">
        <v>22</v>
      </c>
      <c r="I456" s="838" t="s">
        <v>28</v>
      </c>
      <c r="J456" s="21" t="s">
        <v>29</v>
      </c>
      <c r="K456" s="21"/>
      <c r="L456" s="21"/>
      <c r="M456" s="22" t="s">
        <v>30</v>
      </c>
      <c r="N456" s="23">
        <v>45777</v>
      </c>
      <c r="O456" s="21"/>
      <c r="P456" s="22" t="s">
        <v>30</v>
      </c>
      <c r="Q456" s="23">
        <v>45777</v>
      </c>
      <c r="R456" s="79" t="s">
        <v>67</v>
      </c>
      <c r="S456" s="22" t="s">
        <v>32</v>
      </c>
      <c r="T456" s="22">
        <v>2</v>
      </c>
      <c r="U456" s="22" t="s">
        <v>67</v>
      </c>
      <c r="V456" s="23">
        <v>45777</v>
      </c>
      <c r="W456" s="840"/>
    </row>
    <row r="457" spans="1:23">
      <c r="A457" s="834" t="s">
        <v>137</v>
      </c>
      <c r="B457" s="835">
        <v>454</v>
      </c>
      <c r="C457" s="21" t="s">
        <v>766</v>
      </c>
      <c r="D457" s="834" t="s">
        <v>767</v>
      </c>
      <c r="E457" s="839">
        <v>45719.375</v>
      </c>
      <c r="F457" s="838" t="s">
        <v>140</v>
      </c>
      <c r="G457" s="838">
        <v>12</v>
      </c>
      <c r="H457" s="838" t="s">
        <v>301</v>
      </c>
      <c r="I457" s="838" t="s">
        <v>302</v>
      </c>
      <c r="J457" s="21" t="s">
        <v>29</v>
      </c>
      <c r="K457" s="21"/>
      <c r="L457" s="21"/>
      <c r="M457" s="22" t="s">
        <v>30</v>
      </c>
      <c r="N457" s="23">
        <v>45777</v>
      </c>
      <c r="O457" s="21"/>
      <c r="P457" s="22" t="s">
        <v>30</v>
      </c>
      <c r="Q457" s="23">
        <v>45777</v>
      </c>
      <c r="R457" s="79" t="s">
        <v>67</v>
      </c>
      <c r="S457" s="22" t="s">
        <v>32</v>
      </c>
      <c r="T457" s="22">
        <v>12</v>
      </c>
      <c r="U457" s="22" t="s">
        <v>67</v>
      </c>
      <c r="V457" s="23">
        <v>45777</v>
      </c>
      <c r="W457" s="80"/>
    </row>
    <row r="458" spans="1:23">
      <c r="A458" s="834" t="s">
        <v>137</v>
      </c>
      <c r="B458" s="835">
        <v>455</v>
      </c>
      <c r="C458" s="21" t="s">
        <v>768</v>
      </c>
      <c r="D458" s="834" t="s">
        <v>769</v>
      </c>
      <c r="E458" s="839">
        <v>45726.458333333336</v>
      </c>
      <c r="F458" s="838" t="s">
        <v>140</v>
      </c>
      <c r="G458" s="838">
        <v>3</v>
      </c>
      <c r="H458" s="838" t="s">
        <v>22</v>
      </c>
      <c r="I458" s="838" t="s">
        <v>28</v>
      </c>
      <c r="J458" s="21" t="s">
        <v>29</v>
      </c>
      <c r="K458" s="21"/>
      <c r="L458" s="21"/>
      <c r="M458" s="22" t="s">
        <v>30</v>
      </c>
      <c r="N458" s="23">
        <v>45777</v>
      </c>
      <c r="O458" s="21"/>
      <c r="P458" s="22" t="s">
        <v>30</v>
      </c>
      <c r="Q458" s="23">
        <v>45777</v>
      </c>
      <c r="R458" s="79" t="s">
        <v>67</v>
      </c>
      <c r="S458" s="22" t="s">
        <v>32</v>
      </c>
      <c r="T458" s="22">
        <v>3</v>
      </c>
      <c r="U458" s="22" t="s">
        <v>67</v>
      </c>
      <c r="V458" s="23">
        <v>45777</v>
      </c>
      <c r="W458" s="80"/>
    </row>
    <row r="459" spans="1:23">
      <c r="A459" s="834" t="s">
        <v>137</v>
      </c>
      <c r="B459" s="835">
        <v>456</v>
      </c>
      <c r="C459" s="21" t="s">
        <v>770</v>
      </c>
      <c r="D459" s="834" t="s">
        <v>771</v>
      </c>
      <c r="E459" s="839">
        <v>45726.375</v>
      </c>
      <c r="F459" s="838" t="s">
        <v>140</v>
      </c>
      <c r="G459" s="838">
        <v>1</v>
      </c>
      <c r="H459" s="838" t="s">
        <v>22</v>
      </c>
      <c r="I459" s="838" t="s">
        <v>28</v>
      </c>
      <c r="J459" s="21" t="s">
        <v>29</v>
      </c>
      <c r="K459" s="21"/>
      <c r="L459" s="21"/>
      <c r="M459" s="22" t="s">
        <v>30</v>
      </c>
      <c r="N459" s="23">
        <v>45777</v>
      </c>
      <c r="O459" s="21"/>
      <c r="P459" s="22" t="s">
        <v>30</v>
      </c>
      <c r="Q459" s="23">
        <v>45777</v>
      </c>
      <c r="R459" s="79" t="s">
        <v>67</v>
      </c>
      <c r="S459" s="22" t="s">
        <v>32</v>
      </c>
      <c r="T459" s="22">
        <v>1</v>
      </c>
      <c r="U459" s="22" t="s">
        <v>67</v>
      </c>
      <c r="V459" s="23">
        <v>45777</v>
      </c>
      <c r="W459" s="80"/>
    </row>
    <row r="460" spans="1:23">
      <c r="A460" s="834" t="s">
        <v>137</v>
      </c>
      <c r="B460" s="835">
        <v>457</v>
      </c>
      <c r="C460" s="21" t="s">
        <v>772</v>
      </c>
      <c r="D460" s="834" t="s">
        <v>773</v>
      </c>
      <c r="E460" s="839">
        <v>45726.375</v>
      </c>
      <c r="F460" s="838" t="s">
        <v>140</v>
      </c>
      <c r="G460" s="838">
        <v>18</v>
      </c>
      <c r="H460" s="838" t="s">
        <v>301</v>
      </c>
      <c r="I460" s="838" t="s">
        <v>302</v>
      </c>
      <c r="J460" s="21" t="s">
        <v>29</v>
      </c>
      <c r="K460" s="21"/>
      <c r="L460" s="21"/>
      <c r="M460" s="22" t="s">
        <v>30</v>
      </c>
      <c r="N460" s="23">
        <v>45777</v>
      </c>
      <c r="O460" s="21" t="s">
        <v>31</v>
      </c>
      <c r="P460" s="22" t="s">
        <v>30</v>
      </c>
      <c r="Q460" s="23">
        <v>45777</v>
      </c>
      <c r="R460" s="79" t="s">
        <v>67</v>
      </c>
      <c r="S460" s="22" t="s">
        <v>32</v>
      </c>
      <c r="T460" s="22">
        <v>18</v>
      </c>
      <c r="U460" s="22" t="s">
        <v>67</v>
      </c>
      <c r="V460" s="23"/>
      <c r="W460" s="80"/>
    </row>
    <row r="461" spans="1:23">
      <c r="A461" s="834" t="s">
        <v>137</v>
      </c>
      <c r="B461" s="835">
        <v>458</v>
      </c>
      <c r="C461" s="21" t="s">
        <v>774</v>
      </c>
      <c r="D461" s="834" t="s">
        <v>306</v>
      </c>
      <c r="E461" s="839">
        <v>45726.375</v>
      </c>
      <c r="F461" s="838" t="s">
        <v>140</v>
      </c>
      <c r="G461" s="838">
        <v>25</v>
      </c>
      <c r="H461" s="838" t="s">
        <v>301</v>
      </c>
      <c r="I461" s="838" t="s">
        <v>302</v>
      </c>
      <c r="J461" s="21" t="s">
        <v>29</v>
      </c>
      <c r="K461" s="21"/>
      <c r="L461" s="21"/>
      <c r="M461" s="22" t="s">
        <v>30</v>
      </c>
      <c r="N461" s="23">
        <v>45777</v>
      </c>
      <c r="O461" s="21" t="s">
        <v>31</v>
      </c>
      <c r="P461" s="22" t="s">
        <v>30</v>
      </c>
      <c r="Q461" s="23">
        <v>45777</v>
      </c>
      <c r="R461" s="79" t="s">
        <v>67</v>
      </c>
      <c r="S461" s="22" t="s">
        <v>32</v>
      </c>
      <c r="T461" s="22">
        <v>25</v>
      </c>
      <c r="U461" s="22" t="s">
        <v>67</v>
      </c>
      <c r="V461" s="23"/>
      <c r="W461" s="840"/>
    </row>
    <row r="462" spans="1:23">
      <c r="A462" s="834" t="s">
        <v>137</v>
      </c>
      <c r="B462" s="835">
        <v>459</v>
      </c>
      <c r="C462" s="21" t="s">
        <v>775</v>
      </c>
      <c r="D462" s="834" t="s">
        <v>762</v>
      </c>
      <c r="E462" s="839">
        <v>45726.375</v>
      </c>
      <c r="F462" s="838" t="s">
        <v>140</v>
      </c>
      <c r="G462" s="838">
        <v>18</v>
      </c>
      <c r="H462" s="838" t="s">
        <v>776</v>
      </c>
      <c r="I462" s="838" t="s">
        <v>777</v>
      </c>
      <c r="J462" s="21" t="s">
        <v>29</v>
      </c>
      <c r="K462" s="21"/>
      <c r="L462" s="21"/>
      <c r="M462" s="22" t="s">
        <v>30</v>
      </c>
      <c r="N462" s="23">
        <v>45777</v>
      </c>
      <c r="O462" s="21" t="s">
        <v>31</v>
      </c>
      <c r="P462" s="22" t="s">
        <v>30</v>
      </c>
      <c r="Q462" s="23">
        <v>45777</v>
      </c>
      <c r="R462" s="79" t="s">
        <v>67</v>
      </c>
      <c r="S462" s="22" t="s">
        <v>32</v>
      </c>
      <c r="T462" s="22">
        <v>18</v>
      </c>
      <c r="U462" s="22" t="s">
        <v>67</v>
      </c>
      <c r="V462" s="23">
        <v>45777</v>
      </c>
      <c r="W462" s="80"/>
    </row>
    <row r="463" spans="1:23">
      <c r="A463" s="834" t="s">
        <v>137</v>
      </c>
      <c r="B463" s="835">
        <v>460</v>
      </c>
      <c r="C463" s="21" t="s">
        <v>778</v>
      </c>
      <c r="D463" s="834" t="s">
        <v>779</v>
      </c>
      <c r="E463" s="839">
        <v>45726.375</v>
      </c>
      <c r="F463" s="838" t="s">
        <v>140</v>
      </c>
      <c r="G463" s="838">
        <v>6</v>
      </c>
      <c r="H463" s="838" t="s">
        <v>46</v>
      </c>
      <c r="I463" s="838" t="s">
        <v>47</v>
      </c>
      <c r="J463" s="21" t="s">
        <v>29</v>
      </c>
      <c r="K463" s="21"/>
      <c r="L463" s="21"/>
      <c r="M463" s="22" t="s">
        <v>30</v>
      </c>
      <c r="N463" s="23">
        <v>45777</v>
      </c>
      <c r="O463" s="21"/>
      <c r="P463" s="22" t="s">
        <v>30</v>
      </c>
      <c r="Q463" s="23">
        <v>45777</v>
      </c>
      <c r="R463" s="79" t="s">
        <v>67</v>
      </c>
      <c r="S463" s="22" t="s">
        <v>32</v>
      </c>
      <c r="T463" s="22">
        <v>6</v>
      </c>
      <c r="U463" s="22" t="s">
        <v>67</v>
      </c>
      <c r="V463" s="23">
        <v>45777</v>
      </c>
      <c r="W463" s="80"/>
    </row>
    <row r="464" spans="1:23">
      <c r="A464" s="834" t="s">
        <v>137</v>
      </c>
      <c r="B464" s="835">
        <v>461</v>
      </c>
      <c r="C464" s="21" t="s">
        <v>780</v>
      </c>
      <c r="D464" s="834" t="s">
        <v>781</v>
      </c>
      <c r="E464" s="839">
        <v>45726.375</v>
      </c>
      <c r="F464" s="838" t="s">
        <v>140</v>
      </c>
      <c r="G464" s="838">
        <v>7</v>
      </c>
      <c r="H464" s="838" t="s">
        <v>301</v>
      </c>
      <c r="I464" s="838" t="s">
        <v>302</v>
      </c>
      <c r="J464" s="21" t="s">
        <v>29</v>
      </c>
      <c r="K464" s="21"/>
      <c r="L464" s="21"/>
      <c r="M464" s="22" t="s">
        <v>30</v>
      </c>
      <c r="N464" s="23">
        <v>45777</v>
      </c>
      <c r="O464" s="21"/>
      <c r="P464" s="22" t="s">
        <v>30</v>
      </c>
      <c r="Q464" s="23">
        <v>45777</v>
      </c>
      <c r="R464" s="79" t="s">
        <v>67</v>
      </c>
      <c r="S464" s="22" t="s">
        <v>32</v>
      </c>
      <c r="T464" s="22">
        <v>7</v>
      </c>
      <c r="U464" s="22" t="s">
        <v>67</v>
      </c>
      <c r="V464" s="23">
        <v>45777</v>
      </c>
      <c r="W464" s="840"/>
    </row>
    <row r="465" spans="1:23">
      <c r="A465" s="834" t="s">
        <v>137</v>
      </c>
      <c r="B465" s="835">
        <v>462</v>
      </c>
      <c r="C465" s="21" t="s">
        <v>782</v>
      </c>
      <c r="D465" s="834" t="s">
        <v>526</v>
      </c>
      <c r="E465" s="839">
        <v>45726.375</v>
      </c>
      <c r="F465" s="838" t="s">
        <v>140</v>
      </c>
      <c r="G465" s="838">
        <v>12</v>
      </c>
      <c r="H465" s="838" t="s">
        <v>301</v>
      </c>
      <c r="I465" s="838" t="s">
        <v>302</v>
      </c>
      <c r="J465" s="21" t="s">
        <v>29</v>
      </c>
      <c r="K465" s="21"/>
      <c r="L465" s="21"/>
      <c r="M465" s="22" t="s">
        <v>30</v>
      </c>
      <c r="N465" s="23">
        <v>45777</v>
      </c>
      <c r="O465" s="21" t="s">
        <v>66</v>
      </c>
      <c r="P465" s="22" t="s">
        <v>30</v>
      </c>
      <c r="Q465" s="23">
        <v>45777</v>
      </c>
      <c r="R465" s="79" t="s">
        <v>67</v>
      </c>
      <c r="S465" s="22" t="s">
        <v>32</v>
      </c>
      <c r="T465" s="22">
        <v>12</v>
      </c>
      <c r="U465" s="22" t="s">
        <v>67</v>
      </c>
      <c r="V465" s="23">
        <v>45777</v>
      </c>
      <c r="W465" s="80"/>
    </row>
    <row r="466" spans="1:23">
      <c r="A466" s="834" t="s">
        <v>137</v>
      </c>
      <c r="B466" s="835">
        <v>463</v>
      </c>
      <c r="C466" s="21" t="s">
        <v>783</v>
      </c>
      <c r="D466" s="834" t="s">
        <v>784</v>
      </c>
      <c r="E466" s="839">
        <v>45726.375</v>
      </c>
      <c r="F466" s="838" t="s">
        <v>140</v>
      </c>
      <c r="G466" s="838">
        <v>2</v>
      </c>
      <c r="H466" s="838" t="s">
        <v>22</v>
      </c>
      <c r="I466" s="838" t="s">
        <v>28</v>
      </c>
      <c r="J466" s="21" t="s">
        <v>29</v>
      </c>
      <c r="K466" s="21"/>
      <c r="L466" s="21"/>
      <c r="M466" s="22" t="s">
        <v>30</v>
      </c>
      <c r="N466" s="23">
        <v>45777</v>
      </c>
      <c r="O466" s="21"/>
      <c r="P466" s="22" t="s">
        <v>30</v>
      </c>
      <c r="Q466" s="23">
        <v>45777</v>
      </c>
      <c r="R466" s="79" t="s">
        <v>67</v>
      </c>
      <c r="S466" s="22" t="s">
        <v>32</v>
      </c>
      <c r="T466" s="22">
        <v>2</v>
      </c>
      <c r="U466" s="22" t="s">
        <v>67</v>
      </c>
      <c r="V466" s="23">
        <v>45777</v>
      </c>
      <c r="W466" s="80"/>
    </row>
    <row r="467" spans="1:23">
      <c r="A467" s="834" t="s">
        <v>137</v>
      </c>
      <c r="B467" s="835">
        <v>464</v>
      </c>
      <c r="C467" s="838" t="s">
        <v>785</v>
      </c>
      <c r="D467" s="834" t="s">
        <v>564</v>
      </c>
      <c r="E467" s="839">
        <v>45733.375</v>
      </c>
      <c r="F467" s="838" t="s">
        <v>140</v>
      </c>
      <c r="G467" s="838">
        <v>6</v>
      </c>
      <c r="H467" s="838" t="s">
        <v>776</v>
      </c>
      <c r="I467" s="838" t="s">
        <v>777</v>
      </c>
      <c r="J467" s="21" t="s">
        <v>29</v>
      </c>
      <c r="K467" s="21"/>
      <c r="L467" s="21"/>
      <c r="M467" s="22"/>
      <c r="N467" s="23"/>
      <c r="O467" s="21"/>
      <c r="P467" s="22"/>
      <c r="Q467" s="23"/>
      <c r="R467" s="79" t="s">
        <v>37</v>
      </c>
      <c r="S467" s="22"/>
      <c r="T467" s="22"/>
      <c r="U467" s="24"/>
      <c r="V467" s="23"/>
      <c r="W467" s="80"/>
    </row>
    <row r="468" spans="1:23">
      <c r="A468" s="834" t="s">
        <v>137</v>
      </c>
      <c r="B468" s="835">
        <v>465</v>
      </c>
      <c r="C468" s="838" t="s">
        <v>786</v>
      </c>
      <c r="D468" s="834" t="s">
        <v>787</v>
      </c>
      <c r="E468" s="839">
        <v>45733.375</v>
      </c>
      <c r="F468" s="838" t="s">
        <v>140</v>
      </c>
      <c r="G468" s="838">
        <v>1</v>
      </c>
      <c r="H468" s="838" t="s">
        <v>46</v>
      </c>
      <c r="I468" s="838" t="s">
        <v>47</v>
      </c>
      <c r="J468" s="21" t="s">
        <v>29</v>
      </c>
      <c r="K468" s="21"/>
      <c r="L468" s="21"/>
      <c r="M468" s="22"/>
      <c r="N468" s="23"/>
      <c r="O468" s="21"/>
      <c r="P468" s="22"/>
      <c r="Q468" s="23"/>
      <c r="R468" s="79" t="s">
        <v>37</v>
      </c>
      <c r="S468" s="22"/>
      <c r="T468" s="22"/>
      <c r="U468" s="24"/>
      <c r="V468" s="23"/>
      <c r="W468" s="80"/>
    </row>
    <row r="469" spans="1:23">
      <c r="A469" s="834" t="s">
        <v>137</v>
      </c>
      <c r="B469" s="835">
        <v>466</v>
      </c>
      <c r="C469" s="838" t="s">
        <v>788</v>
      </c>
      <c r="D469" s="834" t="s">
        <v>789</v>
      </c>
      <c r="E469" s="839">
        <v>45733.458333333336</v>
      </c>
      <c r="F469" s="838" t="s">
        <v>140</v>
      </c>
      <c r="G469" s="838">
        <v>1</v>
      </c>
      <c r="H469" s="838" t="s">
        <v>21</v>
      </c>
      <c r="I469" s="838" t="s">
        <v>127</v>
      </c>
      <c r="J469" s="21" t="s">
        <v>29</v>
      </c>
      <c r="K469" s="21"/>
      <c r="L469" s="21"/>
      <c r="M469" s="22" t="s">
        <v>30</v>
      </c>
      <c r="N469" s="23">
        <v>45777</v>
      </c>
      <c r="O469" s="21"/>
      <c r="P469" s="22" t="s">
        <v>30</v>
      </c>
      <c r="Q469" s="23">
        <v>45777</v>
      </c>
      <c r="R469" s="79" t="s">
        <v>37</v>
      </c>
      <c r="S469" s="22" t="s">
        <v>32</v>
      </c>
      <c r="T469" s="22">
        <v>1</v>
      </c>
      <c r="U469" s="22" t="s">
        <v>37</v>
      </c>
      <c r="V469" s="23">
        <v>45777</v>
      </c>
      <c r="W469" s="840"/>
    </row>
    <row r="470" spans="1:23">
      <c r="A470" s="834" t="s">
        <v>137</v>
      </c>
      <c r="B470" s="835">
        <v>467</v>
      </c>
      <c r="C470" s="838" t="s">
        <v>790</v>
      </c>
      <c r="D470" s="834" t="s">
        <v>791</v>
      </c>
      <c r="E470" s="839">
        <v>45733.375</v>
      </c>
      <c r="F470" s="838" t="s">
        <v>140</v>
      </c>
      <c r="G470" s="838">
        <v>1</v>
      </c>
      <c r="H470" s="838" t="s">
        <v>21</v>
      </c>
      <c r="I470" s="838" t="s">
        <v>127</v>
      </c>
      <c r="J470" s="21" t="s">
        <v>29</v>
      </c>
      <c r="K470" s="21"/>
      <c r="L470" s="21"/>
      <c r="M470" s="22" t="s">
        <v>30</v>
      </c>
      <c r="N470" s="23">
        <v>45777</v>
      </c>
      <c r="O470" s="21"/>
      <c r="P470" s="22" t="s">
        <v>30</v>
      </c>
      <c r="Q470" s="23">
        <v>45777</v>
      </c>
      <c r="R470" s="79" t="s">
        <v>37</v>
      </c>
      <c r="S470" s="22" t="s">
        <v>32</v>
      </c>
      <c r="T470" s="22">
        <v>1</v>
      </c>
      <c r="U470" s="22" t="s">
        <v>37</v>
      </c>
      <c r="V470" s="23">
        <v>45777</v>
      </c>
      <c r="W470" s="840"/>
    </row>
    <row r="471" spans="1:23">
      <c r="A471" s="834" t="s">
        <v>137</v>
      </c>
      <c r="B471" s="835">
        <v>468</v>
      </c>
      <c r="C471" s="838" t="s">
        <v>792</v>
      </c>
      <c r="D471" s="834" t="s">
        <v>773</v>
      </c>
      <c r="E471" s="839">
        <v>45733.375</v>
      </c>
      <c r="F471" s="838" t="s">
        <v>140</v>
      </c>
      <c r="G471" s="838">
        <v>14</v>
      </c>
      <c r="H471" s="838" t="s">
        <v>776</v>
      </c>
      <c r="I471" s="838" t="s">
        <v>777</v>
      </c>
      <c r="J471" s="21" t="s">
        <v>29</v>
      </c>
      <c r="K471" s="21"/>
      <c r="L471" s="21"/>
      <c r="M471" s="22" t="s">
        <v>30</v>
      </c>
      <c r="N471" s="23">
        <v>45777</v>
      </c>
      <c r="O471" s="21"/>
      <c r="P471" s="22" t="s">
        <v>30</v>
      </c>
      <c r="Q471" s="23">
        <v>45777</v>
      </c>
      <c r="R471" s="79" t="s">
        <v>37</v>
      </c>
      <c r="S471" s="22" t="s">
        <v>32</v>
      </c>
      <c r="T471" s="22">
        <v>14</v>
      </c>
      <c r="U471" s="22" t="s">
        <v>37</v>
      </c>
      <c r="V471" s="23">
        <v>45777</v>
      </c>
      <c r="W471" s="840"/>
    </row>
    <row r="472" spans="1:23">
      <c r="A472" s="834" t="s">
        <v>137</v>
      </c>
      <c r="B472" s="835">
        <v>469</v>
      </c>
      <c r="C472" s="838" t="s">
        <v>793</v>
      </c>
      <c r="D472" s="834" t="s">
        <v>794</v>
      </c>
      <c r="E472" s="839">
        <v>45733.375</v>
      </c>
      <c r="F472" s="838" t="s">
        <v>140</v>
      </c>
      <c r="G472" s="838">
        <v>13</v>
      </c>
      <c r="H472" s="838" t="s">
        <v>291</v>
      </c>
      <c r="I472" s="838" t="s">
        <v>760</v>
      </c>
      <c r="J472" s="21" t="s">
        <v>29</v>
      </c>
      <c r="K472" s="21"/>
      <c r="L472" s="21"/>
      <c r="M472" s="22" t="s">
        <v>30</v>
      </c>
      <c r="N472" s="23">
        <v>45777</v>
      </c>
      <c r="O472" s="21" t="s">
        <v>66</v>
      </c>
      <c r="P472" s="22" t="s">
        <v>30</v>
      </c>
      <c r="Q472" s="23">
        <v>45777</v>
      </c>
      <c r="R472" s="79" t="s">
        <v>37</v>
      </c>
      <c r="S472" s="22" t="s">
        <v>32</v>
      </c>
      <c r="T472" s="22">
        <v>13</v>
      </c>
      <c r="U472" s="22" t="s">
        <v>37</v>
      </c>
      <c r="V472" s="23">
        <v>45777</v>
      </c>
      <c r="W472" s="840"/>
    </row>
    <row r="473" spans="1:23">
      <c r="A473" s="834" t="s">
        <v>137</v>
      </c>
      <c r="B473" s="835">
        <v>470</v>
      </c>
      <c r="C473" s="838" t="s">
        <v>795</v>
      </c>
      <c r="D473" s="834" t="s">
        <v>554</v>
      </c>
      <c r="E473" s="839">
        <v>45733.375</v>
      </c>
      <c r="F473" s="838" t="s">
        <v>140</v>
      </c>
      <c r="G473" s="838">
        <v>5</v>
      </c>
      <c r="H473" s="838" t="s">
        <v>301</v>
      </c>
      <c r="I473" s="838" t="s">
        <v>302</v>
      </c>
      <c r="J473" s="21" t="s">
        <v>29</v>
      </c>
      <c r="K473" s="21"/>
      <c r="L473" s="21"/>
      <c r="M473" s="22" t="s">
        <v>30</v>
      </c>
      <c r="N473" s="23">
        <v>45777</v>
      </c>
      <c r="O473" s="21"/>
      <c r="P473" s="22" t="s">
        <v>30</v>
      </c>
      <c r="Q473" s="23">
        <v>45777</v>
      </c>
      <c r="R473" s="79" t="s">
        <v>37</v>
      </c>
      <c r="S473" s="22" t="s">
        <v>32</v>
      </c>
      <c r="T473" s="22">
        <v>5</v>
      </c>
      <c r="U473" s="22" t="s">
        <v>37</v>
      </c>
      <c r="V473" s="23">
        <v>45777</v>
      </c>
      <c r="W473" s="840"/>
    </row>
    <row r="474" spans="1:23">
      <c r="A474" s="834" t="s">
        <v>137</v>
      </c>
      <c r="B474" s="835">
        <v>471</v>
      </c>
      <c r="C474" s="838" t="s">
        <v>796</v>
      </c>
      <c r="D474" s="834" t="s">
        <v>306</v>
      </c>
      <c r="E474" s="839">
        <v>45733.375</v>
      </c>
      <c r="F474" s="838" t="s">
        <v>140</v>
      </c>
      <c r="G474" s="838">
        <v>5</v>
      </c>
      <c r="H474" s="838" t="s">
        <v>46</v>
      </c>
      <c r="I474" s="838" t="s">
        <v>47</v>
      </c>
      <c r="J474" s="21" t="s">
        <v>29</v>
      </c>
      <c r="K474" s="21"/>
      <c r="L474" s="21"/>
      <c r="M474" s="22" t="s">
        <v>30</v>
      </c>
      <c r="N474" s="23">
        <v>45769</v>
      </c>
      <c r="O474" s="21"/>
      <c r="P474" s="22" t="s">
        <v>30</v>
      </c>
      <c r="Q474" s="23">
        <v>45769</v>
      </c>
      <c r="R474" s="79" t="s">
        <v>47</v>
      </c>
      <c r="S474" s="22" t="s">
        <v>32</v>
      </c>
      <c r="T474" s="22">
        <v>5</v>
      </c>
      <c r="U474" s="22" t="s">
        <v>47</v>
      </c>
      <c r="V474" s="23">
        <v>45769</v>
      </c>
      <c r="W474" s="840"/>
    </row>
    <row r="475" spans="1:23">
      <c r="A475" s="834" t="s">
        <v>137</v>
      </c>
      <c r="B475" s="835">
        <v>472</v>
      </c>
      <c r="C475" s="838" t="s">
        <v>797</v>
      </c>
      <c r="D475" s="834" t="s">
        <v>798</v>
      </c>
      <c r="E475" s="839">
        <v>45733.375</v>
      </c>
      <c r="F475" s="838" t="s">
        <v>140</v>
      </c>
      <c r="G475" s="838">
        <v>2</v>
      </c>
      <c r="H475" s="838" t="s">
        <v>46</v>
      </c>
      <c r="I475" s="838" t="s">
        <v>47</v>
      </c>
      <c r="J475" s="21" t="s">
        <v>29</v>
      </c>
      <c r="K475" s="21"/>
      <c r="L475" s="21"/>
      <c r="M475" s="22"/>
      <c r="N475" s="23"/>
      <c r="O475" s="21"/>
      <c r="P475" s="22"/>
      <c r="Q475" s="23"/>
      <c r="R475" s="79" t="s">
        <v>37</v>
      </c>
      <c r="S475" s="22"/>
      <c r="T475" s="22"/>
      <c r="U475" s="24"/>
      <c r="V475" s="23"/>
      <c r="W475" s="840"/>
    </row>
    <row r="476" spans="1:23">
      <c r="A476" s="834" t="s">
        <v>137</v>
      </c>
      <c r="B476" s="835">
        <v>473</v>
      </c>
      <c r="C476" s="838" t="s">
        <v>799</v>
      </c>
      <c r="D476" s="834" t="s">
        <v>800</v>
      </c>
      <c r="E476" s="839">
        <v>45733.375</v>
      </c>
      <c r="F476" s="838" t="s">
        <v>140</v>
      </c>
      <c r="G476" s="838">
        <v>11</v>
      </c>
      <c r="H476" s="838" t="s">
        <v>46</v>
      </c>
      <c r="I476" s="838" t="s">
        <v>47</v>
      </c>
      <c r="J476" s="21" t="s">
        <v>29</v>
      </c>
      <c r="K476" s="21"/>
      <c r="L476" s="21"/>
      <c r="M476" s="22"/>
      <c r="N476" s="23"/>
      <c r="O476" s="21"/>
      <c r="P476" s="22"/>
      <c r="Q476" s="23"/>
      <c r="R476" s="79" t="s">
        <v>37</v>
      </c>
      <c r="S476" s="22"/>
      <c r="T476" s="22"/>
      <c r="U476" s="22"/>
      <c r="V476" s="23"/>
      <c r="W476" s="840"/>
    </row>
    <row r="477" spans="1:23">
      <c r="A477" s="834" t="s">
        <v>137</v>
      </c>
      <c r="B477" s="835">
        <v>474</v>
      </c>
      <c r="C477" s="838" t="s">
        <v>801</v>
      </c>
      <c r="D477" s="834" t="s">
        <v>802</v>
      </c>
      <c r="E477" s="839">
        <v>45733.375</v>
      </c>
      <c r="F477" s="838" t="s">
        <v>140</v>
      </c>
      <c r="G477" s="838">
        <v>4</v>
      </c>
      <c r="H477" s="838" t="s">
        <v>22</v>
      </c>
      <c r="I477" s="838" t="s">
        <v>28</v>
      </c>
      <c r="J477" s="21" t="s">
        <v>29</v>
      </c>
      <c r="K477" s="21"/>
      <c r="L477" s="21"/>
      <c r="M477" s="22" t="s">
        <v>30</v>
      </c>
      <c r="N477" s="23">
        <v>45777</v>
      </c>
      <c r="O477" s="21"/>
      <c r="P477" s="22" t="s">
        <v>30</v>
      </c>
      <c r="Q477" s="23">
        <v>45777</v>
      </c>
      <c r="R477" s="79" t="s">
        <v>37</v>
      </c>
      <c r="S477" s="22" t="s">
        <v>32</v>
      </c>
      <c r="T477" s="22">
        <v>4</v>
      </c>
      <c r="U477" s="24" t="s">
        <v>37</v>
      </c>
      <c r="V477" s="23">
        <v>45777</v>
      </c>
      <c r="W477" s="80"/>
    </row>
    <row r="478" spans="1:23">
      <c r="A478" s="834" t="s">
        <v>137</v>
      </c>
      <c r="B478" s="835">
        <v>475</v>
      </c>
      <c r="C478" s="838" t="s">
        <v>803</v>
      </c>
      <c r="D478" s="834" t="s">
        <v>526</v>
      </c>
      <c r="E478" s="839">
        <v>45733.458333333336</v>
      </c>
      <c r="F478" s="838" t="s">
        <v>140</v>
      </c>
      <c r="G478" s="838">
        <v>1</v>
      </c>
      <c r="H478" s="838" t="s">
        <v>21</v>
      </c>
      <c r="I478" s="838" t="s">
        <v>127</v>
      </c>
      <c r="J478" s="21" t="s">
        <v>29</v>
      </c>
      <c r="K478" s="21"/>
      <c r="L478" s="21"/>
      <c r="M478" s="22" t="s">
        <v>30</v>
      </c>
      <c r="N478" s="23">
        <v>45777</v>
      </c>
      <c r="O478" s="21"/>
      <c r="P478" s="22" t="s">
        <v>30</v>
      </c>
      <c r="Q478" s="23">
        <v>45777</v>
      </c>
      <c r="R478" s="79" t="s">
        <v>37</v>
      </c>
      <c r="S478" s="22" t="s">
        <v>32</v>
      </c>
      <c r="T478" s="22">
        <v>1</v>
      </c>
      <c r="U478" s="24" t="s">
        <v>37</v>
      </c>
      <c r="V478" s="23">
        <v>45777</v>
      </c>
      <c r="W478" s="840"/>
    </row>
    <row r="479" spans="1:23">
      <c r="A479" s="834" t="s">
        <v>137</v>
      </c>
      <c r="B479" s="835">
        <v>476</v>
      </c>
      <c r="C479" s="838" t="s">
        <v>804</v>
      </c>
      <c r="D479" s="834" t="s">
        <v>779</v>
      </c>
      <c r="E479" s="839">
        <v>45733.375</v>
      </c>
      <c r="F479" s="838" t="s">
        <v>140</v>
      </c>
      <c r="G479" s="838">
        <v>3</v>
      </c>
      <c r="H479" s="838" t="s">
        <v>291</v>
      </c>
      <c r="I479" s="838" t="s">
        <v>760</v>
      </c>
      <c r="J479" s="21" t="s">
        <v>29</v>
      </c>
      <c r="K479" s="21"/>
      <c r="L479" s="21"/>
      <c r="M479" s="22" t="s">
        <v>30</v>
      </c>
      <c r="N479" s="23">
        <v>45782</v>
      </c>
      <c r="O479" s="21"/>
      <c r="P479" s="22" t="s">
        <v>30</v>
      </c>
      <c r="Q479" s="23">
        <v>45782</v>
      </c>
      <c r="R479" s="79" t="s">
        <v>37</v>
      </c>
      <c r="S479" s="22" t="s">
        <v>32</v>
      </c>
      <c r="T479" s="22">
        <v>3</v>
      </c>
      <c r="U479" s="22" t="s">
        <v>67</v>
      </c>
      <c r="V479" s="23">
        <v>45782</v>
      </c>
      <c r="W479" s="80"/>
    </row>
    <row r="480" spans="1:23">
      <c r="A480" s="834" t="s">
        <v>137</v>
      </c>
      <c r="B480" s="835">
        <v>477</v>
      </c>
      <c r="C480" s="838" t="s">
        <v>805</v>
      </c>
      <c r="D480" s="834" t="s">
        <v>519</v>
      </c>
      <c r="E480" s="839">
        <v>45740.375</v>
      </c>
      <c r="F480" s="838" t="s">
        <v>140</v>
      </c>
      <c r="G480" s="838">
        <v>9</v>
      </c>
      <c r="H480" s="838" t="s">
        <v>776</v>
      </c>
      <c r="I480" s="838" t="s">
        <v>777</v>
      </c>
      <c r="J480" s="21" t="s">
        <v>29</v>
      </c>
      <c r="K480" s="21"/>
      <c r="L480" s="21"/>
      <c r="M480" s="22"/>
      <c r="N480" s="23"/>
      <c r="O480" s="21"/>
      <c r="P480" s="22"/>
      <c r="Q480" s="23"/>
      <c r="R480" s="79" t="s">
        <v>37</v>
      </c>
      <c r="S480" s="22"/>
      <c r="T480" s="22"/>
      <c r="U480" s="22"/>
      <c r="V480" s="23"/>
      <c r="W480" s="80"/>
    </row>
    <row r="481" spans="1:23">
      <c r="A481" s="834" t="s">
        <v>137</v>
      </c>
      <c r="B481" s="835">
        <v>478</v>
      </c>
      <c r="C481" s="838" t="s">
        <v>806</v>
      </c>
      <c r="D481" s="834" t="s">
        <v>807</v>
      </c>
      <c r="E481" s="839">
        <v>45740.375</v>
      </c>
      <c r="F481" s="838" t="s">
        <v>140</v>
      </c>
      <c r="G481" s="838">
        <v>2</v>
      </c>
      <c r="H481" s="838" t="s">
        <v>46</v>
      </c>
      <c r="I481" s="838" t="s">
        <v>47</v>
      </c>
      <c r="J481" s="21" t="s">
        <v>29</v>
      </c>
      <c r="K481" s="21"/>
      <c r="L481" s="21"/>
      <c r="M481" s="22"/>
      <c r="N481" s="23"/>
      <c r="O481" s="21"/>
      <c r="P481" s="22"/>
      <c r="Q481" s="23"/>
      <c r="R481" s="79" t="s">
        <v>37</v>
      </c>
      <c r="S481" s="22"/>
      <c r="T481" s="22"/>
      <c r="U481" s="22"/>
      <c r="V481" s="23"/>
      <c r="W481" s="80"/>
    </row>
    <row r="482" spans="1:23">
      <c r="A482" s="834" t="s">
        <v>137</v>
      </c>
      <c r="B482" s="835">
        <v>479</v>
      </c>
      <c r="C482" s="838" t="s">
        <v>808</v>
      </c>
      <c r="D482" s="834" t="s">
        <v>809</v>
      </c>
      <c r="E482" s="839">
        <v>45740.375</v>
      </c>
      <c r="F482" s="838" t="s">
        <v>140</v>
      </c>
      <c r="G482" s="838">
        <v>2</v>
      </c>
      <c r="H482" s="838" t="s">
        <v>22</v>
      </c>
      <c r="I482" s="838" t="s">
        <v>28</v>
      </c>
      <c r="J482" s="21" t="s">
        <v>29</v>
      </c>
      <c r="K482" s="21"/>
      <c r="L482" s="21"/>
      <c r="M482" s="22"/>
      <c r="N482" s="23"/>
      <c r="O482" s="21"/>
      <c r="P482" s="22"/>
      <c r="Q482" s="23"/>
      <c r="R482" s="79" t="s">
        <v>37</v>
      </c>
      <c r="S482" s="22"/>
      <c r="T482" s="22"/>
      <c r="U482" s="22"/>
      <c r="V482" s="23"/>
      <c r="W482" s="80"/>
    </row>
    <row r="483" spans="1:23">
      <c r="A483" s="834" t="s">
        <v>137</v>
      </c>
      <c r="B483" s="835">
        <v>480</v>
      </c>
      <c r="C483" s="838" t="s">
        <v>810</v>
      </c>
      <c r="D483" s="834" t="s">
        <v>811</v>
      </c>
      <c r="E483" s="839">
        <v>45740.375</v>
      </c>
      <c r="F483" s="838" t="s">
        <v>140</v>
      </c>
      <c r="G483" s="838">
        <v>7</v>
      </c>
      <c r="H483" s="838" t="s">
        <v>22</v>
      </c>
      <c r="I483" s="838" t="s">
        <v>28</v>
      </c>
      <c r="J483" s="21" t="s">
        <v>29</v>
      </c>
      <c r="K483" s="21"/>
      <c r="L483" s="21"/>
      <c r="M483" s="22"/>
      <c r="N483" s="23"/>
      <c r="O483" s="21"/>
      <c r="P483" s="22"/>
      <c r="Q483" s="23"/>
      <c r="R483" s="79" t="s">
        <v>37</v>
      </c>
      <c r="S483" s="22"/>
      <c r="T483" s="22"/>
      <c r="U483" s="22"/>
      <c r="V483" s="23"/>
      <c r="W483" s="840"/>
    </row>
    <row r="484" spans="1:23">
      <c r="A484" s="834" t="s">
        <v>137</v>
      </c>
      <c r="B484" s="835">
        <v>481</v>
      </c>
      <c r="C484" s="838" t="s">
        <v>812</v>
      </c>
      <c r="D484" s="834" t="s">
        <v>813</v>
      </c>
      <c r="E484" s="839">
        <v>45740</v>
      </c>
      <c r="F484" s="838" t="s">
        <v>140</v>
      </c>
      <c r="G484" s="838">
        <v>5</v>
      </c>
      <c r="H484" s="838" t="s">
        <v>21</v>
      </c>
      <c r="I484" s="838" t="s">
        <v>36</v>
      </c>
      <c r="J484" s="21" t="s">
        <v>29</v>
      </c>
      <c r="K484" s="21"/>
      <c r="L484" s="21"/>
      <c r="M484" s="22" t="s">
        <v>30</v>
      </c>
      <c r="N484" s="23">
        <v>45777</v>
      </c>
      <c r="O484" s="21"/>
      <c r="P484" s="22" t="s">
        <v>30</v>
      </c>
      <c r="Q484" s="23">
        <v>45777</v>
      </c>
      <c r="R484" s="79" t="s">
        <v>67</v>
      </c>
      <c r="S484" s="22" t="s">
        <v>32</v>
      </c>
      <c r="T484" s="22">
        <v>5</v>
      </c>
      <c r="U484" s="22" t="s">
        <v>67</v>
      </c>
      <c r="V484" s="23">
        <v>45777</v>
      </c>
      <c r="W484" s="840"/>
    </row>
    <row r="485" spans="1:23">
      <c r="A485" s="834" t="s">
        <v>137</v>
      </c>
      <c r="B485" s="835">
        <v>482</v>
      </c>
      <c r="C485" s="838" t="s">
        <v>814</v>
      </c>
      <c r="D485" s="834" t="s">
        <v>575</v>
      </c>
      <c r="E485" s="839">
        <v>45740.375</v>
      </c>
      <c r="F485" s="838" t="s">
        <v>140</v>
      </c>
      <c r="G485" s="838">
        <v>2</v>
      </c>
      <c r="H485" s="838" t="s">
        <v>21</v>
      </c>
      <c r="I485" s="838" t="s">
        <v>36</v>
      </c>
      <c r="J485" s="21" t="s">
        <v>29</v>
      </c>
      <c r="K485" s="21"/>
      <c r="L485" s="21"/>
      <c r="M485" s="22"/>
      <c r="N485" s="23"/>
      <c r="O485" s="21"/>
      <c r="P485" s="22"/>
      <c r="Q485" s="23"/>
      <c r="R485" s="79" t="s">
        <v>37</v>
      </c>
      <c r="S485" s="22"/>
      <c r="T485" s="22"/>
      <c r="U485" s="24"/>
      <c r="V485" s="23"/>
      <c r="W485" s="840"/>
    </row>
    <row r="486" spans="1:23">
      <c r="A486" s="834" t="s">
        <v>137</v>
      </c>
      <c r="B486" s="835">
        <v>483</v>
      </c>
      <c r="C486" s="838" t="s">
        <v>815</v>
      </c>
      <c r="D486" s="834" t="s">
        <v>816</v>
      </c>
      <c r="E486" s="839">
        <v>45740.375</v>
      </c>
      <c r="F486" s="838" t="s">
        <v>140</v>
      </c>
      <c r="G486" s="838">
        <v>5</v>
      </c>
      <c r="H486" s="838" t="s">
        <v>210</v>
      </c>
      <c r="I486" s="838" t="s">
        <v>211</v>
      </c>
      <c r="J486" s="21" t="s">
        <v>29</v>
      </c>
      <c r="K486" s="21"/>
      <c r="L486" s="21"/>
      <c r="M486" s="22"/>
      <c r="N486" s="23"/>
      <c r="O486" s="21"/>
      <c r="P486" s="22"/>
      <c r="Q486" s="23"/>
      <c r="R486" s="79" t="s">
        <v>37</v>
      </c>
      <c r="S486" s="22"/>
      <c r="T486" s="22"/>
      <c r="U486" s="22"/>
      <c r="V486" s="23"/>
      <c r="W486" s="840"/>
    </row>
    <row r="487" spans="1:23">
      <c r="A487" s="834" t="s">
        <v>137</v>
      </c>
      <c r="B487" s="835">
        <v>484</v>
      </c>
      <c r="C487" s="838" t="s">
        <v>817</v>
      </c>
      <c r="D487" s="834" t="s">
        <v>818</v>
      </c>
      <c r="E487" s="839">
        <v>45740</v>
      </c>
      <c r="F487" s="838" t="s">
        <v>140</v>
      </c>
      <c r="G487" s="838">
        <v>2</v>
      </c>
      <c r="H487" s="838" t="s">
        <v>141</v>
      </c>
      <c r="I487" s="838" t="s">
        <v>819</v>
      </c>
      <c r="J487" s="21" t="s">
        <v>29</v>
      </c>
      <c r="K487" s="21"/>
      <c r="L487" s="21"/>
      <c r="M487" s="22" t="s">
        <v>30</v>
      </c>
      <c r="N487" s="23">
        <v>45777</v>
      </c>
      <c r="O487" s="21"/>
      <c r="P487" s="22" t="s">
        <v>30</v>
      </c>
      <c r="Q487" s="23">
        <v>45777</v>
      </c>
      <c r="R487" s="79" t="s">
        <v>37</v>
      </c>
      <c r="S487" s="22" t="s">
        <v>32</v>
      </c>
      <c r="T487" s="22">
        <v>2</v>
      </c>
      <c r="U487" s="24" t="s">
        <v>37</v>
      </c>
      <c r="V487" s="23">
        <v>45777</v>
      </c>
      <c r="W487" s="840"/>
    </row>
    <row r="488" spans="1:23">
      <c r="A488" s="834" t="s">
        <v>137</v>
      </c>
      <c r="B488" s="835">
        <v>485</v>
      </c>
      <c r="C488" s="838" t="s">
        <v>820</v>
      </c>
      <c r="D488" s="834" t="s">
        <v>821</v>
      </c>
      <c r="E488" s="839">
        <v>45740.375</v>
      </c>
      <c r="F488" s="838" t="s">
        <v>140</v>
      </c>
      <c r="G488" s="838">
        <v>9</v>
      </c>
      <c r="H488" s="838" t="s">
        <v>22</v>
      </c>
      <c r="I488" s="838" t="s">
        <v>28</v>
      </c>
      <c r="J488" s="21" t="s">
        <v>29</v>
      </c>
      <c r="K488" s="21"/>
      <c r="L488" s="21"/>
      <c r="M488" s="22" t="s">
        <v>30</v>
      </c>
      <c r="N488" s="23">
        <v>45777</v>
      </c>
      <c r="O488" s="21"/>
      <c r="P488" s="22" t="s">
        <v>30</v>
      </c>
      <c r="Q488" s="23">
        <v>45777</v>
      </c>
      <c r="R488" s="79" t="s">
        <v>67</v>
      </c>
      <c r="S488" s="22" t="s">
        <v>32</v>
      </c>
      <c r="T488" s="22">
        <v>9</v>
      </c>
      <c r="U488" s="22" t="s">
        <v>67</v>
      </c>
      <c r="V488" s="23">
        <v>45777</v>
      </c>
      <c r="W488" s="840"/>
    </row>
    <row r="489" spans="1:23">
      <c r="A489" s="834" t="s">
        <v>137</v>
      </c>
      <c r="B489" s="835">
        <v>486</v>
      </c>
      <c r="C489" s="838" t="s">
        <v>822</v>
      </c>
      <c r="D489" s="840" t="s">
        <v>823</v>
      </c>
      <c r="E489" s="839">
        <v>45740.375</v>
      </c>
      <c r="F489" s="838" t="s">
        <v>140</v>
      </c>
      <c r="G489" s="838">
        <v>4</v>
      </c>
      <c r="H489" s="838" t="s">
        <v>22</v>
      </c>
      <c r="I489" s="838" t="s">
        <v>28</v>
      </c>
      <c r="J489" s="21" t="s">
        <v>29</v>
      </c>
      <c r="K489" s="21"/>
      <c r="L489" s="21"/>
      <c r="M489" s="22" t="s">
        <v>30</v>
      </c>
      <c r="N489" s="23">
        <v>45777</v>
      </c>
      <c r="O489" s="21"/>
      <c r="P489" s="22" t="s">
        <v>30</v>
      </c>
      <c r="Q489" s="23">
        <v>45777</v>
      </c>
      <c r="R489" s="79" t="s">
        <v>67</v>
      </c>
      <c r="S489" s="22" t="s">
        <v>32</v>
      </c>
      <c r="T489" s="22">
        <v>4</v>
      </c>
      <c r="U489" s="22" t="s">
        <v>67</v>
      </c>
      <c r="V489" s="23">
        <v>45777</v>
      </c>
      <c r="W489" s="840"/>
    </row>
    <row r="490" spans="1:23">
      <c r="A490" s="834" t="s">
        <v>137</v>
      </c>
      <c r="B490" s="835">
        <v>487</v>
      </c>
      <c r="C490" s="838" t="s">
        <v>824</v>
      </c>
      <c r="D490" s="840" t="s">
        <v>147</v>
      </c>
      <c r="E490" s="839">
        <v>45740.375</v>
      </c>
      <c r="F490" s="838" t="s">
        <v>140</v>
      </c>
      <c r="G490" s="838">
        <v>8</v>
      </c>
      <c r="H490" s="838" t="s">
        <v>310</v>
      </c>
      <c r="I490" s="838" t="s">
        <v>825</v>
      </c>
      <c r="J490" s="21" t="s">
        <v>29</v>
      </c>
      <c r="K490" s="21"/>
      <c r="L490" s="21"/>
      <c r="M490" s="22" t="s">
        <v>30</v>
      </c>
      <c r="N490" s="23">
        <v>45777</v>
      </c>
      <c r="O490" s="21"/>
      <c r="P490" s="22" t="s">
        <v>30</v>
      </c>
      <c r="Q490" s="23">
        <v>45777</v>
      </c>
      <c r="R490" s="79" t="s">
        <v>67</v>
      </c>
      <c r="S490" s="22" t="s">
        <v>32</v>
      </c>
      <c r="T490" s="22">
        <v>8</v>
      </c>
      <c r="U490" s="22" t="s">
        <v>67</v>
      </c>
      <c r="V490" s="23">
        <v>45777</v>
      </c>
      <c r="W490" s="840"/>
    </row>
    <row r="491" spans="1:23">
      <c r="A491" s="834" t="s">
        <v>137</v>
      </c>
      <c r="B491" s="835">
        <v>488</v>
      </c>
      <c r="C491" s="838" t="s">
        <v>826</v>
      </c>
      <c r="D491" s="840" t="s">
        <v>827</v>
      </c>
      <c r="E491" s="839">
        <v>45740.375</v>
      </c>
      <c r="F491" s="838" t="s">
        <v>140</v>
      </c>
      <c r="G491" s="838">
        <v>8</v>
      </c>
      <c r="H491" s="838" t="s">
        <v>210</v>
      </c>
      <c r="I491" s="838" t="s">
        <v>211</v>
      </c>
      <c r="J491" s="21" t="s">
        <v>29</v>
      </c>
      <c r="K491" s="21"/>
      <c r="L491" s="21"/>
      <c r="M491" s="22" t="s">
        <v>30</v>
      </c>
      <c r="N491" s="23">
        <v>45777</v>
      </c>
      <c r="O491" s="21" t="s">
        <v>66</v>
      </c>
      <c r="P491" s="22" t="s">
        <v>30</v>
      </c>
      <c r="Q491" s="23">
        <v>45777</v>
      </c>
      <c r="R491" s="79" t="s">
        <v>67</v>
      </c>
      <c r="S491" s="22" t="s">
        <v>32</v>
      </c>
      <c r="T491" s="22">
        <v>8</v>
      </c>
      <c r="U491" s="22" t="s">
        <v>67</v>
      </c>
      <c r="V491" s="23">
        <v>45777</v>
      </c>
      <c r="W491" s="840"/>
    </row>
    <row r="492" spans="1:23">
      <c r="A492" s="834" t="s">
        <v>137</v>
      </c>
      <c r="B492" s="835">
        <v>489</v>
      </c>
      <c r="C492" s="838" t="s">
        <v>828</v>
      </c>
      <c r="D492" s="840" t="s">
        <v>829</v>
      </c>
      <c r="E492" s="839">
        <v>45740.375</v>
      </c>
      <c r="F492" s="838" t="s">
        <v>140</v>
      </c>
      <c r="G492" s="838">
        <v>13</v>
      </c>
      <c r="H492" s="838" t="s">
        <v>291</v>
      </c>
      <c r="I492" s="838" t="s">
        <v>830</v>
      </c>
      <c r="J492" s="21" t="s">
        <v>29</v>
      </c>
      <c r="K492" s="21"/>
      <c r="L492" s="21"/>
      <c r="M492" s="22" t="s">
        <v>30</v>
      </c>
      <c r="N492" s="23">
        <v>45777</v>
      </c>
      <c r="O492" s="21"/>
      <c r="P492" s="22" t="s">
        <v>30</v>
      </c>
      <c r="Q492" s="23">
        <v>45777</v>
      </c>
      <c r="R492" s="79" t="s">
        <v>67</v>
      </c>
      <c r="S492" s="22" t="s">
        <v>32</v>
      </c>
      <c r="T492" s="22">
        <v>13</v>
      </c>
      <c r="U492" s="22" t="s">
        <v>67</v>
      </c>
      <c r="V492" s="23">
        <v>45777</v>
      </c>
      <c r="W492" s="840"/>
    </row>
    <row r="493" spans="1:23">
      <c r="A493" s="834" t="s">
        <v>137</v>
      </c>
      <c r="B493" s="835">
        <v>490</v>
      </c>
      <c r="C493" s="838" t="s">
        <v>831</v>
      </c>
      <c r="D493" s="840" t="s">
        <v>526</v>
      </c>
      <c r="E493" s="839">
        <v>45747.375</v>
      </c>
      <c r="F493" s="838" t="s">
        <v>140</v>
      </c>
      <c r="G493" s="838">
        <v>4</v>
      </c>
      <c r="H493" s="838" t="s">
        <v>46</v>
      </c>
      <c r="I493" s="838" t="s">
        <v>47</v>
      </c>
      <c r="J493" s="21" t="s">
        <v>29</v>
      </c>
      <c r="K493" s="21"/>
      <c r="L493" s="21"/>
      <c r="M493" s="22" t="s">
        <v>30</v>
      </c>
      <c r="N493" s="23">
        <v>45777</v>
      </c>
      <c r="O493" s="21"/>
      <c r="P493" s="22" t="s">
        <v>30</v>
      </c>
      <c r="Q493" s="23">
        <v>45777</v>
      </c>
      <c r="R493" s="79" t="s">
        <v>67</v>
      </c>
      <c r="S493" s="22" t="s">
        <v>32</v>
      </c>
      <c r="T493" s="22">
        <v>13</v>
      </c>
      <c r="U493" s="22" t="s">
        <v>67</v>
      </c>
      <c r="V493" s="23">
        <v>45777</v>
      </c>
      <c r="W493" s="840"/>
    </row>
    <row r="494" spans="1:23">
      <c r="A494" s="834" t="s">
        <v>137</v>
      </c>
      <c r="B494" s="835">
        <v>491</v>
      </c>
      <c r="C494" s="838" t="s">
        <v>832</v>
      </c>
      <c r="D494" s="840" t="s">
        <v>833</v>
      </c>
      <c r="E494" s="839">
        <v>45747.458333333336</v>
      </c>
      <c r="F494" s="838" t="s">
        <v>140</v>
      </c>
      <c r="G494" s="838">
        <v>1</v>
      </c>
      <c r="H494" s="838" t="s">
        <v>21</v>
      </c>
      <c r="I494" s="838" t="s">
        <v>127</v>
      </c>
      <c r="J494" s="21" t="s">
        <v>29</v>
      </c>
      <c r="K494" s="21"/>
      <c r="L494" s="21"/>
      <c r="M494" s="22" t="s">
        <v>30</v>
      </c>
      <c r="N494" s="23">
        <v>45777</v>
      </c>
      <c r="O494" s="21"/>
      <c r="P494" s="22" t="s">
        <v>30</v>
      </c>
      <c r="Q494" s="23">
        <v>45777</v>
      </c>
      <c r="R494" s="79" t="s">
        <v>67</v>
      </c>
      <c r="S494" s="22" t="s">
        <v>32</v>
      </c>
      <c r="T494" s="22">
        <v>1</v>
      </c>
      <c r="U494" s="22" t="s">
        <v>67</v>
      </c>
      <c r="V494" s="23">
        <v>45777</v>
      </c>
      <c r="W494" s="840"/>
    </row>
    <row r="495" spans="1:23">
      <c r="A495" s="834" t="s">
        <v>137</v>
      </c>
      <c r="B495" s="835">
        <v>492</v>
      </c>
      <c r="C495" s="838" t="s">
        <v>834</v>
      </c>
      <c r="D495" s="840" t="s">
        <v>523</v>
      </c>
      <c r="E495" s="839">
        <v>45747.375</v>
      </c>
      <c r="F495" s="838" t="s">
        <v>140</v>
      </c>
      <c r="G495" s="838">
        <v>6</v>
      </c>
      <c r="H495" s="838" t="s">
        <v>310</v>
      </c>
      <c r="I495" s="838" t="s">
        <v>825</v>
      </c>
      <c r="J495" s="21" t="s">
        <v>29</v>
      </c>
      <c r="K495" s="21"/>
      <c r="L495" s="21"/>
      <c r="M495" s="22" t="s">
        <v>30</v>
      </c>
      <c r="N495" s="23">
        <v>45777</v>
      </c>
      <c r="O495" s="21"/>
      <c r="P495" s="22" t="s">
        <v>30</v>
      </c>
      <c r="Q495" s="23">
        <v>45777</v>
      </c>
      <c r="R495" s="79" t="s">
        <v>67</v>
      </c>
      <c r="S495" s="22" t="s">
        <v>32</v>
      </c>
      <c r="T495" s="22">
        <v>6</v>
      </c>
      <c r="U495" s="22" t="s">
        <v>67</v>
      </c>
      <c r="V495" s="23">
        <v>45777</v>
      </c>
      <c r="W495" s="840"/>
    </row>
    <row r="496" spans="1:23">
      <c r="A496" s="834" t="s">
        <v>137</v>
      </c>
      <c r="B496" s="835">
        <v>493</v>
      </c>
      <c r="C496" s="838" t="s">
        <v>835</v>
      </c>
      <c r="D496" s="834" t="s">
        <v>215</v>
      </c>
      <c r="E496" s="839">
        <v>45747.375</v>
      </c>
      <c r="F496" s="838" t="s">
        <v>140</v>
      </c>
      <c r="G496" s="838">
        <v>19</v>
      </c>
      <c r="H496" s="838" t="s">
        <v>310</v>
      </c>
      <c r="I496" s="838" t="s">
        <v>825</v>
      </c>
      <c r="J496" s="21" t="s">
        <v>29</v>
      </c>
      <c r="K496" s="21"/>
      <c r="L496" s="21"/>
      <c r="M496" s="22" t="s">
        <v>30</v>
      </c>
      <c r="N496" s="23">
        <v>45777</v>
      </c>
      <c r="O496" s="21" t="s">
        <v>31</v>
      </c>
      <c r="P496" s="22" t="s">
        <v>30</v>
      </c>
      <c r="Q496" s="23">
        <v>45777</v>
      </c>
      <c r="R496" s="79" t="s">
        <v>67</v>
      </c>
      <c r="S496" s="22" t="s">
        <v>32</v>
      </c>
      <c r="T496" s="22">
        <v>19</v>
      </c>
      <c r="U496" s="22" t="s">
        <v>67</v>
      </c>
      <c r="V496" s="23">
        <v>45777</v>
      </c>
      <c r="W496" s="80"/>
    </row>
    <row r="497" spans="1:23">
      <c r="A497" s="834" t="s">
        <v>137</v>
      </c>
      <c r="B497" s="835">
        <v>494</v>
      </c>
      <c r="C497" s="838" t="s">
        <v>836</v>
      </c>
      <c r="D497" s="834" t="s">
        <v>519</v>
      </c>
      <c r="E497" s="839">
        <v>45747.375</v>
      </c>
      <c r="F497" s="838" t="s">
        <v>140</v>
      </c>
      <c r="G497" s="838">
        <v>14</v>
      </c>
      <c r="H497" s="838" t="s">
        <v>291</v>
      </c>
      <c r="I497" s="838" t="s">
        <v>837</v>
      </c>
      <c r="J497" s="21" t="s">
        <v>29</v>
      </c>
      <c r="K497" s="21"/>
      <c r="L497" s="21"/>
      <c r="M497" s="22" t="s">
        <v>30</v>
      </c>
      <c r="N497" s="23">
        <v>45777</v>
      </c>
      <c r="O497" s="21"/>
      <c r="P497" s="22" t="s">
        <v>30</v>
      </c>
      <c r="Q497" s="23">
        <v>45777</v>
      </c>
      <c r="R497" s="79" t="s">
        <v>67</v>
      </c>
      <c r="S497" s="22" t="s">
        <v>32</v>
      </c>
      <c r="T497" s="22">
        <v>14</v>
      </c>
      <c r="U497" s="22" t="s">
        <v>67</v>
      </c>
      <c r="V497" s="23">
        <v>45777</v>
      </c>
      <c r="W497" s="840"/>
    </row>
    <row r="498" spans="1:23">
      <c r="A498" s="834" t="s">
        <v>137</v>
      </c>
      <c r="B498" s="835">
        <v>495</v>
      </c>
      <c r="C498" s="838" t="s">
        <v>838</v>
      </c>
      <c r="D498" s="834" t="s">
        <v>839</v>
      </c>
      <c r="E498" s="839">
        <v>45747.375</v>
      </c>
      <c r="F498" s="838" t="s">
        <v>140</v>
      </c>
      <c r="G498" s="838">
        <v>1</v>
      </c>
      <c r="H498" s="838" t="s">
        <v>46</v>
      </c>
      <c r="I498" s="838" t="s">
        <v>47</v>
      </c>
      <c r="J498" s="21" t="s">
        <v>29</v>
      </c>
      <c r="K498" s="21"/>
      <c r="L498" s="21"/>
      <c r="M498" s="22" t="s">
        <v>30</v>
      </c>
      <c r="N498" s="23">
        <v>45777</v>
      </c>
      <c r="O498" s="21"/>
      <c r="P498" s="22" t="s">
        <v>30</v>
      </c>
      <c r="Q498" s="23">
        <v>45777</v>
      </c>
      <c r="R498" s="79" t="s">
        <v>67</v>
      </c>
      <c r="S498" s="22" t="s">
        <v>32</v>
      </c>
      <c r="T498" s="22">
        <v>1</v>
      </c>
      <c r="U498" s="22" t="s">
        <v>67</v>
      </c>
      <c r="V498" s="23">
        <v>45777</v>
      </c>
      <c r="W498" s="80"/>
    </row>
    <row r="499" spans="1:23">
      <c r="A499" s="834" t="s">
        <v>137</v>
      </c>
      <c r="B499" s="835">
        <v>496</v>
      </c>
      <c r="C499" s="838" t="s">
        <v>840</v>
      </c>
      <c r="D499" s="834" t="s">
        <v>841</v>
      </c>
      <c r="E499" s="839">
        <v>45747.375</v>
      </c>
      <c r="F499" s="838" t="s">
        <v>140</v>
      </c>
      <c r="G499" s="838">
        <v>4</v>
      </c>
      <c r="H499" s="838" t="s">
        <v>22</v>
      </c>
      <c r="I499" s="838" t="s">
        <v>28</v>
      </c>
      <c r="J499" s="21" t="s">
        <v>29</v>
      </c>
      <c r="K499" s="21"/>
      <c r="L499" s="21"/>
      <c r="M499" s="22" t="s">
        <v>30</v>
      </c>
      <c r="N499" s="23">
        <v>45777</v>
      </c>
      <c r="O499" s="21"/>
      <c r="P499" s="22" t="s">
        <v>30</v>
      </c>
      <c r="Q499" s="23">
        <v>45777</v>
      </c>
      <c r="R499" s="79" t="s">
        <v>67</v>
      </c>
      <c r="S499" s="22" t="s">
        <v>32</v>
      </c>
      <c r="T499" s="22">
        <v>4</v>
      </c>
      <c r="U499" s="22" t="s">
        <v>67</v>
      </c>
      <c r="V499" s="23">
        <v>45777</v>
      </c>
      <c r="W499" s="80"/>
    </row>
    <row r="500" spans="1:23">
      <c r="A500" s="834" t="s">
        <v>137</v>
      </c>
      <c r="B500" s="835">
        <v>497</v>
      </c>
      <c r="C500" s="838" t="s">
        <v>842</v>
      </c>
      <c r="D500" s="834" t="s">
        <v>159</v>
      </c>
      <c r="E500" s="839">
        <v>45747.458333333336</v>
      </c>
      <c r="F500" s="838" t="s">
        <v>140</v>
      </c>
      <c r="G500" s="838">
        <v>1</v>
      </c>
      <c r="H500" s="838" t="s">
        <v>21</v>
      </c>
      <c r="I500" s="838" t="s">
        <v>127</v>
      </c>
      <c r="J500" s="21" t="s">
        <v>29</v>
      </c>
      <c r="K500" s="21"/>
      <c r="L500" s="21"/>
      <c r="M500" s="22" t="s">
        <v>30</v>
      </c>
      <c r="N500" s="23">
        <v>45777</v>
      </c>
      <c r="O500" s="21"/>
      <c r="P500" s="22" t="s">
        <v>30</v>
      </c>
      <c r="Q500" s="23">
        <v>45777</v>
      </c>
      <c r="R500" s="79" t="s">
        <v>67</v>
      </c>
      <c r="S500" s="22" t="s">
        <v>32</v>
      </c>
      <c r="T500" s="22">
        <v>1</v>
      </c>
      <c r="U500" s="22" t="s">
        <v>67</v>
      </c>
      <c r="V500" s="23">
        <v>45777</v>
      </c>
      <c r="W500" s="80"/>
    </row>
    <row r="501" spans="1:23">
      <c r="A501" s="834" t="s">
        <v>137</v>
      </c>
      <c r="B501" s="835">
        <v>498</v>
      </c>
      <c r="C501" s="838" t="s">
        <v>843</v>
      </c>
      <c r="D501" s="834" t="s">
        <v>779</v>
      </c>
      <c r="E501" s="839">
        <v>45747.375</v>
      </c>
      <c r="F501" s="838" t="s">
        <v>140</v>
      </c>
      <c r="G501" s="838">
        <v>4</v>
      </c>
      <c r="H501" s="838" t="s">
        <v>301</v>
      </c>
      <c r="I501" s="838" t="s">
        <v>302</v>
      </c>
      <c r="J501" s="21" t="s">
        <v>29</v>
      </c>
      <c r="K501" s="21"/>
      <c r="L501" s="21"/>
      <c r="M501" s="22" t="s">
        <v>30</v>
      </c>
      <c r="N501" s="23">
        <v>45777</v>
      </c>
      <c r="O501" s="21"/>
      <c r="P501" s="22" t="s">
        <v>30</v>
      </c>
      <c r="Q501" s="23">
        <v>45777</v>
      </c>
      <c r="R501" s="79" t="s">
        <v>67</v>
      </c>
      <c r="S501" s="22" t="s">
        <v>32</v>
      </c>
      <c r="T501" s="22">
        <v>4</v>
      </c>
      <c r="U501" s="22" t="s">
        <v>67</v>
      </c>
      <c r="V501" s="23">
        <v>45777</v>
      </c>
      <c r="W501" s="80"/>
    </row>
    <row r="502" spans="1:23">
      <c r="A502" s="834" t="s">
        <v>137</v>
      </c>
      <c r="B502" s="835">
        <v>499</v>
      </c>
      <c r="C502" s="838" t="s">
        <v>844</v>
      </c>
      <c r="D502" s="834" t="s">
        <v>811</v>
      </c>
      <c r="E502" s="839">
        <v>45747.375</v>
      </c>
      <c r="F502" s="838" t="s">
        <v>140</v>
      </c>
      <c r="G502" s="838">
        <v>1</v>
      </c>
      <c r="H502" s="838" t="s">
        <v>46</v>
      </c>
      <c r="I502" s="838" t="s">
        <v>47</v>
      </c>
      <c r="J502" s="21" t="s">
        <v>29</v>
      </c>
      <c r="K502" s="21"/>
      <c r="L502" s="21"/>
      <c r="M502" s="22" t="s">
        <v>30</v>
      </c>
      <c r="N502" s="23">
        <v>45777</v>
      </c>
      <c r="O502" s="21"/>
      <c r="P502" s="22" t="s">
        <v>30</v>
      </c>
      <c r="Q502" s="23">
        <v>45777</v>
      </c>
      <c r="R502" s="79" t="s">
        <v>67</v>
      </c>
      <c r="S502" s="22" t="s">
        <v>32</v>
      </c>
      <c r="T502" s="22">
        <v>1</v>
      </c>
      <c r="U502" s="22" t="s">
        <v>67</v>
      </c>
      <c r="V502" s="23">
        <v>45777</v>
      </c>
      <c r="W502" s="840"/>
    </row>
    <row r="503" spans="1:23">
      <c r="A503" s="834" t="s">
        <v>137</v>
      </c>
      <c r="B503" s="835">
        <v>500</v>
      </c>
      <c r="C503" s="838" t="s">
        <v>845</v>
      </c>
      <c r="D503" s="834" t="s">
        <v>846</v>
      </c>
      <c r="E503" s="839">
        <v>45747.375</v>
      </c>
      <c r="F503" s="838" t="s">
        <v>140</v>
      </c>
      <c r="G503" s="838">
        <v>1</v>
      </c>
      <c r="H503" s="838" t="s">
        <v>46</v>
      </c>
      <c r="I503" s="838" t="s">
        <v>47</v>
      </c>
      <c r="J503" s="21" t="s">
        <v>29</v>
      </c>
      <c r="K503" s="21"/>
      <c r="L503" s="21"/>
      <c r="M503" s="22" t="s">
        <v>30</v>
      </c>
      <c r="N503" s="23">
        <v>45777</v>
      </c>
      <c r="O503" s="21"/>
      <c r="P503" s="22" t="s">
        <v>30</v>
      </c>
      <c r="Q503" s="23">
        <v>45777</v>
      </c>
      <c r="R503" s="79" t="s">
        <v>67</v>
      </c>
      <c r="S503" s="22" t="s">
        <v>32</v>
      </c>
      <c r="T503" s="22">
        <v>1</v>
      </c>
      <c r="U503" s="22" t="s">
        <v>67</v>
      </c>
      <c r="V503" s="23">
        <v>45777</v>
      </c>
      <c r="W503" s="840"/>
    </row>
    <row r="504" spans="1:23">
      <c r="A504" s="834" t="s">
        <v>137</v>
      </c>
      <c r="B504" s="835">
        <v>501</v>
      </c>
      <c r="C504" s="838" t="s">
        <v>847</v>
      </c>
      <c r="D504" s="834" t="s">
        <v>848</v>
      </c>
      <c r="E504" s="839">
        <v>45747.375</v>
      </c>
      <c r="F504" s="838" t="s">
        <v>140</v>
      </c>
      <c r="G504" s="838">
        <v>2</v>
      </c>
      <c r="H504" s="838" t="s">
        <v>46</v>
      </c>
      <c r="I504" s="838" t="s">
        <v>47</v>
      </c>
      <c r="J504" s="21" t="s">
        <v>29</v>
      </c>
      <c r="K504" s="21"/>
      <c r="L504" s="21"/>
      <c r="M504" s="22"/>
      <c r="N504" s="23"/>
      <c r="O504" s="21"/>
      <c r="P504" s="22"/>
      <c r="Q504" s="23"/>
      <c r="R504" s="79" t="s">
        <v>67</v>
      </c>
      <c r="S504" s="22"/>
      <c r="T504" s="22"/>
      <c r="U504" s="24"/>
      <c r="V504" s="23"/>
      <c r="W504" s="840"/>
    </row>
    <row r="505" spans="1:23">
      <c r="A505" s="834" t="s">
        <v>137</v>
      </c>
      <c r="B505" s="835">
        <v>502</v>
      </c>
      <c r="C505" s="838" t="s">
        <v>849</v>
      </c>
      <c r="D505" s="834" t="s">
        <v>850</v>
      </c>
      <c r="E505" s="839">
        <v>45747.375</v>
      </c>
      <c r="F505" s="838" t="s">
        <v>140</v>
      </c>
      <c r="G505" s="838">
        <v>7</v>
      </c>
      <c r="H505" s="838" t="s">
        <v>22</v>
      </c>
      <c r="I505" s="838" t="s">
        <v>28</v>
      </c>
      <c r="J505" s="21" t="s">
        <v>29</v>
      </c>
      <c r="K505" s="21"/>
      <c r="L505" s="21"/>
      <c r="M505" s="22" t="s">
        <v>30</v>
      </c>
      <c r="N505" s="23">
        <v>45777</v>
      </c>
      <c r="O505" s="21"/>
      <c r="P505" s="22" t="s">
        <v>30</v>
      </c>
      <c r="Q505" s="23">
        <v>45777</v>
      </c>
      <c r="R505" s="79" t="s">
        <v>67</v>
      </c>
      <c r="S505" s="22" t="s">
        <v>32</v>
      </c>
      <c r="T505" s="22">
        <v>7</v>
      </c>
      <c r="U505" s="22" t="s">
        <v>67</v>
      </c>
      <c r="V505" s="23">
        <v>45777</v>
      </c>
      <c r="W505" s="840"/>
    </row>
    <row r="506" spans="1:23">
      <c r="A506" s="834" t="s">
        <v>137</v>
      </c>
      <c r="B506" s="835">
        <v>503</v>
      </c>
      <c r="C506" s="838" t="s">
        <v>851</v>
      </c>
      <c r="D506" s="834" t="s">
        <v>159</v>
      </c>
      <c r="E506" s="839">
        <v>45719.375</v>
      </c>
      <c r="F506" s="838" t="s">
        <v>140</v>
      </c>
      <c r="G506" s="838">
        <v>4</v>
      </c>
      <c r="H506" s="838" t="s">
        <v>21</v>
      </c>
      <c r="I506" s="838" t="s">
        <v>127</v>
      </c>
      <c r="J506" s="21" t="s">
        <v>29</v>
      </c>
      <c r="K506" s="21"/>
      <c r="L506" s="21"/>
      <c r="M506" s="22" t="s">
        <v>30</v>
      </c>
      <c r="N506" s="23">
        <v>45777</v>
      </c>
      <c r="O506" s="21"/>
      <c r="P506" s="22" t="s">
        <v>30</v>
      </c>
      <c r="Q506" s="23">
        <v>45777</v>
      </c>
      <c r="R506" s="79" t="s">
        <v>67</v>
      </c>
      <c r="S506" s="22" t="s">
        <v>32</v>
      </c>
      <c r="T506" s="22">
        <v>4</v>
      </c>
      <c r="U506" s="24" t="s">
        <v>67</v>
      </c>
      <c r="V506" s="23">
        <v>45777</v>
      </c>
      <c r="W506" s="840"/>
    </row>
    <row r="507" spans="1:23">
      <c r="A507" s="834" t="s">
        <v>137</v>
      </c>
      <c r="B507" s="835">
        <v>504</v>
      </c>
      <c r="C507" s="838" t="s">
        <v>852</v>
      </c>
      <c r="D507" s="834" t="s">
        <v>588</v>
      </c>
      <c r="E507" s="839">
        <v>45719.375</v>
      </c>
      <c r="F507" s="838" t="s">
        <v>140</v>
      </c>
      <c r="G507" s="838">
        <v>2</v>
      </c>
      <c r="H507" s="838" t="s">
        <v>46</v>
      </c>
      <c r="I507" s="838" t="s">
        <v>47</v>
      </c>
      <c r="J507" s="21" t="s">
        <v>29</v>
      </c>
      <c r="K507" s="21"/>
      <c r="L507" s="21"/>
      <c r="M507" s="22" t="s">
        <v>30</v>
      </c>
      <c r="N507" s="23">
        <v>45777</v>
      </c>
      <c r="O507" s="21"/>
      <c r="P507" s="22" t="s">
        <v>30</v>
      </c>
      <c r="Q507" s="23">
        <v>45777</v>
      </c>
      <c r="R507" s="79" t="s">
        <v>67</v>
      </c>
      <c r="S507" s="22" t="s">
        <v>32</v>
      </c>
      <c r="T507" s="22">
        <v>2</v>
      </c>
      <c r="U507" s="24" t="s">
        <v>67</v>
      </c>
      <c r="V507" s="23">
        <v>45777</v>
      </c>
      <c r="W507" s="840"/>
    </row>
    <row r="508" spans="1:23">
      <c r="A508" s="834" t="s">
        <v>137</v>
      </c>
      <c r="B508" s="835">
        <v>505</v>
      </c>
      <c r="C508" s="838" t="s">
        <v>853</v>
      </c>
      <c r="D508" s="840" t="s">
        <v>854</v>
      </c>
      <c r="E508" s="839">
        <v>45719.375</v>
      </c>
      <c r="F508" s="838" t="s">
        <v>140</v>
      </c>
      <c r="G508" s="838">
        <v>4</v>
      </c>
      <c r="H508" s="838" t="s">
        <v>21</v>
      </c>
      <c r="I508" s="838" t="s">
        <v>127</v>
      </c>
      <c r="J508" s="21" t="s">
        <v>29</v>
      </c>
      <c r="K508" s="21"/>
      <c r="L508" s="21"/>
      <c r="M508" s="22" t="s">
        <v>30</v>
      </c>
      <c r="N508" s="23">
        <v>45777</v>
      </c>
      <c r="O508" s="21"/>
      <c r="P508" s="22" t="s">
        <v>30</v>
      </c>
      <c r="Q508" s="23">
        <v>45777</v>
      </c>
      <c r="R508" s="79" t="s">
        <v>67</v>
      </c>
      <c r="S508" s="22" t="s">
        <v>32</v>
      </c>
      <c r="T508" s="22">
        <v>4</v>
      </c>
      <c r="U508" s="24" t="s">
        <v>67</v>
      </c>
      <c r="V508" s="23">
        <v>45777</v>
      </c>
      <c r="W508" s="840"/>
    </row>
    <row r="509" spans="1:23">
      <c r="A509" s="834" t="s">
        <v>137</v>
      </c>
      <c r="B509" s="835">
        <v>506</v>
      </c>
      <c r="C509" s="838" t="s">
        <v>855</v>
      </c>
      <c r="D509" s="840" t="s">
        <v>856</v>
      </c>
      <c r="E509" s="839">
        <v>45726.375</v>
      </c>
      <c r="F509" s="838" t="s">
        <v>140</v>
      </c>
      <c r="G509" s="838">
        <v>4</v>
      </c>
      <c r="H509" s="838" t="s">
        <v>22</v>
      </c>
      <c r="I509" s="838" t="s">
        <v>28</v>
      </c>
      <c r="J509" s="21" t="s">
        <v>29</v>
      </c>
      <c r="K509" s="21"/>
      <c r="L509" s="21"/>
      <c r="M509" s="22" t="s">
        <v>30</v>
      </c>
      <c r="N509" s="23">
        <v>45777</v>
      </c>
      <c r="O509" s="21"/>
      <c r="P509" s="22" t="s">
        <v>30</v>
      </c>
      <c r="Q509" s="23">
        <v>45777</v>
      </c>
      <c r="R509" s="79" t="s">
        <v>67</v>
      </c>
      <c r="S509" s="22" t="s">
        <v>32</v>
      </c>
      <c r="T509" s="22">
        <v>4</v>
      </c>
      <c r="U509" s="22" t="s">
        <v>67</v>
      </c>
      <c r="V509" s="23">
        <v>45777</v>
      </c>
      <c r="W509" s="840"/>
    </row>
    <row r="510" spans="1:23">
      <c r="A510" s="834" t="s">
        <v>137</v>
      </c>
      <c r="B510" s="835">
        <v>507</v>
      </c>
      <c r="C510" s="838" t="s">
        <v>857</v>
      </c>
      <c r="D510" s="840" t="s">
        <v>588</v>
      </c>
      <c r="E510" s="839">
        <v>45726.375</v>
      </c>
      <c r="F510" s="838" t="s">
        <v>140</v>
      </c>
      <c r="G510" s="838">
        <v>2</v>
      </c>
      <c r="H510" s="838" t="s">
        <v>46</v>
      </c>
      <c r="I510" s="838" t="s">
        <v>47</v>
      </c>
      <c r="J510" s="21" t="s">
        <v>29</v>
      </c>
      <c r="K510" s="21"/>
      <c r="L510" s="21"/>
      <c r="M510" s="22"/>
      <c r="N510" s="23"/>
      <c r="O510" s="21"/>
      <c r="P510" s="22"/>
      <c r="Q510" s="23"/>
      <c r="R510" s="79" t="s">
        <v>67</v>
      </c>
      <c r="S510" s="22"/>
      <c r="T510" s="22"/>
      <c r="U510" s="24"/>
      <c r="V510" s="23"/>
      <c r="W510" s="840"/>
    </row>
    <row r="511" spans="1:23">
      <c r="A511" s="834" t="s">
        <v>137</v>
      </c>
      <c r="B511" s="835">
        <v>508</v>
      </c>
      <c r="C511" s="838" t="s">
        <v>858</v>
      </c>
      <c r="D511" s="840" t="s">
        <v>859</v>
      </c>
      <c r="E511" s="839">
        <v>45740.375</v>
      </c>
      <c r="F511" s="838" t="s">
        <v>140</v>
      </c>
      <c r="G511" s="838">
        <v>5</v>
      </c>
      <c r="H511" s="838" t="s">
        <v>22</v>
      </c>
      <c r="I511" s="838" t="s">
        <v>28</v>
      </c>
      <c r="J511" s="21" t="s">
        <v>29</v>
      </c>
      <c r="K511" s="21"/>
      <c r="L511" s="21"/>
      <c r="M511" s="22" t="s">
        <v>30</v>
      </c>
      <c r="N511" s="23">
        <v>45777</v>
      </c>
      <c r="O511" s="21"/>
      <c r="P511" s="22" t="s">
        <v>30</v>
      </c>
      <c r="Q511" s="23">
        <v>45777</v>
      </c>
      <c r="R511" s="79" t="s">
        <v>67</v>
      </c>
      <c r="S511" s="22" t="s">
        <v>32</v>
      </c>
      <c r="T511" s="22">
        <v>5</v>
      </c>
      <c r="U511" s="22" t="s">
        <v>67</v>
      </c>
      <c r="V511" s="23">
        <v>45777</v>
      </c>
      <c r="W511" s="840"/>
    </row>
    <row r="512" spans="1:23">
      <c r="A512" s="834" t="s">
        <v>137</v>
      </c>
      <c r="B512" s="835">
        <v>509</v>
      </c>
      <c r="C512" s="838" t="s">
        <v>860</v>
      </c>
      <c r="D512" s="840" t="s">
        <v>861</v>
      </c>
      <c r="E512" s="839">
        <v>45740.375</v>
      </c>
      <c r="F512" s="838" t="s">
        <v>140</v>
      </c>
      <c r="G512" s="838">
        <v>1</v>
      </c>
      <c r="H512" s="838" t="s">
        <v>46</v>
      </c>
      <c r="I512" s="838" t="s">
        <v>47</v>
      </c>
      <c r="J512" s="21" t="s">
        <v>29</v>
      </c>
      <c r="K512" s="21"/>
      <c r="L512" s="21"/>
      <c r="M512" s="22" t="s">
        <v>30</v>
      </c>
      <c r="N512" s="23">
        <v>45777</v>
      </c>
      <c r="O512" s="21"/>
      <c r="P512" s="22" t="s">
        <v>30</v>
      </c>
      <c r="Q512" s="23">
        <v>45777</v>
      </c>
      <c r="R512" s="79" t="s">
        <v>67</v>
      </c>
      <c r="S512" s="22" t="s">
        <v>32</v>
      </c>
      <c r="T512" s="22">
        <v>1</v>
      </c>
      <c r="U512" s="22" t="s">
        <v>67</v>
      </c>
      <c r="V512" s="23">
        <v>45777</v>
      </c>
      <c r="W512" s="840"/>
    </row>
    <row r="513" spans="1:27">
      <c r="A513" s="834" t="s">
        <v>137</v>
      </c>
      <c r="B513" s="835">
        <v>510</v>
      </c>
      <c r="C513" s="838" t="s">
        <v>862</v>
      </c>
      <c r="D513" s="840" t="s">
        <v>863</v>
      </c>
      <c r="E513" s="839">
        <v>45740.375</v>
      </c>
      <c r="F513" s="838" t="s">
        <v>140</v>
      </c>
      <c r="G513" s="838">
        <v>1</v>
      </c>
      <c r="H513" s="838" t="s">
        <v>22</v>
      </c>
      <c r="I513" s="838" t="s">
        <v>28</v>
      </c>
      <c r="J513" s="21" t="s">
        <v>29</v>
      </c>
      <c r="K513" s="21"/>
      <c r="L513" s="21"/>
      <c r="M513" s="22" t="s">
        <v>30</v>
      </c>
      <c r="N513" s="23">
        <v>45777</v>
      </c>
      <c r="O513" s="21"/>
      <c r="P513" s="22" t="s">
        <v>30</v>
      </c>
      <c r="Q513" s="23">
        <v>45777</v>
      </c>
      <c r="R513" s="79" t="s">
        <v>67</v>
      </c>
      <c r="S513" s="22" t="s">
        <v>32</v>
      </c>
      <c r="T513" s="22">
        <v>1</v>
      </c>
      <c r="U513" s="22" t="s">
        <v>67</v>
      </c>
      <c r="V513" s="23">
        <v>45777</v>
      </c>
      <c r="W513" s="840"/>
      <c r="Y513" s="776"/>
      <c r="Z513" s="776"/>
      <c r="AA513" s="776"/>
    </row>
    <row r="514" spans="1:27">
      <c r="A514" s="834" t="s">
        <v>137</v>
      </c>
      <c r="B514" s="835">
        <v>511</v>
      </c>
      <c r="C514" s="838" t="s">
        <v>864</v>
      </c>
      <c r="D514" s="840" t="s">
        <v>865</v>
      </c>
      <c r="E514" s="839">
        <v>45740</v>
      </c>
      <c r="F514" s="838" t="s">
        <v>140</v>
      </c>
      <c r="G514" s="838">
        <v>1</v>
      </c>
      <c r="H514" s="838" t="s">
        <v>22</v>
      </c>
      <c r="I514" s="838" t="s">
        <v>28</v>
      </c>
      <c r="J514" s="21" t="s">
        <v>29</v>
      </c>
      <c r="K514" s="21"/>
      <c r="L514" s="21"/>
      <c r="M514" s="22" t="s">
        <v>30</v>
      </c>
      <c r="N514" s="23">
        <v>45777</v>
      </c>
      <c r="O514" s="21"/>
      <c r="P514" s="22" t="s">
        <v>30</v>
      </c>
      <c r="Q514" s="23">
        <v>45777</v>
      </c>
      <c r="R514" s="79" t="s">
        <v>67</v>
      </c>
      <c r="S514" s="22" t="s">
        <v>32</v>
      </c>
      <c r="T514" s="22">
        <v>1</v>
      </c>
      <c r="U514" s="22" t="s">
        <v>67</v>
      </c>
      <c r="V514" s="23">
        <v>45777</v>
      </c>
      <c r="W514" s="840"/>
      <c r="Y514" s="776"/>
      <c r="Z514" s="776"/>
      <c r="AA514" s="776"/>
    </row>
    <row r="515" spans="1:27">
      <c r="A515" s="834" t="s">
        <v>137</v>
      </c>
      <c r="B515" s="835">
        <v>512</v>
      </c>
      <c r="C515" s="838" t="s">
        <v>866</v>
      </c>
      <c r="D515" s="834" t="s">
        <v>867</v>
      </c>
      <c r="E515" s="839">
        <v>45747.458333333336</v>
      </c>
      <c r="F515" s="838" t="s">
        <v>140</v>
      </c>
      <c r="G515" s="838">
        <v>15</v>
      </c>
      <c r="H515" s="838" t="s">
        <v>21</v>
      </c>
      <c r="I515" s="838" t="s">
        <v>127</v>
      </c>
      <c r="J515" s="21" t="s">
        <v>29</v>
      </c>
      <c r="K515" s="21"/>
      <c r="L515" s="21"/>
      <c r="M515" s="22"/>
      <c r="N515" s="23"/>
      <c r="O515" s="21" t="s">
        <v>31</v>
      </c>
      <c r="P515" s="23"/>
      <c r="Q515" s="23"/>
      <c r="R515" s="79" t="s">
        <v>67</v>
      </c>
      <c r="S515" s="22"/>
      <c r="T515" s="22"/>
      <c r="U515" s="24"/>
      <c r="V515" s="23"/>
      <c r="W515" s="840"/>
      <c r="Y515" s="776"/>
      <c r="Z515" s="776"/>
      <c r="AA515" s="776"/>
    </row>
    <row r="516" spans="1:27">
      <c r="A516" s="834" t="s">
        <v>137</v>
      </c>
      <c r="B516" s="835">
        <v>513</v>
      </c>
      <c r="C516" s="838" t="s">
        <v>868</v>
      </c>
      <c r="D516" s="834" t="s">
        <v>308</v>
      </c>
      <c r="E516" s="839">
        <v>45747.375</v>
      </c>
      <c r="F516" s="838" t="s">
        <v>140</v>
      </c>
      <c r="G516" s="838">
        <v>1</v>
      </c>
      <c r="H516" s="838" t="s">
        <v>22</v>
      </c>
      <c r="I516" s="838" t="s">
        <v>28</v>
      </c>
      <c r="J516" s="21" t="s">
        <v>29</v>
      </c>
      <c r="K516" s="21"/>
      <c r="L516" s="21"/>
      <c r="M516" s="22"/>
      <c r="N516" s="23"/>
      <c r="O516" s="61"/>
      <c r="P516" s="61"/>
      <c r="Q516" s="61"/>
      <c r="R516" s="79" t="s">
        <v>67</v>
      </c>
      <c r="S516" s="22"/>
      <c r="T516" s="22"/>
      <c r="U516" s="24"/>
      <c r="V516" s="23"/>
      <c r="W516" s="840"/>
      <c r="Y516" s="776"/>
      <c r="Z516" s="776"/>
      <c r="AA516" s="776"/>
    </row>
    <row r="517" spans="1:27">
      <c r="A517" s="834" t="s">
        <v>137</v>
      </c>
      <c r="B517" s="835">
        <v>514</v>
      </c>
      <c r="C517" s="838" t="s">
        <v>869</v>
      </c>
      <c r="D517" s="840" t="s">
        <v>588</v>
      </c>
      <c r="E517" s="839">
        <v>45747.375</v>
      </c>
      <c r="F517" s="838" t="s">
        <v>140</v>
      </c>
      <c r="G517" s="838">
        <v>1</v>
      </c>
      <c r="H517" s="838" t="s">
        <v>46</v>
      </c>
      <c r="I517" s="838" t="s">
        <v>47</v>
      </c>
      <c r="J517" s="21" t="s">
        <v>29</v>
      </c>
      <c r="K517" s="21"/>
      <c r="L517" s="21"/>
      <c r="M517" s="22"/>
      <c r="N517" s="23"/>
      <c r="O517" s="61"/>
      <c r="P517" s="61"/>
      <c r="Q517" s="61"/>
      <c r="R517" s="79" t="s">
        <v>67</v>
      </c>
      <c r="S517" s="22"/>
      <c r="T517" s="22"/>
      <c r="U517" s="24"/>
      <c r="V517" s="23"/>
      <c r="W517" s="840"/>
      <c r="Y517" s="776"/>
      <c r="Z517" s="776"/>
      <c r="AA517" s="776"/>
    </row>
    <row r="518" spans="1:27">
      <c r="A518" s="834" t="s">
        <v>24</v>
      </c>
      <c r="B518" s="835">
        <v>515</v>
      </c>
      <c r="C518" s="838" t="s">
        <v>870</v>
      </c>
      <c r="D518" s="838" t="s">
        <v>50</v>
      </c>
      <c r="E518" s="839">
        <v>45751</v>
      </c>
      <c r="F518" s="838" t="s">
        <v>646</v>
      </c>
      <c r="G518" s="838">
        <v>12</v>
      </c>
      <c r="H518" s="838" t="s">
        <v>46</v>
      </c>
      <c r="I518" s="838" t="s">
        <v>47</v>
      </c>
      <c r="J518" s="838" t="s">
        <v>871</v>
      </c>
      <c r="K518" s="838"/>
      <c r="L518" s="834"/>
      <c r="M518" s="834"/>
      <c r="N518" s="834"/>
      <c r="O518" s="848"/>
      <c r="P518" s="23" t="s">
        <v>30</v>
      </c>
      <c r="Q518" s="23">
        <v>45799</v>
      </c>
      <c r="R518" s="79" t="s">
        <v>47</v>
      </c>
      <c r="S518" s="22" t="s">
        <v>32</v>
      </c>
      <c r="T518" s="22">
        <v>8</v>
      </c>
      <c r="U518" s="24" t="s">
        <v>47</v>
      </c>
      <c r="V518" s="23">
        <v>45799</v>
      </c>
      <c r="W518" s="80" t="s">
        <v>30</v>
      </c>
      <c r="Y518" s="776"/>
      <c r="Z518" s="776"/>
      <c r="AA518" s="776"/>
    </row>
    <row r="519" spans="1:27">
      <c r="A519" s="834" t="s">
        <v>24</v>
      </c>
      <c r="B519" s="835">
        <v>516</v>
      </c>
      <c r="C519" s="838" t="s">
        <v>872</v>
      </c>
      <c r="D519" s="838" t="s">
        <v>102</v>
      </c>
      <c r="E519" s="839">
        <v>45751</v>
      </c>
      <c r="F519" s="838" t="s">
        <v>666</v>
      </c>
      <c r="G519" s="838">
        <v>13</v>
      </c>
      <c r="H519" s="838" t="s">
        <v>21</v>
      </c>
      <c r="I519" s="838" t="s">
        <v>36</v>
      </c>
      <c r="J519" s="838" t="s">
        <v>871</v>
      </c>
      <c r="K519" s="89"/>
      <c r="L519" s="834"/>
      <c r="M519" s="834"/>
      <c r="N519" s="834"/>
      <c r="O519" s="848"/>
      <c r="P519" s="23" t="s">
        <v>30</v>
      </c>
      <c r="Q519" s="23">
        <v>45797</v>
      </c>
      <c r="R519" s="79" t="s">
        <v>67</v>
      </c>
      <c r="S519" s="22" t="s">
        <v>32</v>
      </c>
      <c r="T519" s="22">
        <v>12</v>
      </c>
      <c r="U519" s="24" t="s">
        <v>67</v>
      </c>
      <c r="V519" s="23">
        <v>45797</v>
      </c>
      <c r="W519" s="80" t="s">
        <v>32</v>
      </c>
      <c r="Y519"/>
      <c r="Z519"/>
      <c r="AA519"/>
    </row>
    <row r="520" spans="1:27">
      <c r="A520" s="834" t="s">
        <v>24</v>
      </c>
      <c r="B520" s="835">
        <v>517</v>
      </c>
      <c r="C520" s="838" t="s">
        <v>873</v>
      </c>
      <c r="D520" s="838" t="s">
        <v>43</v>
      </c>
      <c r="E520" s="839">
        <v>45752</v>
      </c>
      <c r="F520" s="838" t="s">
        <v>165</v>
      </c>
      <c r="G520" s="838">
        <v>4</v>
      </c>
      <c r="H520" s="838" t="s">
        <v>46</v>
      </c>
      <c r="I520" s="838" t="s">
        <v>47</v>
      </c>
      <c r="J520" s="838" t="s">
        <v>871</v>
      </c>
      <c r="K520" s="838"/>
      <c r="L520" s="834"/>
      <c r="M520" s="834"/>
      <c r="N520" s="90"/>
      <c r="O520" s="848"/>
      <c r="P520" s="23" t="s">
        <v>30</v>
      </c>
      <c r="Q520" s="23">
        <v>45807</v>
      </c>
      <c r="R520" s="79" t="s">
        <v>47</v>
      </c>
      <c r="S520" s="22" t="s">
        <v>32</v>
      </c>
      <c r="T520" s="22">
        <v>4</v>
      </c>
      <c r="U520" s="24" t="s">
        <v>47</v>
      </c>
      <c r="V520" s="23">
        <v>45807</v>
      </c>
      <c r="W520" s="80" t="s">
        <v>30</v>
      </c>
      <c r="Y520" s="776"/>
      <c r="Z520" s="776"/>
      <c r="AA520" s="776"/>
    </row>
    <row r="521" spans="1:27">
      <c r="A521" s="834" t="s">
        <v>24</v>
      </c>
      <c r="B521" s="835">
        <v>518</v>
      </c>
      <c r="C521" s="838" t="s">
        <v>874</v>
      </c>
      <c r="D521" s="838" t="s">
        <v>26</v>
      </c>
      <c r="E521" s="839">
        <v>45752</v>
      </c>
      <c r="F521" s="838" t="s">
        <v>165</v>
      </c>
      <c r="G521" s="838">
        <v>4</v>
      </c>
      <c r="H521" s="838" t="s">
        <v>46</v>
      </c>
      <c r="I521" s="838" t="s">
        <v>47</v>
      </c>
      <c r="J521" s="838" t="s">
        <v>871</v>
      </c>
      <c r="K521" s="838"/>
      <c r="L521" s="834"/>
      <c r="M521" s="834"/>
      <c r="N521" s="848"/>
      <c r="O521" s="848"/>
      <c r="P521" s="23" t="s">
        <v>30</v>
      </c>
      <c r="Q521" s="23">
        <v>45807</v>
      </c>
      <c r="R521" s="79" t="s">
        <v>47</v>
      </c>
      <c r="S521" s="22" t="s">
        <v>32</v>
      </c>
      <c r="T521" s="22">
        <v>4</v>
      </c>
      <c r="U521" s="24" t="s">
        <v>47</v>
      </c>
      <c r="V521" s="23">
        <v>45807</v>
      </c>
      <c r="W521" s="80" t="s">
        <v>30</v>
      </c>
      <c r="Y521" s="776"/>
      <c r="Z521" s="776"/>
      <c r="AA521" s="776"/>
    </row>
    <row r="522" spans="1:27">
      <c r="A522" s="834" t="s">
        <v>24</v>
      </c>
      <c r="B522" s="835">
        <v>519</v>
      </c>
      <c r="C522" s="838" t="s">
        <v>875</v>
      </c>
      <c r="D522" s="838" t="s">
        <v>50</v>
      </c>
      <c r="E522" s="839">
        <v>45752</v>
      </c>
      <c r="F522" s="838" t="s">
        <v>165</v>
      </c>
      <c r="G522" s="838">
        <v>4</v>
      </c>
      <c r="H522" s="838" t="s">
        <v>46</v>
      </c>
      <c r="I522" s="838" t="s">
        <v>47</v>
      </c>
      <c r="J522" s="838" t="s">
        <v>871</v>
      </c>
      <c r="K522" s="838"/>
      <c r="L522" s="834"/>
      <c r="M522" s="834"/>
      <c r="N522" s="848"/>
      <c r="O522" s="848"/>
      <c r="P522" s="23" t="s">
        <v>30</v>
      </c>
      <c r="Q522" s="23">
        <v>45807</v>
      </c>
      <c r="R522" s="79" t="s">
        <v>47</v>
      </c>
      <c r="S522" s="22" t="s">
        <v>32</v>
      </c>
      <c r="T522" s="22">
        <v>4</v>
      </c>
      <c r="U522" s="24" t="s">
        <v>47</v>
      </c>
      <c r="V522" s="23">
        <v>45807</v>
      </c>
      <c r="W522" s="80" t="s">
        <v>30</v>
      </c>
      <c r="Y522" s="776"/>
      <c r="Z522" s="776"/>
      <c r="AA522" s="776"/>
    </row>
    <row r="523" spans="1:27">
      <c r="A523" s="834" t="s">
        <v>24</v>
      </c>
      <c r="B523" s="835">
        <v>520</v>
      </c>
      <c r="C523" s="838" t="s">
        <v>876</v>
      </c>
      <c r="D523" s="838" t="s">
        <v>34</v>
      </c>
      <c r="E523" s="839">
        <v>45752</v>
      </c>
      <c r="F523" s="838" t="s">
        <v>65</v>
      </c>
      <c r="G523" s="838">
        <v>6</v>
      </c>
      <c r="H523" s="838" t="s">
        <v>46</v>
      </c>
      <c r="I523" s="838" t="s">
        <v>47</v>
      </c>
      <c r="J523" s="838" t="s">
        <v>871</v>
      </c>
      <c r="K523" s="838"/>
      <c r="L523" s="834"/>
      <c r="M523" s="834"/>
      <c r="N523" s="90"/>
      <c r="O523" s="848" t="s">
        <v>66</v>
      </c>
      <c r="P523" s="23" t="s">
        <v>30</v>
      </c>
      <c r="Q523" s="23">
        <v>45808</v>
      </c>
      <c r="R523" s="79" t="s">
        <v>47</v>
      </c>
      <c r="S523" s="22" t="s">
        <v>32</v>
      </c>
      <c r="T523" s="22">
        <v>6</v>
      </c>
      <c r="U523" s="22" t="s">
        <v>47</v>
      </c>
      <c r="V523" s="23">
        <v>45808</v>
      </c>
      <c r="W523" s="80" t="s">
        <v>30</v>
      </c>
      <c r="Y523" s="776"/>
      <c r="Z523" s="776"/>
      <c r="AA523" s="776"/>
    </row>
    <row r="524" spans="1:27">
      <c r="A524" s="834" t="s">
        <v>24</v>
      </c>
      <c r="B524" s="835">
        <v>521</v>
      </c>
      <c r="C524" s="838" t="s">
        <v>877</v>
      </c>
      <c r="D524" s="838" t="s">
        <v>34</v>
      </c>
      <c r="E524" s="839">
        <v>45752</v>
      </c>
      <c r="F524" s="838" t="s">
        <v>65</v>
      </c>
      <c r="G524" s="838">
        <v>14</v>
      </c>
      <c r="H524" s="838" t="s">
        <v>46</v>
      </c>
      <c r="I524" s="838" t="s">
        <v>47</v>
      </c>
      <c r="J524" s="838" t="s">
        <v>871</v>
      </c>
      <c r="K524" s="838"/>
      <c r="L524" s="834"/>
      <c r="M524" s="834"/>
      <c r="N524" s="848"/>
      <c r="O524" s="848"/>
      <c r="P524" s="23" t="s">
        <v>30</v>
      </c>
      <c r="Q524" s="23">
        <v>45808</v>
      </c>
      <c r="R524" s="79" t="s">
        <v>47</v>
      </c>
      <c r="S524" s="22" t="s">
        <v>32</v>
      </c>
      <c r="T524" s="22">
        <v>14</v>
      </c>
      <c r="U524" s="22" t="s">
        <v>47</v>
      </c>
      <c r="V524" s="23">
        <v>45809</v>
      </c>
      <c r="W524" s="80" t="s">
        <v>30</v>
      </c>
      <c r="Y524" s="776"/>
      <c r="Z524" s="776"/>
      <c r="AA524" s="776"/>
    </row>
    <row r="525" spans="1:27">
      <c r="A525" s="834" t="s">
        <v>24</v>
      </c>
      <c r="B525" s="835">
        <v>522</v>
      </c>
      <c r="C525" s="838" t="s">
        <v>878</v>
      </c>
      <c r="D525" s="838" t="s">
        <v>879</v>
      </c>
      <c r="E525" s="839">
        <v>45752</v>
      </c>
      <c r="F525" s="838" t="s">
        <v>181</v>
      </c>
      <c r="G525" s="838">
        <v>24</v>
      </c>
      <c r="H525" s="838" t="s">
        <v>46</v>
      </c>
      <c r="I525" s="838" t="s">
        <v>47</v>
      </c>
      <c r="J525" s="838" t="s">
        <v>871</v>
      </c>
      <c r="K525" s="838"/>
      <c r="L525" s="834"/>
      <c r="M525" s="834"/>
      <c r="N525" s="90"/>
      <c r="O525" s="848" t="s">
        <v>31</v>
      </c>
      <c r="P525" s="23" t="s">
        <v>30</v>
      </c>
      <c r="Q525" s="23">
        <v>45807</v>
      </c>
      <c r="R525" s="79" t="s">
        <v>47</v>
      </c>
      <c r="S525" s="22" t="s">
        <v>32</v>
      </c>
      <c r="T525" s="22">
        <v>24</v>
      </c>
      <c r="U525" s="22" t="s">
        <v>47</v>
      </c>
      <c r="V525" s="23">
        <v>45807</v>
      </c>
      <c r="W525" s="80" t="s">
        <v>30</v>
      </c>
      <c r="Y525" s="776"/>
      <c r="Z525" s="776"/>
      <c r="AA525" s="776"/>
    </row>
    <row r="526" spans="1:27">
      <c r="A526" s="834" t="s">
        <v>24</v>
      </c>
      <c r="B526" s="835">
        <v>523</v>
      </c>
      <c r="C526" s="838" t="s">
        <v>880</v>
      </c>
      <c r="D526" s="838" t="s">
        <v>26</v>
      </c>
      <c r="E526" s="839">
        <v>45752</v>
      </c>
      <c r="F526" s="838" t="s">
        <v>881</v>
      </c>
      <c r="G526" s="838">
        <v>14</v>
      </c>
      <c r="H526" s="838" t="s">
        <v>46</v>
      </c>
      <c r="I526" s="838" t="s">
        <v>47</v>
      </c>
      <c r="J526" s="838" t="s">
        <v>871</v>
      </c>
      <c r="K526" s="838"/>
      <c r="L526" s="834"/>
      <c r="M526" s="834"/>
      <c r="N526" s="848"/>
      <c r="O526" s="848"/>
      <c r="P526" s="23" t="s">
        <v>30</v>
      </c>
      <c r="Q526" s="23">
        <v>45803</v>
      </c>
      <c r="R526" s="79" t="s">
        <v>37</v>
      </c>
      <c r="S526" s="22" t="s">
        <v>32</v>
      </c>
      <c r="T526" s="22">
        <v>14</v>
      </c>
      <c r="U526" s="24" t="s">
        <v>37</v>
      </c>
      <c r="V526" s="23">
        <v>45803</v>
      </c>
      <c r="W526" s="80" t="s">
        <v>30</v>
      </c>
      <c r="Y526" s="776"/>
      <c r="Z526" s="776"/>
      <c r="AA526" s="776"/>
    </row>
    <row r="527" spans="1:27">
      <c r="A527" s="834" t="s">
        <v>24</v>
      </c>
      <c r="B527" s="835">
        <v>524</v>
      </c>
      <c r="C527" s="838" t="s">
        <v>713</v>
      </c>
      <c r="D527" s="838" t="s">
        <v>882</v>
      </c>
      <c r="E527" s="839">
        <v>45752</v>
      </c>
      <c r="F527" s="838" t="s">
        <v>412</v>
      </c>
      <c r="G527" s="838">
        <v>11</v>
      </c>
      <c r="H527" s="838" t="s">
        <v>21</v>
      </c>
      <c r="I527" s="838" t="s">
        <v>127</v>
      </c>
      <c r="J527" s="838" t="s">
        <v>871</v>
      </c>
      <c r="K527" s="89"/>
      <c r="L527" s="834"/>
      <c r="M527" s="834"/>
      <c r="N527" s="90"/>
      <c r="O527" s="848"/>
      <c r="P527" s="23" t="s">
        <v>30</v>
      </c>
      <c r="Q527" s="23">
        <v>45762</v>
      </c>
      <c r="R527" s="79" t="s">
        <v>67</v>
      </c>
      <c r="S527" s="22" t="s">
        <v>32</v>
      </c>
      <c r="T527" s="22">
        <v>11</v>
      </c>
      <c r="U527" s="24" t="s">
        <v>67</v>
      </c>
      <c r="V527" s="23">
        <v>45762</v>
      </c>
      <c r="W527" s="80" t="s">
        <v>32</v>
      </c>
      <c r="Y527"/>
      <c r="Z527"/>
      <c r="AA527"/>
    </row>
    <row r="528" spans="1:27">
      <c r="A528" s="834" t="s">
        <v>24</v>
      </c>
      <c r="B528" s="835">
        <v>525</v>
      </c>
      <c r="C528" s="217" t="s">
        <v>883</v>
      </c>
      <c r="D528" s="217" t="s">
        <v>34</v>
      </c>
      <c r="E528" s="218">
        <v>45752</v>
      </c>
      <c r="F528" s="217" t="s">
        <v>202</v>
      </c>
      <c r="G528" s="217">
        <v>17</v>
      </c>
      <c r="H528" s="217" t="s">
        <v>22</v>
      </c>
      <c r="I528" s="217" t="s">
        <v>28</v>
      </c>
      <c r="J528" s="838" t="s">
        <v>871</v>
      </c>
      <c r="K528" s="89"/>
      <c r="L528" s="834"/>
      <c r="M528" s="834"/>
      <c r="N528" s="90"/>
      <c r="O528" s="848" t="s">
        <v>31</v>
      </c>
      <c r="P528" s="23" t="s">
        <v>30</v>
      </c>
      <c r="Q528" s="23">
        <v>45791</v>
      </c>
      <c r="R528" s="79" t="s">
        <v>28</v>
      </c>
      <c r="S528" s="22" t="s">
        <v>32</v>
      </c>
      <c r="T528" s="22">
        <v>17</v>
      </c>
      <c r="U528" s="22" t="s">
        <v>28</v>
      </c>
      <c r="V528" s="23">
        <v>45791</v>
      </c>
      <c r="W528" s="80" t="s">
        <v>30</v>
      </c>
      <c r="Y528"/>
      <c r="Z528"/>
      <c r="AA528"/>
    </row>
    <row r="529" spans="1:27">
      <c r="A529" s="834" t="s">
        <v>24</v>
      </c>
      <c r="B529" s="835">
        <v>526</v>
      </c>
      <c r="C529" s="217" t="s">
        <v>884</v>
      </c>
      <c r="D529" s="217" t="s">
        <v>34</v>
      </c>
      <c r="E529" s="218">
        <v>45752</v>
      </c>
      <c r="F529" s="217" t="s">
        <v>885</v>
      </c>
      <c r="G529" s="217">
        <v>12</v>
      </c>
      <c r="H529" s="217" t="s">
        <v>22</v>
      </c>
      <c r="I529" s="217" t="s">
        <v>28</v>
      </c>
      <c r="J529" s="838" t="s">
        <v>871</v>
      </c>
      <c r="K529" s="838"/>
      <c r="L529" s="834"/>
      <c r="M529" s="834"/>
      <c r="N529" s="848"/>
      <c r="O529" s="848"/>
      <c r="P529" s="23" t="s">
        <v>30</v>
      </c>
      <c r="Q529" s="23">
        <v>45789</v>
      </c>
      <c r="R529" s="79" t="s">
        <v>28</v>
      </c>
      <c r="S529" s="22" t="s">
        <v>32</v>
      </c>
      <c r="T529" s="22">
        <v>12</v>
      </c>
      <c r="U529" s="22" t="s">
        <v>28</v>
      </c>
      <c r="V529" s="23">
        <v>45789</v>
      </c>
      <c r="W529" s="80" t="s">
        <v>30</v>
      </c>
      <c r="Y529"/>
      <c r="Z529"/>
      <c r="AA529"/>
    </row>
    <row r="530" spans="1:27">
      <c r="A530" s="834" t="s">
        <v>24</v>
      </c>
      <c r="B530" s="835">
        <v>527</v>
      </c>
      <c r="C530" s="217" t="s">
        <v>886</v>
      </c>
      <c r="D530" s="217" t="s">
        <v>34</v>
      </c>
      <c r="E530" s="218">
        <v>45752</v>
      </c>
      <c r="F530" s="217" t="s">
        <v>743</v>
      </c>
      <c r="G530" s="217">
        <v>1</v>
      </c>
      <c r="H530" s="217" t="s">
        <v>21</v>
      </c>
      <c r="I530" s="217" t="s">
        <v>127</v>
      </c>
      <c r="J530" s="838" t="s">
        <v>871</v>
      </c>
      <c r="K530" s="838"/>
      <c r="L530" s="834"/>
      <c r="M530" s="834"/>
      <c r="N530" s="90"/>
      <c r="O530" s="848"/>
      <c r="P530" s="23" t="s">
        <v>30</v>
      </c>
      <c r="Q530" s="23">
        <v>45797</v>
      </c>
      <c r="R530" s="79" t="s">
        <v>67</v>
      </c>
      <c r="S530" s="22" t="s">
        <v>32</v>
      </c>
      <c r="T530" s="22">
        <v>1</v>
      </c>
      <c r="U530" s="24" t="s">
        <v>67</v>
      </c>
      <c r="V530" s="23">
        <v>45797</v>
      </c>
      <c r="W530" s="80" t="s">
        <v>30</v>
      </c>
      <c r="Y530"/>
      <c r="Z530"/>
      <c r="AA530"/>
    </row>
    <row r="531" spans="1:27">
      <c r="A531" s="834" t="s">
        <v>24</v>
      </c>
      <c r="B531" s="835">
        <v>528</v>
      </c>
      <c r="C531" s="224" t="s">
        <v>887</v>
      </c>
      <c r="D531" s="224" t="s">
        <v>34</v>
      </c>
      <c r="E531" s="218">
        <v>45752</v>
      </c>
      <c r="F531" s="224" t="s">
        <v>743</v>
      </c>
      <c r="G531" s="224">
        <v>11</v>
      </c>
      <c r="H531" s="224" t="s">
        <v>21</v>
      </c>
      <c r="I531" s="224" t="s">
        <v>127</v>
      </c>
      <c r="J531" s="838" t="s">
        <v>871</v>
      </c>
      <c r="K531" s="838"/>
      <c r="L531" s="834"/>
      <c r="M531" s="834"/>
      <c r="N531" s="848"/>
      <c r="O531" s="848"/>
      <c r="P531" s="23" t="s">
        <v>30</v>
      </c>
      <c r="Q531" s="23">
        <v>45804</v>
      </c>
      <c r="R531" s="79" t="s">
        <v>67</v>
      </c>
      <c r="S531" s="22" t="s">
        <v>32</v>
      </c>
      <c r="T531" s="22">
        <v>11</v>
      </c>
      <c r="U531" s="24" t="s">
        <v>67</v>
      </c>
      <c r="V531" s="23">
        <v>45804</v>
      </c>
      <c r="W531" s="80" t="s">
        <v>30</v>
      </c>
      <c r="Y531"/>
      <c r="Z531"/>
      <c r="AA531"/>
    </row>
    <row r="532" spans="1:27">
      <c r="A532" s="834" t="s">
        <v>24</v>
      </c>
      <c r="B532" s="835">
        <v>529</v>
      </c>
      <c r="C532" s="217" t="s">
        <v>888</v>
      </c>
      <c r="D532" s="217" t="s">
        <v>34</v>
      </c>
      <c r="E532" s="218">
        <v>45752</v>
      </c>
      <c r="F532" s="217" t="s">
        <v>87</v>
      </c>
      <c r="G532" s="217">
        <v>16</v>
      </c>
      <c r="H532" s="217" t="s">
        <v>21</v>
      </c>
      <c r="I532" s="217" t="s">
        <v>127</v>
      </c>
      <c r="J532" s="838" t="s">
        <v>871</v>
      </c>
      <c r="K532" s="838"/>
      <c r="L532" s="834"/>
      <c r="M532" s="834"/>
      <c r="N532" s="90"/>
      <c r="O532" s="848" t="s">
        <v>31</v>
      </c>
      <c r="P532" s="23" t="s">
        <v>30</v>
      </c>
      <c r="Q532" s="23">
        <v>45799</v>
      </c>
      <c r="R532" s="79" t="s">
        <v>67</v>
      </c>
      <c r="S532" s="22" t="s">
        <v>32</v>
      </c>
      <c r="T532" s="22">
        <v>16</v>
      </c>
      <c r="U532" s="24" t="s">
        <v>67</v>
      </c>
      <c r="V532" s="23">
        <v>45799</v>
      </c>
      <c r="W532" s="80" t="s">
        <v>32</v>
      </c>
      <c r="Y532"/>
      <c r="Z532"/>
      <c r="AA532"/>
    </row>
    <row r="533" spans="1:27">
      <c r="A533" s="834" t="s">
        <v>24</v>
      </c>
      <c r="B533" s="835">
        <v>530</v>
      </c>
      <c r="C533" s="217" t="s">
        <v>889</v>
      </c>
      <c r="D533" s="217" t="s">
        <v>193</v>
      </c>
      <c r="E533" s="218">
        <v>45757</v>
      </c>
      <c r="F533" s="217" t="s">
        <v>91</v>
      </c>
      <c r="G533" s="217">
        <v>15</v>
      </c>
      <c r="H533" s="217" t="s">
        <v>22</v>
      </c>
      <c r="I533" s="217" t="s">
        <v>28</v>
      </c>
      <c r="J533" s="838" t="s">
        <v>871</v>
      </c>
      <c r="K533" s="89"/>
      <c r="L533" s="834"/>
      <c r="M533" s="834"/>
      <c r="N533" s="848"/>
      <c r="O533" s="848" t="s">
        <v>31</v>
      </c>
      <c r="P533" s="23" t="s">
        <v>30</v>
      </c>
      <c r="Q533" s="23">
        <v>45799</v>
      </c>
      <c r="R533" s="79" t="s">
        <v>28</v>
      </c>
      <c r="S533" s="22" t="s">
        <v>32</v>
      </c>
      <c r="T533" s="22">
        <v>15</v>
      </c>
      <c r="U533" s="24" t="s">
        <v>28</v>
      </c>
      <c r="V533" s="23">
        <v>45799</v>
      </c>
      <c r="W533" s="80" t="s">
        <v>30</v>
      </c>
      <c r="Y533"/>
      <c r="Z533"/>
      <c r="AA533"/>
    </row>
    <row r="534" spans="1:27">
      <c r="A534" s="834" t="s">
        <v>24</v>
      </c>
      <c r="B534" s="835">
        <v>531</v>
      </c>
      <c r="C534" s="217" t="s">
        <v>890</v>
      </c>
      <c r="D534" s="217" t="s">
        <v>50</v>
      </c>
      <c r="E534" s="218">
        <v>45758</v>
      </c>
      <c r="F534" s="217" t="s">
        <v>683</v>
      </c>
      <c r="G534" s="217">
        <v>13</v>
      </c>
      <c r="H534" s="217" t="s">
        <v>21</v>
      </c>
      <c r="I534" s="217" t="s">
        <v>127</v>
      </c>
      <c r="J534" s="838" t="s">
        <v>871</v>
      </c>
      <c r="K534" s="838"/>
      <c r="L534" s="834"/>
      <c r="M534" s="22"/>
      <c r="N534" s="23"/>
      <c r="O534" s="848"/>
      <c r="P534" s="23" t="s">
        <v>30</v>
      </c>
      <c r="Q534" s="23">
        <v>45796</v>
      </c>
      <c r="R534" s="79" t="s">
        <v>67</v>
      </c>
      <c r="S534" s="22" t="s">
        <v>32</v>
      </c>
      <c r="T534" s="22">
        <v>13</v>
      </c>
      <c r="U534" s="24" t="s">
        <v>67</v>
      </c>
      <c r="V534" s="23">
        <v>45799</v>
      </c>
      <c r="W534" s="80" t="s">
        <v>30</v>
      </c>
      <c r="Y534"/>
      <c r="Z534"/>
      <c r="AA534"/>
    </row>
    <row r="535" spans="1:27">
      <c r="A535" s="834" t="s">
        <v>24</v>
      </c>
      <c r="B535" s="835">
        <v>532</v>
      </c>
      <c r="C535" s="217" t="s">
        <v>891</v>
      </c>
      <c r="D535" s="217" t="s">
        <v>64</v>
      </c>
      <c r="E535" s="218">
        <v>45758</v>
      </c>
      <c r="F535" s="217" t="s">
        <v>666</v>
      </c>
      <c r="G535" s="217">
        <v>15</v>
      </c>
      <c r="H535" s="217" t="s">
        <v>21</v>
      </c>
      <c r="I535" s="217" t="s">
        <v>127</v>
      </c>
      <c r="J535" s="838" t="s">
        <v>871</v>
      </c>
      <c r="K535" s="89"/>
      <c r="L535" s="834"/>
      <c r="M535" s="22"/>
      <c r="N535" s="23"/>
      <c r="O535" s="848" t="s">
        <v>31</v>
      </c>
      <c r="P535" s="23" t="s">
        <v>30</v>
      </c>
      <c r="Q535" s="23">
        <v>45797</v>
      </c>
      <c r="R535" s="79" t="s">
        <v>67</v>
      </c>
      <c r="S535" s="22" t="s">
        <v>32</v>
      </c>
      <c r="T535" s="22">
        <v>15</v>
      </c>
      <c r="U535" s="24" t="s">
        <v>67</v>
      </c>
      <c r="V535" s="23">
        <v>45797</v>
      </c>
      <c r="W535" s="80" t="s">
        <v>32</v>
      </c>
      <c r="Y535" s="776"/>
      <c r="Z535" s="776"/>
      <c r="AA535" s="776"/>
    </row>
    <row r="536" spans="1:27">
      <c r="A536" s="834" t="s">
        <v>24</v>
      </c>
      <c r="B536" s="835">
        <v>533</v>
      </c>
      <c r="C536" s="217" t="s">
        <v>892</v>
      </c>
      <c r="D536" s="217" t="s">
        <v>893</v>
      </c>
      <c r="E536" s="218">
        <v>45758</v>
      </c>
      <c r="F536" s="217" t="s">
        <v>894</v>
      </c>
      <c r="G536" s="217">
        <v>9</v>
      </c>
      <c r="H536" s="217" t="s">
        <v>21</v>
      </c>
      <c r="I536" s="217" t="s">
        <v>127</v>
      </c>
      <c r="J536" s="838" t="s">
        <v>871</v>
      </c>
      <c r="K536" s="89"/>
      <c r="L536" s="834"/>
      <c r="M536" s="22"/>
      <c r="N536" s="23"/>
      <c r="O536" s="848"/>
      <c r="P536" s="23" t="s">
        <v>30</v>
      </c>
      <c r="Q536" s="23">
        <v>45805</v>
      </c>
      <c r="R536" s="79" t="s">
        <v>67</v>
      </c>
      <c r="S536" s="22" t="s">
        <v>32</v>
      </c>
      <c r="T536" s="22">
        <v>9</v>
      </c>
      <c r="U536" s="24" t="s">
        <v>67</v>
      </c>
      <c r="V536" s="23">
        <v>45805</v>
      </c>
      <c r="W536" s="80" t="s">
        <v>32</v>
      </c>
      <c r="Y536" s="776"/>
      <c r="Z536" s="776"/>
      <c r="AA536" s="776"/>
    </row>
    <row r="537" spans="1:27">
      <c r="A537" s="834" t="s">
        <v>24</v>
      </c>
      <c r="B537" s="835">
        <v>534</v>
      </c>
      <c r="C537" s="217" t="s">
        <v>895</v>
      </c>
      <c r="D537" s="217" t="s">
        <v>34</v>
      </c>
      <c r="E537" s="218">
        <v>45758</v>
      </c>
      <c r="F537" s="217" t="s">
        <v>896</v>
      </c>
      <c r="G537" s="217">
        <v>14</v>
      </c>
      <c r="H537" s="217" t="s">
        <v>46</v>
      </c>
      <c r="I537" s="217" t="s">
        <v>47</v>
      </c>
      <c r="J537" s="838" t="s">
        <v>871</v>
      </c>
      <c r="K537" s="838"/>
      <c r="L537" s="834"/>
      <c r="M537" s="22"/>
      <c r="N537" s="23"/>
      <c r="O537" s="848"/>
      <c r="P537" s="23" t="s">
        <v>30</v>
      </c>
      <c r="Q537" s="23">
        <v>45808</v>
      </c>
      <c r="R537" s="79" t="s">
        <v>21</v>
      </c>
      <c r="S537" s="22" t="s">
        <v>32</v>
      </c>
      <c r="T537" s="22">
        <v>14</v>
      </c>
      <c r="U537" s="79" t="s">
        <v>21</v>
      </c>
      <c r="V537" s="23">
        <v>45807</v>
      </c>
      <c r="W537" s="80" t="s">
        <v>30</v>
      </c>
      <c r="Y537" s="776"/>
      <c r="Z537" s="776"/>
      <c r="AA537" s="776"/>
    </row>
    <row r="538" spans="1:27">
      <c r="A538" s="834" t="s">
        <v>24</v>
      </c>
      <c r="B538" s="835">
        <v>535</v>
      </c>
      <c r="C538" s="217" t="s">
        <v>897</v>
      </c>
      <c r="D538" s="217" t="s">
        <v>34</v>
      </c>
      <c r="E538" s="218">
        <v>45759</v>
      </c>
      <c r="F538" s="217" t="s">
        <v>898</v>
      </c>
      <c r="G538" s="217">
        <v>11</v>
      </c>
      <c r="H538" s="217" t="s">
        <v>46</v>
      </c>
      <c r="I538" s="217" t="s">
        <v>47</v>
      </c>
      <c r="J538" s="838" t="s">
        <v>871</v>
      </c>
      <c r="K538" s="838"/>
      <c r="L538" s="89"/>
      <c r="M538" s="22"/>
      <c r="N538" s="23"/>
      <c r="O538" s="848"/>
      <c r="P538" s="23" t="s">
        <v>30</v>
      </c>
      <c r="Q538" s="23">
        <v>45804</v>
      </c>
      <c r="R538" s="79" t="s">
        <v>67</v>
      </c>
      <c r="S538" s="22" t="s">
        <v>32</v>
      </c>
      <c r="T538" s="22">
        <v>11</v>
      </c>
      <c r="U538" s="24" t="s">
        <v>67</v>
      </c>
      <c r="V538" s="23">
        <v>45804</v>
      </c>
      <c r="W538" s="80" t="s">
        <v>30</v>
      </c>
      <c r="Y538"/>
      <c r="Z538"/>
      <c r="AA538"/>
    </row>
    <row r="539" spans="1:27">
      <c r="A539" s="834" t="s">
        <v>24</v>
      </c>
      <c r="B539" s="835">
        <v>536</v>
      </c>
      <c r="C539" s="217" t="s">
        <v>115</v>
      </c>
      <c r="D539" s="217" t="s">
        <v>34</v>
      </c>
      <c r="E539" s="218">
        <v>45759</v>
      </c>
      <c r="F539" s="217" t="s">
        <v>899</v>
      </c>
      <c r="G539" s="217">
        <v>11</v>
      </c>
      <c r="H539" s="217" t="s">
        <v>46</v>
      </c>
      <c r="I539" s="217" t="s">
        <v>47</v>
      </c>
      <c r="J539" s="838" t="s">
        <v>871</v>
      </c>
      <c r="K539" s="838"/>
      <c r="L539" s="89"/>
      <c r="M539" s="22"/>
      <c r="N539" s="23"/>
      <c r="O539" s="848"/>
      <c r="P539" s="23" t="s">
        <v>30</v>
      </c>
      <c r="Q539" s="23">
        <v>45805</v>
      </c>
      <c r="R539" s="79" t="s">
        <v>28</v>
      </c>
      <c r="S539" s="22" t="s">
        <v>32</v>
      </c>
      <c r="T539" s="22">
        <v>11</v>
      </c>
      <c r="U539" s="24" t="s">
        <v>28</v>
      </c>
      <c r="V539" s="23">
        <v>45805</v>
      </c>
      <c r="W539" s="80" t="s">
        <v>30</v>
      </c>
      <c r="Y539"/>
      <c r="Z539"/>
      <c r="AA539"/>
    </row>
    <row r="540" spans="1:27">
      <c r="A540" s="834" t="s">
        <v>24</v>
      </c>
      <c r="B540" s="835">
        <v>537</v>
      </c>
      <c r="C540" s="217" t="s">
        <v>900</v>
      </c>
      <c r="D540" s="217" t="s">
        <v>451</v>
      </c>
      <c r="E540" s="218">
        <v>45759</v>
      </c>
      <c r="F540" s="217" t="s">
        <v>181</v>
      </c>
      <c r="G540" s="217">
        <v>14</v>
      </c>
      <c r="H540" s="217" t="s">
        <v>46</v>
      </c>
      <c r="I540" s="217" t="s">
        <v>47</v>
      </c>
      <c r="J540" s="838" t="s">
        <v>871</v>
      </c>
      <c r="K540" s="838"/>
      <c r="L540" s="834"/>
      <c r="M540" s="22"/>
      <c r="N540" s="23"/>
      <c r="O540" s="848"/>
      <c r="P540" s="23" t="s">
        <v>30</v>
      </c>
      <c r="Q540" s="23">
        <v>45808</v>
      </c>
      <c r="R540" s="79" t="s">
        <v>47</v>
      </c>
      <c r="S540" s="22" t="s">
        <v>32</v>
      </c>
      <c r="T540" s="22">
        <v>14</v>
      </c>
      <c r="U540" s="24" t="s">
        <v>47</v>
      </c>
      <c r="V540" s="23">
        <v>45807</v>
      </c>
      <c r="W540" s="80" t="s">
        <v>30</v>
      </c>
      <c r="Y540"/>
      <c r="Z540"/>
      <c r="AA540"/>
    </row>
    <row r="541" spans="1:27">
      <c r="A541" s="834" t="s">
        <v>24</v>
      </c>
      <c r="B541" s="835">
        <v>538</v>
      </c>
      <c r="C541" s="217" t="s">
        <v>901</v>
      </c>
      <c r="D541" s="217" t="s">
        <v>34</v>
      </c>
      <c r="E541" s="218">
        <v>45759</v>
      </c>
      <c r="F541" s="217" t="s">
        <v>165</v>
      </c>
      <c r="G541" s="217">
        <v>12</v>
      </c>
      <c r="H541" s="217" t="s">
        <v>46</v>
      </c>
      <c r="I541" s="217" t="s">
        <v>47</v>
      </c>
      <c r="J541" s="838" t="s">
        <v>871</v>
      </c>
      <c r="K541" s="838"/>
      <c r="L541" s="89"/>
      <c r="M541" s="22"/>
      <c r="N541" s="23"/>
      <c r="O541" s="848"/>
      <c r="P541" s="23" t="s">
        <v>30</v>
      </c>
      <c r="Q541" s="23">
        <v>45795</v>
      </c>
      <c r="R541" s="79" t="s">
        <v>127</v>
      </c>
      <c r="S541" s="22" t="s">
        <v>32</v>
      </c>
      <c r="T541" s="22">
        <v>12</v>
      </c>
      <c r="U541" s="24" t="s">
        <v>127</v>
      </c>
      <c r="V541" s="23">
        <v>45795</v>
      </c>
      <c r="W541" s="80" t="s">
        <v>30</v>
      </c>
      <c r="Y541"/>
      <c r="Z541"/>
      <c r="AA541"/>
    </row>
    <row r="542" spans="1:27">
      <c r="A542" s="834" t="s">
        <v>24</v>
      </c>
      <c r="B542" s="835">
        <v>539</v>
      </c>
      <c r="C542" s="217" t="s">
        <v>902</v>
      </c>
      <c r="D542" s="217" t="s">
        <v>34</v>
      </c>
      <c r="E542" s="218">
        <v>45759</v>
      </c>
      <c r="F542" s="217" t="s">
        <v>165</v>
      </c>
      <c r="G542" s="217">
        <v>2</v>
      </c>
      <c r="H542" s="217" t="s">
        <v>46</v>
      </c>
      <c r="I542" s="217" t="s">
        <v>47</v>
      </c>
      <c r="J542" s="838" t="s">
        <v>871</v>
      </c>
      <c r="K542" s="838"/>
      <c r="L542" s="834"/>
      <c r="M542" s="22"/>
      <c r="N542" s="23"/>
      <c r="O542" s="848"/>
      <c r="P542" s="23" t="s">
        <v>30</v>
      </c>
      <c r="Q542" s="23">
        <v>45808</v>
      </c>
      <c r="R542" s="79" t="s">
        <v>48</v>
      </c>
      <c r="S542" s="22" t="s">
        <v>32</v>
      </c>
      <c r="T542" s="22">
        <v>2</v>
      </c>
      <c r="U542" s="24" t="s">
        <v>48</v>
      </c>
      <c r="V542" s="23">
        <v>45807</v>
      </c>
      <c r="W542" s="80" t="s">
        <v>30</v>
      </c>
      <c r="Y542"/>
      <c r="Z542"/>
      <c r="AA542"/>
    </row>
    <row r="543" spans="1:27">
      <c r="A543" s="834" t="s">
        <v>24</v>
      </c>
      <c r="B543" s="835">
        <v>540</v>
      </c>
      <c r="C543" s="217" t="s">
        <v>903</v>
      </c>
      <c r="D543" s="217" t="s">
        <v>34</v>
      </c>
      <c r="E543" s="218">
        <v>45759</v>
      </c>
      <c r="F543" s="217" t="s">
        <v>904</v>
      </c>
      <c r="G543" s="217">
        <v>12</v>
      </c>
      <c r="H543" s="217" t="s">
        <v>22</v>
      </c>
      <c r="I543" s="217" t="s">
        <v>28</v>
      </c>
      <c r="J543" s="838" t="s">
        <v>871</v>
      </c>
      <c r="K543" s="89"/>
      <c r="L543" s="838"/>
      <c r="M543" s="22"/>
      <c r="N543" s="23"/>
      <c r="O543" s="848"/>
      <c r="P543" s="23" t="s">
        <v>30</v>
      </c>
      <c r="Q543" s="23">
        <v>45799</v>
      </c>
      <c r="R543" s="79" t="s">
        <v>28</v>
      </c>
      <c r="S543" s="22" t="s">
        <v>32</v>
      </c>
      <c r="T543" s="22">
        <v>12</v>
      </c>
      <c r="U543" s="22" t="s">
        <v>28</v>
      </c>
      <c r="V543" s="23">
        <v>45799</v>
      </c>
      <c r="W543" s="80" t="s">
        <v>30</v>
      </c>
      <c r="Y543"/>
      <c r="Z543"/>
      <c r="AA543"/>
    </row>
    <row r="544" spans="1:27">
      <c r="A544" s="834" t="s">
        <v>24</v>
      </c>
      <c r="B544" s="835">
        <v>541</v>
      </c>
      <c r="C544" s="217" t="s">
        <v>905</v>
      </c>
      <c r="D544" s="217" t="s">
        <v>34</v>
      </c>
      <c r="E544" s="218">
        <v>45759</v>
      </c>
      <c r="F544" s="217" t="s">
        <v>97</v>
      </c>
      <c r="G544" s="217">
        <v>4</v>
      </c>
      <c r="H544" s="217" t="s">
        <v>22</v>
      </c>
      <c r="I544" s="217" t="s">
        <v>28</v>
      </c>
      <c r="J544" s="838" t="s">
        <v>871</v>
      </c>
      <c r="K544" s="838"/>
      <c r="L544" s="21"/>
      <c r="M544" s="22"/>
      <c r="N544" s="23"/>
      <c r="O544" s="848" t="s">
        <v>66</v>
      </c>
      <c r="P544" s="23" t="s">
        <v>30</v>
      </c>
      <c r="Q544" s="23">
        <v>45799</v>
      </c>
      <c r="R544" s="79" t="s">
        <v>28</v>
      </c>
      <c r="S544" s="22" t="s">
        <v>32</v>
      </c>
      <c r="T544" s="22">
        <v>4</v>
      </c>
      <c r="U544" s="24" t="s">
        <v>28</v>
      </c>
      <c r="V544" s="23">
        <v>45799</v>
      </c>
      <c r="W544" s="80" t="s">
        <v>30</v>
      </c>
      <c r="Y544"/>
      <c r="Z544"/>
      <c r="AA544"/>
    </row>
    <row r="545" spans="1:27">
      <c r="A545" s="834" t="s">
        <v>24</v>
      </c>
      <c r="B545" s="835">
        <v>542</v>
      </c>
      <c r="C545" s="217" t="s">
        <v>906</v>
      </c>
      <c r="D545" s="217" t="s">
        <v>234</v>
      </c>
      <c r="E545" s="218">
        <v>45759</v>
      </c>
      <c r="F545" s="217" t="s">
        <v>97</v>
      </c>
      <c r="G545" s="217">
        <v>7</v>
      </c>
      <c r="H545" s="217" t="s">
        <v>22</v>
      </c>
      <c r="I545" s="217" t="s">
        <v>28</v>
      </c>
      <c r="J545" s="838" t="s">
        <v>871</v>
      </c>
      <c r="K545" s="838"/>
      <c r="L545" s="834"/>
      <c r="M545" s="22"/>
      <c r="N545" s="23"/>
      <c r="O545" s="848"/>
      <c r="P545" s="23" t="s">
        <v>30</v>
      </c>
      <c r="Q545" s="23">
        <v>45791</v>
      </c>
      <c r="R545" s="79" t="s">
        <v>28</v>
      </c>
      <c r="S545" s="22" t="s">
        <v>32</v>
      </c>
      <c r="T545" s="22">
        <v>7</v>
      </c>
      <c r="U545" s="22" t="s">
        <v>28</v>
      </c>
      <c r="V545" s="23">
        <v>45791</v>
      </c>
      <c r="W545" s="80" t="s">
        <v>30</v>
      </c>
      <c r="Y545"/>
      <c r="Z545"/>
      <c r="AA545"/>
    </row>
    <row r="546" spans="1:27">
      <c r="A546" s="834" t="s">
        <v>24</v>
      </c>
      <c r="B546" s="835">
        <v>543</v>
      </c>
      <c r="C546" s="838" t="s">
        <v>907</v>
      </c>
      <c r="D546" s="838" t="s">
        <v>34</v>
      </c>
      <c r="E546" s="839">
        <v>45759</v>
      </c>
      <c r="F546" s="217" t="s">
        <v>97</v>
      </c>
      <c r="G546" s="838">
        <v>7</v>
      </c>
      <c r="H546" s="838" t="s">
        <v>22</v>
      </c>
      <c r="I546" s="838" t="s">
        <v>28</v>
      </c>
      <c r="J546" s="838" t="s">
        <v>871</v>
      </c>
      <c r="K546" s="838"/>
      <c r="L546" s="21"/>
      <c r="M546" s="22"/>
      <c r="N546" s="23"/>
      <c r="O546" s="848"/>
      <c r="P546" s="23" t="s">
        <v>30</v>
      </c>
      <c r="Q546" s="23">
        <v>45791</v>
      </c>
      <c r="R546" s="79" t="s">
        <v>28</v>
      </c>
      <c r="S546" s="22" t="s">
        <v>32</v>
      </c>
      <c r="T546" s="22">
        <v>7</v>
      </c>
      <c r="U546" s="22" t="s">
        <v>28</v>
      </c>
      <c r="V546" s="23">
        <v>45791</v>
      </c>
      <c r="W546" s="80" t="s">
        <v>30</v>
      </c>
      <c r="Y546"/>
      <c r="Z546"/>
      <c r="AA546"/>
    </row>
    <row r="547" spans="1:27">
      <c r="A547" s="834" t="s">
        <v>24</v>
      </c>
      <c r="B547" s="835">
        <v>544</v>
      </c>
      <c r="C547" s="838" t="s">
        <v>908</v>
      </c>
      <c r="D547" s="838" t="s">
        <v>34</v>
      </c>
      <c r="E547" s="839">
        <v>45759</v>
      </c>
      <c r="F547" s="838" t="s">
        <v>909</v>
      </c>
      <c r="G547" s="838">
        <v>11</v>
      </c>
      <c r="H547" s="838" t="s">
        <v>22</v>
      </c>
      <c r="I547" s="838" t="s">
        <v>28</v>
      </c>
      <c r="J547" s="838" t="s">
        <v>871</v>
      </c>
      <c r="K547" s="89"/>
      <c r="L547" s="838"/>
      <c r="M547" s="22"/>
      <c r="N547" s="23"/>
      <c r="O547" s="848" t="s">
        <v>66</v>
      </c>
      <c r="P547" s="23" t="s">
        <v>30</v>
      </c>
      <c r="Q547" s="23">
        <v>45791</v>
      </c>
      <c r="R547" s="79" t="s">
        <v>28</v>
      </c>
      <c r="S547" s="22" t="s">
        <v>32</v>
      </c>
      <c r="T547" s="22">
        <v>11</v>
      </c>
      <c r="U547" s="24" t="s">
        <v>28</v>
      </c>
      <c r="V547" s="23">
        <v>45791</v>
      </c>
      <c r="W547" s="80" t="s">
        <v>30</v>
      </c>
      <c r="Y547" s="776"/>
      <c r="Z547" s="776"/>
      <c r="AA547" s="776"/>
    </row>
    <row r="548" spans="1:27">
      <c r="A548" s="834" t="s">
        <v>24</v>
      </c>
      <c r="B548" s="835">
        <v>545</v>
      </c>
      <c r="C548" s="838" t="s">
        <v>910</v>
      </c>
      <c r="D548" s="838" t="s">
        <v>34</v>
      </c>
      <c r="E548" s="839">
        <v>45759</v>
      </c>
      <c r="F548" s="838" t="s">
        <v>909</v>
      </c>
      <c r="G548" s="838">
        <v>5</v>
      </c>
      <c r="H548" s="838" t="s">
        <v>22</v>
      </c>
      <c r="I548" s="838" t="s">
        <v>28</v>
      </c>
      <c r="J548" s="838" t="s">
        <v>871</v>
      </c>
      <c r="K548" s="89"/>
      <c r="L548" s="21"/>
      <c r="M548" s="22"/>
      <c r="N548" s="23"/>
      <c r="O548" s="848"/>
      <c r="P548" s="23" t="s">
        <v>30</v>
      </c>
      <c r="Q548" s="23">
        <v>45791</v>
      </c>
      <c r="R548" s="79" t="s">
        <v>28</v>
      </c>
      <c r="S548" s="22" t="s">
        <v>32</v>
      </c>
      <c r="T548" s="22">
        <v>5</v>
      </c>
      <c r="U548" s="24" t="s">
        <v>28</v>
      </c>
      <c r="V548" s="23">
        <v>45791</v>
      </c>
      <c r="W548" s="80" t="s">
        <v>30</v>
      </c>
      <c r="Y548" s="776"/>
      <c r="Z548" s="776"/>
      <c r="AA548" s="776"/>
    </row>
    <row r="549" spans="1:27">
      <c r="A549" s="834" t="s">
        <v>24</v>
      </c>
      <c r="B549" s="835">
        <v>546</v>
      </c>
      <c r="C549" s="838" t="s">
        <v>911</v>
      </c>
      <c r="D549" s="838" t="s">
        <v>43</v>
      </c>
      <c r="E549" s="839">
        <v>45759</v>
      </c>
      <c r="F549" s="838" t="s">
        <v>912</v>
      </c>
      <c r="G549" s="838">
        <v>13</v>
      </c>
      <c r="H549" s="838" t="s">
        <v>22</v>
      </c>
      <c r="I549" s="838" t="s">
        <v>28</v>
      </c>
      <c r="J549" s="838" t="s">
        <v>871</v>
      </c>
      <c r="K549" s="89"/>
      <c r="L549" s="834"/>
      <c r="M549" s="22"/>
      <c r="N549" s="23"/>
      <c r="O549" s="848"/>
      <c r="P549" s="23" t="s">
        <v>30</v>
      </c>
      <c r="Q549" s="23">
        <v>45796</v>
      </c>
      <c r="R549" s="79" t="s">
        <v>28</v>
      </c>
      <c r="S549" s="22" t="s">
        <v>32</v>
      </c>
      <c r="T549" s="22">
        <v>11</v>
      </c>
      <c r="U549" s="24" t="s">
        <v>28</v>
      </c>
      <c r="V549" s="23">
        <v>45796</v>
      </c>
      <c r="W549" s="80" t="s">
        <v>30</v>
      </c>
      <c r="Y549" s="776"/>
      <c r="Z549" s="776"/>
      <c r="AA549" s="776"/>
    </row>
    <row r="550" spans="1:27">
      <c r="A550" s="834" t="s">
        <v>24</v>
      </c>
      <c r="B550" s="835">
        <v>547</v>
      </c>
      <c r="C550" s="838" t="s">
        <v>913</v>
      </c>
      <c r="D550" s="838" t="s">
        <v>34</v>
      </c>
      <c r="E550" s="839">
        <v>45759</v>
      </c>
      <c r="F550" s="838" t="s">
        <v>914</v>
      </c>
      <c r="G550" s="838">
        <v>9</v>
      </c>
      <c r="H550" s="838" t="s">
        <v>21</v>
      </c>
      <c r="I550" s="838" t="s">
        <v>127</v>
      </c>
      <c r="J550" s="838" t="s">
        <v>871</v>
      </c>
      <c r="K550" s="21"/>
      <c r="L550" s="21"/>
      <c r="M550" s="22"/>
      <c r="N550" s="23"/>
      <c r="O550" s="848" t="s">
        <v>66</v>
      </c>
      <c r="P550" s="23" t="s">
        <v>30</v>
      </c>
      <c r="Q550" s="23">
        <v>45793</v>
      </c>
      <c r="R550" s="79" t="s">
        <v>67</v>
      </c>
      <c r="S550" s="22" t="s">
        <v>32</v>
      </c>
      <c r="T550" s="22">
        <v>9</v>
      </c>
      <c r="U550" s="24" t="s">
        <v>67</v>
      </c>
      <c r="V550" s="23">
        <v>45793</v>
      </c>
      <c r="W550" s="80" t="s">
        <v>30</v>
      </c>
      <c r="Y550" s="776"/>
      <c r="Z550" s="776"/>
      <c r="AA550" s="776"/>
    </row>
    <row r="551" spans="1:27">
      <c r="A551" s="834" t="s">
        <v>24</v>
      </c>
      <c r="B551" s="835">
        <v>548</v>
      </c>
      <c r="C551" s="838" t="s">
        <v>915</v>
      </c>
      <c r="D551" s="838" t="s">
        <v>34</v>
      </c>
      <c r="E551" s="839">
        <v>45759</v>
      </c>
      <c r="F551" s="838" t="s">
        <v>914</v>
      </c>
      <c r="G551" s="838">
        <v>10</v>
      </c>
      <c r="H551" s="838" t="s">
        <v>21</v>
      </c>
      <c r="I551" s="838" t="s">
        <v>127</v>
      </c>
      <c r="J551" s="838" t="s">
        <v>871</v>
      </c>
      <c r="K551" s="21"/>
      <c r="L551" s="21"/>
      <c r="M551" s="22"/>
      <c r="N551" s="23"/>
      <c r="O551" s="848"/>
      <c r="P551" s="23" t="s">
        <v>30</v>
      </c>
      <c r="Q551" s="23">
        <v>45804</v>
      </c>
      <c r="R551" s="79" t="s">
        <v>67</v>
      </c>
      <c r="S551" s="22" t="s">
        <v>32</v>
      </c>
      <c r="T551" s="22">
        <v>10</v>
      </c>
      <c r="U551" s="24" t="s">
        <v>67</v>
      </c>
      <c r="V551" s="23">
        <v>45804</v>
      </c>
      <c r="W551" s="80" t="s">
        <v>30</v>
      </c>
      <c r="Y551" s="776"/>
      <c r="Z551" s="776"/>
      <c r="AA551" s="776"/>
    </row>
    <row r="552" spans="1:27">
      <c r="A552" s="834" t="s">
        <v>24</v>
      </c>
      <c r="B552" s="835">
        <v>549</v>
      </c>
      <c r="C552" s="838" t="s">
        <v>94</v>
      </c>
      <c r="D552" s="838" t="s">
        <v>34</v>
      </c>
      <c r="E552" s="839">
        <v>45761</v>
      </c>
      <c r="F552" s="838" t="s">
        <v>916</v>
      </c>
      <c r="G552" s="838">
        <v>19</v>
      </c>
      <c r="H552" s="838" t="s">
        <v>21</v>
      </c>
      <c r="I552" s="838" t="s">
        <v>127</v>
      </c>
      <c r="J552" s="838" t="s">
        <v>871</v>
      </c>
      <c r="K552" s="89"/>
      <c r="L552" s="21"/>
      <c r="M552" s="22"/>
      <c r="N552" s="23"/>
      <c r="O552" s="848" t="s">
        <v>31</v>
      </c>
      <c r="P552" s="23" t="s">
        <v>30</v>
      </c>
      <c r="Q552" s="23">
        <v>45793</v>
      </c>
      <c r="R552" s="79" t="s">
        <v>127</v>
      </c>
      <c r="S552" s="22" t="s">
        <v>32</v>
      </c>
      <c r="T552" s="22">
        <v>19</v>
      </c>
      <c r="U552" s="24" t="s">
        <v>127</v>
      </c>
      <c r="V552" s="23">
        <v>45793</v>
      </c>
      <c r="W552" s="80" t="s">
        <v>30</v>
      </c>
      <c r="Y552" s="776"/>
      <c r="Z552" s="776"/>
      <c r="AA552" s="776"/>
    </row>
    <row r="553" spans="1:27">
      <c r="A553" s="834" t="s">
        <v>24</v>
      </c>
      <c r="B553" s="835">
        <v>550</v>
      </c>
      <c r="C553" s="838" t="s">
        <v>917</v>
      </c>
      <c r="D553" s="838" t="s">
        <v>34</v>
      </c>
      <c r="E553" s="839">
        <v>45763</v>
      </c>
      <c r="F553" s="838" t="s">
        <v>918</v>
      </c>
      <c r="G553" s="838">
        <v>16</v>
      </c>
      <c r="H553" s="842" t="s">
        <v>22</v>
      </c>
      <c r="I553" s="838" t="s">
        <v>28</v>
      </c>
      <c r="J553" s="838" t="s">
        <v>871</v>
      </c>
      <c r="K553" s="21"/>
      <c r="L553" s="21"/>
      <c r="M553" s="22"/>
      <c r="N553" s="23"/>
      <c r="O553" s="848" t="s">
        <v>31</v>
      </c>
      <c r="P553" s="23" t="s">
        <v>30</v>
      </c>
      <c r="Q553" s="23">
        <v>45803</v>
      </c>
      <c r="R553" s="79" t="s">
        <v>37</v>
      </c>
      <c r="S553" s="22" t="s">
        <v>32</v>
      </c>
      <c r="T553" s="22">
        <v>16</v>
      </c>
      <c r="U553" s="22" t="s">
        <v>37</v>
      </c>
      <c r="V553" s="23">
        <v>45803</v>
      </c>
      <c r="W553" s="80" t="s">
        <v>30</v>
      </c>
      <c r="Y553" s="776"/>
      <c r="Z553" s="776"/>
      <c r="AA553" s="776"/>
    </row>
    <row r="554" spans="1:27">
      <c r="A554" s="834" t="s">
        <v>24</v>
      </c>
      <c r="B554" s="835">
        <v>551</v>
      </c>
      <c r="C554" s="838" t="s">
        <v>919</v>
      </c>
      <c r="D554" s="838" t="s">
        <v>102</v>
      </c>
      <c r="E554" s="839">
        <v>45764</v>
      </c>
      <c r="F554" s="838" t="s">
        <v>698</v>
      </c>
      <c r="G554" s="838">
        <v>14</v>
      </c>
      <c r="H554" s="842" t="s">
        <v>21</v>
      </c>
      <c r="I554" s="838" t="s">
        <v>127</v>
      </c>
      <c r="J554" s="838" t="s">
        <v>871</v>
      </c>
      <c r="K554" s="21"/>
      <c r="L554" s="21"/>
      <c r="M554" s="22"/>
      <c r="N554" s="23"/>
      <c r="O554" s="848"/>
      <c r="P554" s="23" t="s">
        <v>30</v>
      </c>
      <c r="Q554" s="23">
        <v>45796</v>
      </c>
      <c r="R554" s="79" t="s">
        <v>127</v>
      </c>
      <c r="S554" s="22" t="s">
        <v>32</v>
      </c>
      <c r="T554" s="22">
        <v>14</v>
      </c>
      <c r="U554" s="24" t="s">
        <v>127</v>
      </c>
      <c r="V554" s="23">
        <v>45796</v>
      </c>
      <c r="W554" s="80" t="s">
        <v>30</v>
      </c>
      <c r="Y554" s="776"/>
      <c r="Z554" s="776"/>
      <c r="AA554" s="776"/>
    </row>
    <row r="555" spans="1:27">
      <c r="A555" s="834" t="s">
        <v>24</v>
      </c>
      <c r="B555" s="835">
        <v>552</v>
      </c>
      <c r="C555" s="838" t="s">
        <v>920</v>
      </c>
      <c r="D555" s="838" t="s">
        <v>34</v>
      </c>
      <c r="E555" s="839">
        <v>45764</v>
      </c>
      <c r="F555" s="838" t="s">
        <v>912</v>
      </c>
      <c r="G555" s="838">
        <v>15</v>
      </c>
      <c r="H555" s="838" t="s">
        <v>46</v>
      </c>
      <c r="I555" s="838" t="s">
        <v>47</v>
      </c>
      <c r="J555" s="838" t="s">
        <v>871</v>
      </c>
      <c r="K555" s="21"/>
      <c r="L555" s="89"/>
      <c r="M555" s="22"/>
      <c r="N555" s="23"/>
      <c r="O555" s="848" t="s">
        <v>31</v>
      </c>
      <c r="P555" s="23" t="s">
        <v>30</v>
      </c>
      <c r="Q555" s="23">
        <v>45799</v>
      </c>
      <c r="R555" s="79" t="s">
        <v>127</v>
      </c>
      <c r="S555" s="22" t="s">
        <v>32</v>
      </c>
      <c r="T555" s="22">
        <v>15</v>
      </c>
      <c r="U555" s="24" t="s">
        <v>127</v>
      </c>
      <c r="V555" s="23">
        <v>45799</v>
      </c>
      <c r="W555" s="80" t="s">
        <v>30</v>
      </c>
      <c r="Y555" s="776"/>
      <c r="Z555" s="776"/>
      <c r="AA555" s="776"/>
    </row>
    <row r="556" spans="1:27">
      <c r="A556" s="834" t="s">
        <v>24</v>
      </c>
      <c r="B556" s="835">
        <v>553</v>
      </c>
      <c r="C556" s="838" t="s">
        <v>921</v>
      </c>
      <c r="D556" s="838" t="s">
        <v>425</v>
      </c>
      <c r="E556" s="839">
        <v>45768</v>
      </c>
      <c r="F556" s="838" t="s">
        <v>324</v>
      </c>
      <c r="G556" s="838">
        <v>13</v>
      </c>
      <c r="H556" s="842" t="s">
        <v>21</v>
      </c>
      <c r="I556" s="838" t="s">
        <v>127</v>
      </c>
      <c r="J556" s="838" t="s">
        <v>871</v>
      </c>
      <c r="K556" s="21"/>
      <c r="L556" s="21"/>
      <c r="M556" s="22"/>
      <c r="N556" s="23"/>
      <c r="O556" s="848"/>
      <c r="P556" s="23" t="s">
        <v>30</v>
      </c>
      <c r="Q556" s="23">
        <v>45807</v>
      </c>
      <c r="R556" s="79" t="s">
        <v>127</v>
      </c>
      <c r="S556" s="22" t="s">
        <v>32</v>
      </c>
      <c r="T556" s="22">
        <v>13</v>
      </c>
      <c r="U556" s="24" t="s">
        <v>127</v>
      </c>
      <c r="V556" s="23">
        <v>45807</v>
      </c>
      <c r="W556" s="80" t="s">
        <v>30</v>
      </c>
      <c r="Y556"/>
      <c r="Z556"/>
      <c r="AA556"/>
    </row>
    <row r="557" spans="1:27">
      <c r="A557" s="834" t="s">
        <v>24</v>
      </c>
      <c r="B557" s="835">
        <v>554</v>
      </c>
      <c r="C557" s="838" t="s">
        <v>922</v>
      </c>
      <c r="D557" s="838" t="s">
        <v>923</v>
      </c>
      <c r="E557" s="839">
        <v>45768</v>
      </c>
      <c r="F557" s="838" t="s">
        <v>161</v>
      </c>
      <c r="G557" s="838">
        <v>14</v>
      </c>
      <c r="H557" s="842" t="s">
        <v>21</v>
      </c>
      <c r="I557" s="838" t="s">
        <v>127</v>
      </c>
      <c r="J557" s="838" t="s">
        <v>871</v>
      </c>
      <c r="K557" s="89"/>
      <c r="L557" s="21"/>
      <c r="M557" s="22"/>
      <c r="N557" s="23"/>
      <c r="O557" s="848" t="s">
        <v>66</v>
      </c>
      <c r="P557" s="23" t="s">
        <v>30</v>
      </c>
      <c r="Q557" s="23">
        <v>45791</v>
      </c>
      <c r="R557" s="79" t="s">
        <v>127</v>
      </c>
      <c r="S557" s="22" t="s">
        <v>32</v>
      </c>
      <c r="T557" s="22">
        <v>14</v>
      </c>
      <c r="U557" s="24" t="s">
        <v>127</v>
      </c>
      <c r="V557" s="23">
        <v>45791</v>
      </c>
      <c r="W557" s="80" t="s">
        <v>32</v>
      </c>
      <c r="Y557"/>
      <c r="Z557"/>
      <c r="AA557"/>
    </row>
    <row r="558" spans="1:27">
      <c r="A558" s="834" t="s">
        <v>24</v>
      </c>
      <c r="B558" s="835">
        <v>555</v>
      </c>
      <c r="C558" s="838" t="s">
        <v>924</v>
      </c>
      <c r="D558" s="838" t="s">
        <v>425</v>
      </c>
      <c r="E558" s="839">
        <v>45768</v>
      </c>
      <c r="F558" s="838" t="s">
        <v>161</v>
      </c>
      <c r="G558" s="838">
        <v>14</v>
      </c>
      <c r="H558" s="842" t="s">
        <v>21</v>
      </c>
      <c r="I558" s="838" t="s">
        <v>127</v>
      </c>
      <c r="J558" s="838" t="s">
        <v>871</v>
      </c>
      <c r="K558" s="89"/>
      <c r="L558" s="21"/>
      <c r="M558" s="22"/>
      <c r="N558" s="23"/>
      <c r="O558" s="848"/>
      <c r="P558" s="23" t="s">
        <v>30</v>
      </c>
      <c r="Q558" s="23">
        <v>45789</v>
      </c>
      <c r="R558" s="79" t="s">
        <v>127</v>
      </c>
      <c r="S558" s="22" t="s">
        <v>32</v>
      </c>
      <c r="T558" s="22">
        <v>14</v>
      </c>
      <c r="U558" s="24" t="s">
        <v>127</v>
      </c>
      <c r="V558" s="23">
        <v>45789</v>
      </c>
      <c r="W558" s="80" t="s">
        <v>32</v>
      </c>
      <c r="Y558"/>
      <c r="Z558"/>
      <c r="AA558"/>
    </row>
    <row r="559" spans="1:27">
      <c r="A559" s="834" t="s">
        <v>24</v>
      </c>
      <c r="B559" s="835">
        <v>556</v>
      </c>
      <c r="C559" s="838" t="s">
        <v>925</v>
      </c>
      <c r="D559" s="838" t="s">
        <v>129</v>
      </c>
      <c r="E559" s="839">
        <v>45770</v>
      </c>
      <c r="F559" s="838" t="s">
        <v>161</v>
      </c>
      <c r="G559" s="838">
        <v>16</v>
      </c>
      <c r="H559" s="842" t="s">
        <v>21</v>
      </c>
      <c r="I559" s="838" t="s">
        <v>127</v>
      </c>
      <c r="J559" s="838" t="s">
        <v>871</v>
      </c>
      <c r="K559" s="89"/>
      <c r="L559" s="21"/>
      <c r="M559" s="22"/>
      <c r="N559" s="23"/>
      <c r="O559" s="848" t="s">
        <v>31</v>
      </c>
      <c r="P559" s="23" t="s">
        <v>30</v>
      </c>
      <c r="Q559" s="23">
        <v>45789</v>
      </c>
      <c r="R559" s="79" t="s">
        <v>127</v>
      </c>
      <c r="S559" s="22" t="s">
        <v>32</v>
      </c>
      <c r="T559" s="22">
        <v>16</v>
      </c>
      <c r="U559" s="24" t="s">
        <v>127</v>
      </c>
      <c r="V559" s="23">
        <v>45789</v>
      </c>
      <c r="W559" s="80" t="s">
        <v>30</v>
      </c>
      <c r="Y559"/>
      <c r="Z559"/>
      <c r="AA559"/>
    </row>
    <row r="560" spans="1:27">
      <c r="A560" s="834" t="s">
        <v>24</v>
      </c>
      <c r="B560" s="835">
        <v>557</v>
      </c>
      <c r="C560" s="838" t="s">
        <v>926</v>
      </c>
      <c r="D560" s="838" t="s">
        <v>83</v>
      </c>
      <c r="E560" s="839">
        <v>45770</v>
      </c>
      <c r="F560" s="838" t="s">
        <v>927</v>
      </c>
      <c r="G560" s="838">
        <v>12</v>
      </c>
      <c r="H560" s="842" t="s">
        <v>46</v>
      </c>
      <c r="I560" s="838" t="s">
        <v>47</v>
      </c>
      <c r="J560" s="838" t="s">
        <v>871</v>
      </c>
      <c r="K560" s="21"/>
      <c r="L560" s="834"/>
      <c r="M560" s="22"/>
      <c r="N560" s="23"/>
      <c r="O560" s="848"/>
      <c r="P560" s="23" t="s">
        <v>30</v>
      </c>
      <c r="Q560" s="23">
        <v>45808</v>
      </c>
      <c r="R560" s="79" t="s">
        <v>67</v>
      </c>
      <c r="S560" s="22" t="s">
        <v>32</v>
      </c>
      <c r="T560" s="22">
        <v>12</v>
      </c>
      <c r="U560" s="24" t="s">
        <v>67</v>
      </c>
      <c r="V560" s="23">
        <v>45807</v>
      </c>
      <c r="W560" s="80" t="s">
        <v>30</v>
      </c>
      <c r="Y560"/>
      <c r="Z560"/>
      <c r="AA560"/>
    </row>
    <row r="561" spans="1:30">
      <c r="A561" s="834" t="s">
        <v>24</v>
      </c>
      <c r="B561" s="835">
        <v>558</v>
      </c>
      <c r="C561" s="838" t="s">
        <v>928</v>
      </c>
      <c r="D561" s="838" t="s">
        <v>34</v>
      </c>
      <c r="E561" s="839">
        <v>45770</v>
      </c>
      <c r="F561" s="838" t="s">
        <v>245</v>
      </c>
      <c r="G561" s="838">
        <v>13</v>
      </c>
      <c r="H561" s="842" t="s">
        <v>46</v>
      </c>
      <c r="I561" s="838" t="s">
        <v>47</v>
      </c>
      <c r="J561" s="838" t="s">
        <v>871</v>
      </c>
      <c r="K561" s="21"/>
      <c r="L561" s="834"/>
      <c r="M561" s="22"/>
      <c r="N561" s="23"/>
      <c r="O561" s="848"/>
      <c r="P561" s="23" t="s">
        <v>30</v>
      </c>
      <c r="Q561" s="23">
        <v>45808</v>
      </c>
      <c r="R561" s="79" t="s">
        <v>127</v>
      </c>
      <c r="S561" s="22" t="s">
        <v>32</v>
      </c>
      <c r="T561" s="22">
        <v>13</v>
      </c>
      <c r="U561" s="24" t="s">
        <v>127</v>
      </c>
      <c r="V561" s="23">
        <v>45807</v>
      </c>
      <c r="W561" s="80" t="s">
        <v>30</v>
      </c>
      <c r="Y561"/>
      <c r="Z561"/>
      <c r="AA561"/>
    </row>
    <row r="562" spans="1:30">
      <c r="A562" s="834" t="s">
        <v>24</v>
      </c>
      <c r="B562" s="835">
        <v>559</v>
      </c>
      <c r="C562" s="838" t="s">
        <v>929</v>
      </c>
      <c r="D562" s="838" t="s">
        <v>657</v>
      </c>
      <c r="E562" s="839">
        <v>45771</v>
      </c>
      <c r="F562" s="838" t="s">
        <v>104</v>
      </c>
      <c r="G562" s="838">
        <v>13</v>
      </c>
      <c r="H562" s="842" t="s">
        <v>22</v>
      </c>
      <c r="I562" s="838" t="s">
        <v>28</v>
      </c>
      <c r="J562" s="838" t="s">
        <v>871</v>
      </c>
      <c r="K562" s="21"/>
      <c r="L562" s="21"/>
      <c r="M562" s="22"/>
      <c r="N562" s="23"/>
      <c r="O562" s="848"/>
      <c r="P562" s="23" t="s">
        <v>30</v>
      </c>
      <c r="Q562" s="23">
        <v>45796</v>
      </c>
      <c r="R562" s="79" t="s">
        <v>37</v>
      </c>
      <c r="S562" s="22" t="s">
        <v>32</v>
      </c>
      <c r="T562" s="22">
        <v>13</v>
      </c>
      <c r="U562" s="22" t="s">
        <v>37</v>
      </c>
      <c r="V562" s="23">
        <v>45796</v>
      </c>
      <c r="W562" s="80" t="s">
        <v>32</v>
      </c>
      <c r="Y562"/>
      <c r="Z562"/>
      <c r="AA562"/>
    </row>
    <row r="563" spans="1:30">
      <c r="A563" s="834" t="s">
        <v>24</v>
      </c>
      <c r="B563" s="835">
        <v>560</v>
      </c>
      <c r="C563" s="838" t="s">
        <v>930</v>
      </c>
      <c r="D563" s="838" t="s">
        <v>43</v>
      </c>
      <c r="E563" s="839">
        <v>45773</v>
      </c>
      <c r="F563" s="838" t="s">
        <v>931</v>
      </c>
      <c r="G563" s="838">
        <v>13</v>
      </c>
      <c r="H563" s="842" t="s">
        <v>21</v>
      </c>
      <c r="I563" s="838" t="s">
        <v>127</v>
      </c>
      <c r="J563" s="838" t="s">
        <v>871</v>
      </c>
      <c r="K563" s="89"/>
      <c r="L563" s="21"/>
      <c r="M563" s="22"/>
      <c r="N563" s="23"/>
      <c r="O563" s="848"/>
      <c r="P563" s="23" t="s">
        <v>30</v>
      </c>
      <c r="Q563" s="23">
        <v>45791</v>
      </c>
      <c r="R563" s="79" t="s">
        <v>127</v>
      </c>
      <c r="S563" s="22" t="s">
        <v>32</v>
      </c>
      <c r="T563" s="22">
        <v>13</v>
      </c>
      <c r="U563" s="24" t="s">
        <v>127</v>
      </c>
      <c r="V563" s="23">
        <v>45791</v>
      </c>
      <c r="W563" s="80" t="s">
        <v>32</v>
      </c>
      <c r="Y563"/>
      <c r="Z563"/>
      <c r="AA563"/>
    </row>
    <row r="564" spans="1:30">
      <c r="A564" s="834" t="s">
        <v>24</v>
      </c>
      <c r="B564" s="835">
        <v>561</v>
      </c>
      <c r="C564" s="838" t="s">
        <v>932</v>
      </c>
      <c r="D564" s="838" t="s">
        <v>102</v>
      </c>
      <c r="E564" s="839">
        <v>45776</v>
      </c>
      <c r="F564" s="838" t="s">
        <v>885</v>
      </c>
      <c r="G564" s="838">
        <v>12</v>
      </c>
      <c r="H564" s="842" t="s">
        <v>22</v>
      </c>
      <c r="I564" s="838" t="s">
        <v>28</v>
      </c>
      <c r="J564" s="838" t="s">
        <v>871</v>
      </c>
      <c r="K564" s="21"/>
      <c r="L564" s="21"/>
      <c r="M564" s="22"/>
      <c r="N564" s="23"/>
      <c r="O564" s="848"/>
      <c r="P564" s="23" t="s">
        <v>30</v>
      </c>
      <c r="Q564" s="23">
        <v>45791</v>
      </c>
      <c r="R564" s="79" t="s">
        <v>37</v>
      </c>
      <c r="S564" s="22" t="s">
        <v>32</v>
      </c>
      <c r="T564" s="22">
        <v>12</v>
      </c>
      <c r="U564" s="22" t="s">
        <v>37</v>
      </c>
      <c r="V564" s="23">
        <v>45791</v>
      </c>
      <c r="W564" s="80" t="s">
        <v>30</v>
      </c>
      <c r="Y564" s="776"/>
      <c r="Z564" s="776"/>
      <c r="AA564" s="776"/>
    </row>
    <row r="565" spans="1:30">
      <c r="A565" s="834" t="s">
        <v>24</v>
      </c>
      <c r="B565" s="835">
        <v>562</v>
      </c>
      <c r="C565" s="838" t="s">
        <v>120</v>
      </c>
      <c r="D565" s="838" t="s">
        <v>34</v>
      </c>
      <c r="E565" s="839">
        <v>45777</v>
      </c>
      <c r="F565" s="838" t="s">
        <v>380</v>
      </c>
      <c r="G565" s="838">
        <v>12</v>
      </c>
      <c r="H565" s="842" t="s">
        <v>21</v>
      </c>
      <c r="I565" s="838" t="s">
        <v>127</v>
      </c>
      <c r="J565" s="838" t="s">
        <v>871</v>
      </c>
      <c r="K565" s="21"/>
      <c r="L565" s="21"/>
      <c r="M565" s="22"/>
      <c r="N565" s="23"/>
      <c r="O565" s="848"/>
      <c r="P565" s="23" t="s">
        <v>30</v>
      </c>
      <c r="Q565" s="23">
        <v>45784</v>
      </c>
      <c r="R565" s="79" t="s">
        <v>48</v>
      </c>
      <c r="S565" s="22" t="s">
        <v>32</v>
      </c>
      <c r="T565" s="22">
        <v>12</v>
      </c>
      <c r="U565" s="24" t="s">
        <v>48</v>
      </c>
      <c r="V565" s="23">
        <v>45784</v>
      </c>
      <c r="W565" s="80" t="s">
        <v>32</v>
      </c>
      <c r="Y565"/>
      <c r="Z565"/>
      <c r="AA565"/>
    </row>
    <row r="566" spans="1:30">
      <c r="A566" s="834" t="s">
        <v>137</v>
      </c>
      <c r="B566" s="835">
        <v>563</v>
      </c>
      <c r="C566" s="225" t="s">
        <v>933</v>
      </c>
      <c r="D566" s="225" t="s">
        <v>145</v>
      </c>
      <c r="E566" s="226">
        <v>45754.375</v>
      </c>
      <c r="F566" s="838" t="s">
        <v>140</v>
      </c>
      <c r="G566" s="227">
        <v>15</v>
      </c>
      <c r="H566" s="227" t="s">
        <v>22</v>
      </c>
      <c r="I566" s="227" t="s">
        <v>28</v>
      </c>
      <c r="J566" s="838" t="s">
        <v>871</v>
      </c>
      <c r="K566" s="21"/>
      <c r="L566" s="21"/>
      <c r="M566" s="22"/>
      <c r="N566" s="23"/>
      <c r="O566" s="23" t="s">
        <v>31</v>
      </c>
      <c r="P566" s="23" t="s">
        <v>30</v>
      </c>
      <c r="Q566" s="23"/>
      <c r="R566" s="79" t="s">
        <v>67</v>
      </c>
      <c r="S566" s="22"/>
      <c r="T566" s="22"/>
      <c r="U566" s="24"/>
      <c r="V566" s="23"/>
      <c r="W566" s="80"/>
      <c r="X566" s="87">
        <v>0</v>
      </c>
      <c r="Y566" s="84">
        <v>15</v>
      </c>
      <c r="Z566" s="88">
        <v>0</v>
      </c>
      <c r="AA566" s="84">
        <f>SUM(X566:Z566)</f>
        <v>15</v>
      </c>
      <c r="AB566" s="71">
        <f>+X566/$AA566*AC$1</f>
        <v>0</v>
      </c>
      <c r="AC566" s="71">
        <f>+Y566/$AA566*AD$1</f>
        <v>3</v>
      </c>
      <c r="AD566" s="71">
        <f>+Z566/$AA566*AD$1</f>
        <v>0</v>
      </c>
    </row>
    <row r="567" spans="1:30">
      <c r="A567" s="834" t="s">
        <v>137</v>
      </c>
      <c r="B567" s="835">
        <v>564</v>
      </c>
      <c r="C567" s="225" t="s">
        <v>934</v>
      </c>
      <c r="D567" s="225" t="s">
        <v>935</v>
      </c>
      <c r="E567" s="226">
        <v>45754.375</v>
      </c>
      <c r="F567" s="838" t="s">
        <v>140</v>
      </c>
      <c r="G567" s="227">
        <v>13</v>
      </c>
      <c r="H567" s="227" t="s">
        <v>22</v>
      </c>
      <c r="I567" s="227" t="s">
        <v>28</v>
      </c>
      <c r="J567" s="838" t="s">
        <v>871</v>
      </c>
      <c r="K567" s="21"/>
      <c r="L567" s="21"/>
      <c r="M567" s="22"/>
      <c r="N567" s="23"/>
      <c r="O567" s="23"/>
      <c r="P567" s="23" t="s">
        <v>30</v>
      </c>
      <c r="Q567" s="23"/>
      <c r="R567" s="79" t="s">
        <v>67</v>
      </c>
      <c r="S567" s="22"/>
      <c r="T567" s="22"/>
      <c r="U567" s="24"/>
      <c r="V567" s="23"/>
      <c r="W567" s="80"/>
      <c r="Y567"/>
      <c r="Z567"/>
      <c r="AA567"/>
    </row>
    <row r="568" spans="1:30">
      <c r="A568" s="834" t="s">
        <v>137</v>
      </c>
      <c r="B568" s="835">
        <v>565</v>
      </c>
      <c r="C568" s="225" t="s">
        <v>936</v>
      </c>
      <c r="D568" s="225" t="s">
        <v>937</v>
      </c>
      <c r="E568" s="226">
        <v>45754.375</v>
      </c>
      <c r="F568" s="838" t="s">
        <v>140</v>
      </c>
      <c r="G568" s="227">
        <v>43</v>
      </c>
      <c r="H568" s="227" t="s">
        <v>938</v>
      </c>
      <c r="I568" s="227" t="s">
        <v>939</v>
      </c>
      <c r="J568" s="838" t="s">
        <v>871</v>
      </c>
      <c r="K568" s="21"/>
      <c r="L568" s="21"/>
      <c r="M568" s="22"/>
      <c r="N568" s="23"/>
      <c r="O568" s="23" t="s">
        <v>31</v>
      </c>
      <c r="P568" s="23" t="s">
        <v>30</v>
      </c>
      <c r="Q568" s="23"/>
      <c r="R568" s="79" t="s">
        <v>67</v>
      </c>
      <c r="S568" s="22"/>
      <c r="T568" s="22"/>
      <c r="U568" s="24"/>
      <c r="V568" s="23"/>
      <c r="W568" s="80"/>
      <c r="X568">
        <v>14</v>
      </c>
      <c r="Y568">
        <v>23</v>
      </c>
      <c r="Z568">
        <v>6</v>
      </c>
      <c r="AA568" s="84">
        <f>SUM(X568:Z568)</f>
        <v>43</v>
      </c>
      <c r="AB568" s="71">
        <f>+X568/$AA568*AC$1</f>
        <v>1.9534883720930234</v>
      </c>
      <c r="AC568" s="71">
        <f>+Y568/$AA568*AD$1</f>
        <v>1.6046511627906974</v>
      </c>
      <c r="AD568" s="71">
        <f>+Z568/$AA568*AD$1</f>
        <v>0.41860465116279066</v>
      </c>
    </row>
    <row r="569" spans="1:30">
      <c r="A569" s="834" t="s">
        <v>137</v>
      </c>
      <c r="B569" s="835">
        <v>566</v>
      </c>
      <c r="C569" s="225" t="s">
        <v>940</v>
      </c>
      <c r="D569" s="225" t="s">
        <v>941</v>
      </c>
      <c r="E569" s="226">
        <v>45754.375</v>
      </c>
      <c r="F569" s="838" t="s">
        <v>140</v>
      </c>
      <c r="G569" s="227">
        <v>8</v>
      </c>
      <c r="H569" s="227" t="s">
        <v>22</v>
      </c>
      <c r="I569" s="227" t="s">
        <v>28</v>
      </c>
      <c r="J569" s="838" t="s">
        <v>871</v>
      </c>
      <c r="K569" s="21"/>
      <c r="L569" s="21"/>
      <c r="M569" s="22"/>
      <c r="N569" s="23"/>
      <c r="O569" s="23"/>
      <c r="P569" s="23" t="s">
        <v>30</v>
      </c>
      <c r="Q569" s="23"/>
      <c r="R569" s="79" t="s">
        <v>67</v>
      </c>
      <c r="S569" s="22"/>
      <c r="T569" s="22"/>
      <c r="U569" s="24"/>
      <c r="V569" s="23"/>
      <c r="W569" s="80"/>
      <c r="Y569"/>
      <c r="Z569"/>
      <c r="AA569"/>
    </row>
    <row r="570" spans="1:30">
      <c r="A570" s="834" t="s">
        <v>137</v>
      </c>
      <c r="B570" s="835">
        <v>567</v>
      </c>
      <c r="C570" s="225" t="s">
        <v>942</v>
      </c>
      <c r="D570" s="225" t="s">
        <v>519</v>
      </c>
      <c r="E570" s="226">
        <v>45754.375</v>
      </c>
      <c r="F570" s="838" t="s">
        <v>140</v>
      </c>
      <c r="G570" s="227">
        <v>23</v>
      </c>
      <c r="H570" s="227" t="s">
        <v>938</v>
      </c>
      <c r="I570" s="227" t="s">
        <v>939</v>
      </c>
      <c r="J570" s="838" t="s">
        <v>871</v>
      </c>
      <c r="K570" s="21"/>
      <c r="L570" s="21"/>
      <c r="M570" s="22"/>
      <c r="N570" s="23"/>
      <c r="O570" s="23" t="s">
        <v>31</v>
      </c>
      <c r="P570" s="23" t="s">
        <v>30</v>
      </c>
      <c r="Q570" s="23"/>
      <c r="R570" s="79" t="s">
        <v>67</v>
      </c>
      <c r="S570" s="22"/>
      <c r="T570" s="22"/>
      <c r="U570" s="22"/>
      <c r="V570" s="23"/>
      <c r="W570" s="80"/>
      <c r="X570">
        <v>14</v>
      </c>
      <c r="Y570">
        <v>8</v>
      </c>
      <c r="Z570">
        <v>1</v>
      </c>
      <c r="AA570" s="84">
        <f>SUM(X570:Z570)</f>
        <v>23</v>
      </c>
      <c r="AB570" s="71">
        <f>+X570/$AA570*AC$1</f>
        <v>3.6521739130434785</v>
      </c>
      <c r="AC570" s="71">
        <f>+Y570/$AA570*AD$1</f>
        <v>1.0434782608695652</v>
      </c>
      <c r="AD570" s="71">
        <f>+Z570/$AA570*AD$1</f>
        <v>0.13043478260869565</v>
      </c>
    </row>
    <row r="571" spans="1:30">
      <c r="A571" s="834" t="s">
        <v>137</v>
      </c>
      <c r="B571" s="835">
        <v>568</v>
      </c>
      <c r="C571" s="225" t="s">
        <v>943</v>
      </c>
      <c r="D571" s="225" t="s">
        <v>944</v>
      </c>
      <c r="E571" s="226">
        <v>45754.375</v>
      </c>
      <c r="F571" s="838" t="s">
        <v>140</v>
      </c>
      <c r="G571" s="227">
        <v>1</v>
      </c>
      <c r="H571" s="227" t="s">
        <v>21</v>
      </c>
      <c r="I571" s="227" t="s">
        <v>127</v>
      </c>
      <c r="J571" s="838" t="s">
        <v>871</v>
      </c>
      <c r="K571" s="21"/>
      <c r="L571" s="21"/>
      <c r="M571" s="22"/>
      <c r="N571" s="23"/>
      <c r="O571" s="23"/>
      <c r="P571" s="23" t="s">
        <v>30</v>
      </c>
      <c r="Q571" s="23"/>
      <c r="R571" s="79" t="s">
        <v>67</v>
      </c>
      <c r="S571" s="22"/>
      <c r="T571" s="22"/>
      <c r="U571" s="22"/>
      <c r="V571" s="23"/>
      <c r="W571" s="80"/>
      <c r="Y571"/>
      <c r="Z571"/>
      <c r="AA571"/>
    </row>
    <row r="572" spans="1:30">
      <c r="A572" s="834" t="s">
        <v>137</v>
      </c>
      <c r="B572" s="835">
        <v>569</v>
      </c>
      <c r="C572" s="225" t="s">
        <v>945</v>
      </c>
      <c r="D572" s="225" t="s">
        <v>946</v>
      </c>
      <c r="E572" s="226">
        <v>45754.375</v>
      </c>
      <c r="F572" s="838" t="s">
        <v>140</v>
      </c>
      <c r="G572" s="227">
        <v>2</v>
      </c>
      <c r="H572" s="227" t="s">
        <v>22</v>
      </c>
      <c r="I572" s="227" t="s">
        <v>28</v>
      </c>
      <c r="J572" s="838" t="s">
        <v>871</v>
      </c>
      <c r="K572" s="21"/>
      <c r="L572" s="21"/>
      <c r="M572" s="22"/>
      <c r="N572" s="23"/>
      <c r="O572" s="23"/>
      <c r="P572" s="23" t="s">
        <v>30</v>
      </c>
      <c r="Q572" s="23"/>
      <c r="R572" s="79" t="s">
        <v>67</v>
      </c>
      <c r="S572" s="22"/>
      <c r="T572" s="22"/>
      <c r="U572" s="24"/>
      <c r="V572" s="23"/>
      <c r="W572" s="80"/>
      <c r="Y572"/>
      <c r="Z572"/>
      <c r="AA572"/>
    </row>
    <row r="573" spans="1:30">
      <c r="A573" s="834" t="s">
        <v>137</v>
      </c>
      <c r="B573" s="835">
        <v>570</v>
      </c>
      <c r="C573" s="225" t="s">
        <v>947</v>
      </c>
      <c r="D573" s="225" t="s">
        <v>829</v>
      </c>
      <c r="E573" s="226">
        <v>45754</v>
      </c>
      <c r="F573" s="838" t="s">
        <v>140</v>
      </c>
      <c r="G573" s="227">
        <v>52</v>
      </c>
      <c r="H573" s="227" t="s">
        <v>111</v>
      </c>
      <c r="I573" s="227" t="s">
        <v>948</v>
      </c>
      <c r="J573" s="838" t="s">
        <v>871</v>
      </c>
      <c r="K573" s="21"/>
      <c r="L573" s="21"/>
      <c r="M573" s="22"/>
      <c r="N573" s="23"/>
      <c r="O573" s="23" t="s">
        <v>31</v>
      </c>
      <c r="P573" s="23" t="s">
        <v>30</v>
      </c>
      <c r="Q573" s="23"/>
      <c r="R573" s="79" t="s">
        <v>67</v>
      </c>
      <c r="S573" s="22"/>
      <c r="T573" s="22"/>
      <c r="U573" s="24"/>
      <c r="V573" s="23"/>
      <c r="W573" s="80"/>
      <c r="X573">
        <v>2</v>
      </c>
      <c r="Y573">
        <v>50</v>
      </c>
      <c r="Z573">
        <v>0</v>
      </c>
      <c r="AA573" s="84">
        <f>SUM(X573:Z573)</f>
        <v>52</v>
      </c>
      <c r="AB573" s="71">
        <f>+X573/$AA573*AC$1</f>
        <v>0.23076923076923078</v>
      </c>
      <c r="AC573" s="71">
        <f>+Y573/$AA573*AD$1</f>
        <v>2.8846153846153846</v>
      </c>
      <c r="AD573" s="71">
        <f>+Z573/$AA573*AD$1</f>
        <v>0</v>
      </c>
    </row>
    <row r="574" spans="1:30">
      <c r="A574" s="834" t="s">
        <v>137</v>
      </c>
      <c r="B574" s="835">
        <v>571</v>
      </c>
      <c r="C574" s="225" t="s">
        <v>949</v>
      </c>
      <c r="D574" s="225" t="s">
        <v>950</v>
      </c>
      <c r="E574" s="226">
        <v>45754.375</v>
      </c>
      <c r="F574" s="838" t="s">
        <v>140</v>
      </c>
      <c r="G574" s="227">
        <v>10</v>
      </c>
      <c r="H574" s="227" t="s">
        <v>46</v>
      </c>
      <c r="I574" s="227" t="s">
        <v>47</v>
      </c>
      <c r="J574" s="838" t="s">
        <v>871</v>
      </c>
      <c r="K574" s="21"/>
      <c r="L574" s="21"/>
      <c r="M574" s="22"/>
      <c r="N574" s="23"/>
      <c r="O574" s="23"/>
      <c r="P574" s="23" t="s">
        <v>30</v>
      </c>
      <c r="Q574" s="23"/>
      <c r="R574" s="79" t="s">
        <v>67</v>
      </c>
      <c r="S574" s="22"/>
      <c r="T574" s="22"/>
      <c r="U574" s="24"/>
      <c r="V574" s="23"/>
      <c r="W574" s="80"/>
      <c r="Y574"/>
      <c r="Z574"/>
      <c r="AA574"/>
    </row>
    <row r="575" spans="1:30">
      <c r="A575" s="834" t="s">
        <v>137</v>
      </c>
      <c r="B575" s="835">
        <v>572</v>
      </c>
      <c r="C575" s="225" t="s">
        <v>951</v>
      </c>
      <c r="D575" s="225" t="s">
        <v>794</v>
      </c>
      <c r="E575" s="226">
        <v>45754.375</v>
      </c>
      <c r="F575" s="838" t="s">
        <v>140</v>
      </c>
      <c r="G575" s="227">
        <v>2</v>
      </c>
      <c r="H575" s="227" t="s">
        <v>291</v>
      </c>
      <c r="I575" s="227" t="s">
        <v>760</v>
      </c>
      <c r="J575" s="838" t="s">
        <v>871</v>
      </c>
      <c r="K575" s="21"/>
      <c r="L575" s="21"/>
      <c r="M575" s="22"/>
      <c r="N575" s="23"/>
      <c r="O575" s="23"/>
      <c r="P575" s="23" t="s">
        <v>30</v>
      </c>
      <c r="Q575" s="23"/>
      <c r="R575" s="79" t="s">
        <v>67</v>
      </c>
      <c r="S575" s="22"/>
      <c r="T575" s="22"/>
      <c r="U575" s="22"/>
      <c r="V575" s="23"/>
      <c r="W575" s="80"/>
      <c r="Y575"/>
      <c r="Z575"/>
      <c r="AA575"/>
    </row>
    <row r="576" spans="1:30">
      <c r="A576" s="834" t="s">
        <v>137</v>
      </c>
      <c r="B576" s="835">
        <v>573</v>
      </c>
      <c r="C576" s="225" t="s">
        <v>952</v>
      </c>
      <c r="D576" s="225" t="s">
        <v>953</v>
      </c>
      <c r="E576" s="226">
        <v>45754.375</v>
      </c>
      <c r="F576" s="838" t="s">
        <v>140</v>
      </c>
      <c r="G576" s="227">
        <v>4</v>
      </c>
      <c r="H576" s="227" t="s">
        <v>22</v>
      </c>
      <c r="I576" s="227" t="s">
        <v>28</v>
      </c>
      <c r="J576" s="838" t="s">
        <v>871</v>
      </c>
      <c r="K576" s="21"/>
      <c r="L576" s="21"/>
      <c r="M576" s="22"/>
      <c r="N576" s="23"/>
      <c r="O576" s="23"/>
      <c r="P576" s="23" t="s">
        <v>30</v>
      </c>
      <c r="Q576" s="23"/>
      <c r="R576" s="79" t="s">
        <v>67</v>
      </c>
      <c r="S576" s="22"/>
      <c r="T576" s="22"/>
      <c r="U576" s="22"/>
      <c r="V576" s="23"/>
      <c r="W576" s="80"/>
      <c r="Y576"/>
      <c r="Z576"/>
      <c r="AA576"/>
    </row>
    <row r="577" spans="1:30">
      <c r="A577" s="834" t="s">
        <v>137</v>
      </c>
      <c r="B577" s="835">
        <v>574</v>
      </c>
      <c r="C577" s="225" t="s">
        <v>954</v>
      </c>
      <c r="D577" s="225" t="s">
        <v>955</v>
      </c>
      <c r="E577" s="226">
        <v>45754</v>
      </c>
      <c r="F577" s="838" t="s">
        <v>140</v>
      </c>
      <c r="G577" s="227">
        <v>16</v>
      </c>
      <c r="H577" s="227" t="s">
        <v>291</v>
      </c>
      <c r="I577" s="227" t="s">
        <v>760</v>
      </c>
      <c r="J577" s="838" t="s">
        <v>871</v>
      </c>
      <c r="K577" s="21"/>
      <c r="L577" s="21"/>
      <c r="M577" s="22"/>
      <c r="N577" s="23"/>
      <c r="O577" s="23" t="s">
        <v>31</v>
      </c>
      <c r="P577" s="23" t="s">
        <v>30</v>
      </c>
      <c r="Q577" s="23"/>
      <c r="R577" s="79" t="s">
        <v>67</v>
      </c>
      <c r="S577" s="22"/>
      <c r="T577" s="22"/>
      <c r="U577" s="24"/>
      <c r="V577" s="23"/>
      <c r="W577" s="80"/>
      <c r="X577">
        <v>1</v>
      </c>
      <c r="Y577">
        <v>0</v>
      </c>
      <c r="Z577">
        <v>15</v>
      </c>
      <c r="AA577" s="84">
        <f>SUM(X577:Z577)</f>
        <v>16</v>
      </c>
      <c r="AB577" s="71">
        <f>+X577/$AA577*AC$1</f>
        <v>0.375</v>
      </c>
      <c r="AC577" s="71">
        <f>+Y577/$AA577*AD$1</f>
        <v>0</v>
      </c>
      <c r="AD577" s="71">
        <f>+Z577/$AA577*AD$1</f>
        <v>2.8125</v>
      </c>
    </row>
    <row r="578" spans="1:30">
      <c r="A578" s="834" t="s">
        <v>137</v>
      </c>
      <c r="B578" s="835">
        <v>575</v>
      </c>
      <c r="C578" s="225" t="s">
        <v>956</v>
      </c>
      <c r="D578" s="225" t="s">
        <v>818</v>
      </c>
      <c r="E578" s="226">
        <v>45754.375</v>
      </c>
      <c r="F578" s="838" t="s">
        <v>140</v>
      </c>
      <c r="G578" s="227">
        <v>9</v>
      </c>
      <c r="H578" s="227" t="s">
        <v>21</v>
      </c>
      <c r="I578" s="227" t="s">
        <v>127</v>
      </c>
      <c r="J578" s="838" t="s">
        <v>871</v>
      </c>
      <c r="K578" s="21"/>
      <c r="L578" s="21"/>
      <c r="M578" s="22"/>
      <c r="N578" s="23"/>
      <c r="O578" s="23"/>
      <c r="P578" s="23" t="s">
        <v>30</v>
      </c>
      <c r="Q578" s="23"/>
      <c r="R578" s="79" t="s">
        <v>67</v>
      </c>
      <c r="S578" s="22"/>
      <c r="T578" s="22"/>
      <c r="U578" s="24"/>
      <c r="V578" s="23"/>
      <c r="W578" s="80"/>
      <c r="Y578" s="776"/>
      <c r="Z578" s="776"/>
      <c r="AA578" s="776"/>
    </row>
    <row r="579" spans="1:30">
      <c r="A579" s="834" t="s">
        <v>137</v>
      </c>
      <c r="B579" s="835">
        <v>576</v>
      </c>
      <c r="C579" s="225" t="s">
        <v>957</v>
      </c>
      <c r="D579" s="225" t="s">
        <v>958</v>
      </c>
      <c r="E579" s="226">
        <v>45754.375</v>
      </c>
      <c r="F579" s="838" t="s">
        <v>140</v>
      </c>
      <c r="G579" s="227">
        <v>2</v>
      </c>
      <c r="H579" s="227" t="s">
        <v>22</v>
      </c>
      <c r="I579" s="227" t="s">
        <v>28</v>
      </c>
      <c r="J579" s="838" t="s">
        <v>871</v>
      </c>
      <c r="K579" s="21"/>
      <c r="L579" s="21"/>
      <c r="M579" s="22"/>
      <c r="N579" s="23"/>
      <c r="O579" s="23"/>
      <c r="P579" s="23" t="s">
        <v>30</v>
      </c>
      <c r="Q579" s="23"/>
      <c r="R579" s="79" t="s">
        <v>67</v>
      </c>
      <c r="S579" s="22"/>
      <c r="T579" s="22"/>
      <c r="U579" s="24"/>
      <c r="V579" s="23"/>
      <c r="W579" s="80"/>
      <c r="Y579" s="776"/>
      <c r="Z579" s="776"/>
      <c r="AA579" s="776"/>
    </row>
    <row r="580" spans="1:30">
      <c r="A580" s="834" t="s">
        <v>137</v>
      </c>
      <c r="B580" s="835">
        <v>577</v>
      </c>
      <c r="C580" s="225" t="s">
        <v>959</v>
      </c>
      <c r="D580" s="225" t="s">
        <v>960</v>
      </c>
      <c r="E580" s="226">
        <v>45754</v>
      </c>
      <c r="F580" s="838" t="s">
        <v>140</v>
      </c>
      <c r="G580" s="227">
        <v>1</v>
      </c>
      <c r="H580" s="227" t="s">
        <v>22</v>
      </c>
      <c r="I580" s="227" t="s">
        <v>28</v>
      </c>
      <c r="J580" s="838" t="s">
        <v>871</v>
      </c>
      <c r="K580" s="21"/>
      <c r="L580" s="21"/>
      <c r="M580" s="22"/>
      <c r="N580" s="23"/>
      <c r="O580" s="23"/>
      <c r="P580" s="23" t="s">
        <v>30</v>
      </c>
      <c r="Q580" s="23"/>
      <c r="R580" s="79" t="s">
        <v>67</v>
      </c>
      <c r="S580" s="22"/>
      <c r="T580" s="22"/>
      <c r="U580" s="24"/>
      <c r="V580" s="23"/>
      <c r="W580" s="80"/>
      <c r="Y580" s="776"/>
      <c r="Z580" s="776"/>
      <c r="AA580" s="776"/>
    </row>
    <row r="581" spans="1:30">
      <c r="A581" s="834" t="s">
        <v>137</v>
      </c>
      <c r="B581" s="835">
        <v>578</v>
      </c>
      <c r="C581" s="225" t="s">
        <v>961</v>
      </c>
      <c r="D581" s="225" t="s">
        <v>962</v>
      </c>
      <c r="E581" s="226">
        <v>45754.375</v>
      </c>
      <c r="F581" s="838" t="s">
        <v>140</v>
      </c>
      <c r="G581" s="227">
        <v>1</v>
      </c>
      <c r="H581" s="227" t="s">
        <v>22</v>
      </c>
      <c r="I581" s="227" t="s">
        <v>28</v>
      </c>
      <c r="J581" s="838" t="s">
        <v>871</v>
      </c>
      <c r="K581" s="21"/>
      <c r="L581" s="21"/>
      <c r="M581" s="22"/>
      <c r="N581" s="23"/>
      <c r="O581" s="23"/>
      <c r="P581" s="23" t="s">
        <v>30</v>
      </c>
      <c r="Q581" s="23"/>
      <c r="R581" s="79" t="s">
        <v>67</v>
      </c>
      <c r="S581" s="22"/>
      <c r="T581" s="22"/>
      <c r="U581" s="22"/>
      <c r="V581" s="23"/>
      <c r="W581" s="80"/>
      <c r="Y581" s="776"/>
      <c r="Z581" s="776"/>
      <c r="AA581" s="776"/>
    </row>
    <row r="582" spans="1:30">
      <c r="A582" s="834" t="s">
        <v>137</v>
      </c>
      <c r="B582" s="835">
        <v>579</v>
      </c>
      <c r="C582" s="225" t="s">
        <v>963</v>
      </c>
      <c r="D582" s="225" t="s">
        <v>964</v>
      </c>
      <c r="E582" s="226">
        <v>45754.375</v>
      </c>
      <c r="F582" s="838" t="s">
        <v>140</v>
      </c>
      <c r="G582" s="227">
        <v>1</v>
      </c>
      <c r="H582" s="227" t="s">
        <v>21</v>
      </c>
      <c r="I582" s="227" t="s">
        <v>127</v>
      </c>
      <c r="J582" s="838" t="s">
        <v>871</v>
      </c>
      <c r="K582" s="21"/>
      <c r="L582" s="21"/>
      <c r="M582" s="22"/>
      <c r="N582" s="23"/>
      <c r="O582" s="23"/>
      <c r="P582" s="23" t="s">
        <v>30</v>
      </c>
      <c r="Q582" s="23"/>
      <c r="R582" s="79" t="s">
        <v>67</v>
      </c>
      <c r="S582" s="22"/>
      <c r="T582" s="22"/>
      <c r="U582" s="22"/>
      <c r="V582" s="23"/>
      <c r="W582" s="80"/>
      <c r="Y582" s="776"/>
      <c r="Z582" s="776"/>
      <c r="AA582" s="776"/>
    </row>
    <row r="583" spans="1:30">
      <c r="A583" s="834" t="s">
        <v>137</v>
      </c>
      <c r="B583" s="835">
        <v>580</v>
      </c>
      <c r="C583" s="225" t="s">
        <v>965</v>
      </c>
      <c r="D583" s="225" t="s">
        <v>966</v>
      </c>
      <c r="E583" s="226">
        <v>45754.458333333336</v>
      </c>
      <c r="F583" s="838" t="s">
        <v>140</v>
      </c>
      <c r="G583" s="227">
        <v>1</v>
      </c>
      <c r="H583" s="227" t="s">
        <v>21</v>
      </c>
      <c r="I583" s="227" t="s">
        <v>127</v>
      </c>
      <c r="J583" s="838" t="s">
        <v>871</v>
      </c>
      <c r="K583" s="21"/>
      <c r="L583" s="21"/>
      <c r="M583" s="22"/>
      <c r="N583" s="23"/>
      <c r="O583" s="23"/>
      <c r="P583" s="23" t="s">
        <v>30</v>
      </c>
      <c r="Q583" s="23"/>
      <c r="R583" s="79" t="s">
        <v>67</v>
      </c>
      <c r="S583" s="22"/>
      <c r="T583" s="22"/>
      <c r="U583" s="22"/>
      <c r="V583" s="23"/>
      <c r="W583" s="80"/>
      <c r="Y583" s="776"/>
      <c r="Z583" s="776"/>
      <c r="AA583" s="776"/>
    </row>
    <row r="584" spans="1:30">
      <c r="A584" s="834" t="s">
        <v>137</v>
      </c>
      <c r="B584" s="835">
        <v>581</v>
      </c>
      <c r="C584" s="225" t="s">
        <v>967</v>
      </c>
      <c r="D584" s="225" t="s">
        <v>784</v>
      </c>
      <c r="E584" s="226">
        <v>45754.375</v>
      </c>
      <c r="F584" s="838" t="s">
        <v>140</v>
      </c>
      <c r="G584" s="227">
        <v>14</v>
      </c>
      <c r="H584" s="227" t="s">
        <v>21</v>
      </c>
      <c r="I584" s="227" t="s">
        <v>127</v>
      </c>
      <c r="J584" s="838" t="s">
        <v>871</v>
      </c>
      <c r="K584" s="21"/>
      <c r="L584" s="21"/>
      <c r="M584" s="22"/>
      <c r="N584" s="23"/>
      <c r="O584" s="23"/>
      <c r="P584" s="23" t="s">
        <v>30</v>
      </c>
      <c r="Q584" s="23"/>
      <c r="R584" s="79" t="s">
        <v>67</v>
      </c>
      <c r="S584" s="22"/>
      <c r="T584" s="22"/>
      <c r="U584" s="22"/>
      <c r="V584" s="23"/>
      <c r="W584" s="80"/>
      <c r="Y584" s="776"/>
      <c r="Z584" s="776"/>
      <c r="AA584" s="776"/>
    </row>
    <row r="585" spans="1:30">
      <c r="A585" s="834" t="s">
        <v>137</v>
      </c>
      <c r="B585" s="835">
        <v>582</v>
      </c>
      <c r="C585" s="225" t="s">
        <v>968</v>
      </c>
      <c r="D585" s="225" t="s">
        <v>969</v>
      </c>
      <c r="E585" s="226">
        <v>45754.375</v>
      </c>
      <c r="F585" s="838" t="s">
        <v>140</v>
      </c>
      <c r="G585" s="227">
        <v>2</v>
      </c>
      <c r="H585" s="227" t="s">
        <v>22</v>
      </c>
      <c r="I585" s="227" t="s">
        <v>28</v>
      </c>
      <c r="J585" s="838" t="s">
        <v>871</v>
      </c>
      <c r="K585" s="21"/>
      <c r="L585" s="21"/>
      <c r="M585" s="22"/>
      <c r="N585" s="23"/>
      <c r="O585" s="23"/>
      <c r="P585" s="23" t="s">
        <v>30</v>
      </c>
      <c r="Q585" s="23"/>
      <c r="R585" s="79" t="s">
        <v>67</v>
      </c>
      <c r="S585" s="22"/>
      <c r="T585" s="22"/>
      <c r="U585" s="22"/>
      <c r="V585" s="23"/>
      <c r="W585" s="80"/>
      <c r="Y585" s="776"/>
      <c r="Z585" s="776"/>
      <c r="AA585" s="776"/>
    </row>
    <row r="586" spans="1:30">
      <c r="A586" s="834" t="s">
        <v>137</v>
      </c>
      <c r="B586" s="835">
        <v>583</v>
      </c>
      <c r="C586" s="225" t="s">
        <v>970</v>
      </c>
      <c r="D586" s="225" t="s">
        <v>971</v>
      </c>
      <c r="E586" s="226">
        <v>45754</v>
      </c>
      <c r="F586" s="838" t="s">
        <v>140</v>
      </c>
      <c r="G586" s="227">
        <v>1</v>
      </c>
      <c r="H586" s="227" t="s">
        <v>21</v>
      </c>
      <c r="I586" s="227" t="s">
        <v>127</v>
      </c>
      <c r="J586" s="838" t="s">
        <v>871</v>
      </c>
      <c r="K586" s="21"/>
      <c r="L586" s="21"/>
      <c r="M586" s="22"/>
      <c r="N586" s="23"/>
      <c r="O586" s="23"/>
      <c r="P586" s="23" t="s">
        <v>30</v>
      </c>
      <c r="Q586" s="23"/>
      <c r="R586" s="79" t="s">
        <v>67</v>
      </c>
      <c r="S586" s="22"/>
      <c r="T586" s="22"/>
      <c r="U586" s="22"/>
      <c r="V586" s="23"/>
      <c r="W586" s="80"/>
      <c r="Y586" s="776"/>
      <c r="Z586" s="776"/>
      <c r="AA586" s="776"/>
    </row>
    <row r="587" spans="1:30">
      <c r="A587" s="834" t="s">
        <v>137</v>
      </c>
      <c r="B587" s="835">
        <v>584</v>
      </c>
      <c r="C587" s="225" t="s">
        <v>972</v>
      </c>
      <c r="D587" s="225" t="s">
        <v>973</v>
      </c>
      <c r="E587" s="226">
        <v>45754.375</v>
      </c>
      <c r="F587" s="838" t="s">
        <v>140</v>
      </c>
      <c r="G587" s="227">
        <v>1</v>
      </c>
      <c r="H587" s="227" t="s">
        <v>46</v>
      </c>
      <c r="I587" s="227" t="s">
        <v>47</v>
      </c>
      <c r="J587" s="838" t="s">
        <v>871</v>
      </c>
      <c r="K587" s="21"/>
      <c r="L587" s="21"/>
      <c r="M587" s="22"/>
      <c r="N587" s="23"/>
      <c r="O587" s="23"/>
      <c r="P587" s="23" t="s">
        <v>30</v>
      </c>
      <c r="Q587" s="23"/>
      <c r="R587" s="79" t="s">
        <v>67</v>
      </c>
      <c r="S587" s="22"/>
      <c r="T587" s="22"/>
      <c r="U587" s="22"/>
      <c r="V587" s="23"/>
      <c r="W587" s="80"/>
      <c r="Y587" s="776"/>
      <c r="Z587" s="776"/>
      <c r="AA587" s="776"/>
    </row>
    <row r="588" spans="1:30">
      <c r="A588" s="834" t="s">
        <v>137</v>
      </c>
      <c r="B588" s="835">
        <v>585</v>
      </c>
      <c r="C588" s="225" t="s">
        <v>974</v>
      </c>
      <c r="D588" s="225" t="s">
        <v>334</v>
      </c>
      <c r="E588" s="226">
        <v>45761.375</v>
      </c>
      <c r="F588" s="838" t="s">
        <v>140</v>
      </c>
      <c r="G588" s="227">
        <v>2</v>
      </c>
      <c r="H588" s="227" t="s">
        <v>22</v>
      </c>
      <c r="I588" s="227" t="s">
        <v>28</v>
      </c>
      <c r="J588" s="838" t="s">
        <v>871</v>
      </c>
      <c r="K588" s="21"/>
      <c r="L588" s="21"/>
      <c r="M588" s="22"/>
      <c r="N588" s="23"/>
      <c r="O588" s="23"/>
      <c r="P588" s="23" t="s">
        <v>30</v>
      </c>
      <c r="Q588" s="23"/>
      <c r="R588" s="79" t="s">
        <v>67</v>
      </c>
      <c r="S588" s="22"/>
      <c r="T588" s="22"/>
      <c r="U588" s="24"/>
      <c r="V588" s="23"/>
      <c r="W588" s="80"/>
      <c r="Y588"/>
      <c r="Z588"/>
      <c r="AA588"/>
    </row>
    <row r="589" spans="1:30">
      <c r="A589" s="834" t="s">
        <v>137</v>
      </c>
      <c r="B589" s="835">
        <v>586</v>
      </c>
      <c r="C589" s="225" t="s">
        <v>975</v>
      </c>
      <c r="D589" s="225" t="s">
        <v>564</v>
      </c>
      <c r="E589" s="226">
        <v>45761.375</v>
      </c>
      <c r="F589" s="838" t="s">
        <v>140</v>
      </c>
      <c r="G589" s="227">
        <v>7</v>
      </c>
      <c r="H589" s="227" t="s">
        <v>46</v>
      </c>
      <c r="I589" s="227" t="s">
        <v>47</v>
      </c>
      <c r="J589" s="838" t="s">
        <v>871</v>
      </c>
      <c r="K589" s="21"/>
      <c r="L589" s="21"/>
      <c r="M589" s="22"/>
      <c r="N589" s="23"/>
      <c r="O589" s="23"/>
      <c r="P589" s="23" t="s">
        <v>30</v>
      </c>
      <c r="Q589" s="23"/>
      <c r="R589" s="79" t="s">
        <v>67</v>
      </c>
      <c r="S589" s="22"/>
      <c r="T589" s="22"/>
      <c r="U589" s="24"/>
      <c r="V589" s="23"/>
      <c r="W589" s="80"/>
      <c r="Y589"/>
      <c r="Z589"/>
      <c r="AA589"/>
    </row>
    <row r="590" spans="1:30">
      <c r="A590" s="834" t="s">
        <v>137</v>
      </c>
      <c r="B590" s="835">
        <v>587</v>
      </c>
      <c r="C590" s="225" t="s">
        <v>976</v>
      </c>
      <c r="D590" s="225" t="s">
        <v>841</v>
      </c>
      <c r="E590" s="226">
        <v>45761.375</v>
      </c>
      <c r="F590" s="838" t="s">
        <v>140</v>
      </c>
      <c r="G590" s="227">
        <v>17</v>
      </c>
      <c r="H590" s="227" t="s">
        <v>210</v>
      </c>
      <c r="I590" s="227" t="s">
        <v>211</v>
      </c>
      <c r="J590" s="838" t="s">
        <v>871</v>
      </c>
      <c r="K590" s="21"/>
      <c r="L590" s="21"/>
      <c r="M590" s="22"/>
      <c r="N590" s="23"/>
      <c r="O590" s="23" t="s">
        <v>31</v>
      </c>
      <c r="P590" s="23" t="s">
        <v>30</v>
      </c>
      <c r="Q590" s="23"/>
      <c r="R590" s="79" t="s">
        <v>67</v>
      </c>
      <c r="S590" s="22"/>
      <c r="T590" s="22"/>
      <c r="U590" s="22"/>
      <c r="V590" s="23"/>
      <c r="W590" s="80"/>
      <c r="X590">
        <v>0</v>
      </c>
      <c r="Y590" s="85">
        <v>10</v>
      </c>
      <c r="Z590" s="85">
        <v>7</v>
      </c>
      <c r="AA590" s="84">
        <f>SUM(X590:Z590)</f>
        <v>17</v>
      </c>
      <c r="AB590" s="71">
        <f>+X590/$AA590*AC$1</f>
        <v>0</v>
      </c>
      <c r="AC590" s="71">
        <f>+Y590/$AA590*AD$1</f>
        <v>1.7647058823529411</v>
      </c>
      <c r="AD590" s="71">
        <f>+Z590/$AA590*AD$1</f>
        <v>1.2352941176470589</v>
      </c>
    </row>
    <row r="591" spans="1:30">
      <c r="A591" s="834" t="s">
        <v>137</v>
      </c>
      <c r="B591" s="835">
        <v>588</v>
      </c>
      <c r="C591" s="225" t="s">
        <v>977</v>
      </c>
      <c r="D591" s="225" t="s">
        <v>157</v>
      </c>
      <c r="E591" s="226">
        <v>45761.458333333336</v>
      </c>
      <c r="F591" s="838" t="s">
        <v>140</v>
      </c>
      <c r="G591" s="227">
        <v>1</v>
      </c>
      <c r="H591" s="227" t="s">
        <v>21</v>
      </c>
      <c r="I591" s="227" t="s">
        <v>127</v>
      </c>
      <c r="J591" s="838" t="s">
        <v>871</v>
      </c>
      <c r="K591" s="21"/>
      <c r="L591" s="21"/>
      <c r="M591" s="22"/>
      <c r="N591" s="23"/>
      <c r="O591" s="23"/>
      <c r="P591" s="23" t="s">
        <v>30</v>
      </c>
      <c r="Q591" s="23"/>
      <c r="R591" s="79" t="s">
        <v>67</v>
      </c>
      <c r="S591" s="22"/>
      <c r="T591" s="22"/>
      <c r="U591" s="24"/>
      <c r="V591" s="23"/>
      <c r="W591" s="80"/>
      <c r="Y591"/>
      <c r="Z591"/>
      <c r="AA591"/>
    </row>
    <row r="592" spans="1:30">
      <c r="A592" s="834" t="s">
        <v>137</v>
      </c>
      <c r="B592" s="835">
        <v>589</v>
      </c>
      <c r="C592" s="225" t="s">
        <v>978</v>
      </c>
      <c r="D592" s="225" t="s">
        <v>773</v>
      </c>
      <c r="E592" s="226">
        <v>45761.375</v>
      </c>
      <c r="F592" s="838" t="s">
        <v>140</v>
      </c>
      <c r="G592" s="227">
        <v>8</v>
      </c>
      <c r="H592" s="227" t="s">
        <v>210</v>
      </c>
      <c r="I592" s="227" t="s">
        <v>211</v>
      </c>
      <c r="J592" s="838" t="s">
        <v>871</v>
      </c>
      <c r="K592" s="21"/>
      <c r="L592" s="21"/>
      <c r="M592" s="22"/>
      <c r="N592" s="23"/>
      <c r="O592" s="23"/>
      <c r="P592" s="23" t="s">
        <v>30</v>
      </c>
      <c r="Q592" s="23"/>
      <c r="R592" s="79" t="s">
        <v>67</v>
      </c>
      <c r="S592" s="22"/>
      <c r="T592" s="22"/>
      <c r="U592" s="24"/>
      <c r="V592" s="23"/>
      <c r="W592" s="80"/>
      <c r="Y592"/>
      <c r="Z592"/>
      <c r="AA592"/>
    </row>
    <row r="593" spans="1:30">
      <c r="A593" s="834" t="s">
        <v>137</v>
      </c>
      <c r="B593" s="835">
        <v>590</v>
      </c>
      <c r="C593" s="225" t="s">
        <v>979</v>
      </c>
      <c r="D593" s="225" t="s">
        <v>829</v>
      </c>
      <c r="E593" s="226">
        <v>45761.375</v>
      </c>
      <c r="F593" s="838" t="s">
        <v>140</v>
      </c>
      <c r="G593" s="227">
        <v>7</v>
      </c>
      <c r="H593" s="227" t="s">
        <v>210</v>
      </c>
      <c r="I593" s="227" t="s">
        <v>211</v>
      </c>
      <c r="J593" s="838" t="s">
        <v>871</v>
      </c>
      <c r="K593" s="21"/>
      <c r="L593" s="21"/>
      <c r="M593" s="22"/>
      <c r="N593" s="23"/>
      <c r="O593" s="23"/>
      <c r="P593" s="23" t="s">
        <v>30</v>
      </c>
      <c r="Q593" s="23"/>
      <c r="R593" s="79" t="s">
        <v>67</v>
      </c>
      <c r="S593" s="22"/>
      <c r="T593" s="22"/>
      <c r="U593" s="24"/>
      <c r="V593" s="23"/>
      <c r="W593" s="80"/>
      <c r="Y593"/>
      <c r="Z593"/>
      <c r="AA593"/>
    </row>
    <row r="594" spans="1:30">
      <c r="A594" s="834" t="s">
        <v>137</v>
      </c>
      <c r="B594" s="835">
        <v>591</v>
      </c>
      <c r="C594" s="225" t="s">
        <v>980</v>
      </c>
      <c r="D594" s="225" t="s">
        <v>981</v>
      </c>
      <c r="E594" s="226">
        <v>45761.375</v>
      </c>
      <c r="F594" s="838" t="s">
        <v>140</v>
      </c>
      <c r="G594" s="227">
        <v>4</v>
      </c>
      <c r="H594" s="227" t="s">
        <v>46</v>
      </c>
      <c r="I594" s="227" t="s">
        <v>47</v>
      </c>
      <c r="J594" s="838" t="s">
        <v>871</v>
      </c>
      <c r="K594" s="21"/>
      <c r="L594" s="21"/>
      <c r="M594" s="22"/>
      <c r="N594" s="23"/>
      <c r="O594" s="23"/>
      <c r="P594" s="23" t="s">
        <v>30</v>
      </c>
      <c r="Q594" s="23"/>
      <c r="R594" s="79" t="s">
        <v>67</v>
      </c>
      <c r="S594" s="22"/>
      <c r="T594" s="22"/>
      <c r="U594" s="24"/>
      <c r="V594" s="23"/>
      <c r="W594" s="80"/>
      <c r="Y594"/>
      <c r="Z594"/>
      <c r="AA594"/>
    </row>
    <row r="595" spans="1:30">
      <c r="A595" s="834" t="s">
        <v>137</v>
      </c>
      <c r="B595" s="835">
        <v>592</v>
      </c>
      <c r="C595" s="225" t="s">
        <v>982</v>
      </c>
      <c r="D595" s="225" t="s">
        <v>983</v>
      </c>
      <c r="E595" s="226">
        <v>45761</v>
      </c>
      <c r="F595" s="838" t="s">
        <v>140</v>
      </c>
      <c r="G595" s="227">
        <v>5</v>
      </c>
      <c r="H595" s="227" t="s">
        <v>210</v>
      </c>
      <c r="I595" s="227" t="s">
        <v>211</v>
      </c>
      <c r="J595" s="838" t="s">
        <v>871</v>
      </c>
      <c r="K595" s="21"/>
      <c r="L595" s="21"/>
      <c r="M595" s="22"/>
      <c r="N595" s="23"/>
      <c r="O595" s="23"/>
      <c r="P595" s="23" t="s">
        <v>30</v>
      </c>
      <c r="Q595" s="23"/>
      <c r="R595" s="79" t="s">
        <v>67</v>
      </c>
      <c r="S595" s="22"/>
      <c r="T595" s="22"/>
      <c r="U595" s="22"/>
      <c r="V595" s="23"/>
      <c r="W595" s="80"/>
      <c r="Y595"/>
      <c r="Z595"/>
      <c r="AA595"/>
    </row>
    <row r="596" spans="1:30">
      <c r="A596" s="834" t="s">
        <v>137</v>
      </c>
      <c r="B596" s="835">
        <v>593</v>
      </c>
      <c r="C596" s="225" t="s">
        <v>984</v>
      </c>
      <c r="D596" s="225" t="s">
        <v>985</v>
      </c>
      <c r="E596" s="226">
        <v>45761</v>
      </c>
      <c r="F596" s="838" t="s">
        <v>140</v>
      </c>
      <c r="G596" s="227">
        <v>11</v>
      </c>
      <c r="H596" s="227" t="s">
        <v>141</v>
      </c>
      <c r="I596" s="227" t="s">
        <v>819</v>
      </c>
      <c r="J596" s="838" t="s">
        <v>871</v>
      </c>
      <c r="K596" s="21"/>
      <c r="L596" s="21"/>
      <c r="M596" s="22"/>
      <c r="N596" s="23"/>
      <c r="O596" s="23"/>
      <c r="P596" s="23" t="s">
        <v>30</v>
      </c>
      <c r="Q596" s="23"/>
      <c r="R596" s="79" t="s">
        <v>67</v>
      </c>
      <c r="S596" s="22"/>
      <c r="T596" s="22"/>
      <c r="U596" s="22"/>
      <c r="V596" s="23"/>
      <c r="W596" s="80"/>
      <c r="Y596"/>
      <c r="Z596"/>
      <c r="AA596"/>
    </row>
    <row r="597" spans="1:30">
      <c r="A597" s="834" t="s">
        <v>137</v>
      </c>
      <c r="B597" s="835">
        <v>594</v>
      </c>
      <c r="C597" s="225" t="s">
        <v>986</v>
      </c>
      <c r="D597" s="225" t="s">
        <v>987</v>
      </c>
      <c r="E597" s="226">
        <v>45761.375</v>
      </c>
      <c r="F597" s="838" t="s">
        <v>140</v>
      </c>
      <c r="G597" s="227">
        <v>1</v>
      </c>
      <c r="H597" s="227" t="s">
        <v>22</v>
      </c>
      <c r="I597" s="227" t="s">
        <v>28</v>
      </c>
      <c r="J597" s="838" t="s">
        <v>871</v>
      </c>
      <c r="K597" s="21"/>
      <c r="L597" s="21"/>
      <c r="M597" s="22"/>
      <c r="N597" s="23"/>
      <c r="O597" s="61"/>
      <c r="P597" s="23" t="s">
        <v>30</v>
      </c>
      <c r="Q597" s="61"/>
      <c r="R597" s="79" t="s">
        <v>67</v>
      </c>
      <c r="S597" s="22"/>
      <c r="T597" s="22"/>
      <c r="U597" s="22"/>
      <c r="V597" s="23"/>
      <c r="W597" s="80"/>
      <c r="Y597" s="776"/>
      <c r="Z597" s="776"/>
      <c r="AA597" s="776"/>
    </row>
    <row r="598" spans="1:30">
      <c r="A598" s="834" t="s">
        <v>137</v>
      </c>
      <c r="B598" s="835">
        <v>595</v>
      </c>
      <c r="C598" s="225" t="s">
        <v>988</v>
      </c>
      <c r="D598" s="225" t="s">
        <v>989</v>
      </c>
      <c r="E598" s="226">
        <v>45761.375</v>
      </c>
      <c r="F598" s="838" t="s">
        <v>140</v>
      </c>
      <c r="G598" s="227">
        <v>1</v>
      </c>
      <c r="H598" s="227" t="s">
        <v>22</v>
      </c>
      <c r="I598" s="227" t="s">
        <v>28</v>
      </c>
      <c r="J598" s="838" t="s">
        <v>871</v>
      </c>
      <c r="K598" s="21"/>
      <c r="L598" s="21"/>
      <c r="M598" s="22"/>
      <c r="N598" s="23"/>
      <c r="O598" s="23"/>
      <c r="P598" s="23" t="s">
        <v>30</v>
      </c>
      <c r="Q598" s="23"/>
      <c r="R598" s="79" t="s">
        <v>67</v>
      </c>
      <c r="S598" s="22"/>
      <c r="T598" s="22"/>
      <c r="U598" s="22"/>
      <c r="V598" s="23"/>
      <c r="W598" s="80"/>
      <c r="Y598" s="776"/>
      <c r="Z598" s="776"/>
      <c r="AA598" s="776"/>
    </row>
    <row r="599" spans="1:30">
      <c r="A599" s="834" t="s">
        <v>137</v>
      </c>
      <c r="B599" s="835">
        <v>596</v>
      </c>
      <c r="C599" s="225" t="s">
        <v>990</v>
      </c>
      <c r="D599" s="225" t="s">
        <v>846</v>
      </c>
      <c r="E599" s="226">
        <v>45761.375</v>
      </c>
      <c r="F599" s="838" t="s">
        <v>140</v>
      </c>
      <c r="G599" s="227">
        <v>1</v>
      </c>
      <c r="H599" s="227" t="s">
        <v>22</v>
      </c>
      <c r="I599" s="227" t="s">
        <v>28</v>
      </c>
      <c r="J599" s="838" t="s">
        <v>871</v>
      </c>
      <c r="K599" s="21"/>
      <c r="L599" s="21"/>
      <c r="M599" s="22"/>
      <c r="N599" s="23"/>
      <c r="O599" s="23"/>
      <c r="P599" s="23" t="s">
        <v>30</v>
      </c>
      <c r="Q599" s="23"/>
      <c r="R599" s="79" t="s">
        <v>67</v>
      </c>
      <c r="S599" s="22"/>
      <c r="T599" s="22"/>
      <c r="U599" s="24"/>
      <c r="V599" s="23"/>
      <c r="W599" s="80"/>
      <c r="Y599"/>
      <c r="Z599"/>
      <c r="AA599"/>
    </row>
    <row r="600" spans="1:30">
      <c r="A600" s="834" t="s">
        <v>137</v>
      </c>
      <c r="B600" s="835">
        <v>597</v>
      </c>
      <c r="C600" s="225" t="s">
        <v>991</v>
      </c>
      <c r="D600" s="225" t="s">
        <v>992</v>
      </c>
      <c r="E600" s="226">
        <v>45761.375</v>
      </c>
      <c r="F600" s="838" t="s">
        <v>140</v>
      </c>
      <c r="G600" s="227">
        <v>8</v>
      </c>
      <c r="H600" s="227" t="s">
        <v>22</v>
      </c>
      <c r="I600" s="227" t="s">
        <v>28</v>
      </c>
      <c r="J600" s="838" t="s">
        <v>871</v>
      </c>
      <c r="K600" s="21"/>
      <c r="L600" s="21"/>
      <c r="M600" s="22"/>
      <c r="N600" s="23"/>
      <c r="O600" s="61"/>
      <c r="P600" s="23" t="s">
        <v>30</v>
      </c>
      <c r="Q600" s="61"/>
      <c r="R600" s="79" t="s">
        <v>67</v>
      </c>
      <c r="S600" s="22"/>
      <c r="T600" s="22"/>
      <c r="U600" s="24"/>
      <c r="V600" s="23"/>
      <c r="W600" s="80"/>
      <c r="Y600"/>
      <c r="Z600"/>
      <c r="AA600"/>
    </row>
    <row r="601" spans="1:30">
      <c r="A601" s="834" t="s">
        <v>137</v>
      </c>
      <c r="B601" s="835">
        <v>598</v>
      </c>
      <c r="C601" s="225" t="s">
        <v>993</v>
      </c>
      <c r="D601" s="225" t="s">
        <v>994</v>
      </c>
      <c r="E601" s="226">
        <v>45761.375</v>
      </c>
      <c r="F601" s="838" t="s">
        <v>140</v>
      </c>
      <c r="G601" s="227">
        <v>2</v>
      </c>
      <c r="H601" s="227" t="s">
        <v>46</v>
      </c>
      <c r="I601" s="227" t="s">
        <v>47</v>
      </c>
      <c r="J601" s="838" t="s">
        <v>871</v>
      </c>
      <c r="K601" s="21"/>
      <c r="L601" s="21"/>
      <c r="M601" s="22"/>
      <c r="N601" s="23"/>
      <c r="O601" s="23"/>
      <c r="P601" s="23" t="s">
        <v>30</v>
      </c>
      <c r="Q601" s="23"/>
      <c r="R601" s="79" t="s">
        <v>67</v>
      </c>
      <c r="S601" s="22"/>
      <c r="T601" s="22"/>
      <c r="U601" s="22"/>
      <c r="V601" s="23"/>
      <c r="W601" s="80"/>
      <c r="Y601"/>
      <c r="Z601"/>
      <c r="AA601"/>
    </row>
    <row r="602" spans="1:30">
      <c r="A602" s="834" t="s">
        <v>137</v>
      </c>
      <c r="B602" s="835">
        <v>599</v>
      </c>
      <c r="C602" s="225" t="s">
        <v>995</v>
      </c>
      <c r="D602" s="225" t="s">
        <v>996</v>
      </c>
      <c r="E602" s="226">
        <v>45754.375</v>
      </c>
      <c r="F602" s="838" t="s">
        <v>140</v>
      </c>
      <c r="G602" s="227">
        <v>1</v>
      </c>
      <c r="H602" s="227" t="s">
        <v>22</v>
      </c>
      <c r="I602" s="227" t="s">
        <v>28</v>
      </c>
      <c r="J602" s="838" t="s">
        <v>871</v>
      </c>
      <c r="K602" s="21"/>
      <c r="L602" s="21"/>
      <c r="M602" s="22"/>
      <c r="N602" s="23"/>
      <c r="O602" s="61"/>
      <c r="P602" s="23" t="s">
        <v>30</v>
      </c>
      <c r="Q602" s="61"/>
      <c r="R602" s="79" t="s">
        <v>67</v>
      </c>
      <c r="S602" s="22"/>
      <c r="T602" s="22"/>
      <c r="U602" s="22"/>
      <c r="V602" s="23"/>
      <c r="W602" s="80"/>
      <c r="Y602"/>
      <c r="Z602"/>
      <c r="AA602"/>
    </row>
    <row r="603" spans="1:30">
      <c r="A603" s="834" t="s">
        <v>137</v>
      </c>
      <c r="B603" s="835">
        <v>600</v>
      </c>
      <c r="C603" s="225" t="s">
        <v>997</v>
      </c>
      <c r="D603" s="225" t="s">
        <v>998</v>
      </c>
      <c r="E603" s="226">
        <v>45761.375</v>
      </c>
      <c r="F603" s="838" t="s">
        <v>140</v>
      </c>
      <c r="G603" s="227">
        <v>11</v>
      </c>
      <c r="H603" s="227" t="s">
        <v>46</v>
      </c>
      <c r="I603" s="227" t="s">
        <v>47</v>
      </c>
      <c r="J603" s="838" t="s">
        <v>871</v>
      </c>
      <c r="K603" s="21"/>
      <c r="L603" s="21"/>
      <c r="M603" s="22"/>
      <c r="N603" s="23"/>
      <c r="O603" s="61"/>
      <c r="P603" s="23" t="s">
        <v>30</v>
      </c>
      <c r="Q603" s="61"/>
      <c r="R603" s="79" t="s">
        <v>67</v>
      </c>
      <c r="S603" s="22"/>
      <c r="T603" s="22"/>
      <c r="U603" s="22"/>
      <c r="V603" s="23"/>
      <c r="W603" s="80"/>
      <c r="Y603"/>
      <c r="Z603"/>
      <c r="AA603"/>
    </row>
    <row r="604" spans="1:30">
      <c r="A604" s="834" t="s">
        <v>137</v>
      </c>
      <c r="B604" s="835">
        <v>601</v>
      </c>
      <c r="C604" s="225" t="s">
        <v>999</v>
      </c>
      <c r="D604" s="225" t="s">
        <v>1000</v>
      </c>
      <c r="E604" s="226">
        <v>45761.375</v>
      </c>
      <c r="F604" s="838" t="s">
        <v>140</v>
      </c>
      <c r="G604" s="227">
        <v>1</v>
      </c>
      <c r="H604" s="227" t="s">
        <v>21</v>
      </c>
      <c r="I604" s="227" t="s">
        <v>127</v>
      </c>
      <c r="J604" s="838" t="s">
        <v>871</v>
      </c>
      <c r="K604" s="21"/>
      <c r="L604" s="21"/>
      <c r="M604" s="22"/>
      <c r="N604" s="23"/>
      <c r="O604" s="61"/>
      <c r="P604" s="23" t="s">
        <v>30</v>
      </c>
      <c r="Q604" s="61"/>
      <c r="R604" s="79" t="s">
        <v>67</v>
      </c>
      <c r="S604" s="22"/>
      <c r="T604" s="22"/>
      <c r="U604" s="22"/>
      <c r="V604" s="23"/>
      <c r="W604" s="80"/>
      <c r="Y604"/>
      <c r="Z604"/>
      <c r="AA604"/>
    </row>
    <row r="605" spans="1:30">
      <c r="A605" s="834" t="s">
        <v>137</v>
      </c>
      <c r="B605" s="835">
        <v>602</v>
      </c>
      <c r="C605" s="225" t="s">
        <v>1001</v>
      </c>
      <c r="D605" s="225" t="s">
        <v>841</v>
      </c>
      <c r="E605" s="226">
        <v>45768.375</v>
      </c>
      <c r="F605" s="838" t="s">
        <v>140</v>
      </c>
      <c r="G605" s="227">
        <v>35</v>
      </c>
      <c r="H605" s="227" t="s">
        <v>210</v>
      </c>
      <c r="I605" s="227" t="s">
        <v>211</v>
      </c>
      <c r="J605" s="838" t="s">
        <v>871</v>
      </c>
      <c r="K605" s="21"/>
      <c r="L605" s="21"/>
      <c r="M605" s="22"/>
      <c r="N605" s="23"/>
      <c r="O605" s="23" t="s">
        <v>31</v>
      </c>
      <c r="P605" s="23" t="s">
        <v>30</v>
      </c>
      <c r="Q605" s="61"/>
      <c r="R605" s="79" t="s">
        <v>67</v>
      </c>
      <c r="S605" s="22"/>
      <c r="T605" s="22"/>
      <c r="U605" s="22"/>
      <c r="V605" s="23"/>
      <c r="W605" s="80"/>
      <c r="X605">
        <v>0</v>
      </c>
      <c r="Y605" s="85">
        <v>23</v>
      </c>
      <c r="Z605" s="85">
        <v>12</v>
      </c>
      <c r="AA605" s="84">
        <f>SUM(X605:Z605)</f>
        <v>35</v>
      </c>
      <c r="AB605" s="71">
        <f>+X605/$AA605*AC$1</f>
        <v>0</v>
      </c>
      <c r="AC605" s="71">
        <f>+Y605/$AA605*AD$1</f>
        <v>1.9714285714285715</v>
      </c>
      <c r="AD605" s="71">
        <f>+Z605/$AA605*AD$1</f>
        <v>1.0285714285714285</v>
      </c>
    </row>
    <row r="606" spans="1:30">
      <c r="A606" s="834" t="s">
        <v>137</v>
      </c>
      <c r="B606" s="835">
        <v>603</v>
      </c>
      <c r="C606" s="225" t="s">
        <v>1002</v>
      </c>
      <c r="D606" s="225" t="s">
        <v>839</v>
      </c>
      <c r="E606" s="226">
        <v>45768.375</v>
      </c>
      <c r="F606" s="838" t="s">
        <v>140</v>
      </c>
      <c r="G606" s="227">
        <v>2</v>
      </c>
      <c r="H606" s="227" t="s">
        <v>46</v>
      </c>
      <c r="I606" s="227" t="s">
        <v>47</v>
      </c>
      <c r="J606" s="838" t="s">
        <v>871</v>
      </c>
      <c r="K606" s="21"/>
      <c r="L606" s="21"/>
      <c r="M606" s="22"/>
      <c r="N606" s="23"/>
      <c r="O606" s="61"/>
      <c r="P606" s="23" t="s">
        <v>30</v>
      </c>
      <c r="Q606" s="61"/>
      <c r="R606" s="79" t="s">
        <v>67</v>
      </c>
      <c r="S606" s="22"/>
      <c r="T606" s="22"/>
      <c r="U606" s="22"/>
      <c r="V606" s="23"/>
      <c r="W606" s="80"/>
      <c r="Y606" s="776"/>
      <c r="Z606" s="776"/>
      <c r="AA606" s="776"/>
    </row>
    <row r="607" spans="1:30">
      <c r="A607" s="834" t="s">
        <v>137</v>
      </c>
      <c r="B607" s="835">
        <v>604</v>
      </c>
      <c r="C607" s="225" t="s">
        <v>1003</v>
      </c>
      <c r="D607" s="225" t="s">
        <v>829</v>
      </c>
      <c r="E607" s="226">
        <v>45768</v>
      </c>
      <c r="F607" s="838" t="s">
        <v>140</v>
      </c>
      <c r="G607" s="227">
        <v>25</v>
      </c>
      <c r="H607" s="227" t="s">
        <v>210</v>
      </c>
      <c r="I607" s="227" t="s">
        <v>211</v>
      </c>
      <c r="J607" s="838" t="s">
        <v>871</v>
      </c>
      <c r="K607" s="21"/>
      <c r="L607" s="21"/>
      <c r="M607" s="22"/>
      <c r="N607" s="23"/>
      <c r="O607" s="23" t="s">
        <v>31</v>
      </c>
      <c r="P607" s="23" t="s">
        <v>30</v>
      </c>
      <c r="Q607" s="61"/>
      <c r="R607" s="79" t="s">
        <v>67</v>
      </c>
      <c r="S607" s="22"/>
      <c r="T607" s="22"/>
      <c r="U607" s="24"/>
      <c r="V607" s="23"/>
      <c r="W607" s="80"/>
      <c r="X607">
        <v>0</v>
      </c>
      <c r="Y607" s="86">
        <v>1</v>
      </c>
      <c r="Z607" s="86">
        <v>24</v>
      </c>
      <c r="AA607" s="84">
        <f>SUM(X607:Z607)</f>
        <v>25</v>
      </c>
      <c r="AB607" s="71">
        <f>+X607/$AA607*AC$1</f>
        <v>0</v>
      </c>
      <c r="AC607" s="71">
        <f>+Y607/$AA607*AD$1</f>
        <v>0.12</v>
      </c>
      <c r="AD607" s="71">
        <f>+Z607/$AA607*AD$1</f>
        <v>2.88</v>
      </c>
    </row>
    <row r="608" spans="1:30">
      <c r="A608" s="834" t="s">
        <v>137</v>
      </c>
      <c r="B608" s="835">
        <v>605</v>
      </c>
      <c r="C608" s="225" t="s">
        <v>1004</v>
      </c>
      <c r="D608" s="225" t="s">
        <v>145</v>
      </c>
      <c r="E608" s="226">
        <v>45768.375</v>
      </c>
      <c r="F608" s="838" t="s">
        <v>140</v>
      </c>
      <c r="G608" s="227">
        <v>9</v>
      </c>
      <c r="H608" s="227" t="s">
        <v>22</v>
      </c>
      <c r="I608" s="227" t="s">
        <v>28</v>
      </c>
      <c r="J608" s="838" t="s">
        <v>871</v>
      </c>
      <c r="K608" s="21"/>
      <c r="L608" s="21"/>
      <c r="M608" s="22"/>
      <c r="N608" s="23"/>
      <c r="O608" s="23"/>
      <c r="P608" s="23" t="s">
        <v>30</v>
      </c>
      <c r="Q608" s="23"/>
      <c r="R608" s="79" t="s">
        <v>67</v>
      </c>
      <c r="S608" s="22"/>
      <c r="T608" s="22"/>
      <c r="U608" s="22"/>
      <c r="V608" s="23"/>
      <c r="W608" s="80"/>
      <c r="Y608" s="776"/>
      <c r="Z608" s="776"/>
      <c r="AA608" s="776"/>
    </row>
    <row r="609" spans="1:30">
      <c r="A609" s="834" t="s">
        <v>137</v>
      </c>
      <c r="B609" s="835">
        <v>606</v>
      </c>
      <c r="C609" s="225" t="s">
        <v>1005</v>
      </c>
      <c r="D609" s="225" t="s">
        <v>153</v>
      </c>
      <c r="E609" s="226">
        <v>45768.375</v>
      </c>
      <c r="F609" s="838" t="s">
        <v>140</v>
      </c>
      <c r="G609" s="227">
        <v>1</v>
      </c>
      <c r="H609" s="227" t="s">
        <v>46</v>
      </c>
      <c r="I609" s="227" t="s">
        <v>47</v>
      </c>
      <c r="J609" s="838" t="s">
        <v>871</v>
      </c>
      <c r="K609" s="21"/>
      <c r="L609" s="21"/>
      <c r="M609" s="22"/>
      <c r="N609" s="23"/>
      <c r="O609" s="23"/>
      <c r="P609" s="23" t="s">
        <v>30</v>
      </c>
      <c r="Q609" s="23"/>
      <c r="R609" s="79" t="s">
        <v>67</v>
      </c>
      <c r="S609" s="22"/>
      <c r="T609" s="22"/>
      <c r="U609" s="22"/>
      <c r="V609" s="23"/>
      <c r="W609" s="80"/>
      <c r="Y609" s="776"/>
      <c r="Z609" s="776"/>
      <c r="AA609" s="776"/>
    </row>
    <row r="610" spans="1:30">
      <c r="A610" s="834" t="s">
        <v>137</v>
      </c>
      <c r="B610" s="835">
        <v>607</v>
      </c>
      <c r="C610" s="225" t="s">
        <v>1006</v>
      </c>
      <c r="D610" s="225" t="s">
        <v>994</v>
      </c>
      <c r="E610" s="226">
        <v>45768.375</v>
      </c>
      <c r="F610" s="838" t="s">
        <v>140</v>
      </c>
      <c r="G610" s="227">
        <v>2</v>
      </c>
      <c r="H610" s="227" t="s">
        <v>46</v>
      </c>
      <c r="I610" s="227" t="s">
        <v>47</v>
      </c>
      <c r="J610" s="838" t="s">
        <v>871</v>
      </c>
      <c r="K610" s="21"/>
      <c r="L610" s="21"/>
      <c r="M610" s="22"/>
      <c r="N610" s="23"/>
      <c r="O610" s="23"/>
      <c r="P610" s="23" t="s">
        <v>30</v>
      </c>
      <c r="Q610" s="23"/>
      <c r="R610" s="79" t="s">
        <v>67</v>
      </c>
      <c r="S610" s="22"/>
      <c r="T610" s="22"/>
      <c r="U610" s="22"/>
      <c r="V610" s="23"/>
      <c r="W610" s="80"/>
      <c r="Y610" s="776"/>
      <c r="Z610" s="776"/>
      <c r="AA610" s="776"/>
    </row>
    <row r="611" spans="1:30">
      <c r="A611" s="834" t="s">
        <v>137</v>
      </c>
      <c r="B611" s="835">
        <v>608</v>
      </c>
      <c r="C611" s="225" t="s">
        <v>1007</v>
      </c>
      <c r="D611" s="225" t="s">
        <v>1008</v>
      </c>
      <c r="E611" s="226">
        <v>45768.375</v>
      </c>
      <c r="F611" s="838" t="s">
        <v>140</v>
      </c>
      <c r="G611" s="227">
        <v>11</v>
      </c>
      <c r="H611" s="227" t="s">
        <v>210</v>
      </c>
      <c r="I611" s="227" t="s">
        <v>211</v>
      </c>
      <c r="J611" s="838" t="s">
        <v>871</v>
      </c>
      <c r="K611" s="21"/>
      <c r="L611" s="21"/>
      <c r="M611" s="22"/>
      <c r="N611" s="23"/>
      <c r="O611" s="23"/>
      <c r="P611" s="23" t="s">
        <v>30</v>
      </c>
      <c r="Q611" s="23"/>
      <c r="R611" s="79" t="s">
        <v>67</v>
      </c>
      <c r="S611" s="22"/>
      <c r="T611" s="22"/>
      <c r="U611" s="22"/>
      <c r="V611" s="23"/>
      <c r="W611" s="80"/>
      <c r="Y611" s="776"/>
      <c r="Z611" s="776"/>
      <c r="AA611" s="776"/>
    </row>
    <row r="612" spans="1:30">
      <c r="A612" s="834" t="s">
        <v>137</v>
      </c>
      <c r="B612" s="835">
        <v>609</v>
      </c>
      <c r="C612" s="225" t="s">
        <v>1009</v>
      </c>
      <c r="D612" s="225" t="s">
        <v>779</v>
      </c>
      <c r="E612" s="226">
        <v>45768.375</v>
      </c>
      <c r="F612" s="838" t="s">
        <v>140</v>
      </c>
      <c r="G612" s="227">
        <v>4</v>
      </c>
      <c r="H612" s="227" t="s">
        <v>46</v>
      </c>
      <c r="I612" s="227" t="s">
        <v>47</v>
      </c>
      <c r="J612" s="838" t="s">
        <v>871</v>
      </c>
      <c r="K612" s="21"/>
      <c r="L612" s="21"/>
      <c r="M612" s="22"/>
      <c r="N612" s="23"/>
      <c r="O612" s="23"/>
      <c r="P612" s="23" t="s">
        <v>30</v>
      </c>
      <c r="Q612" s="23"/>
      <c r="R612" s="79" t="s">
        <v>67</v>
      </c>
      <c r="S612" s="22"/>
      <c r="T612" s="22"/>
      <c r="U612" s="22"/>
      <c r="V612" s="23"/>
      <c r="W612" s="80"/>
      <c r="Y612" s="776"/>
      <c r="Z612" s="776"/>
      <c r="AA612" s="776"/>
    </row>
    <row r="613" spans="1:30">
      <c r="A613" s="834" t="s">
        <v>137</v>
      </c>
      <c r="B613" s="835">
        <v>610</v>
      </c>
      <c r="C613" s="225" t="s">
        <v>1010</v>
      </c>
      <c r="D613" s="225" t="s">
        <v>1011</v>
      </c>
      <c r="E613" s="226">
        <v>45768.458333333336</v>
      </c>
      <c r="F613" s="838" t="s">
        <v>140</v>
      </c>
      <c r="G613" s="227">
        <v>1</v>
      </c>
      <c r="H613" s="227" t="s">
        <v>21</v>
      </c>
      <c r="I613" s="227" t="s">
        <v>127</v>
      </c>
      <c r="J613" s="838" t="s">
        <v>871</v>
      </c>
      <c r="K613" s="21"/>
      <c r="L613" s="21"/>
      <c r="M613" s="22"/>
      <c r="N613" s="23"/>
      <c r="O613" s="23"/>
      <c r="P613" s="23" t="s">
        <v>30</v>
      </c>
      <c r="Q613" s="23"/>
      <c r="R613" s="79" t="s">
        <v>67</v>
      </c>
      <c r="S613" s="22"/>
      <c r="T613" s="22"/>
      <c r="U613" s="22"/>
      <c r="V613" s="23"/>
      <c r="W613" s="80"/>
      <c r="Y613"/>
      <c r="Z613"/>
      <c r="AA613"/>
    </row>
    <row r="614" spans="1:30">
      <c r="A614" s="834" t="s">
        <v>137</v>
      </c>
      <c r="B614" s="835">
        <v>611</v>
      </c>
      <c r="C614" s="225" t="s">
        <v>1012</v>
      </c>
      <c r="D614" s="225" t="s">
        <v>1013</v>
      </c>
      <c r="E614" s="226">
        <v>45768.375</v>
      </c>
      <c r="F614" s="838" t="s">
        <v>140</v>
      </c>
      <c r="G614" s="227">
        <v>7</v>
      </c>
      <c r="H614" s="227" t="s">
        <v>22</v>
      </c>
      <c r="I614" s="227" t="s">
        <v>28</v>
      </c>
      <c r="J614" s="838" t="s">
        <v>871</v>
      </c>
      <c r="K614" s="21"/>
      <c r="L614" s="21"/>
      <c r="M614" s="22"/>
      <c r="N614" s="23"/>
      <c r="O614" s="23"/>
      <c r="P614" s="23" t="s">
        <v>30</v>
      </c>
      <c r="Q614" s="23"/>
      <c r="R614" s="79" t="s">
        <v>67</v>
      </c>
      <c r="S614" s="22"/>
      <c r="T614" s="22"/>
      <c r="U614" s="24"/>
      <c r="V614" s="23"/>
      <c r="W614" s="80"/>
      <c r="Y614"/>
      <c r="Z614"/>
      <c r="AA614"/>
    </row>
    <row r="615" spans="1:30">
      <c r="A615" s="834" t="s">
        <v>137</v>
      </c>
      <c r="B615" s="835">
        <v>612</v>
      </c>
      <c r="C615" s="225" t="s">
        <v>1014</v>
      </c>
      <c r="D615" s="225" t="s">
        <v>523</v>
      </c>
      <c r="E615" s="226">
        <v>45768.375</v>
      </c>
      <c r="F615" s="838" t="s">
        <v>140</v>
      </c>
      <c r="G615" s="227">
        <v>2</v>
      </c>
      <c r="H615" s="227" t="s">
        <v>46</v>
      </c>
      <c r="I615" s="227" t="s">
        <v>47</v>
      </c>
      <c r="J615" s="838" t="s">
        <v>871</v>
      </c>
      <c r="K615" s="21"/>
      <c r="L615" s="21"/>
      <c r="M615" s="22"/>
      <c r="N615" s="23"/>
      <c r="O615" s="23"/>
      <c r="P615" s="23" t="s">
        <v>30</v>
      </c>
      <c r="Q615" s="23"/>
      <c r="R615" s="79" t="s">
        <v>67</v>
      </c>
      <c r="S615" s="22"/>
      <c r="T615" s="22"/>
      <c r="U615" s="24"/>
      <c r="V615" s="23"/>
      <c r="W615" s="80"/>
      <c r="Y615"/>
      <c r="Z615"/>
      <c r="AA615"/>
    </row>
    <row r="616" spans="1:30">
      <c r="A616" s="834" t="s">
        <v>137</v>
      </c>
      <c r="B616" s="835">
        <v>613</v>
      </c>
      <c r="C616" s="225" t="s">
        <v>1015</v>
      </c>
      <c r="D616" s="225" t="s">
        <v>526</v>
      </c>
      <c r="E616" s="226">
        <v>45768.375</v>
      </c>
      <c r="F616" s="838" t="s">
        <v>140</v>
      </c>
      <c r="G616" s="227">
        <v>2</v>
      </c>
      <c r="H616" s="227" t="s">
        <v>46</v>
      </c>
      <c r="I616" s="227" t="s">
        <v>47</v>
      </c>
      <c r="J616" s="838" t="s">
        <v>871</v>
      </c>
      <c r="K616" s="21"/>
      <c r="L616" s="21"/>
      <c r="M616" s="22"/>
      <c r="N616" s="23"/>
      <c r="O616" s="23"/>
      <c r="P616" s="23" t="s">
        <v>30</v>
      </c>
      <c r="Q616" s="23"/>
      <c r="R616" s="79" t="s">
        <v>67</v>
      </c>
      <c r="S616" s="22"/>
      <c r="T616" s="22"/>
      <c r="U616" s="24"/>
      <c r="V616" s="23"/>
      <c r="W616" s="80"/>
      <c r="Y616"/>
      <c r="Z616"/>
      <c r="AA616"/>
    </row>
    <row r="617" spans="1:30">
      <c r="A617" s="834" t="s">
        <v>137</v>
      </c>
      <c r="B617" s="835">
        <v>614</v>
      </c>
      <c r="C617" s="225" t="s">
        <v>1016</v>
      </c>
      <c r="D617" s="225" t="s">
        <v>1017</v>
      </c>
      <c r="E617" s="226">
        <v>45768.375</v>
      </c>
      <c r="F617" s="838" t="s">
        <v>140</v>
      </c>
      <c r="G617" s="227">
        <v>1</v>
      </c>
      <c r="H617" s="227" t="s">
        <v>21</v>
      </c>
      <c r="I617" s="227" t="s">
        <v>127</v>
      </c>
      <c r="J617" s="838" t="s">
        <v>871</v>
      </c>
      <c r="K617" s="21"/>
      <c r="L617" s="21"/>
      <c r="M617" s="22"/>
      <c r="N617" s="23"/>
      <c r="O617" s="23"/>
      <c r="P617" s="23" t="s">
        <v>30</v>
      </c>
      <c r="Q617" s="23"/>
      <c r="R617" s="79" t="s">
        <v>67</v>
      </c>
      <c r="S617" s="22"/>
      <c r="T617" s="22"/>
      <c r="U617" s="22"/>
      <c r="V617" s="23"/>
      <c r="W617" s="80"/>
      <c r="Y617"/>
      <c r="Z617"/>
      <c r="AA617"/>
    </row>
    <row r="618" spans="1:30">
      <c r="A618" s="834" t="s">
        <v>137</v>
      </c>
      <c r="B618" s="835">
        <v>615</v>
      </c>
      <c r="C618" s="225" t="s">
        <v>1018</v>
      </c>
      <c r="D618" s="225" t="s">
        <v>1019</v>
      </c>
      <c r="E618" s="226">
        <v>45775.375</v>
      </c>
      <c r="F618" s="838" t="s">
        <v>140</v>
      </c>
      <c r="G618" s="227">
        <v>7</v>
      </c>
      <c r="H618" s="227" t="s">
        <v>22</v>
      </c>
      <c r="I618" s="227" t="s">
        <v>28</v>
      </c>
      <c r="J618" s="838" t="s">
        <v>871</v>
      </c>
      <c r="K618" s="21"/>
      <c r="L618" s="21"/>
      <c r="M618" s="22"/>
      <c r="N618" s="23"/>
      <c r="O618" s="23"/>
      <c r="P618" s="23" t="s">
        <v>30</v>
      </c>
      <c r="Q618" s="23"/>
      <c r="R618" s="79" t="s">
        <v>67</v>
      </c>
      <c r="S618" s="22"/>
      <c r="T618" s="22"/>
      <c r="U618" s="22"/>
      <c r="V618" s="23"/>
      <c r="W618" s="80"/>
      <c r="Y618"/>
      <c r="Z618"/>
      <c r="AA618"/>
      <c r="AB618" s="74" t="e">
        <f>+X618/$AA618*AB$1</f>
        <v>#DIV/0!</v>
      </c>
      <c r="AC618" s="74" t="e">
        <f>+Y618/$AA618*AC$1</f>
        <v>#DIV/0!</v>
      </c>
      <c r="AD618" s="74" t="e">
        <f>+Z618/$AA618*AD$1</f>
        <v>#DIV/0!</v>
      </c>
    </row>
    <row r="619" spans="1:30">
      <c r="A619" s="834" t="s">
        <v>137</v>
      </c>
      <c r="B619" s="835">
        <v>616</v>
      </c>
      <c r="C619" s="225" t="s">
        <v>1020</v>
      </c>
      <c r="D619" s="225" t="s">
        <v>994</v>
      </c>
      <c r="E619" s="226">
        <v>45775.375</v>
      </c>
      <c r="F619" s="838" t="s">
        <v>140</v>
      </c>
      <c r="G619" s="227">
        <v>3</v>
      </c>
      <c r="H619" s="227" t="s">
        <v>46</v>
      </c>
      <c r="I619" s="227" t="s">
        <v>47</v>
      </c>
      <c r="J619" s="838" t="s">
        <v>871</v>
      </c>
      <c r="K619" s="21"/>
      <c r="L619" s="21"/>
      <c r="M619" s="22"/>
      <c r="N619" s="23"/>
      <c r="O619" s="61"/>
      <c r="P619" s="23" t="s">
        <v>30</v>
      </c>
      <c r="Q619" s="61"/>
      <c r="R619" s="79" t="s">
        <v>67</v>
      </c>
      <c r="S619" s="22"/>
      <c r="T619" s="22"/>
      <c r="U619" s="22"/>
      <c r="V619" s="23"/>
      <c r="W619" s="80"/>
      <c r="Y619" s="776"/>
      <c r="Z619" s="776"/>
      <c r="AA619" s="776"/>
    </row>
    <row r="620" spans="1:30">
      <c r="A620" s="834" t="s">
        <v>137</v>
      </c>
      <c r="B620" s="835">
        <v>617</v>
      </c>
      <c r="C620" s="225" t="s">
        <v>1021</v>
      </c>
      <c r="D620" s="225" t="s">
        <v>213</v>
      </c>
      <c r="E620" s="226">
        <v>45775.375</v>
      </c>
      <c r="F620" s="838" t="s">
        <v>140</v>
      </c>
      <c r="G620" s="227">
        <v>22</v>
      </c>
      <c r="H620" s="227" t="s">
        <v>938</v>
      </c>
      <c r="I620" s="227" t="s">
        <v>939</v>
      </c>
      <c r="J620" s="838" t="s">
        <v>871</v>
      </c>
      <c r="K620" s="21"/>
      <c r="L620" s="21"/>
      <c r="M620" s="22"/>
      <c r="N620" s="23"/>
      <c r="O620" s="23" t="s">
        <v>31</v>
      </c>
      <c r="P620" s="23" t="s">
        <v>30</v>
      </c>
      <c r="Q620" s="23"/>
      <c r="R620" s="79" t="s">
        <v>67</v>
      </c>
      <c r="S620" s="22"/>
      <c r="T620" s="22"/>
      <c r="U620" s="22"/>
      <c r="V620" s="23"/>
      <c r="W620" s="840"/>
      <c r="X620">
        <v>8</v>
      </c>
      <c r="Y620" s="86">
        <v>11</v>
      </c>
      <c r="Z620" s="86">
        <v>3</v>
      </c>
      <c r="AA620" s="84">
        <f>SUM(X620:Z620)</f>
        <v>22</v>
      </c>
      <c r="AB620" s="71">
        <f>+X620/$AA620*AC$1</f>
        <v>2.1818181818181817</v>
      </c>
      <c r="AC620" s="71">
        <f>+Y620/$AA620*AD$1</f>
        <v>1.5</v>
      </c>
      <c r="AD620" s="71">
        <f>+Z620/$AA620*AD$1</f>
        <v>0.40909090909090906</v>
      </c>
    </row>
    <row r="621" spans="1:30">
      <c r="A621" s="834" t="s">
        <v>137</v>
      </c>
      <c r="B621" s="835">
        <v>618</v>
      </c>
      <c r="C621" s="225" t="s">
        <v>1022</v>
      </c>
      <c r="D621" s="225" t="s">
        <v>969</v>
      </c>
      <c r="E621" s="226">
        <v>45775</v>
      </c>
      <c r="F621" s="838" t="s">
        <v>140</v>
      </c>
      <c r="G621" s="227">
        <v>1</v>
      </c>
      <c r="H621" s="227" t="s">
        <v>21</v>
      </c>
      <c r="I621" s="227" t="s">
        <v>127</v>
      </c>
      <c r="J621" s="838" t="s">
        <v>871</v>
      </c>
      <c r="K621" s="21"/>
      <c r="L621" s="21"/>
      <c r="M621" s="22"/>
      <c r="N621" s="23"/>
      <c r="O621" s="23"/>
      <c r="P621" s="23" t="s">
        <v>30</v>
      </c>
      <c r="Q621" s="23"/>
      <c r="R621" s="79" t="s">
        <v>67</v>
      </c>
      <c r="S621" s="22"/>
      <c r="T621" s="22"/>
      <c r="U621" s="24"/>
      <c r="V621" s="23"/>
      <c r="W621" s="840"/>
      <c r="Y621"/>
      <c r="Z621"/>
      <c r="AA621"/>
    </row>
    <row r="622" spans="1:30">
      <c r="A622" s="834" t="s">
        <v>137</v>
      </c>
      <c r="B622" s="835">
        <v>619</v>
      </c>
      <c r="C622" s="225" t="s">
        <v>1023</v>
      </c>
      <c r="D622" s="225" t="s">
        <v>829</v>
      </c>
      <c r="E622" s="226">
        <v>45775.375</v>
      </c>
      <c r="F622" s="838" t="s">
        <v>140</v>
      </c>
      <c r="G622" s="227">
        <v>21</v>
      </c>
      <c r="H622" s="227" t="s">
        <v>301</v>
      </c>
      <c r="I622" s="227" t="s">
        <v>302</v>
      </c>
      <c r="J622" s="838" t="s">
        <v>871</v>
      </c>
      <c r="K622" s="21"/>
      <c r="L622" s="21"/>
      <c r="M622" s="22"/>
      <c r="N622" s="23"/>
      <c r="O622" s="23" t="s">
        <v>31</v>
      </c>
      <c r="P622" s="23" t="s">
        <v>30</v>
      </c>
      <c r="Q622" s="61"/>
      <c r="R622" s="79" t="s">
        <v>67</v>
      </c>
      <c r="S622" s="22"/>
      <c r="T622" s="22"/>
      <c r="U622" s="24"/>
      <c r="V622" s="23"/>
      <c r="W622" s="80"/>
      <c r="X622">
        <v>0</v>
      </c>
      <c r="Y622" s="85">
        <v>10</v>
      </c>
      <c r="Z622" s="85">
        <v>11</v>
      </c>
      <c r="AA622" s="84">
        <f>SUM(X622:Z622)</f>
        <v>21</v>
      </c>
      <c r="AB622" s="71">
        <f>+X622/$AA622*AC$1</f>
        <v>0</v>
      </c>
      <c r="AC622" s="71">
        <f>+Y622/$AA622*AD$1</f>
        <v>1.4285714285714284</v>
      </c>
      <c r="AD622" s="71">
        <f>+Z622/$AA622*AD$1</f>
        <v>1.5714285714285716</v>
      </c>
    </row>
    <row r="623" spans="1:30">
      <c r="A623" s="834" t="s">
        <v>137</v>
      </c>
      <c r="B623" s="835">
        <v>620</v>
      </c>
      <c r="C623" s="225" t="s">
        <v>1024</v>
      </c>
      <c r="D623" s="225" t="s">
        <v>1025</v>
      </c>
      <c r="E623" s="226">
        <v>45775.375</v>
      </c>
      <c r="F623" s="838" t="s">
        <v>140</v>
      </c>
      <c r="G623" s="227">
        <v>1</v>
      </c>
      <c r="H623" s="227" t="s">
        <v>46</v>
      </c>
      <c r="I623" s="227" t="s">
        <v>47</v>
      </c>
      <c r="J623" s="838" t="s">
        <v>871</v>
      </c>
      <c r="K623" s="21"/>
      <c r="L623" s="21"/>
      <c r="M623" s="22"/>
      <c r="N623" s="23"/>
      <c r="O623" s="23"/>
      <c r="P623" s="23" t="s">
        <v>30</v>
      </c>
      <c r="Q623" s="23"/>
      <c r="R623" s="79" t="s">
        <v>67</v>
      </c>
      <c r="S623" s="22"/>
      <c r="T623" s="22"/>
      <c r="U623" s="22"/>
      <c r="V623" s="23"/>
      <c r="W623" s="840"/>
      <c r="Y623"/>
      <c r="Z623"/>
      <c r="AA623"/>
    </row>
    <row r="624" spans="1:30">
      <c r="A624" s="834" t="s">
        <v>137</v>
      </c>
      <c r="B624" s="835">
        <v>621</v>
      </c>
      <c r="C624" s="225" t="s">
        <v>1026</v>
      </c>
      <c r="D624" s="225" t="s">
        <v>1027</v>
      </c>
      <c r="E624" s="226">
        <v>45775.375</v>
      </c>
      <c r="F624" s="838" t="s">
        <v>140</v>
      </c>
      <c r="G624" s="227">
        <v>7</v>
      </c>
      <c r="H624" s="227" t="s">
        <v>22</v>
      </c>
      <c r="I624" s="227" t="s">
        <v>28</v>
      </c>
      <c r="J624" s="838" t="s">
        <v>871</v>
      </c>
      <c r="K624" s="21"/>
      <c r="L624" s="21"/>
      <c r="M624" s="22"/>
      <c r="N624" s="23"/>
      <c r="O624" s="61"/>
      <c r="P624" s="23" t="s">
        <v>30</v>
      </c>
      <c r="Q624" s="61"/>
      <c r="R624" s="79" t="s">
        <v>67</v>
      </c>
      <c r="S624" s="22"/>
      <c r="T624" s="22"/>
      <c r="U624" s="22"/>
      <c r="V624" s="23"/>
      <c r="W624" s="840"/>
      <c r="Y624"/>
      <c r="Z624"/>
      <c r="AA624"/>
    </row>
    <row r="625" spans="1:27">
      <c r="A625" s="834" t="s">
        <v>137</v>
      </c>
      <c r="B625" s="835">
        <v>622</v>
      </c>
      <c r="C625" s="225" t="s">
        <v>1028</v>
      </c>
      <c r="D625" s="225" t="s">
        <v>1029</v>
      </c>
      <c r="E625" s="226">
        <v>45775.375</v>
      </c>
      <c r="F625" s="838" t="s">
        <v>140</v>
      </c>
      <c r="G625" s="227">
        <v>8</v>
      </c>
      <c r="H625" s="227" t="s">
        <v>22</v>
      </c>
      <c r="I625" s="227" t="s">
        <v>28</v>
      </c>
      <c r="J625" s="838" t="s">
        <v>871</v>
      </c>
      <c r="K625" s="21"/>
      <c r="L625" s="21"/>
      <c r="M625" s="22"/>
      <c r="N625" s="23"/>
      <c r="O625" s="61"/>
      <c r="P625" s="23" t="s">
        <v>30</v>
      </c>
      <c r="Q625" s="61"/>
      <c r="R625" s="79" t="s">
        <v>67</v>
      </c>
      <c r="S625" s="22"/>
      <c r="T625" s="22"/>
      <c r="U625" s="22"/>
      <c r="V625" s="23"/>
      <c r="W625" s="80"/>
      <c r="Y625"/>
      <c r="Z625"/>
      <c r="AA625"/>
    </row>
    <row r="626" spans="1:27">
      <c r="A626" s="834" t="s">
        <v>137</v>
      </c>
      <c r="B626" s="835">
        <v>623</v>
      </c>
      <c r="C626" s="225" t="s">
        <v>1030</v>
      </c>
      <c r="D626" s="225" t="s">
        <v>1031</v>
      </c>
      <c r="E626" s="226">
        <v>45775.375</v>
      </c>
      <c r="F626" s="838" t="s">
        <v>140</v>
      </c>
      <c r="G626" s="227">
        <v>5</v>
      </c>
      <c r="H626" s="227" t="s">
        <v>22</v>
      </c>
      <c r="I626" s="227" t="s">
        <v>28</v>
      </c>
      <c r="J626" s="838" t="s">
        <v>871</v>
      </c>
      <c r="K626" s="21"/>
      <c r="L626" s="21"/>
      <c r="M626" s="22"/>
      <c r="N626" s="23"/>
      <c r="O626" s="61"/>
      <c r="P626" s="23" t="s">
        <v>30</v>
      </c>
      <c r="Q626" s="61"/>
      <c r="R626" s="79" t="s">
        <v>67</v>
      </c>
      <c r="S626" s="22"/>
      <c r="T626" s="22"/>
      <c r="U626" s="22"/>
      <c r="V626" s="23"/>
      <c r="W626" s="80"/>
      <c r="Y626"/>
      <c r="Z626"/>
      <c r="AA626"/>
    </row>
    <row r="627" spans="1:27">
      <c r="A627" s="834" t="s">
        <v>137</v>
      </c>
      <c r="B627" s="835">
        <v>624</v>
      </c>
      <c r="C627" s="225" t="s">
        <v>1032</v>
      </c>
      <c r="D627" s="225" t="s">
        <v>535</v>
      </c>
      <c r="E627" s="226">
        <v>45775.375</v>
      </c>
      <c r="F627" s="838" t="s">
        <v>140</v>
      </c>
      <c r="G627" s="227">
        <v>10</v>
      </c>
      <c r="H627" s="227" t="s">
        <v>22</v>
      </c>
      <c r="I627" s="227" t="s">
        <v>28</v>
      </c>
      <c r="J627" s="838" t="s">
        <v>871</v>
      </c>
      <c r="K627" s="21"/>
      <c r="L627" s="21"/>
      <c r="M627" s="22"/>
      <c r="N627" s="23"/>
      <c r="O627" s="61"/>
      <c r="P627" s="23" t="s">
        <v>30</v>
      </c>
      <c r="Q627" s="61"/>
      <c r="R627" s="79" t="s">
        <v>67</v>
      </c>
      <c r="S627" s="22"/>
      <c r="T627" s="22"/>
      <c r="U627" s="22"/>
      <c r="V627" s="23"/>
      <c r="W627" s="80"/>
      <c r="Y627"/>
      <c r="Z627"/>
      <c r="AA627"/>
    </row>
    <row r="628" spans="1:27">
      <c r="A628" s="834" t="s">
        <v>137</v>
      </c>
      <c r="B628" s="835">
        <v>625</v>
      </c>
      <c r="C628" s="225" t="s">
        <v>1033</v>
      </c>
      <c r="D628" s="225" t="s">
        <v>523</v>
      </c>
      <c r="E628" s="226">
        <v>45775.375</v>
      </c>
      <c r="F628" s="838" t="s">
        <v>140</v>
      </c>
      <c r="G628" s="227">
        <v>1</v>
      </c>
      <c r="H628" s="227" t="s">
        <v>46</v>
      </c>
      <c r="I628" s="227" t="s">
        <v>47</v>
      </c>
      <c r="J628" s="838" t="s">
        <v>871</v>
      </c>
      <c r="K628" s="21"/>
      <c r="L628" s="21"/>
      <c r="M628" s="22"/>
      <c r="N628" s="23"/>
      <c r="O628" s="61"/>
      <c r="P628" s="23" t="s">
        <v>30</v>
      </c>
      <c r="Q628" s="61"/>
      <c r="R628" s="79" t="s">
        <v>67</v>
      </c>
      <c r="S628" s="22"/>
      <c r="T628" s="22"/>
      <c r="U628" s="22"/>
      <c r="V628" s="23"/>
      <c r="W628" s="80"/>
      <c r="Y628" s="776"/>
      <c r="Z628" s="776"/>
      <c r="AA628" s="776"/>
    </row>
    <row r="629" spans="1:27">
      <c r="A629" s="834" t="s">
        <v>137</v>
      </c>
      <c r="B629" s="835">
        <v>626</v>
      </c>
      <c r="C629" s="225" t="s">
        <v>1034</v>
      </c>
      <c r="D629" s="225" t="s">
        <v>526</v>
      </c>
      <c r="E629" s="226">
        <v>45775.375</v>
      </c>
      <c r="F629" s="838" t="s">
        <v>140</v>
      </c>
      <c r="G629" s="227">
        <v>1</v>
      </c>
      <c r="H629" s="227" t="s">
        <v>46</v>
      </c>
      <c r="I629" s="227" t="s">
        <v>47</v>
      </c>
      <c r="J629" s="838" t="s">
        <v>871</v>
      </c>
      <c r="K629" s="21"/>
      <c r="L629" s="21"/>
      <c r="M629" s="22"/>
      <c r="N629" s="23"/>
      <c r="O629" s="61"/>
      <c r="P629" s="23" t="s">
        <v>30</v>
      </c>
      <c r="Q629" s="61"/>
      <c r="R629" s="79" t="s">
        <v>67</v>
      </c>
      <c r="S629" s="22"/>
      <c r="T629" s="22"/>
      <c r="U629" s="24"/>
      <c r="V629" s="23"/>
      <c r="W629" s="80"/>
      <c r="Y629" s="776"/>
      <c r="Z629" s="776"/>
      <c r="AA629" s="776"/>
    </row>
    <row r="630" spans="1:27">
      <c r="A630" s="834" t="s">
        <v>137</v>
      </c>
      <c r="B630" s="835">
        <v>627</v>
      </c>
      <c r="C630" s="225" t="s">
        <v>1035</v>
      </c>
      <c r="D630" s="225" t="s">
        <v>1036</v>
      </c>
      <c r="E630" s="226">
        <v>45775.375</v>
      </c>
      <c r="F630" s="838" t="s">
        <v>140</v>
      </c>
      <c r="G630" s="227">
        <v>1</v>
      </c>
      <c r="H630" s="227" t="s">
        <v>46</v>
      </c>
      <c r="I630" s="227" t="s">
        <v>47</v>
      </c>
      <c r="J630" s="838" t="s">
        <v>871</v>
      </c>
      <c r="K630" s="21"/>
      <c r="L630" s="21"/>
      <c r="M630" s="22"/>
      <c r="N630" s="23"/>
      <c r="O630" s="23"/>
      <c r="P630" s="23" t="s">
        <v>30</v>
      </c>
      <c r="Q630" s="23"/>
      <c r="R630" s="79" t="s">
        <v>67</v>
      </c>
      <c r="S630" s="22"/>
      <c r="T630" s="22"/>
      <c r="U630" s="22"/>
      <c r="V630" s="23"/>
      <c r="W630" s="840"/>
      <c r="Y630" s="776"/>
      <c r="Z630" s="776"/>
      <c r="AA630" s="776"/>
    </row>
    <row r="631" spans="1:27">
      <c r="A631" s="834" t="s">
        <v>137</v>
      </c>
      <c r="B631" s="835">
        <v>628</v>
      </c>
      <c r="C631" s="225" t="s">
        <v>1037</v>
      </c>
      <c r="D631" s="225" t="s">
        <v>1038</v>
      </c>
      <c r="E631" s="226">
        <v>45754.375</v>
      </c>
      <c r="F631" s="838" t="s">
        <v>140</v>
      </c>
      <c r="G631" s="227">
        <v>1</v>
      </c>
      <c r="H631" s="227" t="s">
        <v>46</v>
      </c>
      <c r="I631" s="227" t="s">
        <v>47</v>
      </c>
      <c r="J631" s="838" t="s">
        <v>871</v>
      </c>
      <c r="K631" s="21"/>
      <c r="L631" s="21"/>
      <c r="M631" s="22"/>
      <c r="N631" s="23"/>
      <c r="O631" s="23"/>
      <c r="P631" s="23" t="s">
        <v>30</v>
      </c>
      <c r="Q631" s="23"/>
      <c r="R631" s="79" t="s">
        <v>67</v>
      </c>
      <c r="S631" s="22"/>
      <c r="T631" s="22"/>
      <c r="U631" s="24"/>
      <c r="V631" s="23"/>
      <c r="W631" s="80"/>
      <c r="Y631"/>
      <c r="Z631"/>
      <c r="AA631"/>
    </row>
    <row r="632" spans="1:27">
      <c r="A632" s="834" t="s">
        <v>137</v>
      </c>
      <c r="B632" s="835">
        <v>629</v>
      </c>
      <c r="C632" s="225" t="s">
        <v>1039</v>
      </c>
      <c r="D632" s="225" t="s">
        <v>1040</v>
      </c>
      <c r="E632" s="226">
        <v>45775.375</v>
      </c>
      <c r="F632" s="838" t="s">
        <v>140</v>
      </c>
      <c r="G632" s="227">
        <v>1</v>
      </c>
      <c r="H632" s="227" t="s">
        <v>46</v>
      </c>
      <c r="I632" s="227" t="s">
        <v>47</v>
      </c>
      <c r="J632" s="838" t="s">
        <v>871</v>
      </c>
      <c r="K632" s="21"/>
      <c r="L632" s="21"/>
      <c r="M632" s="22"/>
      <c r="N632" s="23"/>
      <c r="O632" s="61"/>
      <c r="P632" s="23" t="s">
        <v>30</v>
      </c>
      <c r="Q632" s="61"/>
      <c r="R632" s="79" t="s">
        <v>67</v>
      </c>
      <c r="S632" s="22"/>
      <c r="T632" s="22"/>
      <c r="U632" s="24"/>
      <c r="V632" s="23"/>
      <c r="W632" s="80"/>
      <c r="Y632"/>
      <c r="Z632"/>
      <c r="AA632"/>
    </row>
    <row r="633" spans="1:27">
      <c r="A633" s="834" t="s">
        <v>137</v>
      </c>
      <c r="B633" s="835">
        <v>630</v>
      </c>
      <c r="C633" s="225" t="s">
        <v>1041</v>
      </c>
      <c r="D633" s="225" t="s">
        <v>1042</v>
      </c>
      <c r="E633" s="226">
        <v>45775.375</v>
      </c>
      <c r="F633" s="838" t="s">
        <v>140</v>
      </c>
      <c r="G633" s="227">
        <v>1</v>
      </c>
      <c r="H633" s="227" t="s">
        <v>22</v>
      </c>
      <c r="I633" s="227" t="s">
        <v>28</v>
      </c>
      <c r="J633" s="838" t="s">
        <v>871</v>
      </c>
      <c r="K633" s="21"/>
      <c r="L633" s="21"/>
      <c r="M633" s="22"/>
      <c r="N633" s="23"/>
      <c r="O633" s="23"/>
      <c r="P633" s="23" t="s">
        <v>30</v>
      </c>
      <c r="Q633" s="23"/>
      <c r="R633" s="79" t="s">
        <v>67</v>
      </c>
      <c r="S633" s="22"/>
      <c r="T633" s="22"/>
      <c r="U633" s="22"/>
      <c r="V633" s="23"/>
      <c r="W633" s="80"/>
      <c r="Y633"/>
      <c r="Z633"/>
      <c r="AA633"/>
    </row>
    <row r="634" spans="1:27">
      <c r="A634" s="834" t="s">
        <v>137</v>
      </c>
      <c r="B634" s="835">
        <v>631</v>
      </c>
      <c r="C634" s="225" t="s">
        <v>1043</v>
      </c>
      <c r="D634" s="225" t="s">
        <v>1044</v>
      </c>
      <c r="E634" s="226">
        <v>45754.375</v>
      </c>
      <c r="F634" s="838" t="s">
        <v>140</v>
      </c>
      <c r="G634" s="227">
        <v>1</v>
      </c>
      <c r="H634" s="227" t="s">
        <v>46</v>
      </c>
      <c r="I634" s="227" t="s">
        <v>47</v>
      </c>
      <c r="J634" s="838" t="s">
        <v>871</v>
      </c>
      <c r="K634" s="21"/>
      <c r="L634" s="21"/>
      <c r="M634" s="22"/>
      <c r="N634" s="23"/>
      <c r="O634" s="61"/>
      <c r="P634" s="23" t="s">
        <v>30</v>
      </c>
      <c r="Q634" s="61"/>
      <c r="R634" s="79" t="s">
        <v>67</v>
      </c>
      <c r="S634" s="22"/>
      <c r="T634" s="22"/>
      <c r="U634" s="22"/>
      <c r="V634" s="23"/>
      <c r="W634" s="80"/>
      <c r="Y634"/>
      <c r="Z634"/>
      <c r="AA634"/>
    </row>
    <row r="635" spans="1:27">
      <c r="A635" s="834" t="s">
        <v>137</v>
      </c>
      <c r="B635" s="835">
        <v>632</v>
      </c>
      <c r="C635" s="225" t="s">
        <v>1045</v>
      </c>
      <c r="D635" s="225" t="s">
        <v>779</v>
      </c>
      <c r="E635" s="226">
        <v>45754.375</v>
      </c>
      <c r="F635" s="838" t="s">
        <v>140</v>
      </c>
      <c r="G635" s="227">
        <v>1</v>
      </c>
      <c r="H635" s="227" t="s">
        <v>21</v>
      </c>
      <c r="I635" s="227" t="s">
        <v>127</v>
      </c>
      <c r="J635" s="838" t="s">
        <v>871</v>
      </c>
      <c r="K635" s="21"/>
      <c r="L635" s="21"/>
      <c r="M635" s="22"/>
      <c r="N635" s="23"/>
      <c r="O635" s="61"/>
      <c r="P635" s="23" t="s">
        <v>30</v>
      </c>
      <c r="Q635" s="61"/>
      <c r="R635" s="79" t="s">
        <v>67</v>
      </c>
      <c r="S635" s="22"/>
      <c r="T635" s="22"/>
      <c r="U635" s="22"/>
      <c r="V635" s="23"/>
      <c r="W635" s="840"/>
      <c r="Y635"/>
      <c r="Z635"/>
      <c r="AA635"/>
    </row>
    <row r="636" spans="1:27">
      <c r="A636" s="834" t="s">
        <v>137</v>
      </c>
      <c r="B636" s="835">
        <v>633</v>
      </c>
      <c r="C636" s="225" t="s">
        <v>1046</v>
      </c>
      <c r="D636" s="225" t="s">
        <v>1047</v>
      </c>
      <c r="E636" s="226">
        <v>45754.375</v>
      </c>
      <c r="F636" s="838" t="s">
        <v>140</v>
      </c>
      <c r="G636" s="227">
        <v>2</v>
      </c>
      <c r="H636" s="227" t="s">
        <v>21</v>
      </c>
      <c r="I636" s="227" t="s">
        <v>127</v>
      </c>
      <c r="J636" s="838" t="s">
        <v>871</v>
      </c>
      <c r="K636" s="21"/>
      <c r="L636" s="21"/>
      <c r="M636" s="22"/>
      <c r="N636" s="23"/>
      <c r="O636" s="61"/>
      <c r="P636" s="23" t="s">
        <v>30</v>
      </c>
      <c r="Q636" s="61"/>
      <c r="R636" s="79" t="s">
        <v>67</v>
      </c>
      <c r="S636" s="22"/>
      <c r="T636" s="22"/>
      <c r="U636" s="22"/>
      <c r="V636" s="23"/>
      <c r="W636" s="840"/>
      <c r="Y636"/>
      <c r="Z636"/>
      <c r="AA636"/>
    </row>
    <row r="637" spans="1:27">
      <c r="A637" s="834" t="s">
        <v>137</v>
      </c>
      <c r="B637" s="835">
        <v>634</v>
      </c>
      <c r="C637" s="225" t="s">
        <v>1048</v>
      </c>
      <c r="D637" s="225" t="s">
        <v>856</v>
      </c>
      <c r="E637" s="226">
        <v>45754.375</v>
      </c>
      <c r="F637" s="838" t="s">
        <v>140</v>
      </c>
      <c r="G637" s="227">
        <v>4</v>
      </c>
      <c r="H637" s="227" t="s">
        <v>22</v>
      </c>
      <c r="I637" s="227" t="s">
        <v>28</v>
      </c>
      <c r="J637" s="838" t="s">
        <v>871</v>
      </c>
      <c r="K637" s="21"/>
      <c r="L637" s="21"/>
      <c r="M637" s="22"/>
      <c r="N637" s="23"/>
      <c r="O637" s="61"/>
      <c r="P637" s="23" t="s">
        <v>30</v>
      </c>
      <c r="Q637" s="61"/>
      <c r="R637" s="79" t="s">
        <v>67</v>
      </c>
      <c r="S637" s="22"/>
      <c r="T637" s="22"/>
      <c r="U637" s="22"/>
      <c r="V637" s="23"/>
      <c r="W637" s="840"/>
      <c r="Y637"/>
      <c r="Z637"/>
      <c r="AA637"/>
    </row>
    <row r="638" spans="1:27">
      <c r="A638" s="834" t="s">
        <v>137</v>
      </c>
      <c r="B638" s="835">
        <v>635</v>
      </c>
      <c r="C638" s="225" t="s">
        <v>1049</v>
      </c>
      <c r="D638" s="225" t="s">
        <v>829</v>
      </c>
      <c r="E638" s="226">
        <v>45761.375</v>
      </c>
      <c r="F638" s="838" t="s">
        <v>140</v>
      </c>
      <c r="G638" s="227">
        <v>3</v>
      </c>
      <c r="H638" s="227" t="s">
        <v>22</v>
      </c>
      <c r="I638" s="227" t="s">
        <v>28</v>
      </c>
      <c r="J638" s="838" t="s">
        <v>871</v>
      </c>
      <c r="K638" s="21"/>
      <c r="L638" s="21"/>
      <c r="M638" s="22"/>
      <c r="N638" s="23"/>
      <c r="O638" s="61"/>
      <c r="P638" s="23" t="s">
        <v>30</v>
      </c>
      <c r="Q638" s="61"/>
      <c r="R638" s="79" t="s">
        <v>67</v>
      </c>
      <c r="S638" s="22"/>
      <c r="T638" s="22"/>
      <c r="U638" s="22"/>
      <c r="V638" s="23"/>
      <c r="W638" s="840"/>
      <c r="Y638" s="776"/>
      <c r="Z638" s="776"/>
      <c r="AA638" s="776"/>
    </row>
    <row r="639" spans="1:27">
      <c r="A639" s="834" t="s">
        <v>137</v>
      </c>
      <c r="B639" s="835">
        <v>636</v>
      </c>
      <c r="C639" s="225" t="s">
        <v>1050</v>
      </c>
      <c r="D639" s="225" t="s">
        <v>829</v>
      </c>
      <c r="E639" s="226">
        <v>45768.375</v>
      </c>
      <c r="F639" s="838" t="s">
        <v>140</v>
      </c>
      <c r="G639" s="227">
        <v>9</v>
      </c>
      <c r="H639" s="227" t="s">
        <v>22</v>
      </c>
      <c r="I639" s="227" t="s">
        <v>28</v>
      </c>
      <c r="J639" s="838" t="s">
        <v>871</v>
      </c>
      <c r="K639" s="21"/>
      <c r="L639" s="21"/>
      <c r="M639" s="22"/>
      <c r="N639" s="23"/>
      <c r="O639" s="61"/>
      <c r="P639" s="23" t="s">
        <v>30</v>
      </c>
      <c r="Q639" s="61"/>
      <c r="R639" s="79" t="s">
        <v>67</v>
      </c>
      <c r="S639" s="22"/>
      <c r="T639" s="22"/>
      <c r="U639" s="24"/>
      <c r="V639" s="23"/>
      <c r="W639" s="80"/>
      <c r="Y639" s="776"/>
      <c r="Z639" s="776"/>
      <c r="AA639" s="776"/>
    </row>
    <row r="640" spans="1:27">
      <c r="A640" s="834" t="s">
        <v>137</v>
      </c>
      <c r="B640" s="835">
        <v>637</v>
      </c>
      <c r="C640" s="225" t="s">
        <v>1051</v>
      </c>
      <c r="D640" s="225" t="s">
        <v>937</v>
      </c>
      <c r="E640" s="226">
        <v>45768.375</v>
      </c>
      <c r="F640" s="838" t="s">
        <v>140</v>
      </c>
      <c r="G640" s="227">
        <v>1</v>
      </c>
      <c r="H640" s="227" t="s">
        <v>22</v>
      </c>
      <c r="I640" s="227" t="s">
        <v>28</v>
      </c>
      <c r="J640" s="838" t="s">
        <v>871</v>
      </c>
      <c r="K640" s="21"/>
      <c r="L640" s="21"/>
      <c r="M640" s="22"/>
      <c r="N640" s="23"/>
      <c r="O640" s="23"/>
      <c r="P640" s="23" t="s">
        <v>30</v>
      </c>
      <c r="Q640" s="23"/>
      <c r="R640" s="79" t="s">
        <v>67</v>
      </c>
      <c r="S640" s="22"/>
      <c r="T640" s="22"/>
      <c r="U640" s="22"/>
      <c r="V640" s="23"/>
      <c r="W640" s="80"/>
      <c r="Y640" s="776"/>
      <c r="Z640" s="776"/>
      <c r="AA640" s="776"/>
    </row>
    <row r="641" spans="1:30">
      <c r="A641" s="834" t="s">
        <v>137</v>
      </c>
      <c r="B641" s="835">
        <v>638</v>
      </c>
      <c r="C641" s="225" t="s">
        <v>1052</v>
      </c>
      <c r="D641" s="225" t="s">
        <v>794</v>
      </c>
      <c r="E641" s="226">
        <v>45768.375</v>
      </c>
      <c r="F641" s="838" t="s">
        <v>140</v>
      </c>
      <c r="G641" s="227">
        <v>20</v>
      </c>
      <c r="H641" s="227" t="s">
        <v>291</v>
      </c>
      <c r="I641" s="227" t="s">
        <v>760</v>
      </c>
      <c r="J641" s="838" t="s">
        <v>871</v>
      </c>
      <c r="K641" s="21"/>
      <c r="L641" s="21"/>
      <c r="M641" s="22"/>
      <c r="N641" s="23"/>
      <c r="O641" s="23" t="s">
        <v>31</v>
      </c>
      <c r="P641" s="23" t="s">
        <v>30</v>
      </c>
      <c r="Q641" s="23"/>
      <c r="R641" s="79" t="s">
        <v>67</v>
      </c>
      <c r="S641" s="22"/>
      <c r="T641" s="22"/>
      <c r="U641" s="24"/>
      <c r="V641" s="23"/>
      <c r="W641" s="80"/>
      <c r="X641">
        <v>8</v>
      </c>
      <c r="Y641" s="85">
        <v>12</v>
      </c>
      <c r="Z641" s="85">
        <v>0</v>
      </c>
      <c r="AA641" s="84">
        <f>SUM(X641:Z641)</f>
        <v>20</v>
      </c>
      <c r="AB641" s="71">
        <f>+X641/$AA641*AC$1</f>
        <v>2.4000000000000004</v>
      </c>
      <c r="AC641" s="71">
        <f>+Y641/$AA641*AD$1</f>
        <v>1.7999999999999998</v>
      </c>
      <c r="AD641" s="71">
        <f>+Z641/$AA641*AD$1</f>
        <v>0</v>
      </c>
    </row>
    <row r="642" spans="1:30">
      <c r="A642" s="834" t="s">
        <v>24</v>
      </c>
      <c r="B642" s="835">
        <v>639</v>
      </c>
      <c r="C642" s="838" t="s">
        <v>1053</v>
      </c>
      <c r="D642" s="838" t="s">
        <v>50</v>
      </c>
      <c r="E642" s="839">
        <v>45779</v>
      </c>
      <c r="F642" s="838" t="s">
        <v>1054</v>
      </c>
      <c r="G642" s="838">
        <v>14</v>
      </c>
      <c r="H642" s="838" t="s">
        <v>21</v>
      </c>
      <c r="I642" s="838" t="s">
        <v>127</v>
      </c>
      <c r="J642" s="838" t="s">
        <v>29</v>
      </c>
      <c r="K642" s="21" t="s">
        <v>238</v>
      </c>
      <c r="L642" s="834"/>
      <c r="M642" s="834"/>
      <c r="N642" s="834"/>
      <c r="O642" s="848"/>
      <c r="P642" s="848" t="s">
        <v>30</v>
      </c>
      <c r="Q642" s="23">
        <v>45813</v>
      </c>
      <c r="R642" s="79" t="s">
        <v>127</v>
      </c>
      <c r="S642" s="22" t="s">
        <v>1055</v>
      </c>
      <c r="T642" s="22">
        <v>14</v>
      </c>
      <c r="U642" s="24" t="s">
        <v>127</v>
      </c>
      <c r="V642" s="23">
        <v>45813</v>
      </c>
      <c r="W642" s="80" t="s">
        <v>32</v>
      </c>
      <c r="X642" s="228"/>
      <c r="Y642"/>
      <c r="Z642" s="776"/>
      <c r="AA642" s="776"/>
      <c r="AB642" s="776"/>
    </row>
    <row r="643" spans="1:30">
      <c r="A643" s="834" t="s">
        <v>24</v>
      </c>
      <c r="B643" s="835">
        <v>640</v>
      </c>
      <c r="C643" s="838" t="s">
        <v>1056</v>
      </c>
      <c r="D643" s="838" t="s">
        <v>102</v>
      </c>
      <c r="E643" s="839">
        <v>45779</v>
      </c>
      <c r="F643" s="838" t="s">
        <v>106</v>
      </c>
      <c r="G643" s="838">
        <v>12</v>
      </c>
      <c r="H643" s="838" t="s">
        <v>22</v>
      </c>
      <c r="I643" s="838" t="s">
        <v>28</v>
      </c>
      <c r="J643" s="838" t="s">
        <v>29</v>
      </c>
      <c r="K643" s="838"/>
      <c r="L643" s="834"/>
      <c r="M643" s="834"/>
      <c r="N643" s="834"/>
      <c r="O643" s="848"/>
      <c r="P643" s="848" t="s">
        <v>1057</v>
      </c>
      <c r="Q643" s="23">
        <v>45814</v>
      </c>
      <c r="R643" s="79" t="s">
        <v>28</v>
      </c>
      <c r="S643" s="22" t="s">
        <v>1055</v>
      </c>
      <c r="T643" s="22">
        <v>11</v>
      </c>
      <c r="U643" s="24" t="s">
        <v>28</v>
      </c>
      <c r="V643" s="23">
        <v>45814</v>
      </c>
      <c r="W643" s="80" t="s">
        <v>30</v>
      </c>
      <c r="X643" s="83"/>
      <c r="Y643"/>
      <c r="Z643" s="776"/>
      <c r="AA643" s="776"/>
      <c r="AB643" s="776"/>
    </row>
    <row r="644" spans="1:30">
      <c r="A644" s="834" t="s">
        <v>24</v>
      </c>
      <c r="B644" s="835">
        <v>641</v>
      </c>
      <c r="C644" s="838" t="s">
        <v>1058</v>
      </c>
      <c r="D644" s="838" t="s">
        <v>34</v>
      </c>
      <c r="E644" s="839">
        <v>45780</v>
      </c>
      <c r="F644" s="838" t="s">
        <v>187</v>
      </c>
      <c r="G644" s="838">
        <v>20</v>
      </c>
      <c r="H644" s="838" t="s">
        <v>21</v>
      </c>
      <c r="I644" s="838" t="s">
        <v>127</v>
      </c>
      <c r="J644" s="838" t="s">
        <v>29</v>
      </c>
      <c r="K644" s="838"/>
      <c r="L644" s="834"/>
      <c r="M644" s="834"/>
      <c r="N644" s="834"/>
      <c r="O644" s="848" t="s">
        <v>31</v>
      </c>
      <c r="P644" s="848" t="s">
        <v>1057</v>
      </c>
      <c r="Q644" s="23">
        <v>45819</v>
      </c>
      <c r="R644" s="79" t="s">
        <v>127</v>
      </c>
      <c r="S644" s="22" t="s">
        <v>1055</v>
      </c>
      <c r="T644" s="22">
        <v>20</v>
      </c>
      <c r="U644" s="24" t="s">
        <v>127</v>
      </c>
      <c r="V644" s="23">
        <v>45819</v>
      </c>
      <c r="W644" s="80" t="s">
        <v>30</v>
      </c>
      <c r="X644" s="83"/>
      <c r="Y644"/>
      <c r="Z644" s="776"/>
      <c r="AA644" s="776"/>
      <c r="AB644" s="776"/>
    </row>
    <row r="645" spans="1:30">
      <c r="A645" s="834" t="s">
        <v>24</v>
      </c>
      <c r="B645" s="835">
        <v>642</v>
      </c>
      <c r="C645" s="838" t="s">
        <v>1059</v>
      </c>
      <c r="D645" s="838" t="s">
        <v>34</v>
      </c>
      <c r="E645" s="839">
        <v>45780</v>
      </c>
      <c r="F645" s="838" t="s">
        <v>614</v>
      </c>
      <c r="G645" s="838">
        <v>24</v>
      </c>
      <c r="H645" s="838" t="s">
        <v>46</v>
      </c>
      <c r="I645" s="838" t="s">
        <v>47</v>
      </c>
      <c r="J645" s="838" t="s">
        <v>29</v>
      </c>
      <c r="K645" s="838"/>
      <c r="L645" s="834"/>
      <c r="M645" s="834"/>
      <c r="N645" s="834"/>
      <c r="O645" s="848" t="s">
        <v>31</v>
      </c>
      <c r="P645" s="23" t="s">
        <v>1057</v>
      </c>
      <c r="Q645" s="23">
        <v>45833</v>
      </c>
      <c r="R645" s="79" t="s">
        <v>46</v>
      </c>
      <c r="S645" s="22" t="s">
        <v>1055</v>
      </c>
      <c r="T645" s="22">
        <v>24</v>
      </c>
      <c r="U645" s="24" t="s">
        <v>46</v>
      </c>
      <c r="V645" s="23">
        <v>45833</v>
      </c>
      <c r="W645" s="80" t="s">
        <v>30</v>
      </c>
      <c r="X645" s="83"/>
      <c r="Y645"/>
      <c r="Z645" s="776"/>
      <c r="AA645" s="776"/>
      <c r="AB645" s="776"/>
    </row>
    <row r="646" spans="1:30">
      <c r="A646" s="834" t="s">
        <v>24</v>
      </c>
      <c r="B646" s="835">
        <v>643</v>
      </c>
      <c r="C646" s="838" t="s">
        <v>1060</v>
      </c>
      <c r="D646" s="838" t="s">
        <v>34</v>
      </c>
      <c r="E646" s="839">
        <v>45780</v>
      </c>
      <c r="F646" s="838" t="s">
        <v>1061</v>
      </c>
      <c r="G646" s="838">
        <v>14</v>
      </c>
      <c r="H646" s="838" t="s">
        <v>21</v>
      </c>
      <c r="I646" s="838" t="s">
        <v>127</v>
      </c>
      <c r="J646" s="838" t="s">
        <v>29</v>
      </c>
      <c r="K646" s="89"/>
      <c r="L646" s="834"/>
      <c r="M646" s="834"/>
      <c r="N646" s="834"/>
      <c r="O646" s="848"/>
      <c r="P646" s="23" t="s">
        <v>1057</v>
      </c>
      <c r="Q646" s="23">
        <v>45819</v>
      </c>
      <c r="R646" s="79" t="s">
        <v>127</v>
      </c>
      <c r="S646" s="22" t="s">
        <v>1055</v>
      </c>
      <c r="T646" s="22">
        <v>14</v>
      </c>
      <c r="U646" s="24" t="s">
        <v>127</v>
      </c>
      <c r="V646" s="23">
        <v>45819</v>
      </c>
      <c r="W646" s="80" t="s">
        <v>30</v>
      </c>
      <c r="X646" s="83"/>
      <c r="Y646"/>
      <c r="Z646"/>
      <c r="AA646"/>
    </row>
    <row r="647" spans="1:30">
      <c r="A647" s="834" t="s">
        <v>24</v>
      </c>
      <c r="B647" s="835">
        <v>644</v>
      </c>
      <c r="C647" s="838" t="s">
        <v>1062</v>
      </c>
      <c r="D647" s="838" t="s">
        <v>34</v>
      </c>
      <c r="E647" s="839">
        <v>45780</v>
      </c>
      <c r="F647" s="838" t="s">
        <v>688</v>
      </c>
      <c r="G647" s="838">
        <v>10</v>
      </c>
      <c r="H647" s="838" t="s">
        <v>21</v>
      </c>
      <c r="I647" s="838" t="s">
        <v>127</v>
      </c>
      <c r="J647" s="838" t="s">
        <v>29</v>
      </c>
      <c r="K647" s="838"/>
      <c r="L647" s="834"/>
      <c r="M647" s="834"/>
      <c r="N647" s="90"/>
      <c r="O647" s="848"/>
      <c r="P647" s="23" t="s">
        <v>1057</v>
      </c>
      <c r="Q647" s="23">
        <v>45819</v>
      </c>
      <c r="R647" s="79" t="s">
        <v>127</v>
      </c>
      <c r="S647" s="22" t="s">
        <v>1063</v>
      </c>
      <c r="T647" s="22">
        <v>10</v>
      </c>
      <c r="U647" s="24" t="s">
        <v>127</v>
      </c>
      <c r="V647" s="23">
        <v>45819</v>
      </c>
      <c r="W647" s="80" t="s">
        <v>30</v>
      </c>
      <c r="X647" s="83"/>
      <c r="Y647"/>
      <c r="Z647" s="776"/>
      <c r="AA647" s="776"/>
      <c r="AB647" s="776"/>
    </row>
    <row r="648" spans="1:30">
      <c r="A648" s="834" t="s">
        <v>24</v>
      </c>
      <c r="B648" s="835">
        <v>645</v>
      </c>
      <c r="C648" s="838" t="s">
        <v>1064</v>
      </c>
      <c r="D648" s="838" t="s">
        <v>234</v>
      </c>
      <c r="E648" s="839">
        <v>45780</v>
      </c>
      <c r="F648" s="838" t="s">
        <v>1065</v>
      </c>
      <c r="G648" s="838">
        <v>7</v>
      </c>
      <c r="H648" s="838" t="s">
        <v>21</v>
      </c>
      <c r="I648" s="838" t="s">
        <v>127</v>
      </c>
      <c r="J648" s="838" t="s">
        <v>29</v>
      </c>
      <c r="K648" s="838"/>
      <c r="L648" s="834"/>
      <c r="M648" s="834"/>
      <c r="N648" s="848"/>
      <c r="O648" s="848"/>
      <c r="P648" s="23" t="s">
        <v>1057</v>
      </c>
      <c r="Q648" s="23">
        <v>45825</v>
      </c>
      <c r="R648" s="79" t="s">
        <v>37</v>
      </c>
      <c r="S648" s="22" t="s">
        <v>32</v>
      </c>
      <c r="T648" s="22">
        <v>7</v>
      </c>
      <c r="U648" s="22" t="s">
        <v>37</v>
      </c>
      <c r="V648" s="23">
        <v>45825</v>
      </c>
      <c r="W648" s="80" t="s">
        <v>30</v>
      </c>
      <c r="X648" s="83"/>
      <c r="Y648"/>
      <c r="Z648" s="776"/>
      <c r="AA648" s="776"/>
      <c r="AB648" s="776"/>
    </row>
    <row r="649" spans="1:30">
      <c r="A649" s="834" t="s">
        <v>24</v>
      </c>
      <c r="B649" s="835">
        <v>646</v>
      </c>
      <c r="C649" s="838" t="s">
        <v>1066</v>
      </c>
      <c r="D649" s="838" t="s">
        <v>34</v>
      </c>
      <c r="E649" s="839">
        <v>45780</v>
      </c>
      <c r="F649" s="838" t="s">
        <v>1065</v>
      </c>
      <c r="G649" s="838">
        <v>4</v>
      </c>
      <c r="H649" s="838" t="s">
        <v>21</v>
      </c>
      <c r="I649" s="838" t="s">
        <v>127</v>
      </c>
      <c r="J649" s="838" t="s">
        <v>29</v>
      </c>
      <c r="K649" s="838"/>
      <c r="L649" s="834"/>
      <c r="M649" s="834"/>
      <c r="N649" s="848"/>
      <c r="O649" s="848"/>
      <c r="P649" s="23" t="s">
        <v>1057</v>
      </c>
      <c r="Q649" s="23">
        <v>45838</v>
      </c>
      <c r="R649" s="79" t="s">
        <v>37</v>
      </c>
      <c r="S649" s="23" t="s">
        <v>1055</v>
      </c>
      <c r="T649" s="22">
        <v>4</v>
      </c>
      <c r="U649" s="22" t="s">
        <v>37</v>
      </c>
      <c r="V649" s="23">
        <v>45838</v>
      </c>
      <c r="W649" s="80" t="s">
        <v>30</v>
      </c>
      <c r="X649" s="83"/>
      <c r="Y649"/>
      <c r="Z649" s="776"/>
      <c r="AA649" s="776"/>
      <c r="AB649" s="776"/>
    </row>
    <row r="650" spans="1:30">
      <c r="A650" s="834" t="s">
        <v>24</v>
      </c>
      <c r="B650" s="835">
        <v>647</v>
      </c>
      <c r="C650" s="838" t="s">
        <v>1067</v>
      </c>
      <c r="D650" s="838" t="s">
        <v>469</v>
      </c>
      <c r="E650" s="839">
        <v>45780</v>
      </c>
      <c r="F650" s="838" t="s">
        <v>1068</v>
      </c>
      <c r="G650" s="838">
        <v>15</v>
      </c>
      <c r="H650" s="838" t="s">
        <v>22</v>
      </c>
      <c r="I650" s="838" t="s">
        <v>28</v>
      </c>
      <c r="J650" s="838" t="s">
        <v>29</v>
      </c>
      <c r="K650" s="21" t="s">
        <v>1069</v>
      </c>
      <c r="L650" s="834"/>
      <c r="M650" s="834"/>
      <c r="N650" s="90"/>
      <c r="O650" s="848" t="s">
        <v>31</v>
      </c>
      <c r="P650" s="23" t="s">
        <v>1057</v>
      </c>
      <c r="Q650" s="23">
        <v>45828</v>
      </c>
      <c r="R650" s="79" t="s">
        <v>28</v>
      </c>
      <c r="S650" s="22" t="s">
        <v>1055</v>
      </c>
      <c r="T650" s="22">
        <v>14</v>
      </c>
      <c r="U650" s="24" t="s">
        <v>28</v>
      </c>
      <c r="V650" s="23">
        <v>45828</v>
      </c>
      <c r="W650" s="80" t="s">
        <v>30</v>
      </c>
      <c r="X650" s="83"/>
      <c r="Y650"/>
      <c r="Z650" s="776"/>
      <c r="AA650" s="776"/>
      <c r="AB650" s="776"/>
    </row>
    <row r="651" spans="1:30">
      <c r="A651" s="834" t="s">
        <v>24</v>
      </c>
      <c r="B651" s="835">
        <v>648</v>
      </c>
      <c r="C651" s="838" t="s">
        <v>1070</v>
      </c>
      <c r="D651" s="838" t="s">
        <v>34</v>
      </c>
      <c r="E651" s="839">
        <v>45780</v>
      </c>
      <c r="F651" s="838" t="s">
        <v>701</v>
      </c>
      <c r="G651" s="838">
        <v>12</v>
      </c>
      <c r="H651" s="838" t="s">
        <v>22</v>
      </c>
      <c r="I651" s="838" t="s">
        <v>28</v>
      </c>
      <c r="J651" s="838" t="s">
        <v>29</v>
      </c>
      <c r="K651" s="838"/>
      <c r="L651" s="834"/>
      <c r="M651" s="834"/>
      <c r="N651" s="848"/>
      <c r="O651" s="848"/>
      <c r="P651" s="23" t="s">
        <v>1057</v>
      </c>
      <c r="Q651" s="23">
        <v>45819</v>
      </c>
      <c r="R651" s="79" t="s">
        <v>28</v>
      </c>
      <c r="S651" s="22" t="s">
        <v>1055</v>
      </c>
      <c r="T651" s="22">
        <v>12</v>
      </c>
      <c r="U651" s="24" t="s">
        <v>28</v>
      </c>
      <c r="V651" s="23">
        <v>45819</v>
      </c>
      <c r="W651" s="80" t="s">
        <v>30</v>
      </c>
      <c r="X651" s="83"/>
      <c r="Y651"/>
      <c r="Z651" s="776"/>
      <c r="AA651" s="776"/>
      <c r="AB651" s="776"/>
    </row>
    <row r="652" spans="1:30">
      <c r="A652" s="834" t="s">
        <v>24</v>
      </c>
      <c r="B652" s="835">
        <v>649</v>
      </c>
      <c r="C652" s="838" t="s">
        <v>1071</v>
      </c>
      <c r="D652" s="838" t="s">
        <v>26</v>
      </c>
      <c r="E652" s="839">
        <v>45780</v>
      </c>
      <c r="F652" s="838" t="s">
        <v>97</v>
      </c>
      <c r="G652" s="838">
        <v>18</v>
      </c>
      <c r="H652" s="838" t="s">
        <v>22</v>
      </c>
      <c r="I652" s="838" t="s">
        <v>28</v>
      </c>
      <c r="J652" s="838" t="s">
        <v>29</v>
      </c>
      <c r="K652" s="838"/>
      <c r="L652" s="834"/>
      <c r="M652" s="834"/>
      <c r="N652" s="90"/>
      <c r="O652" s="848" t="s">
        <v>31</v>
      </c>
      <c r="P652" s="23" t="s">
        <v>1057</v>
      </c>
      <c r="Q652" s="23">
        <v>45813</v>
      </c>
      <c r="R652" s="79" t="s">
        <v>28</v>
      </c>
      <c r="S652" s="22" t="s">
        <v>1055</v>
      </c>
      <c r="T652" s="22">
        <v>19</v>
      </c>
      <c r="U652" s="24" t="s">
        <v>28</v>
      </c>
      <c r="V652" s="23">
        <v>45813</v>
      </c>
      <c r="W652" s="80" t="s">
        <v>30</v>
      </c>
      <c r="X652" s="83"/>
      <c r="Y652"/>
      <c r="Z652" s="776"/>
      <c r="AA652" s="776"/>
      <c r="AB652" s="776"/>
    </row>
    <row r="653" spans="1:30">
      <c r="A653" s="834" t="s">
        <v>24</v>
      </c>
      <c r="B653" s="835">
        <v>650</v>
      </c>
      <c r="C653" s="838" t="s">
        <v>1072</v>
      </c>
      <c r="D653" s="838" t="s">
        <v>26</v>
      </c>
      <c r="E653" s="839">
        <v>45780</v>
      </c>
      <c r="F653" s="838" t="s">
        <v>1073</v>
      </c>
      <c r="G653" s="838">
        <v>10</v>
      </c>
      <c r="H653" s="838" t="s">
        <v>22</v>
      </c>
      <c r="I653" s="838" t="s">
        <v>28</v>
      </c>
      <c r="J653" s="838" t="s">
        <v>29</v>
      </c>
      <c r="K653" s="838"/>
      <c r="L653" s="834"/>
      <c r="M653" s="834"/>
      <c r="N653" s="848"/>
      <c r="O653" s="848"/>
      <c r="P653" s="23" t="s">
        <v>1057</v>
      </c>
      <c r="Q653" s="23">
        <v>45814</v>
      </c>
      <c r="R653" s="79" t="s">
        <v>28</v>
      </c>
      <c r="S653" s="22" t="s">
        <v>1055</v>
      </c>
      <c r="T653" s="22">
        <v>8</v>
      </c>
      <c r="U653" s="24" t="s">
        <v>28</v>
      </c>
      <c r="V653" s="23">
        <v>45814</v>
      </c>
      <c r="W653" s="80" t="s">
        <v>30</v>
      </c>
      <c r="X653" s="83"/>
      <c r="Y653"/>
      <c r="Z653" s="776"/>
      <c r="AA653" s="776"/>
      <c r="AB653" s="776"/>
    </row>
    <row r="654" spans="1:30">
      <c r="A654" s="834" t="s">
        <v>24</v>
      </c>
      <c r="B654" s="835">
        <v>651</v>
      </c>
      <c r="C654" s="838" t="s">
        <v>1074</v>
      </c>
      <c r="D654" s="838" t="s">
        <v>34</v>
      </c>
      <c r="E654" s="839">
        <v>45780</v>
      </c>
      <c r="F654" s="838" t="s">
        <v>927</v>
      </c>
      <c r="G654" s="838">
        <v>14</v>
      </c>
      <c r="H654" s="838" t="s">
        <v>46</v>
      </c>
      <c r="I654" s="838" t="s">
        <v>47</v>
      </c>
      <c r="J654" s="838" t="s">
        <v>29</v>
      </c>
      <c r="K654" s="89"/>
      <c r="L654" s="834"/>
      <c r="M654" s="834"/>
      <c r="N654" s="90"/>
      <c r="O654" s="848"/>
      <c r="P654" s="23" t="s">
        <v>1057</v>
      </c>
      <c r="Q654" s="23">
        <v>45825</v>
      </c>
      <c r="R654" s="79" t="s">
        <v>46</v>
      </c>
      <c r="S654" s="22" t="s">
        <v>1055</v>
      </c>
      <c r="T654" s="22">
        <v>14</v>
      </c>
      <c r="U654" s="24" t="s">
        <v>46</v>
      </c>
      <c r="V654" s="23">
        <v>45825</v>
      </c>
      <c r="W654" s="80" t="s">
        <v>30</v>
      </c>
      <c r="X654" s="83"/>
      <c r="Y654"/>
      <c r="Z654"/>
      <c r="AA654"/>
    </row>
    <row r="655" spans="1:30">
      <c r="A655" s="834" t="s">
        <v>24</v>
      </c>
      <c r="B655" s="835">
        <v>652</v>
      </c>
      <c r="C655" s="217" t="s">
        <v>1075</v>
      </c>
      <c r="D655" s="217" t="s">
        <v>374</v>
      </c>
      <c r="E655" s="218">
        <v>45783</v>
      </c>
      <c r="F655" s="217" t="s">
        <v>202</v>
      </c>
      <c r="G655" s="217">
        <v>7</v>
      </c>
      <c r="H655" s="217" t="s">
        <v>22</v>
      </c>
      <c r="I655" s="217" t="s">
        <v>28</v>
      </c>
      <c r="J655" s="838" t="s">
        <v>29</v>
      </c>
      <c r="K655" s="21" t="s">
        <v>1076</v>
      </c>
      <c r="L655" s="834"/>
      <c r="M655" s="834"/>
      <c r="N655" s="90"/>
      <c r="O655" s="848"/>
      <c r="P655" s="23" t="s">
        <v>30</v>
      </c>
      <c r="Q655" s="23">
        <v>45831</v>
      </c>
      <c r="R655" s="79" t="s">
        <v>1077</v>
      </c>
      <c r="S655" s="22" t="s">
        <v>1055</v>
      </c>
      <c r="T655" s="22">
        <v>7</v>
      </c>
      <c r="U655" s="22" t="s">
        <v>1077</v>
      </c>
      <c r="V655" s="23">
        <v>45831</v>
      </c>
      <c r="W655" s="80" t="s">
        <v>32</v>
      </c>
      <c r="X655" s="228"/>
      <c r="Y655"/>
      <c r="Z655"/>
      <c r="AA655"/>
    </row>
    <row r="656" spans="1:30">
      <c r="A656" s="834" t="s">
        <v>24</v>
      </c>
      <c r="B656" s="835">
        <v>653</v>
      </c>
      <c r="C656" s="217" t="s">
        <v>1078</v>
      </c>
      <c r="D656" s="217" t="s">
        <v>43</v>
      </c>
      <c r="E656" s="218">
        <v>45783</v>
      </c>
      <c r="F656" s="217" t="s">
        <v>202</v>
      </c>
      <c r="G656" s="217">
        <v>7</v>
      </c>
      <c r="H656" s="217" t="s">
        <v>22</v>
      </c>
      <c r="I656" s="217" t="s">
        <v>28</v>
      </c>
      <c r="J656" s="838" t="s">
        <v>29</v>
      </c>
      <c r="K656" s="21" t="s">
        <v>1076</v>
      </c>
      <c r="L656" s="834"/>
      <c r="M656" s="834"/>
      <c r="N656" s="848"/>
      <c r="O656" s="848"/>
      <c r="P656" s="23" t="s">
        <v>30</v>
      </c>
      <c r="Q656" s="23">
        <v>45831</v>
      </c>
      <c r="R656" s="79" t="s">
        <v>28</v>
      </c>
      <c r="S656" s="22" t="s">
        <v>1055</v>
      </c>
      <c r="T656" s="22">
        <v>7</v>
      </c>
      <c r="U656" s="24" t="s">
        <v>28</v>
      </c>
      <c r="V656" s="23">
        <v>45831</v>
      </c>
      <c r="W656" s="80" t="s">
        <v>32</v>
      </c>
      <c r="X656" s="228"/>
      <c r="Y656"/>
      <c r="Z656"/>
      <c r="AA656"/>
    </row>
    <row r="657" spans="1:28">
      <c r="A657" s="834" t="s">
        <v>24</v>
      </c>
      <c r="B657" s="835">
        <v>654</v>
      </c>
      <c r="C657" s="217" t="s">
        <v>1079</v>
      </c>
      <c r="D657" s="217" t="s">
        <v>50</v>
      </c>
      <c r="E657" s="218">
        <v>45783</v>
      </c>
      <c r="F657" s="217" t="s">
        <v>202</v>
      </c>
      <c r="G657" s="217">
        <v>7</v>
      </c>
      <c r="H657" s="217" t="s">
        <v>22</v>
      </c>
      <c r="I657" s="217" t="s">
        <v>28</v>
      </c>
      <c r="J657" s="838" t="s">
        <v>29</v>
      </c>
      <c r="K657" s="21" t="s">
        <v>1076</v>
      </c>
      <c r="L657" s="834"/>
      <c r="M657" s="834"/>
      <c r="N657" s="90"/>
      <c r="O657" s="848"/>
      <c r="P657" s="23" t="s">
        <v>30</v>
      </c>
      <c r="Q657" s="23">
        <v>45832</v>
      </c>
      <c r="R657" s="79" t="s">
        <v>28</v>
      </c>
      <c r="S657" s="22" t="s">
        <v>1055</v>
      </c>
      <c r="T657" s="22">
        <v>7</v>
      </c>
      <c r="U657" s="24" t="s">
        <v>28</v>
      </c>
      <c r="V657" s="23">
        <v>45832</v>
      </c>
      <c r="W657" s="80" t="s">
        <v>32</v>
      </c>
      <c r="X657" s="228"/>
      <c r="Y657"/>
      <c r="Z657"/>
      <c r="AA657"/>
    </row>
    <row r="658" spans="1:28">
      <c r="A658" s="834" t="s">
        <v>24</v>
      </c>
      <c r="B658" s="835">
        <v>655</v>
      </c>
      <c r="C658" s="224" t="s">
        <v>1080</v>
      </c>
      <c r="D658" s="224" t="s">
        <v>64</v>
      </c>
      <c r="E658" s="218">
        <v>45783</v>
      </c>
      <c r="F658" s="224" t="s">
        <v>1081</v>
      </c>
      <c r="G658" s="224">
        <v>12</v>
      </c>
      <c r="H658" s="224" t="s">
        <v>21</v>
      </c>
      <c r="I658" s="224" t="s">
        <v>127</v>
      </c>
      <c r="J658" s="838" t="s">
        <v>29</v>
      </c>
      <c r="K658" s="838"/>
      <c r="L658" s="834"/>
      <c r="M658" s="834"/>
      <c r="N658" s="848"/>
      <c r="O658" s="848"/>
      <c r="P658" s="23" t="s">
        <v>1057</v>
      </c>
      <c r="Q658" s="23">
        <v>45813</v>
      </c>
      <c r="R658" s="79" t="s">
        <v>127</v>
      </c>
      <c r="S658" s="22" t="s">
        <v>1055</v>
      </c>
      <c r="T658" s="22">
        <v>12</v>
      </c>
      <c r="U658" s="24" t="s">
        <v>127</v>
      </c>
      <c r="V658" s="23">
        <v>45813</v>
      </c>
      <c r="W658" s="80" t="s">
        <v>30</v>
      </c>
      <c r="X658" s="83"/>
      <c r="Y658"/>
      <c r="Z658"/>
      <c r="AA658"/>
    </row>
    <row r="659" spans="1:28">
      <c r="A659" s="834" t="s">
        <v>24</v>
      </c>
      <c r="B659" s="835">
        <v>656</v>
      </c>
      <c r="C659" s="217" t="s">
        <v>1082</v>
      </c>
      <c r="D659" s="217" t="s">
        <v>43</v>
      </c>
      <c r="E659" s="218">
        <v>45786</v>
      </c>
      <c r="F659" s="217" t="s">
        <v>659</v>
      </c>
      <c r="G659" s="217">
        <v>16</v>
      </c>
      <c r="H659" s="217" t="s">
        <v>22</v>
      </c>
      <c r="I659" s="217" t="s">
        <v>28</v>
      </c>
      <c r="J659" s="838" t="s">
        <v>29</v>
      </c>
      <c r="K659" s="838"/>
      <c r="L659" s="834"/>
      <c r="M659" s="834"/>
      <c r="N659" s="90"/>
      <c r="O659" s="848" t="s">
        <v>31</v>
      </c>
      <c r="P659" s="23" t="s">
        <v>1057</v>
      </c>
      <c r="Q659" s="23">
        <v>45813</v>
      </c>
      <c r="R659" s="79" t="s">
        <v>28</v>
      </c>
      <c r="S659" s="22" t="s">
        <v>1055</v>
      </c>
      <c r="T659" s="22">
        <v>16</v>
      </c>
      <c r="U659" s="24" t="s">
        <v>28</v>
      </c>
      <c r="V659" s="23">
        <v>45813</v>
      </c>
      <c r="W659" s="80" t="s">
        <v>30</v>
      </c>
      <c r="X659" s="83"/>
      <c r="Y659"/>
      <c r="Z659"/>
      <c r="AA659"/>
    </row>
    <row r="660" spans="1:28">
      <c r="A660" s="834" t="s">
        <v>24</v>
      </c>
      <c r="B660" s="835">
        <v>657</v>
      </c>
      <c r="C660" s="217" t="s">
        <v>1083</v>
      </c>
      <c r="D660" s="217" t="s">
        <v>64</v>
      </c>
      <c r="E660" s="218">
        <v>45786</v>
      </c>
      <c r="F660" s="217" t="s">
        <v>395</v>
      </c>
      <c r="G660" s="217">
        <v>19</v>
      </c>
      <c r="H660" s="217" t="s">
        <v>22</v>
      </c>
      <c r="I660" s="217" t="s">
        <v>28</v>
      </c>
      <c r="J660" s="838" t="s">
        <v>29</v>
      </c>
      <c r="K660" s="97"/>
      <c r="L660" s="834"/>
      <c r="M660" s="834"/>
      <c r="N660" s="848"/>
      <c r="O660" s="848" t="s">
        <v>31</v>
      </c>
      <c r="P660" s="23" t="s">
        <v>30</v>
      </c>
      <c r="Q660" s="23">
        <v>45842</v>
      </c>
      <c r="R660" s="79" t="s">
        <v>28</v>
      </c>
      <c r="S660" s="22" t="s">
        <v>32</v>
      </c>
      <c r="T660" s="22">
        <v>16</v>
      </c>
      <c r="U660" s="24" t="s">
        <v>28</v>
      </c>
      <c r="V660" s="23">
        <v>45842</v>
      </c>
      <c r="W660" s="80" t="s">
        <v>30</v>
      </c>
      <c r="X660" s="83"/>
      <c r="Y660"/>
      <c r="Z660"/>
      <c r="AA660"/>
    </row>
    <row r="661" spans="1:28">
      <c r="A661" s="834" t="s">
        <v>24</v>
      </c>
      <c r="B661" s="835">
        <v>658</v>
      </c>
      <c r="C661" s="217" t="s">
        <v>1084</v>
      </c>
      <c r="D661" s="217" t="s">
        <v>34</v>
      </c>
      <c r="E661" s="218">
        <v>45787</v>
      </c>
      <c r="F661" s="217" t="s">
        <v>106</v>
      </c>
      <c r="G661" s="217">
        <v>13</v>
      </c>
      <c r="H661" s="217" t="s">
        <v>22</v>
      </c>
      <c r="I661" s="217" t="s">
        <v>28</v>
      </c>
      <c r="J661" s="838" t="s">
        <v>29</v>
      </c>
      <c r="K661" s="23"/>
      <c r="L661" s="834"/>
      <c r="M661" s="22"/>
      <c r="N661" s="23"/>
      <c r="O661" s="848"/>
      <c r="P661" s="23" t="s">
        <v>30</v>
      </c>
      <c r="Q661" s="23">
        <v>45834</v>
      </c>
      <c r="R661" s="79" t="s">
        <v>28</v>
      </c>
      <c r="S661" s="22" t="s">
        <v>32</v>
      </c>
      <c r="T661" s="22">
        <v>13</v>
      </c>
      <c r="U661" s="24" t="s">
        <v>28</v>
      </c>
      <c r="V661" s="23">
        <v>45833</v>
      </c>
      <c r="W661" s="96" t="s">
        <v>30</v>
      </c>
      <c r="X661" s="228"/>
      <c r="Y661"/>
      <c r="Z661"/>
      <c r="AA661"/>
    </row>
    <row r="662" spans="1:28">
      <c r="A662" s="834" t="s">
        <v>24</v>
      </c>
      <c r="B662" s="835">
        <v>659</v>
      </c>
      <c r="C662" s="217" t="s">
        <v>1085</v>
      </c>
      <c r="D662" s="217" t="s">
        <v>34</v>
      </c>
      <c r="E662" s="218">
        <v>45787</v>
      </c>
      <c r="F662" s="217" t="s">
        <v>885</v>
      </c>
      <c r="G662" s="217">
        <v>11</v>
      </c>
      <c r="H662" s="217" t="s">
        <v>22</v>
      </c>
      <c r="I662" s="217" t="s">
        <v>28</v>
      </c>
      <c r="J662" s="838" t="s">
        <v>29</v>
      </c>
      <c r="K662" s="23"/>
      <c r="L662" s="834"/>
      <c r="M662" s="22"/>
      <c r="N662" s="23"/>
      <c r="O662" s="848"/>
      <c r="P662" s="23" t="s">
        <v>1057</v>
      </c>
      <c r="Q662" s="23">
        <v>45825</v>
      </c>
      <c r="R662" s="79" t="s">
        <v>28</v>
      </c>
      <c r="S662" s="22" t="s">
        <v>1055</v>
      </c>
      <c r="T662" s="22">
        <v>12</v>
      </c>
      <c r="U662" s="24" t="s">
        <v>28</v>
      </c>
      <c r="V662" s="23">
        <v>45825</v>
      </c>
      <c r="W662" s="80" t="s">
        <v>30</v>
      </c>
      <c r="X662" s="83"/>
      <c r="Y662"/>
      <c r="Z662" s="776"/>
      <c r="AA662" s="776"/>
      <c r="AB662" s="776"/>
    </row>
    <row r="663" spans="1:28">
      <c r="A663" s="834" t="s">
        <v>24</v>
      </c>
      <c r="B663" s="835">
        <v>660</v>
      </c>
      <c r="C663" s="217" t="s">
        <v>1086</v>
      </c>
      <c r="D663" s="217" t="s">
        <v>34</v>
      </c>
      <c r="E663" s="218">
        <v>45787</v>
      </c>
      <c r="F663" s="217" t="s">
        <v>1087</v>
      </c>
      <c r="G663" s="217">
        <v>12</v>
      </c>
      <c r="H663" s="217" t="s">
        <v>22</v>
      </c>
      <c r="I663" s="217" t="s">
        <v>28</v>
      </c>
      <c r="J663" s="838" t="s">
        <v>29</v>
      </c>
      <c r="K663" s="23"/>
      <c r="L663" s="834"/>
      <c r="M663" s="22"/>
      <c r="N663" s="23"/>
      <c r="O663" s="848"/>
      <c r="P663" s="23" t="s">
        <v>1057</v>
      </c>
      <c r="Q663" s="23">
        <v>45834</v>
      </c>
      <c r="R663" s="79" t="s">
        <v>37</v>
      </c>
      <c r="S663" s="22" t="s">
        <v>1055</v>
      </c>
      <c r="T663" s="22">
        <v>12</v>
      </c>
      <c r="U663" s="22" t="s">
        <v>37</v>
      </c>
      <c r="V663" s="23">
        <v>45834</v>
      </c>
      <c r="W663" s="80" t="s">
        <v>30</v>
      </c>
      <c r="X663" s="83"/>
      <c r="Y663"/>
      <c r="Z663" s="776"/>
      <c r="AA663" s="776"/>
      <c r="AB663" s="776"/>
    </row>
    <row r="664" spans="1:28">
      <c r="A664" s="834" t="s">
        <v>24</v>
      </c>
      <c r="B664" s="835">
        <v>661</v>
      </c>
      <c r="C664" s="217" t="s">
        <v>1088</v>
      </c>
      <c r="D664" s="217" t="s">
        <v>64</v>
      </c>
      <c r="E664" s="218">
        <v>45787</v>
      </c>
      <c r="F664" s="217" t="s">
        <v>701</v>
      </c>
      <c r="G664" s="217">
        <v>13</v>
      </c>
      <c r="H664" s="217" t="s">
        <v>22</v>
      </c>
      <c r="I664" s="217" t="s">
        <v>28</v>
      </c>
      <c r="J664" s="838" t="s">
        <v>29</v>
      </c>
      <c r="K664" s="23"/>
      <c r="L664" s="834"/>
      <c r="M664" s="22"/>
      <c r="N664" s="23"/>
      <c r="O664" s="848"/>
      <c r="P664" s="23" t="s">
        <v>1057</v>
      </c>
      <c r="Q664" s="23">
        <v>45828</v>
      </c>
      <c r="R664" s="79" t="s">
        <v>1077</v>
      </c>
      <c r="S664" s="22" t="s">
        <v>1055</v>
      </c>
      <c r="T664" s="22">
        <v>10</v>
      </c>
      <c r="U664" s="22" t="s">
        <v>1077</v>
      </c>
      <c r="V664" s="23">
        <v>45828</v>
      </c>
      <c r="W664" s="80" t="s">
        <v>30</v>
      </c>
      <c r="X664" s="83"/>
      <c r="Y664"/>
      <c r="Z664" s="776"/>
      <c r="AA664" s="776"/>
      <c r="AB664" s="776"/>
    </row>
    <row r="665" spans="1:28">
      <c r="A665" s="834" t="s">
        <v>24</v>
      </c>
      <c r="B665" s="835">
        <v>662</v>
      </c>
      <c r="C665" s="217" t="s">
        <v>1089</v>
      </c>
      <c r="D665" s="217" t="s">
        <v>178</v>
      </c>
      <c r="E665" s="218">
        <v>45787</v>
      </c>
      <c r="F665" s="217" t="s">
        <v>701</v>
      </c>
      <c r="G665" s="217">
        <v>18</v>
      </c>
      <c r="H665" s="217" t="s">
        <v>22</v>
      </c>
      <c r="I665" s="217" t="s">
        <v>28</v>
      </c>
      <c r="J665" s="838" t="s">
        <v>29</v>
      </c>
      <c r="K665" s="23"/>
      <c r="L665" s="89"/>
      <c r="M665" s="22"/>
      <c r="N665" s="23"/>
      <c r="O665" s="848" t="s">
        <v>31</v>
      </c>
      <c r="P665" s="23" t="s">
        <v>1063</v>
      </c>
      <c r="Q665" s="23">
        <v>45828</v>
      </c>
      <c r="R665" s="79" t="s">
        <v>48</v>
      </c>
      <c r="S665" s="22" t="s">
        <v>32</v>
      </c>
      <c r="T665" s="22">
        <v>16</v>
      </c>
      <c r="U665" s="24" t="s">
        <v>48</v>
      </c>
      <c r="V665" s="23">
        <v>45828</v>
      </c>
      <c r="W665" s="80" t="s">
        <v>30</v>
      </c>
      <c r="X665" s="83"/>
      <c r="Y665"/>
      <c r="Z665"/>
      <c r="AA665"/>
    </row>
    <row r="666" spans="1:28">
      <c r="A666" s="834" t="s">
        <v>24</v>
      </c>
      <c r="B666" s="835">
        <v>663</v>
      </c>
      <c r="C666" s="217" t="s">
        <v>1090</v>
      </c>
      <c r="D666" s="217" t="s">
        <v>34</v>
      </c>
      <c r="E666" s="218">
        <v>45787</v>
      </c>
      <c r="F666" s="217" t="s">
        <v>93</v>
      </c>
      <c r="G666" s="217">
        <v>12</v>
      </c>
      <c r="H666" s="217" t="s">
        <v>22</v>
      </c>
      <c r="I666" s="217" t="s">
        <v>28</v>
      </c>
      <c r="J666" s="838" t="s">
        <v>29</v>
      </c>
      <c r="K666" s="97"/>
      <c r="L666" s="89"/>
      <c r="M666" s="22"/>
      <c r="N666" s="23"/>
      <c r="O666" s="848"/>
      <c r="P666" s="23" t="s">
        <v>32</v>
      </c>
      <c r="Q666" s="23">
        <v>45842</v>
      </c>
      <c r="R666" s="79" t="s">
        <v>28</v>
      </c>
      <c r="S666" s="22" t="s">
        <v>1091</v>
      </c>
      <c r="T666" s="22">
        <v>12</v>
      </c>
      <c r="U666" s="22" t="s">
        <v>28</v>
      </c>
      <c r="V666" s="23">
        <v>45842</v>
      </c>
      <c r="W666" s="80" t="s">
        <v>30</v>
      </c>
      <c r="X666" s="83"/>
      <c r="Y666"/>
      <c r="Z666"/>
      <c r="AA666"/>
    </row>
    <row r="667" spans="1:28">
      <c r="A667" s="834" t="s">
        <v>24</v>
      </c>
      <c r="B667" s="835">
        <v>664</v>
      </c>
      <c r="C667" s="217" t="s">
        <v>1092</v>
      </c>
      <c r="D667" s="217" t="s">
        <v>34</v>
      </c>
      <c r="E667" s="218">
        <v>45787</v>
      </c>
      <c r="F667" s="217" t="s">
        <v>126</v>
      </c>
      <c r="G667" s="217">
        <v>5</v>
      </c>
      <c r="H667" s="217" t="s">
        <v>111</v>
      </c>
      <c r="I667" s="217" t="s">
        <v>28</v>
      </c>
      <c r="J667" s="838" t="s">
        <v>29</v>
      </c>
      <c r="K667" s="23"/>
      <c r="L667" s="834"/>
      <c r="M667" s="22"/>
      <c r="N667" s="23"/>
      <c r="O667" s="848"/>
      <c r="P667" s="23" t="s">
        <v>1063</v>
      </c>
      <c r="Q667" s="23">
        <v>45812</v>
      </c>
      <c r="R667" s="79" t="s">
        <v>67</v>
      </c>
      <c r="S667" s="22" t="s">
        <v>1057</v>
      </c>
      <c r="T667" s="22">
        <v>5</v>
      </c>
      <c r="U667" s="24" t="s">
        <v>67</v>
      </c>
      <c r="V667" s="23">
        <v>45812</v>
      </c>
      <c r="W667" s="80" t="s">
        <v>30</v>
      </c>
      <c r="X667" s="83"/>
      <c r="Y667"/>
      <c r="Z667"/>
      <c r="AA667"/>
    </row>
    <row r="668" spans="1:28">
      <c r="A668" s="834" t="s">
        <v>24</v>
      </c>
      <c r="B668" s="835">
        <v>665</v>
      </c>
      <c r="C668" s="217" t="s">
        <v>1093</v>
      </c>
      <c r="D668" s="217" t="s">
        <v>102</v>
      </c>
      <c r="E668" s="218">
        <v>45787</v>
      </c>
      <c r="F668" s="217" t="s">
        <v>646</v>
      </c>
      <c r="G668" s="217">
        <v>10</v>
      </c>
      <c r="H668" s="217" t="s">
        <v>46</v>
      </c>
      <c r="I668" s="217" t="s">
        <v>47</v>
      </c>
      <c r="J668" s="838" t="s">
        <v>29</v>
      </c>
      <c r="K668" s="23"/>
      <c r="L668" s="89"/>
      <c r="M668" s="22"/>
      <c r="N668" s="23"/>
      <c r="O668" s="848"/>
      <c r="P668" s="23" t="s">
        <v>30</v>
      </c>
      <c r="Q668" s="23">
        <v>45807</v>
      </c>
      <c r="R668" s="79" t="s">
        <v>47</v>
      </c>
      <c r="S668" s="22" t="s">
        <v>32</v>
      </c>
      <c r="T668" s="22">
        <v>10</v>
      </c>
      <c r="U668" s="24" t="s">
        <v>47</v>
      </c>
      <c r="V668" s="23">
        <v>45807</v>
      </c>
      <c r="W668" s="80" t="s">
        <v>30</v>
      </c>
      <c r="X668" s="83"/>
      <c r="Y668"/>
      <c r="Z668"/>
      <c r="AA668"/>
    </row>
    <row r="669" spans="1:28">
      <c r="A669" s="834" t="s">
        <v>24</v>
      </c>
      <c r="B669" s="835">
        <v>666</v>
      </c>
      <c r="C669" s="217" t="s">
        <v>1094</v>
      </c>
      <c r="D669" s="217" t="s">
        <v>34</v>
      </c>
      <c r="E669" s="218">
        <v>45787</v>
      </c>
      <c r="F669" s="217" t="s">
        <v>1095</v>
      </c>
      <c r="G669" s="217">
        <v>20</v>
      </c>
      <c r="H669" s="217" t="s">
        <v>46</v>
      </c>
      <c r="I669" s="217" t="s">
        <v>47</v>
      </c>
      <c r="J669" s="838" t="s">
        <v>29</v>
      </c>
      <c r="K669" s="23" t="s">
        <v>1096</v>
      </c>
      <c r="L669" s="834"/>
      <c r="M669" s="22"/>
      <c r="N669" s="23"/>
      <c r="O669" s="848" t="s">
        <v>31</v>
      </c>
      <c r="P669" s="23" t="s">
        <v>30</v>
      </c>
      <c r="Q669" s="23">
        <v>45814</v>
      </c>
      <c r="R669" s="79" t="s">
        <v>47</v>
      </c>
      <c r="S669" s="22" t="s">
        <v>32</v>
      </c>
      <c r="T669" s="22">
        <v>20</v>
      </c>
      <c r="U669" s="24" t="s">
        <v>47</v>
      </c>
      <c r="V669" s="23">
        <v>45814</v>
      </c>
      <c r="W669" s="91" t="s">
        <v>30</v>
      </c>
      <c r="X669" s="228"/>
      <c r="Y669"/>
      <c r="Z669"/>
      <c r="AA669"/>
    </row>
    <row r="670" spans="1:28">
      <c r="A670" s="834" t="s">
        <v>24</v>
      </c>
      <c r="B670" s="835">
        <v>667</v>
      </c>
      <c r="C670" s="217" t="s">
        <v>1097</v>
      </c>
      <c r="D670" s="217" t="s">
        <v>34</v>
      </c>
      <c r="E670" s="218">
        <v>45787</v>
      </c>
      <c r="F670" s="217" t="s">
        <v>65</v>
      </c>
      <c r="G670" s="217">
        <v>12</v>
      </c>
      <c r="H670" s="217" t="s">
        <v>46</v>
      </c>
      <c r="I670" s="217" t="s">
        <v>47</v>
      </c>
      <c r="J670" s="838" t="s">
        <v>29</v>
      </c>
      <c r="K670" s="23"/>
      <c r="L670" s="838"/>
      <c r="M670" s="22"/>
      <c r="N670" s="23"/>
      <c r="O670" s="848"/>
      <c r="P670" s="23" t="s">
        <v>30</v>
      </c>
      <c r="Q670" s="23">
        <v>45817</v>
      </c>
      <c r="R670" s="79" t="s">
        <v>47</v>
      </c>
      <c r="S670" s="22" t="s">
        <v>32</v>
      </c>
      <c r="T670" s="22">
        <v>12</v>
      </c>
      <c r="U670" s="24" t="s">
        <v>47</v>
      </c>
      <c r="V670" s="23">
        <v>45817</v>
      </c>
      <c r="W670" s="80" t="s">
        <v>30</v>
      </c>
      <c r="X670" s="83"/>
      <c r="Y670"/>
      <c r="Z670"/>
      <c r="AA670"/>
    </row>
    <row r="671" spans="1:28">
      <c r="A671" s="834" t="s">
        <v>24</v>
      </c>
      <c r="B671" s="835">
        <v>668</v>
      </c>
      <c r="C671" s="217" t="s">
        <v>1098</v>
      </c>
      <c r="D671" s="217" t="s">
        <v>374</v>
      </c>
      <c r="E671" s="218">
        <v>45787</v>
      </c>
      <c r="F671" s="217" t="s">
        <v>914</v>
      </c>
      <c r="G671" s="217">
        <v>16</v>
      </c>
      <c r="H671" s="217" t="s">
        <v>21</v>
      </c>
      <c r="I671" s="217" t="s">
        <v>127</v>
      </c>
      <c r="J671" s="838" t="s">
        <v>29</v>
      </c>
      <c r="K671" s="23"/>
      <c r="L671" s="21"/>
      <c r="M671" s="22"/>
      <c r="N671" s="23"/>
      <c r="O671" s="848" t="s">
        <v>31</v>
      </c>
      <c r="P671" s="23" t="s">
        <v>1057</v>
      </c>
      <c r="Q671" s="23">
        <v>45819</v>
      </c>
      <c r="R671" s="79" t="s">
        <v>127</v>
      </c>
      <c r="S671" s="22" t="s">
        <v>1055</v>
      </c>
      <c r="T671" s="22">
        <v>16</v>
      </c>
      <c r="U671" s="24" t="s">
        <v>127</v>
      </c>
      <c r="V671" s="23">
        <v>45819</v>
      </c>
      <c r="W671" s="80" t="s">
        <v>30</v>
      </c>
      <c r="X671" s="83"/>
      <c r="Y671"/>
      <c r="Z671"/>
      <c r="AA671"/>
    </row>
    <row r="672" spans="1:28">
      <c r="A672" s="834" t="s">
        <v>24</v>
      </c>
      <c r="B672" s="835">
        <v>669</v>
      </c>
      <c r="C672" s="217" t="s">
        <v>1099</v>
      </c>
      <c r="D672" s="217" t="s">
        <v>34</v>
      </c>
      <c r="E672" s="218">
        <v>45787</v>
      </c>
      <c r="F672" s="217" t="s">
        <v>87</v>
      </c>
      <c r="G672" s="217">
        <v>6</v>
      </c>
      <c r="H672" s="217" t="s">
        <v>21</v>
      </c>
      <c r="I672" s="217" t="s">
        <v>127</v>
      </c>
      <c r="J672" s="838" t="s">
        <v>29</v>
      </c>
      <c r="K672" s="23"/>
      <c r="L672" s="834"/>
      <c r="M672" s="22"/>
      <c r="N672" s="23"/>
      <c r="O672" s="848" t="s">
        <v>66</v>
      </c>
      <c r="P672" s="23" t="s">
        <v>1057</v>
      </c>
      <c r="Q672" s="23">
        <v>45838</v>
      </c>
      <c r="R672" s="79" t="s">
        <v>127</v>
      </c>
      <c r="S672" s="22" t="s">
        <v>1055</v>
      </c>
      <c r="T672" s="22">
        <v>6</v>
      </c>
      <c r="U672" s="24" t="s">
        <v>127</v>
      </c>
      <c r="V672" s="23">
        <v>45838</v>
      </c>
      <c r="W672" s="80" t="s">
        <v>30</v>
      </c>
      <c r="X672" s="83"/>
      <c r="Y672"/>
      <c r="Z672"/>
      <c r="AA672"/>
    </row>
    <row r="673" spans="1:28">
      <c r="A673" s="834" t="s">
        <v>24</v>
      </c>
      <c r="B673" s="835">
        <v>670</v>
      </c>
      <c r="C673" s="838" t="s">
        <v>1100</v>
      </c>
      <c r="D673" s="838" t="s">
        <v>34</v>
      </c>
      <c r="E673" s="839">
        <v>45787</v>
      </c>
      <c r="F673" s="217" t="s">
        <v>87</v>
      </c>
      <c r="G673" s="838">
        <v>12</v>
      </c>
      <c r="H673" s="838" t="s">
        <v>21</v>
      </c>
      <c r="I673" s="838" t="s">
        <v>127</v>
      </c>
      <c r="J673" s="838" t="s">
        <v>29</v>
      </c>
      <c r="K673" s="23"/>
      <c r="L673" s="21"/>
      <c r="M673" s="22"/>
      <c r="N673" s="23"/>
      <c r="O673" s="848"/>
      <c r="P673" s="23" t="s">
        <v>1057</v>
      </c>
      <c r="Q673" s="23">
        <v>45819</v>
      </c>
      <c r="R673" s="79" t="s">
        <v>127</v>
      </c>
      <c r="S673" s="22" t="s">
        <v>1057</v>
      </c>
      <c r="T673" s="22">
        <v>12</v>
      </c>
      <c r="U673" s="24" t="s">
        <v>127</v>
      </c>
      <c r="V673" s="23">
        <v>45819</v>
      </c>
      <c r="W673" s="80" t="s">
        <v>30</v>
      </c>
      <c r="X673" s="83"/>
      <c r="Y673"/>
      <c r="Z673"/>
      <c r="AA673"/>
    </row>
    <row r="674" spans="1:28">
      <c r="A674" s="834" t="s">
        <v>24</v>
      </c>
      <c r="B674" s="835">
        <v>671</v>
      </c>
      <c r="C674" s="838" t="s">
        <v>1101</v>
      </c>
      <c r="D674" s="838" t="s">
        <v>34</v>
      </c>
      <c r="E674" s="839">
        <v>45787</v>
      </c>
      <c r="F674" s="838" t="s">
        <v>187</v>
      </c>
      <c r="G674" s="838">
        <v>10</v>
      </c>
      <c r="H674" s="838" t="s">
        <v>21</v>
      </c>
      <c r="I674" s="838" t="s">
        <v>127</v>
      </c>
      <c r="J674" s="838" t="s">
        <v>29</v>
      </c>
      <c r="K674" s="23" t="s">
        <v>273</v>
      </c>
      <c r="L674" s="838"/>
      <c r="M674" s="22"/>
      <c r="N674" s="23"/>
      <c r="O674" s="848"/>
      <c r="P674" s="23" t="s">
        <v>30</v>
      </c>
      <c r="Q674" s="23">
        <v>45819</v>
      </c>
      <c r="R674" s="79" t="s">
        <v>127</v>
      </c>
      <c r="S674" s="22" t="s">
        <v>1055</v>
      </c>
      <c r="T674" s="22">
        <v>10</v>
      </c>
      <c r="U674" s="24" t="s">
        <v>127</v>
      </c>
      <c r="V674" s="23">
        <v>45819</v>
      </c>
      <c r="W674" s="91" t="s">
        <v>30</v>
      </c>
      <c r="X674" s="228"/>
      <c r="Y674"/>
      <c r="Z674" s="776"/>
      <c r="AA674" s="776"/>
      <c r="AB674" s="776"/>
    </row>
    <row r="675" spans="1:28">
      <c r="A675" s="834" t="s">
        <v>24</v>
      </c>
      <c r="B675" s="835">
        <v>672</v>
      </c>
      <c r="C675" s="838" t="s">
        <v>1102</v>
      </c>
      <c r="D675" s="838" t="s">
        <v>34</v>
      </c>
      <c r="E675" s="839">
        <v>45787</v>
      </c>
      <c r="F675" s="838" t="s">
        <v>35</v>
      </c>
      <c r="G675" s="838">
        <v>10</v>
      </c>
      <c r="H675" s="838" t="s">
        <v>21</v>
      </c>
      <c r="I675" s="838" t="s">
        <v>127</v>
      </c>
      <c r="J675" s="838" t="s">
        <v>29</v>
      </c>
      <c r="K675" s="23"/>
      <c r="L675" s="21"/>
      <c r="M675" s="22"/>
      <c r="N675" s="23"/>
      <c r="O675" s="848"/>
      <c r="P675" s="23" t="s">
        <v>1057</v>
      </c>
      <c r="Q675" s="23">
        <v>45819</v>
      </c>
      <c r="R675" s="79" t="s">
        <v>127</v>
      </c>
      <c r="S675" s="22" t="s">
        <v>1063</v>
      </c>
      <c r="T675" s="22">
        <v>10</v>
      </c>
      <c r="U675" s="24" t="s">
        <v>127</v>
      </c>
      <c r="V675" s="23">
        <v>45819</v>
      </c>
      <c r="W675" s="80" t="s">
        <v>30</v>
      </c>
      <c r="X675" s="83"/>
      <c r="Y675"/>
      <c r="Z675" s="776"/>
      <c r="AA675" s="776"/>
      <c r="AB675" s="776"/>
    </row>
    <row r="676" spans="1:28">
      <c r="A676" s="834" t="s">
        <v>24</v>
      </c>
      <c r="B676" s="835">
        <v>673</v>
      </c>
      <c r="C676" s="838" t="s">
        <v>1103</v>
      </c>
      <c r="D676" s="838" t="s">
        <v>34</v>
      </c>
      <c r="E676" s="839">
        <v>45789</v>
      </c>
      <c r="F676" s="838" t="s">
        <v>1095</v>
      </c>
      <c r="G676" s="838">
        <v>14</v>
      </c>
      <c r="H676" s="838" t="s">
        <v>46</v>
      </c>
      <c r="I676" s="838" t="s">
        <v>47</v>
      </c>
      <c r="J676" s="838" t="s">
        <v>29</v>
      </c>
      <c r="K676" s="23" t="s">
        <v>1096</v>
      </c>
      <c r="L676" s="834"/>
      <c r="M676" s="22"/>
      <c r="N676" s="23"/>
      <c r="O676" s="848"/>
      <c r="P676" s="23" t="s">
        <v>30</v>
      </c>
      <c r="Q676" s="23">
        <v>45819</v>
      </c>
      <c r="R676" s="79" t="s">
        <v>47</v>
      </c>
      <c r="S676" s="22" t="s">
        <v>32</v>
      </c>
      <c r="T676" s="22">
        <v>13</v>
      </c>
      <c r="U676" s="24" t="s">
        <v>47</v>
      </c>
      <c r="V676" s="23">
        <v>45819</v>
      </c>
      <c r="W676" s="91" t="s">
        <v>1057</v>
      </c>
      <c r="X676" s="228"/>
      <c r="Y676"/>
      <c r="Z676" s="776"/>
      <c r="AA676" s="776"/>
      <c r="AB676" s="776"/>
    </row>
    <row r="677" spans="1:28">
      <c r="A677" s="834" t="s">
        <v>24</v>
      </c>
      <c r="B677" s="835">
        <v>674</v>
      </c>
      <c r="C677" s="838" t="s">
        <v>1104</v>
      </c>
      <c r="D677" s="838" t="s">
        <v>178</v>
      </c>
      <c r="E677" s="839">
        <v>45790</v>
      </c>
      <c r="F677" s="838" t="s">
        <v>1105</v>
      </c>
      <c r="G677" s="838">
        <v>31</v>
      </c>
      <c r="H677" s="838" t="s">
        <v>22</v>
      </c>
      <c r="I677" s="838" t="s">
        <v>28</v>
      </c>
      <c r="J677" s="838" t="s">
        <v>29</v>
      </c>
      <c r="K677" s="23" t="s">
        <v>1069</v>
      </c>
      <c r="L677" s="21"/>
      <c r="M677" s="22"/>
      <c r="N677" s="23"/>
      <c r="O677" s="848" t="s">
        <v>31</v>
      </c>
      <c r="P677" s="23" t="s">
        <v>1057</v>
      </c>
      <c r="Q677" s="23">
        <v>45833</v>
      </c>
      <c r="R677" s="79" t="s">
        <v>46</v>
      </c>
      <c r="S677" s="22" t="s">
        <v>1055</v>
      </c>
      <c r="T677" s="22">
        <v>11</v>
      </c>
      <c r="U677" s="24" t="s">
        <v>46</v>
      </c>
      <c r="V677" s="23">
        <v>45833</v>
      </c>
      <c r="W677" s="80" t="s">
        <v>30</v>
      </c>
      <c r="X677" s="83"/>
      <c r="Y677"/>
      <c r="Z677" s="776"/>
      <c r="AA677" s="776"/>
      <c r="AB677" s="776"/>
    </row>
    <row r="678" spans="1:28">
      <c r="A678" s="834" t="s">
        <v>24</v>
      </c>
      <c r="B678" s="835">
        <v>675</v>
      </c>
      <c r="C678" s="838" t="s">
        <v>1106</v>
      </c>
      <c r="D678" s="838" t="s">
        <v>129</v>
      </c>
      <c r="E678" s="839">
        <v>45791</v>
      </c>
      <c r="F678" s="838" t="s">
        <v>1105</v>
      </c>
      <c r="G678" s="838">
        <v>11</v>
      </c>
      <c r="H678" s="838" t="s">
        <v>22</v>
      </c>
      <c r="I678" s="838" t="s">
        <v>28</v>
      </c>
      <c r="J678" s="838" t="s">
        <v>29</v>
      </c>
      <c r="K678" s="97"/>
      <c r="L678" s="21"/>
      <c r="M678" s="22"/>
      <c r="N678" s="23"/>
      <c r="O678" s="848"/>
      <c r="P678" s="23" t="s">
        <v>30</v>
      </c>
      <c r="Q678" s="23">
        <v>45842</v>
      </c>
      <c r="R678" s="79" t="s">
        <v>28</v>
      </c>
      <c r="S678" s="22" t="s">
        <v>32</v>
      </c>
      <c r="T678" s="22">
        <v>11</v>
      </c>
      <c r="U678" s="22" t="s">
        <v>28</v>
      </c>
      <c r="V678" s="23">
        <v>45842</v>
      </c>
      <c r="W678" s="80" t="s">
        <v>30</v>
      </c>
      <c r="X678" s="83"/>
      <c r="Y678"/>
      <c r="Z678" s="776"/>
      <c r="AA678" s="776"/>
      <c r="AB678" s="776"/>
    </row>
    <row r="679" spans="1:28">
      <c r="A679" s="834" t="s">
        <v>24</v>
      </c>
      <c r="B679" s="835">
        <v>676</v>
      </c>
      <c r="C679" s="838" t="s">
        <v>1107</v>
      </c>
      <c r="D679" s="838" t="s">
        <v>50</v>
      </c>
      <c r="E679" s="839">
        <v>45791</v>
      </c>
      <c r="F679" s="838" t="s">
        <v>1081</v>
      </c>
      <c r="G679" s="838">
        <v>12</v>
      </c>
      <c r="H679" s="838" t="s">
        <v>21</v>
      </c>
      <c r="I679" s="838" t="s">
        <v>127</v>
      </c>
      <c r="J679" s="838" t="s">
        <v>29</v>
      </c>
      <c r="K679" s="89"/>
      <c r="L679" s="21"/>
      <c r="M679" s="22"/>
      <c r="N679" s="23"/>
      <c r="O679" s="848"/>
      <c r="P679" s="23" t="s">
        <v>1057</v>
      </c>
      <c r="Q679" s="23">
        <v>45813</v>
      </c>
      <c r="R679" s="79" t="s">
        <v>127</v>
      </c>
      <c r="S679" s="22" t="s">
        <v>1055</v>
      </c>
      <c r="T679" s="22">
        <v>12</v>
      </c>
      <c r="U679" s="24" t="s">
        <v>127</v>
      </c>
      <c r="V679" s="23">
        <v>45813</v>
      </c>
      <c r="W679" s="80" t="s">
        <v>30</v>
      </c>
      <c r="X679" s="83"/>
      <c r="Y679"/>
      <c r="Z679" s="776"/>
      <c r="AA679" s="776"/>
      <c r="AB679" s="776"/>
    </row>
    <row r="680" spans="1:28">
      <c r="A680" s="834" t="s">
        <v>24</v>
      </c>
      <c r="B680" s="835">
        <v>677</v>
      </c>
      <c r="C680" s="838" t="s">
        <v>1108</v>
      </c>
      <c r="D680" s="838" t="s">
        <v>34</v>
      </c>
      <c r="E680" s="839">
        <v>45794</v>
      </c>
      <c r="F680" s="838" t="s">
        <v>324</v>
      </c>
      <c r="G680" s="838">
        <v>12</v>
      </c>
      <c r="H680" s="842" t="s">
        <v>21</v>
      </c>
      <c r="I680" s="838" t="s">
        <v>127</v>
      </c>
      <c r="J680" s="838" t="s">
        <v>29</v>
      </c>
      <c r="K680" s="21"/>
      <c r="L680" s="21"/>
      <c r="M680" s="22"/>
      <c r="N680" s="23"/>
      <c r="O680" s="848"/>
      <c r="P680" s="23" t="s">
        <v>1057</v>
      </c>
      <c r="Q680" s="23">
        <v>45819</v>
      </c>
      <c r="R680" s="79" t="s">
        <v>127</v>
      </c>
      <c r="S680" s="22" t="s">
        <v>1055</v>
      </c>
      <c r="T680" s="22">
        <v>12</v>
      </c>
      <c r="U680" s="24" t="s">
        <v>127</v>
      </c>
      <c r="V680" s="23">
        <v>45819</v>
      </c>
      <c r="W680" s="80" t="s">
        <v>30</v>
      </c>
      <c r="X680" s="83"/>
      <c r="Y680"/>
      <c r="Z680" s="776"/>
      <c r="AA680" s="776"/>
      <c r="AB680" s="776"/>
    </row>
    <row r="681" spans="1:28">
      <c r="A681" s="834" t="s">
        <v>24</v>
      </c>
      <c r="B681" s="835">
        <v>678</v>
      </c>
      <c r="C681" s="838" t="s">
        <v>1109</v>
      </c>
      <c r="D681" s="838" t="s">
        <v>50</v>
      </c>
      <c r="E681" s="839">
        <v>45794</v>
      </c>
      <c r="F681" s="838" t="s">
        <v>1110</v>
      </c>
      <c r="G681" s="838">
        <v>12</v>
      </c>
      <c r="H681" s="842" t="s">
        <v>21</v>
      </c>
      <c r="I681" s="838" t="s">
        <v>127</v>
      </c>
      <c r="J681" s="838" t="s">
        <v>29</v>
      </c>
      <c r="K681" s="21"/>
      <c r="L681" s="21"/>
      <c r="M681" s="22"/>
      <c r="N681" s="23"/>
      <c r="O681" s="848"/>
      <c r="P681" s="23" t="s">
        <v>1057</v>
      </c>
      <c r="Q681" s="23">
        <v>45811</v>
      </c>
      <c r="R681" s="79" t="s">
        <v>127</v>
      </c>
      <c r="S681" s="22" t="s">
        <v>1055</v>
      </c>
      <c r="T681" s="22">
        <v>12</v>
      </c>
      <c r="U681" s="24" t="s">
        <v>127</v>
      </c>
      <c r="V681" s="23">
        <v>45811</v>
      </c>
      <c r="W681" s="80" t="s">
        <v>30</v>
      </c>
      <c r="X681" s="83"/>
      <c r="Y681"/>
      <c r="Z681" s="776"/>
      <c r="AA681" s="776"/>
      <c r="AB681" s="776"/>
    </row>
    <row r="682" spans="1:28">
      <c r="A682" s="834" t="s">
        <v>24</v>
      </c>
      <c r="B682" s="835">
        <v>679</v>
      </c>
      <c r="C682" s="838" t="s">
        <v>1111</v>
      </c>
      <c r="D682" s="838" t="s">
        <v>34</v>
      </c>
      <c r="E682" s="839">
        <v>45794</v>
      </c>
      <c r="F682" s="838" t="s">
        <v>35</v>
      </c>
      <c r="G682" s="838">
        <v>9</v>
      </c>
      <c r="H682" s="838" t="s">
        <v>21</v>
      </c>
      <c r="I682" s="838" t="s">
        <v>127</v>
      </c>
      <c r="J682" s="838" t="s">
        <v>29</v>
      </c>
      <c r="K682" s="21"/>
      <c r="L682" s="89"/>
      <c r="M682" s="22"/>
      <c r="N682" s="23"/>
      <c r="O682" s="848"/>
      <c r="P682" s="23" t="s">
        <v>1057</v>
      </c>
      <c r="Q682" s="23">
        <v>45813</v>
      </c>
      <c r="R682" s="79" t="s">
        <v>21</v>
      </c>
      <c r="S682" s="22" t="s">
        <v>1055</v>
      </c>
      <c r="T682" s="22">
        <v>9</v>
      </c>
      <c r="U682" s="24" t="s">
        <v>21</v>
      </c>
      <c r="V682" s="23">
        <v>45813</v>
      </c>
      <c r="W682" s="80" t="s">
        <v>30</v>
      </c>
      <c r="X682" s="83"/>
      <c r="Y682"/>
      <c r="Z682" s="776"/>
      <c r="AA682" s="776"/>
      <c r="AB682" s="776"/>
    </row>
    <row r="683" spans="1:28">
      <c r="A683" s="834" t="s">
        <v>24</v>
      </c>
      <c r="B683" s="835">
        <v>680</v>
      </c>
      <c r="C683" s="838" t="s">
        <v>1112</v>
      </c>
      <c r="D683" s="838" t="s">
        <v>34</v>
      </c>
      <c r="E683" s="839">
        <v>45794</v>
      </c>
      <c r="F683" s="838" t="s">
        <v>1113</v>
      </c>
      <c r="G683" s="838">
        <v>6</v>
      </c>
      <c r="H683" s="842" t="s">
        <v>21</v>
      </c>
      <c r="I683" s="838" t="s">
        <v>127</v>
      </c>
      <c r="J683" s="838" t="s">
        <v>29</v>
      </c>
      <c r="K683" s="21"/>
      <c r="L683" s="21"/>
      <c r="M683" s="22"/>
      <c r="N683" s="23"/>
      <c r="O683" s="848"/>
      <c r="P683" s="23" t="s">
        <v>1057</v>
      </c>
      <c r="Q683" s="23">
        <v>45811</v>
      </c>
      <c r="R683" s="79" t="s">
        <v>21</v>
      </c>
      <c r="S683" s="22" t="s">
        <v>1055</v>
      </c>
      <c r="T683" s="22">
        <v>6</v>
      </c>
      <c r="U683" s="24" t="s">
        <v>21</v>
      </c>
      <c r="V683" s="23">
        <v>45811</v>
      </c>
      <c r="W683" s="80" t="s">
        <v>30</v>
      </c>
      <c r="X683" s="83"/>
      <c r="Y683"/>
      <c r="Z683"/>
      <c r="AA683"/>
    </row>
    <row r="684" spans="1:28">
      <c r="A684" s="834" t="s">
        <v>24</v>
      </c>
      <c r="B684" s="835">
        <v>681</v>
      </c>
      <c r="C684" s="838" t="s">
        <v>1114</v>
      </c>
      <c r="D684" s="838" t="s">
        <v>234</v>
      </c>
      <c r="E684" s="839">
        <v>45794</v>
      </c>
      <c r="F684" s="838" t="s">
        <v>1113</v>
      </c>
      <c r="G684" s="838">
        <v>6</v>
      </c>
      <c r="H684" s="842" t="s">
        <v>21</v>
      </c>
      <c r="I684" s="838" t="s">
        <v>127</v>
      </c>
      <c r="J684" s="838" t="s">
        <v>29</v>
      </c>
      <c r="K684" s="89"/>
      <c r="L684" s="21"/>
      <c r="M684" s="22"/>
      <c r="N684" s="23"/>
      <c r="O684" s="848"/>
      <c r="P684" s="23" t="s">
        <v>1057</v>
      </c>
      <c r="Q684" s="23">
        <v>45812</v>
      </c>
      <c r="R684" s="79" t="s">
        <v>21</v>
      </c>
      <c r="S684" s="22" t="s">
        <v>1055</v>
      </c>
      <c r="T684" s="22">
        <v>6</v>
      </c>
      <c r="U684" s="24" t="s">
        <v>21</v>
      </c>
      <c r="V684" s="23">
        <v>45812</v>
      </c>
      <c r="W684" s="80" t="s">
        <v>30</v>
      </c>
      <c r="X684" s="83"/>
      <c r="Y684"/>
      <c r="Z684"/>
      <c r="AA684"/>
    </row>
    <row r="685" spans="1:28">
      <c r="A685" s="834" t="s">
        <v>24</v>
      </c>
      <c r="B685" s="835">
        <v>682</v>
      </c>
      <c r="C685" s="838" t="s">
        <v>1115</v>
      </c>
      <c r="D685" s="838" t="s">
        <v>34</v>
      </c>
      <c r="E685" s="839">
        <v>45794</v>
      </c>
      <c r="F685" s="838" t="s">
        <v>117</v>
      </c>
      <c r="G685" s="838">
        <v>10</v>
      </c>
      <c r="H685" s="842" t="s">
        <v>22</v>
      </c>
      <c r="I685" s="838" t="s">
        <v>28</v>
      </c>
      <c r="J685" s="838" t="s">
        <v>29</v>
      </c>
      <c r="K685" s="89"/>
      <c r="L685" s="21"/>
      <c r="M685" s="22"/>
      <c r="N685" s="23"/>
      <c r="O685" s="848"/>
      <c r="P685" s="23" t="s">
        <v>1063</v>
      </c>
      <c r="Q685" s="23">
        <v>45828</v>
      </c>
      <c r="R685" s="79" t="s">
        <v>48</v>
      </c>
      <c r="S685" s="22" t="s">
        <v>1063</v>
      </c>
      <c r="T685" s="22">
        <v>13</v>
      </c>
      <c r="U685" s="24" t="s">
        <v>48</v>
      </c>
      <c r="V685" s="23">
        <v>45828</v>
      </c>
      <c r="W685" s="80" t="s">
        <v>30</v>
      </c>
      <c r="X685" s="83"/>
      <c r="Y685"/>
      <c r="Z685"/>
      <c r="AA685"/>
    </row>
    <row r="686" spans="1:28">
      <c r="A686" s="834" t="s">
        <v>24</v>
      </c>
      <c r="B686" s="835">
        <v>683</v>
      </c>
      <c r="C686" s="838" t="s">
        <v>1116</v>
      </c>
      <c r="D686" s="838" t="s">
        <v>34</v>
      </c>
      <c r="E686" s="839">
        <v>45794</v>
      </c>
      <c r="F686" s="838" t="s">
        <v>93</v>
      </c>
      <c r="G686" s="838">
        <v>12</v>
      </c>
      <c r="H686" s="842" t="s">
        <v>22</v>
      </c>
      <c r="I686" s="838" t="s">
        <v>28</v>
      </c>
      <c r="J686" s="838" t="s">
        <v>29</v>
      </c>
      <c r="K686" s="21" t="s">
        <v>283</v>
      </c>
      <c r="L686" s="21"/>
      <c r="M686" s="22"/>
      <c r="N686" s="23"/>
      <c r="O686" s="848"/>
      <c r="P686" s="23" t="s">
        <v>1057</v>
      </c>
      <c r="Q686" s="23">
        <v>45835</v>
      </c>
      <c r="R686" s="79" t="s">
        <v>48</v>
      </c>
      <c r="S686" s="22" t="s">
        <v>1055</v>
      </c>
      <c r="T686" s="22">
        <v>12</v>
      </c>
      <c r="U686" s="24" t="s">
        <v>48</v>
      </c>
      <c r="V686" s="23">
        <v>45835</v>
      </c>
      <c r="W686" s="96" t="s">
        <v>30</v>
      </c>
      <c r="X686" s="228"/>
      <c r="Y686"/>
      <c r="Z686"/>
      <c r="AA686"/>
    </row>
    <row r="687" spans="1:28">
      <c r="A687" s="834" t="s">
        <v>24</v>
      </c>
      <c r="B687" s="835">
        <v>684</v>
      </c>
      <c r="C687" s="838" t="s">
        <v>1117</v>
      </c>
      <c r="D687" s="838" t="s">
        <v>26</v>
      </c>
      <c r="E687" s="839">
        <v>45794</v>
      </c>
      <c r="F687" s="838" t="s">
        <v>912</v>
      </c>
      <c r="G687" s="838">
        <v>12</v>
      </c>
      <c r="H687" s="842" t="s">
        <v>22</v>
      </c>
      <c r="I687" s="838" t="s">
        <v>28</v>
      </c>
      <c r="J687" s="838" t="s">
        <v>29</v>
      </c>
      <c r="K687" s="21"/>
      <c r="L687" s="834"/>
      <c r="M687" s="22"/>
      <c r="N687" s="23"/>
      <c r="O687" s="848"/>
      <c r="P687" s="23" t="s">
        <v>1057</v>
      </c>
      <c r="Q687" s="23">
        <v>45826</v>
      </c>
      <c r="R687" s="79" t="s">
        <v>1077</v>
      </c>
      <c r="S687" s="22" t="s">
        <v>1055</v>
      </c>
      <c r="T687" s="22">
        <v>10</v>
      </c>
      <c r="U687" s="22" t="s">
        <v>1077</v>
      </c>
      <c r="V687" s="23">
        <v>45826</v>
      </c>
      <c r="W687" s="96" t="s">
        <v>30</v>
      </c>
      <c r="X687" s="83"/>
      <c r="Y687"/>
      <c r="Z687"/>
      <c r="AA687"/>
    </row>
    <row r="688" spans="1:28">
      <c r="A688" s="834" t="s">
        <v>24</v>
      </c>
      <c r="B688" s="835">
        <v>685</v>
      </c>
      <c r="C688" s="838" t="s">
        <v>1118</v>
      </c>
      <c r="D688" s="838" t="s">
        <v>34</v>
      </c>
      <c r="E688" s="839">
        <v>45794</v>
      </c>
      <c r="F688" s="838" t="s">
        <v>206</v>
      </c>
      <c r="G688" s="838">
        <v>16</v>
      </c>
      <c r="H688" s="842" t="s">
        <v>22</v>
      </c>
      <c r="I688" s="838" t="s">
        <v>28</v>
      </c>
      <c r="J688" s="838" t="s">
        <v>29</v>
      </c>
      <c r="K688" s="97"/>
      <c r="L688" s="834"/>
      <c r="M688" s="22"/>
      <c r="N688" s="23"/>
      <c r="O688" s="848" t="s">
        <v>31</v>
      </c>
      <c r="P688" s="23" t="s">
        <v>30</v>
      </c>
      <c r="Q688" s="23">
        <v>45842</v>
      </c>
      <c r="R688" s="79" t="s">
        <v>28</v>
      </c>
      <c r="S688" s="23" t="s">
        <v>30</v>
      </c>
      <c r="T688" s="22"/>
      <c r="U688" s="24" t="s">
        <v>28</v>
      </c>
      <c r="V688" s="23">
        <v>45842</v>
      </c>
      <c r="W688" s="96" t="s">
        <v>30</v>
      </c>
      <c r="X688" s="228"/>
      <c r="Y688"/>
      <c r="Z688"/>
      <c r="AA688"/>
    </row>
    <row r="689" spans="1:31">
      <c r="A689" s="834" t="s">
        <v>24</v>
      </c>
      <c r="B689" s="835">
        <v>686</v>
      </c>
      <c r="C689" s="838" t="s">
        <v>1119</v>
      </c>
      <c r="D689" s="838" t="s">
        <v>34</v>
      </c>
      <c r="E689" s="839">
        <v>45794</v>
      </c>
      <c r="F689" s="838" t="s">
        <v>165</v>
      </c>
      <c r="G689" s="838">
        <v>5</v>
      </c>
      <c r="H689" s="842" t="s">
        <v>46</v>
      </c>
      <c r="I689" s="838" t="s">
        <v>47</v>
      </c>
      <c r="J689" s="838" t="s">
        <v>29</v>
      </c>
      <c r="K689" s="21"/>
      <c r="L689" s="21"/>
      <c r="M689" s="22"/>
      <c r="N689" s="23"/>
      <c r="O689" s="848" t="s">
        <v>66</v>
      </c>
      <c r="P689" s="23" t="s">
        <v>30</v>
      </c>
      <c r="Q689" s="23">
        <v>45819</v>
      </c>
      <c r="R689" s="79" t="s">
        <v>47</v>
      </c>
      <c r="S689" s="22" t="s">
        <v>32</v>
      </c>
      <c r="T689" s="22">
        <v>5</v>
      </c>
      <c r="U689" s="24" t="s">
        <v>47</v>
      </c>
      <c r="V689" s="23">
        <v>45819</v>
      </c>
      <c r="W689" s="80" t="s">
        <v>30</v>
      </c>
      <c r="X689" s="83"/>
      <c r="Y689"/>
      <c r="Z689"/>
      <c r="AA689"/>
    </row>
    <row r="690" spans="1:31">
      <c r="A690" s="834" t="s">
        <v>24</v>
      </c>
      <c r="B690" s="835">
        <v>687</v>
      </c>
      <c r="C690" s="838" t="s">
        <v>1120</v>
      </c>
      <c r="D690" s="838" t="s">
        <v>34</v>
      </c>
      <c r="E690" s="839">
        <v>45794</v>
      </c>
      <c r="F690" s="838" t="s">
        <v>165</v>
      </c>
      <c r="G690" s="838">
        <v>14</v>
      </c>
      <c r="H690" s="842" t="s">
        <v>46</v>
      </c>
      <c r="I690" s="838" t="s">
        <v>47</v>
      </c>
      <c r="J690" s="838" t="s">
        <v>29</v>
      </c>
      <c r="K690" s="89"/>
      <c r="L690" s="21"/>
      <c r="M690" s="22"/>
      <c r="N690" s="23"/>
      <c r="O690" s="848"/>
      <c r="P690" s="23" t="s">
        <v>30</v>
      </c>
      <c r="Q690" s="23">
        <v>45842</v>
      </c>
      <c r="R690" s="79" t="s">
        <v>47</v>
      </c>
      <c r="S690" s="22" t="s">
        <v>1055</v>
      </c>
      <c r="T690" s="22">
        <v>14</v>
      </c>
      <c r="U690" s="24" t="s">
        <v>47</v>
      </c>
      <c r="V690" s="23">
        <v>45842</v>
      </c>
      <c r="W690" s="80" t="s">
        <v>30</v>
      </c>
      <c r="X690" s="83"/>
      <c r="Y690"/>
      <c r="Z690"/>
      <c r="AA690"/>
    </row>
    <row r="691" spans="1:31">
      <c r="A691" s="834" t="s">
        <v>24</v>
      </c>
      <c r="B691" s="835">
        <v>688</v>
      </c>
      <c r="C691" s="838" t="s">
        <v>1121</v>
      </c>
      <c r="D691" s="838" t="s">
        <v>34</v>
      </c>
      <c r="E691" s="839">
        <v>45794</v>
      </c>
      <c r="F691" s="838" t="s">
        <v>1122</v>
      </c>
      <c r="G691" s="838">
        <v>12</v>
      </c>
      <c r="H691" s="842" t="s">
        <v>46</v>
      </c>
      <c r="I691" s="838" t="s">
        <v>47</v>
      </c>
      <c r="J691" s="838" t="s">
        <v>29</v>
      </c>
      <c r="K691" s="21"/>
      <c r="L691" s="21"/>
      <c r="M691" s="22"/>
      <c r="N691" s="23"/>
      <c r="O691" s="848"/>
      <c r="P691" s="23" t="s">
        <v>30</v>
      </c>
      <c r="Q691" s="23">
        <v>45826</v>
      </c>
      <c r="R691" s="79" t="s">
        <v>47</v>
      </c>
      <c r="S691" s="22" t="s">
        <v>32</v>
      </c>
      <c r="T691" s="22">
        <v>12</v>
      </c>
      <c r="U691" s="24" t="s">
        <v>47</v>
      </c>
      <c r="V691" s="23">
        <v>45826</v>
      </c>
      <c r="W691" s="80" t="s">
        <v>30</v>
      </c>
      <c r="X691" s="83"/>
      <c r="Y691"/>
      <c r="Z691" s="776"/>
      <c r="AA691" s="776"/>
      <c r="AB691" s="776"/>
    </row>
    <row r="692" spans="1:31">
      <c r="A692" s="834" t="s">
        <v>24</v>
      </c>
      <c r="B692" s="835">
        <v>689</v>
      </c>
      <c r="C692" s="838" t="s">
        <v>1123</v>
      </c>
      <c r="D692" s="838" t="s">
        <v>406</v>
      </c>
      <c r="E692" s="839">
        <v>45794</v>
      </c>
      <c r="F692" s="838" t="s">
        <v>1124</v>
      </c>
      <c r="G692" s="838">
        <v>6</v>
      </c>
      <c r="H692" s="842" t="s">
        <v>46</v>
      </c>
      <c r="I692" s="838" t="s">
        <v>47</v>
      </c>
      <c r="J692" s="838" t="s">
        <v>29</v>
      </c>
      <c r="K692" s="21" t="s">
        <v>1125</v>
      </c>
      <c r="L692" s="21"/>
      <c r="M692" s="22"/>
      <c r="N692" s="23"/>
      <c r="O692" s="848"/>
      <c r="P692" s="23" t="s">
        <v>30</v>
      </c>
      <c r="Q692" s="23">
        <v>45825</v>
      </c>
      <c r="R692" s="79" t="s">
        <v>48</v>
      </c>
      <c r="S692" s="22" t="s">
        <v>32</v>
      </c>
      <c r="T692" s="22">
        <v>6</v>
      </c>
      <c r="U692" s="24" t="s">
        <v>48</v>
      </c>
      <c r="V692" s="23">
        <v>45825</v>
      </c>
      <c r="W692" s="80" t="s">
        <v>32</v>
      </c>
      <c r="X692" s="228"/>
      <c r="Y692"/>
      <c r="Z692"/>
      <c r="AA692"/>
    </row>
    <row r="693" spans="1:31">
      <c r="A693" s="834" t="s">
        <v>24</v>
      </c>
      <c r="B693" s="835">
        <v>690</v>
      </c>
      <c r="C693" s="227" t="s">
        <v>1126</v>
      </c>
      <c r="D693" s="227" t="s">
        <v>716</v>
      </c>
      <c r="E693" s="226">
        <v>45794</v>
      </c>
      <c r="F693" s="838" t="s">
        <v>1124</v>
      </c>
      <c r="G693" s="227">
        <v>6</v>
      </c>
      <c r="H693" s="227" t="s">
        <v>46</v>
      </c>
      <c r="I693" s="227" t="s">
        <v>47</v>
      </c>
      <c r="J693" s="838" t="s">
        <v>29</v>
      </c>
      <c r="K693" s="21" t="s">
        <v>1125</v>
      </c>
      <c r="L693" s="21"/>
      <c r="M693" s="22"/>
      <c r="N693" s="23"/>
      <c r="O693" s="23"/>
      <c r="P693" s="23" t="s">
        <v>30</v>
      </c>
      <c r="Q693" s="23">
        <v>45825</v>
      </c>
      <c r="R693" s="79" t="s">
        <v>48</v>
      </c>
      <c r="S693" s="22" t="s">
        <v>32</v>
      </c>
      <c r="T693" s="22">
        <v>6</v>
      </c>
      <c r="U693" s="24" t="s">
        <v>48</v>
      </c>
      <c r="V693" s="23">
        <v>45825</v>
      </c>
      <c r="W693" s="80" t="s">
        <v>32</v>
      </c>
      <c r="X693" s="228"/>
      <c r="Y693" s="87"/>
      <c r="Z693" s="84"/>
      <c r="AA693" s="88"/>
      <c r="AB693" s="84"/>
      <c r="AC693" s="71"/>
      <c r="AD693" s="71"/>
      <c r="AE693" s="71"/>
    </row>
    <row r="694" spans="1:31">
      <c r="A694" s="834" t="s">
        <v>24</v>
      </c>
      <c r="B694" s="835">
        <v>691</v>
      </c>
      <c r="C694" s="227" t="s">
        <v>1127</v>
      </c>
      <c r="D694" s="227" t="s">
        <v>34</v>
      </c>
      <c r="E694" s="226">
        <v>45794</v>
      </c>
      <c r="F694" s="838" t="s">
        <v>1128</v>
      </c>
      <c r="G694" s="227">
        <v>8</v>
      </c>
      <c r="H694" s="227" t="s">
        <v>46</v>
      </c>
      <c r="I694" s="227" t="s">
        <v>47</v>
      </c>
      <c r="J694" s="838" t="s">
        <v>29</v>
      </c>
      <c r="K694" s="21"/>
      <c r="L694" s="21"/>
      <c r="M694" s="22"/>
      <c r="N694" s="23"/>
      <c r="O694" s="23"/>
      <c r="P694" s="23" t="s">
        <v>30</v>
      </c>
      <c r="Q694" s="23">
        <v>45826</v>
      </c>
      <c r="R694" s="79" t="s">
        <v>47</v>
      </c>
      <c r="S694" s="22" t="s">
        <v>32</v>
      </c>
      <c r="T694" s="22">
        <v>8</v>
      </c>
      <c r="U694" s="24" t="s">
        <v>47</v>
      </c>
      <c r="V694" s="23">
        <v>45826</v>
      </c>
      <c r="W694" s="80" t="s">
        <v>30</v>
      </c>
      <c r="X694" s="83"/>
      <c r="Y694"/>
      <c r="Z694"/>
      <c r="AA694"/>
    </row>
    <row r="695" spans="1:31">
      <c r="A695" s="834" t="s">
        <v>24</v>
      </c>
      <c r="B695" s="835">
        <v>692</v>
      </c>
      <c r="C695" s="227" t="s">
        <v>1129</v>
      </c>
      <c r="D695" s="227" t="s">
        <v>34</v>
      </c>
      <c r="E695" s="226">
        <v>45794</v>
      </c>
      <c r="F695" s="838" t="s">
        <v>494</v>
      </c>
      <c r="G695" s="227">
        <v>12</v>
      </c>
      <c r="H695" s="227" t="s">
        <v>46</v>
      </c>
      <c r="I695" s="227" t="s">
        <v>47</v>
      </c>
      <c r="J695" s="838" t="s">
        <v>29</v>
      </c>
      <c r="K695" s="21"/>
      <c r="L695" s="21"/>
      <c r="M695" s="22"/>
      <c r="N695" s="23"/>
      <c r="O695" s="23"/>
      <c r="P695" s="23" t="s">
        <v>30</v>
      </c>
      <c r="Q695" s="23">
        <v>45832</v>
      </c>
      <c r="R695" s="79" t="s">
        <v>47</v>
      </c>
      <c r="S695" s="22" t="s">
        <v>32</v>
      </c>
      <c r="T695" s="22">
        <v>12</v>
      </c>
      <c r="U695" s="24" t="s">
        <v>47</v>
      </c>
      <c r="V695" s="23">
        <v>45832</v>
      </c>
      <c r="W695" s="80" t="s">
        <v>30</v>
      </c>
      <c r="X695" s="83"/>
      <c r="Y695"/>
      <c r="Z695"/>
      <c r="AA695"/>
      <c r="AB695" s="84"/>
      <c r="AC695" s="71"/>
      <c r="AD695" s="71"/>
      <c r="AE695" s="71"/>
    </row>
    <row r="696" spans="1:31">
      <c r="A696" s="834" t="s">
        <v>24</v>
      </c>
      <c r="B696" s="835">
        <v>693</v>
      </c>
      <c r="C696" s="227" t="s">
        <v>1130</v>
      </c>
      <c r="D696" s="227" t="s">
        <v>1131</v>
      </c>
      <c r="E696" s="226">
        <v>45796</v>
      </c>
      <c r="F696" s="838" t="s">
        <v>1132</v>
      </c>
      <c r="G696" s="227">
        <v>13</v>
      </c>
      <c r="H696" s="227" t="s">
        <v>21</v>
      </c>
      <c r="I696" s="227" t="s">
        <v>127</v>
      </c>
      <c r="J696" s="838" t="s">
        <v>29</v>
      </c>
      <c r="K696" s="21"/>
      <c r="L696" s="21"/>
      <c r="M696" s="22"/>
      <c r="N696" s="23"/>
      <c r="O696" s="23"/>
      <c r="P696" s="23" t="s">
        <v>1057</v>
      </c>
      <c r="Q696" s="23">
        <v>45812</v>
      </c>
      <c r="R696" s="79" t="s">
        <v>21</v>
      </c>
      <c r="S696" s="22" t="s">
        <v>1055</v>
      </c>
      <c r="T696" s="22">
        <v>13</v>
      </c>
      <c r="U696" s="24" t="s">
        <v>21</v>
      </c>
      <c r="V696" s="23">
        <v>45812</v>
      </c>
      <c r="W696" s="80" t="s">
        <v>30</v>
      </c>
      <c r="X696" s="83"/>
      <c r="Y696"/>
      <c r="Z696"/>
      <c r="AA696"/>
    </row>
    <row r="697" spans="1:31">
      <c r="A697" s="834" t="s">
        <v>24</v>
      </c>
      <c r="B697" s="835">
        <v>694</v>
      </c>
      <c r="C697" s="849" t="s">
        <v>1133</v>
      </c>
      <c r="D697" s="227" t="s">
        <v>102</v>
      </c>
      <c r="E697" s="226">
        <v>45796</v>
      </c>
      <c r="F697" s="838" t="s">
        <v>439</v>
      </c>
      <c r="G697" s="227">
        <v>15</v>
      </c>
      <c r="H697" s="227" t="s">
        <v>22</v>
      </c>
      <c r="I697" s="227" t="s">
        <v>28</v>
      </c>
      <c r="J697" s="838" t="s">
        <v>29</v>
      </c>
      <c r="K697" s="21" t="s">
        <v>1069</v>
      </c>
      <c r="L697" s="21"/>
      <c r="M697" s="22"/>
      <c r="N697" s="23"/>
      <c r="O697" s="848" t="s">
        <v>31</v>
      </c>
      <c r="P697" s="23" t="s">
        <v>1057</v>
      </c>
      <c r="Q697" s="23">
        <v>45833</v>
      </c>
      <c r="R697" s="79" t="s">
        <v>37</v>
      </c>
      <c r="S697" s="22" t="s">
        <v>1055</v>
      </c>
      <c r="T697" s="22">
        <v>13</v>
      </c>
      <c r="U697" s="22" t="s">
        <v>37</v>
      </c>
      <c r="V697" s="23">
        <v>45833</v>
      </c>
      <c r="W697" s="80" t="s">
        <v>30</v>
      </c>
      <c r="X697" s="83"/>
      <c r="Y697"/>
      <c r="Z697"/>
      <c r="AA697"/>
      <c r="AB697" s="84"/>
      <c r="AC697" s="71"/>
      <c r="AD697" s="71"/>
      <c r="AE697" s="71"/>
    </row>
    <row r="698" spans="1:31">
      <c r="A698" s="834" t="s">
        <v>24</v>
      </c>
      <c r="B698" s="835">
        <v>695</v>
      </c>
      <c r="C698" s="227" t="s">
        <v>1134</v>
      </c>
      <c r="D698" s="227" t="s">
        <v>43</v>
      </c>
      <c r="E698" s="226">
        <v>45796</v>
      </c>
      <c r="F698" s="838" t="s">
        <v>1135</v>
      </c>
      <c r="G698" s="227">
        <v>17</v>
      </c>
      <c r="H698" s="227" t="s">
        <v>21</v>
      </c>
      <c r="I698" s="227" t="s">
        <v>127</v>
      </c>
      <c r="J698" s="838" t="s">
        <v>29</v>
      </c>
      <c r="K698" s="21"/>
      <c r="L698" s="21"/>
      <c r="M698" s="22"/>
      <c r="N698" s="23"/>
      <c r="O698" s="848" t="s">
        <v>31</v>
      </c>
      <c r="P698" s="23" t="s">
        <v>1057</v>
      </c>
      <c r="Q698" s="23">
        <v>45810</v>
      </c>
      <c r="R698" s="79" t="s">
        <v>21</v>
      </c>
      <c r="S698" s="22" t="s">
        <v>1055</v>
      </c>
      <c r="T698" s="22">
        <v>17</v>
      </c>
      <c r="U698" s="24" t="s">
        <v>21</v>
      </c>
      <c r="V698" s="23">
        <v>45810</v>
      </c>
      <c r="W698" s="80" t="s">
        <v>30</v>
      </c>
      <c r="X698" s="83"/>
      <c r="Y698"/>
      <c r="Z698"/>
      <c r="AA698"/>
    </row>
    <row r="699" spans="1:31">
      <c r="A699" s="834" t="s">
        <v>24</v>
      </c>
      <c r="B699" s="835">
        <v>696</v>
      </c>
      <c r="C699" s="849" t="s">
        <v>1136</v>
      </c>
      <c r="D699" s="227" t="s">
        <v>102</v>
      </c>
      <c r="E699" s="226">
        <v>45797</v>
      </c>
      <c r="F699" s="838" t="s">
        <v>1137</v>
      </c>
      <c r="G699" s="227">
        <v>8</v>
      </c>
      <c r="H699" s="227" t="s">
        <v>22</v>
      </c>
      <c r="I699" s="227" t="s">
        <v>28</v>
      </c>
      <c r="J699" s="838" t="s">
        <v>29</v>
      </c>
      <c r="K699" s="21" t="s">
        <v>283</v>
      </c>
      <c r="L699" s="21"/>
      <c r="M699" s="22"/>
      <c r="N699" s="23"/>
      <c r="O699" s="23"/>
      <c r="P699" s="23" t="s">
        <v>30</v>
      </c>
      <c r="Q699" s="23">
        <v>45833</v>
      </c>
      <c r="R699" s="79" t="s">
        <v>1138</v>
      </c>
      <c r="S699" s="22" t="s">
        <v>1055</v>
      </c>
      <c r="T699" s="22">
        <v>10</v>
      </c>
      <c r="U699" s="22" t="s">
        <v>1138</v>
      </c>
      <c r="V699" s="23">
        <v>45833</v>
      </c>
      <c r="W699" s="91" t="s">
        <v>30</v>
      </c>
      <c r="X699" s="83"/>
      <c r="Y699"/>
      <c r="Z699"/>
      <c r="AA699"/>
    </row>
    <row r="700" spans="1:31">
      <c r="A700" s="834" t="s">
        <v>24</v>
      </c>
      <c r="B700" s="835">
        <v>697</v>
      </c>
      <c r="C700" s="849" t="s">
        <v>1139</v>
      </c>
      <c r="D700" s="227" t="s">
        <v>374</v>
      </c>
      <c r="E700" s="226">
        <v>45798</v>
      </c>
      <c r="F700" s="838" t="s">
        <v>202</v>
      </c>
      <c r="G700" s="227">
        <v>8</v>
      </c>
      <c r="H700" s="227" t="s">
        <v>22</v>
      </c>
      <c r="I700" s="227" t="s">
        <v>28</v>
      </c>
      <c r="J700" s="838" t="s">
        <v>29</v>
      </c>
      <c r="K700" s="21"/>
      <c r="L700" s="21"/>
      <c r="M700" s="22"/>
      <c r="N700" s="23"/>
      <c r="O700" s="848" t="s">
        <v>31</v>
      </c>
      <c r="P700" s="23" t="s">
        <v>1057</v>
      </c>
      <c r="Q700" s="23">
        <v>45831</v>
      </c>
      <c r="R700" s="79" t="s">
        <v>37</v>
      </c>
      <c r="S700" s="22" t="s">
        <v>1140</v>
      </c>
      <c r="T700" s="22">
        <v>8</v>
      </c>
      <c r="U700" s="22" t="s">
        <v>37</v>
      </c>
      <c r="V700" s="23">
        <v>45831</v>
      </c>
      <c r="W700" s="80" t="s">
        <v>30</v>
      </c>
      <c r="X700" s="83"/>
      <c r="Y700"/>
      <c r="Z700"/>
      <c r="AA700"/>
      <c r="AB700" s="84"/>
      <c r="AC700" s="71"/>
      <c r="AD700" s="71"/>
      <c r="AE700" s="71"/>
    </row>
    <row r="701" spans="1:31">
      <c r="A701" s="834" t="s">
        <v>24</v>
      </c>
      <c r="B701" s="835">
        <v>698</v>
      </c>
      <c r="C701" s="227" t="s">
        <v>1141</v>
      </c>
      <c r="D701" s="227" t="s">
        <v>43</v>
      </c>
      <c r="E701" s="226">
        <v>45798</v>
      </c>
      <c r="F701" s="838" t="s">
        <v>202</v>
      </c>
      <c r="G701" s="227">
        <v>8</v>
      </c>
      <c r="H701" s="227" t="s">
        <v>22</v>
      </c>
      <c r="I701" s="227" t="s">
        <v>28</v>
      </c>
      <c r="J701" s="838" t="s">
        <v>29</v>
      </c>
      <c r="K701" s="21"/>
      <c r="L701" s="21"/>
      <c r="M701" s="22"/>
      <c r="N701" s="23"/>
      <c r="O701" s="23"/>
      <c r="P701" s="23" t="s">
        <v>1057</v>
      </c>
      <c r="Q701" s="23">
        <v>45831</v>
      </c>
      <c r="R701" s="79" t="s">
        <v>37</v>
      </c>
      <c r="S701" s="22" t="s">
        <v>1140</v>
      </c>
      <c r="T701" s="22">
        <v>8</v>
      </c>
      <c r="U701" s="22" t="s">
        <v>37</v>
      </c>
      <c r="V701" s="23">
        <v>45831</v>
      </c>
      <c r="W701" s="80" t="s">
        <v>30</v>
      </c>
      <c r="X701" s="83"/>
      <c r="Y701"/>
      <c r="Z701"/>
      <c r="AA701"/>
    </row>
    <row r="702" spans="1:31">
      <c r="A702" s="834" t="s">
        <v>24</v>
      </c>
      <c r="B702" s="835">
        <v>699</v>
      </c>
      <c r="C702" s="227" t="s">
        <v>1142</v>
      </c>
      <c r="D702" s="227" t="s">
        <v>50</v>
      </c>
      <c r="E702" s="226">
        <v>45798</v>
      </c>
      <c r="F702" s="838" t="s">
        <v>202</v>
      </c>
      <c r="G702" s="227">
        <v>8</v>
      </c>
      <c r="H702" s="227" t="s">
        <v>22</v>
      </c>
      <c r="I702" s="227" t="s">
        <v>28</v>
      </c>
      <c r="J702" s="838" t="s">
        <v>29</v>
      </c>
      <c r="K702" s="21"/>
      <c r="L702" s="21"/>
      <c r="M702" s="22"/>
      <c r="N702" s="23"/>
      <c r="O702" s="23"/>
      <c r="P702" s="23" t="s">
        <v>1057</v>
      </c>
      <c r="Q702" s="23">
        <v>45831</v>
      </c>
      <c r="R702" s="79" t="s">
        <v>37</v>
      </c>
      <c r="S702" s="22" t="s">
        <v>1140</v>
      </c>
      <c r="T702" s="22">
        <v>8</v>
      </c>
      <c r="U702" s="22" t="s">
        <v>37</v>
      </c>
      <c r="V702" s="23">
        <v>45831</v>
      </c>
      <c r="W702" s="80" t="s">
        <v>30</v>
      </c>
      <c r="X702" s="83"/>
      <c r="Y702"/>
      <c r="Z702"/>
      <c r="AA702"/>
    </row>
    <row r="703" spans="1:31">
      <c r="A703" s="834" t="s">
        <v>24</v>
      </c>
      <c r="B703" s="835">
        <v>700</v>
      </c>
      <c r="C703" s="227" t="s">
        <v>1143</v>
      </c>
      <c r="D703" s="227" t="s">
        <v>64</v>
      </c>
      <c r="E703" s="226">
        <v>45800</v>
      </c>
      <c r="F703" s="838" t="s">
        <v>683</v>
      </c>
      <c r="G703" s="227">
        <v>13</v>
      </c>
      <c r="H703" s="227" t="s">
        <v>21</v>
      </c>
      <c r="I703" s="227" t="s">
        <v>127</v>
      </c>
      <c r="J703" s="838" t="s">
        <v>29</v>
      </c>
      <c r="K703" s="21" t="s">
        <v>238</v>
      </c>
      <c r="L703" s="21"/>
      <c r="M703" s="22"/>
      <c r="N703" s="23"/>
      <c r="O703" s="23"/>
      <c r="P703" s="23" t="s">
        <v>1057</v>
      </c>
      <c r="Q703" s="23">
        <v>45811</v>
      </c>
      <c r="R703" s="79" t="s">
        <v>21</v>
      </c>
      <c r="S703" s="22" t="s">
        <v>1055</v>
      </c>
      <c r="T703" s="22">
        <v>13</v>
      </c>
      <c r="U703" s="24" t="s">
        <v>21</v>
      </c>
      <c r="V703" s="23">
        <v>45811</v>
      </c>
      <c r="W703" s="80" t="s">
        <v>30</v>
      </c>
      <c r="X703" s="83"/>
      <c r="Y703"/>
      <c r="Z703"/>
      <c r="AA703"/>
    </row>
    <row r="704" spans="1:31">
      <c r="A704" s="834" t="s">
        <v>24</v>
      </c>
      <c r="B704" s="835">
        <v>701</v>
      </c>
      <c r="C704" s="227" t="s">
        <v>1144</v>
      </c>
      <c r="D704" s="227" t="s">
        <v>50</v>
      </c>
      <c r="E704" s="226">
        <v>45800</v>
      </c>
      <c r="F704" s="838" t="s">
        <v>395</v>
      </c>
      <c r="G704" s="227">
        <v>22</v>
      </c>
      <c r="H704" s="227" t="s">
        <v>22</v>
      </c>
      <c r="I704" s="227" t="s">
        <v>28</v>
      </c>
      <c r="J704" s="838" t="s">
        <v>29</v>
      </c>
      <c r="K704" s="21"/>
      <c r="L704" s="21"/>
      <c r="M704" s="22"/>
      <c r="N704" s="23"/>
      <c r="O704" s="848" t="s">
        <v>31</v>
      </c>
      <c r="P704" s="23" t="s">
        <v>30</v>
      </c>
      <c r="Q704" s="23">
        <v>45840</v>
      </c>
      <c r="R704" s="79" t="s">
        <v>46</v>
      </c>
      <c r="S704" s="22" t="s">
        <v>30</v>
      </c>
      <c r="T704" s="22">
        <v>22</v>
      </c>
      <c r="U704" s="24" t="s">
        <v>46</v>
      </c>
      <c r="V704" s="23">
        <v>45840</v>
      </c>
      <c r="W704" s="80" t="s">
        <v>30</v>
      </c>
      <c r="X704" s="83"/>
      <c r="Y704"/>
      <c r="Z704"/>
      <c r="AA704"/>
      <c r="AB704" s="84"/>
      <c r="AC704" s="71"/>
      <c r="AD704" s="71"/>
      <c r="AE704" s="71"/>
    </row>
    <row r="705" spans="1:31">
      <c r="A705" s="834" t="s">
        <v>24</v>
      </c>
      <c r="B705" s="835">
        <v>702</v>
      </c>
      <c r="C705" s="227" t="s">
        <v>1145</v>
      </c>
      <c r="D705" s="227" t="s">
        <v>34</v>
      </c>
      <c r="E705" s="226">
        <v>45801</v>
      </c>
      <c r="F705" s="838" t="s">
        <v>927</v>
      </c>
      <c r="G705" s="227">
        <v>25</v>
      </c>
      <c r="H705" s="227" t="s">
        <v>46</v>
      </c>
      <c r="I705" s="227" t="s">
        <v>47</v>
      </c>
      <c r="J705" s="838" t="s">
        <v>29</v>
      </c>
      <c r="K705" s="21"/>
      <c r="L705" s="21"/>
      <c r="M705" s="22"/>
      <c r="N705" s="23"/>
      <c r="O705" s="848" t="s">
        <v>31</v>
      </c>
      <c r="P705" s="23" t="s">
        <v>1057</v>
      </c>
      <c r="Q705" s="23">
        <v>45838</v>
      </c>
      <c r="R705" s="79" t="s">
        <v>47</v>
      </c>
      <c r="S705" s="22" t="s">
        <v>1055</v>
      </c>
      <c r="T705" s="22">
        <v>25</v>
      </c>
      <c r="U705" s="24" t="s">
        <v>47</v>
      </c>
      <c r="V705" s="23">
        <v>45838</v>
      </c>
      <c r="W705" s="80" t="s">
        <v>30</v>
      </c>
      <c r="X705" s="83"/>
      <c r="Y705"/>
      <c r="Z705" s="776"/>
      <c r="AA705" s="776"/>
      <c r="AB705" s="776"/>
    </row>
    <row r="706" spans="1:31">
      <c r="A706" s="834" t="s">
        <v>24</v>
      </c>
      <c r="B706" s="835">
        <v>703</v>
      </c>
      <c r="C706" s="227" t="s">
        <v>1146</v>
      </c>
      <c r="D706" s="227" t="s">
        <v>34</v>
      </c>
      <c r="E706" s="226">
        <v>45801</v>
      </c>
      <c r="F706" s="838" t="s">
        <v>1147</v>
      </c>
      <c r="G706" s="227">
        <v>12</v>
      </c>
      <c r="H706" s="227" t="s">
        <v>22</v>
      </c>
      <c r="I706" s="227" t="s">
        <v>28</v>
      </c>
      <c r="J706" s="838" t="s">
        <v>29</v>
      </c>
      <c r="K706" s="21" t="s">
        <v>283</v>
      </c>
      <c r="L706" s="21"/>
      <c r="M706" s="22"/>
      <c r="N706" s="23"/>
      <c r="O706" s="23"/>
      <c r="P706" s="23" t="s">
        <v>1057</v>
      </c>
      <c r="Q706" s="23">
        <v>45838</v>
      </c>
      <c r="R706" s="79" t="s">
        <v>37</v>
      </c>
      <c r="S706" s="22" t="s">
        <v>1055</v>
      </c>
      <c r="T706" s="22">
        <v>12</v>
      </c>
      <c r="U706" s="22" t="s">
        <v>37</v>
      </c>
      <c r="V706" s="23">
        <v>45838</v>
      </c>
      <c r="W706" s="91" t="s">
        <v>30</v>
      </c>
      <c r="X706" s="83"/>
      <c r="Y706"/>
      <c r="Z706" s="776"/>
      <c r="AA706" s="776"/>
      <c r="AB706" s="776"/>
    </row>
    <row r="707" spans="1:31">
      <c r="A707" s="834" t="s">
        <v>24</v>
      </c>
      <c r="B707" s="835">
        <v>704</v>
      </c>
      <c r="C707" s="227" t="s">
        <v>1148</v>
      </c>
      <c r="D707" s="227" t="s">
        <v>102</v>
      </c>
      <c r="E707" s="226">
        <v>45801</v>
      </c>
      <c r="F707" s="838" t="s">
        <v>106</v>
      </c>
      <c r="G707" s="227">
        <v>13</v>
      </c>
      <c r="H707" s="227" t="s">
        <v>22</v>
      </c>
      <c r="I707" s="227" t="s">
        <v>28</v>
      </c>
      <c r="J707" s="838" t="s">
        <v>29</v>
      </c>
      <c r="K707" s="21"/>
      <c r="L707" s="21"/>
      <c r="M707" s="22"/>
      <c r="N707" s="23"/>
      <c r="O707" s="23"/>
      <c r="P707" s="23" t="s">
        <v>1057</v>
      </c>
      <c r="Q707" s="23">
        <v>45838</v>
      </c>
      <c r="R707" s="79" t="s">
        <v>37</v>
      </c>
      <c r="S707" s="22" t="s">
        <v>1055</v>
      </c>
      <c r="T707" s="22">
        <v>13</v>
      </c>
      <c r="U707" s="22" t="s">
        <v>37</v>
      </c>
      <c r="V707" s="23">
        <v>45838</v>
      </c>
      <c r="W707" s="80" t="s">
        <v>30</v>
      </c>
      <c r="X707" s="83"/>
      <c r="Y707"/>
      <c r="Z707" s="776"/>
      <c r="AA707" s="776"/>
      <c r="AB707" s="776"/>
    </row>
    <row r="708" spans="1:31">
      <c r="A708" s="834" t="s">
        <v>24</v>
      </c>
      <c r="B708" s="835">
        <v>705</v>
      </c>
      <c r="C708" s="227" t="s">
        <v>1149</v>
      </c>
      <c r="D708" s="227" t="s">
        <v>43</v>
      </c>
      <c r="E708" s="226">
        <v>45801</v>
      </c>
      <c r="F708" s="838" t="s">
        <v>97</v>
      </c>
      <c r="G708" s="227">
        <v>12</v>
      </c>
      <c r="H708" s="227" t="s">
        <v>22</v>
      </c>
      <c r="I708" s="227" t="s">
        <v>28</v>
      </c>
      <c r="J708" s="838" t="s">
        <v>29</v>
      </c>
      <c r="K708" s="97"/>
      <c r="L708" s="21"/>
      <c r="M708" s="22"/>
      <c r="N708" s="23"/>
      <c r="O708" s="23"/>
      <c r="P708" s="23" t="s">
        <v>30</v>
      </c>
      <c r="Q708" s="23">
        <v>45847</v>
      </c>
      <c r="R708" s="79" t="s">
        <v>37</v>
      </c>
      <c r="S708" s="22" t="s">
        <v>1055</v>
      </c>
      <c r="T708" s="22">
        <v>12</v>
      </c>
      <c r="U708" s="22" t="s">
        <v>37</v>
      </c>
      <c r="V708" s="23">
        <v>45847</v>
      </c>
      <c r="W708" s="80" t="s">
        <v>30</v>
      </c>
      <c r="X708" s="83"/>
      <c r="Y708"/>
      <c r="Z708" s="776"/>
      <c r="AA708" s="776"/>
      <c r="AB708" s="776"/>
    </row>
    <row r="709" spans="1:31">
      <c r="A709" s="834" t="s">
        <v>24</v>
      </c>
      <c r="B709" s="835">
        <v>706</v>
      </c>
      <c r="C709" s="849" t="s">
        <v>1150</v>
      </c>
      <c r="D709" s="227" t="s">
        <v>43</v>
      </c>
      <c r="E709" s="226">
        <v>45801</v>
      </c>
      <c r="F709" s="838" t="s">
        <v>202</v>
      </c>
      <c r="G709" s="227">
        <v>41</v>
      </c>
      <c r="H709" s="227" t="s">
        <v>22</v>
      </c>
      <c r="I709" s="227" t="s">
        <v>28</v>
      </c>
      <c r="J709" s="838" t="s">
        <v>29</v>
      </c>
      <c r="K709" s="21"/>
      <c r="L709" s="21"/>
      <c r="M709" s="22"/>
      <c r="N709" s="23"/>
      <c r="O709" s="848" t="s">
        <v>31</v>
      </c>
      <c r="P709" s="23" t="s">
        <v>30</v>
      </c>
      <c r="Q709" s="23">
        <v>45838</v>
      </c>
      <c r="R709" s="79" t="s">
        <v>46</v>
      </c>
      <c r="S709" s="22" t="s">
        <v>32</v>
      </c>
      <c r="T709" s="22">
        <v>39</v>
      </c>
      <c r="U709" s="24" t="s">
        <v>46</v>
      </c>
      <c r="V709" s="23">
        <v>45838</v>
      </c>
      <c r="W709" s="80" t="s">
        <v>30</v>
      </c>
      <c r="X709" s="83"/>
      <c r="Y709"/>
      <c r="Z709" s="776"/>
      <c r="AA709" s="776"/>
      <c r="AB709" s="776"/>
    </row>
    <row r="710" spans="1:31">
      <c r="A710" s="834" t="s">
        <v>24</v>
      </c>
      <c r="B710" s="835">
        <v>707</v>
      </c>
      <c r="C710" s="227" t="s">
        <v>1151</v>
      </c>
      <c r="D710" s="227" t="s">
        <v>50</v>
      </c>
      <c r="E710" s="226">
        <v>45803</v>
      </c>
      <c r="F710" s="838" t="s">
        <v>1135</v>
      </c>
      <c r="G710" s="227">
        <v>17</v>
      </c>
      <c r="H710" s="227" t="s">
        <v>21</v>
      </c>
      <c r="I710" s="227" t="s">
        <v>127</v>
      </c>
      <c r="J710" s="838" t="s">
        <v>29</v>
      </c>
      <c r="K710" s="21"/>
      <c r="L710" s="21"/>
      <c r="M710" s="22"/>
      <c r="N710" s="23"/>
      <c r="O710" s="848" t="s">
        <v>31</v>
      </c>
      <c r="P710" s="23" t="s">
        <v>1057</v>
      </c>
      <c r="Q710" s="23">
        <v>45811</v>
      </c>
      <c r="R710" s="79" t="s">
        <v>21</v>
      </c>
      <c r="S710" s="22" t="s">
        <v>1055</v>
      </c>
      <c r="T710" s="22">
        <v>17</v>
      </c>
      <c r="U710" s="24" t="s">
        <v>21</v>
      </c>
      <c r="V710" s="23">
        <v>45811</v>
      </c>
      <c r="W710" s="80" t="s">
        <v>30</v>
      </c>
      <c r="X710" s="83"/>
      <c r="Y710"/>
      <c r="Z710" s="776"/>
      <c r="AA710" s="776"/>
      <c r="AB710" s="776"/>
    </row>
    <row r="711" spans="1:31">
      <c r="A711" s="834" t="s">
        <v>24</v>
      </c>
      <c r="B711" s="835">
        <v>708</v>
      </c>
      <c r="C711" s="227" t="s">
        <v>1152</v>
      </c>
      <c r="D711" s="227" t="s">
        <v>50</v>
      </c>
      <c r="E711" s="226">
        <v>45804</v>
      </c>
      <c r="F711" s="838" t="s">
        <v>1153</v>
      </c>
      <c r="G711" s="227">
        <v>13</v>
      </c>
      <c r="H711" s="227" t="s">
        <v>22</v>
      </c>
      <c r="I711" s="227" t="s">
        <v>28</v>
      </c>
      <c r="J711" s="838" t="s">
        <v>29</v>
      </c>
      <c r="K711" s="21" t="s">
        <v>1069</v>
      </c>
      <c r="L711" s="21"/>
      <c r="M711" s="22"/>
      <c r="N711" s="23"/>
      <c r="O711" s="23"/>
      <c r="P711" s="23" t="s">
        <v>1057</v>
      </c>
      <c r="Q711" s="23">
        <v>45834</v>
      </c>
      <c r="R711" s="79" t="s">
        <v>67</v>
      </c>
      <c r="S711" s="22" t="s">
        <v>1055</v>
      </c>
      <c r="T711" s="22">
        <v>13</v>
      </c>
      <c r="U711" s="24" t="s">
        <v>67</v>
      </c>
      <c r="V711" s="23">
        <v>45834</v>
      </c>
      <c r="W711" s="80" t="s">
        <v>30</v>
      </c>
      <c r="X711" s="83"/>
      <c r="Y711"/>
      <c r="Z711" s="776"/>
      <c r="AA711" s="776"/>
      <c r="AB711" s="776"/>
    </row>
    <row r="712" spans="1:31">
      <c r="A712" s="834" t="s">
        <v>24</v>
      </c>
      <c r="B712" s="835">
        <v>709</v>
      </c>
      <c r="C712" s="227" t="s">
        <v>1154</v>
      </c>
      <c r="D712" s="227" t="s">
        <v>57</v>
      </c>
      <c r="E712" s="226">
        <v>45806</v>
      </c>
      <c r="F712" s="838" t="s">
        <v>439</v>
      </c>
      <c r="G712" s="227">
        <v>18</v>
      </c>
      <c r="H712" s="227" t="s">
        <v>22</v>
      </c>
      <c r="I712" s="227" t="s">
        <v>28</v>
      </c>
      <c r="J712" s="838" t="s">
        <v>29</v>
      </c>
      <c r="K712" s="21" t="s">
        <v>1069</v>
      </c>
      <c r="L712" s="21"/>
      <c r="M712" s="22"/>
      <c r="N712" s="23"/>
      <c r="O712" s="848" t="s">
        <v>31</v>
      </c>
      <c r="P712" s="23" t="s">
        <v>1057</v>
      </c>
      <c r="Q712" s="23">
        <v>45838</v>
      </c>
      <c r="R712" s="79" t="s">
        <v>67</v>
      </c>
      <c r="S712" s="22" t="s">
        <v>1055</v>
      </c>
      <c r="T712" s="22">
        <v>16</v>
      </c>
      <c r="U712" s="24" t="s">
        <v>67</v>
      </c>
      <c r="V712" s="23">
        <v>45838</v>
      </c>
      <c r="W712" s="80" t="s">
        <v>30</v>
      </c>
      <c r="X712" s="83"/>
      <c r="Y712"/>
      <c r="Z712" s="776"/>
      <c r="AA712" s="776"/>
      <c r="AB712" s="776"/>
    </row>
    <row r="713" spans="1:31">
      <c r="A713" s="834" t="s">
        <v>24</v>
      </c>
      <c r="B713" s="835">
        <v>710</v>
      </c>
      <c r="C713" s="227" t="s">
        <v>1155</v>
      </c>
      <c r="D713" s="227" t="s">
        <v>43</v>
      </c>
      <c r="E713" s="226">
        <v>45806</v>
      </c>
      <c r="F713" s="838" t="s">
        <v>179</v>
      </c>
      <c r="G713" s="227">
        <v>7</v>
      </c>
      <c r="H713" s="227" t="s">
        <v>46</v>
      </c>
      <c r="I713" s="227" t="s">
        <v>47</v>
      </c>
      <c r="J713" s="838" t="s">
        <v>29</v>
      </c>
      <c r="K713" s="21" t="s">
        <v>1156</v>
      </c>
      <c r="L713" s="21"/>
      <c r="M713" s="22"/>
      <c r="N713" s="23"/>
      <c r="O713" s="23"/>
      <c r="P713" s="23" t="s">
        <v>1057</v>
      </c>
      <c r="Q713" s="23">
        <v>45838</v>
      </c>
      <c r="R713" s="79" t="s">
        <v>47</v>
      </c>
      <c r="S713" s="22" t="s">
        <v>1055</v>
      </c>
      <c r="T713" s="22">
        <v>7</v>
      </c>
      <c r="U713" s="24" t="s">
        <v>47</v>
      </c>
      <c r="V713" s="23">
        <v>45838</v>
      </c>
      <c r="W713" s="91" t="s">
        <v>30</v>
      </c>
      <c r="X713" s="228"/>
      <c r="Y713"/>
      <c r="Z713" s="776"/>
      <c r="AA713" s="776"/>
      <c r="AB713" s="776"/>
    </row>
    <row r="714" spans="1:31">
      <c r="A714" s="834" t="s">
        <v>24</v>
      </c>
      <c r="B714" s="835">
        <v>711</v>
      </c>
      <c r="C714" s="227" t="s">
        <v>1157</v>
      </c>
      <c r="D714" s="227" t="s">
        <v>50</v>
      </c>
      <c r="E714" s="226">
        <v>45806</v>
      </c>
      <c r="F714" s="838" t="s">
        <v>179</v>
      </c>
      <c r="G714" s="227">
        <v>7</v>
      </c>
      <c r="H714" s="227" t="s">
        <v>46</v>
      </c>
      <c r="I714" s="227" t="s">
        <v>47</v>
      </c>
      <c r="J714" s="838" t="s">
        <v>29</v>
      </c>
      <c r="K714" s="21" t="s">
        <v>1156</v>
      </c>
      <c r="L714" s="21"/>
      <c r="M714" s="22"/>
      <c r="N714" s="23"/>
      <c r="O714" s="23"/>
      <c r="P714" s="23" t="s">
        <v>1057</v>
      </c>
      <c r="Q714" s="23">
        <v>45838</v>
      </c>
      <c r="R714" s="79" t="s">
        <v>47</v>
      </c>
      <c r="S714" s="22" t="s">
        <v>1055</v>
      </c>
      <c r="T714" s="22">
        <v>7</v>
      </c>
      <c r="U714" s="24" t="s">
        <v>47</v>
      </c>
      <c r="V714" s="23">
        <v>45838</v>
      </c>
      <c r="W714" s="91" t="s">
        <v>30</v>
      </c>
      <c r="X714" s="228"/>
      <c r="Y714"/>
      <c r="Z714" s="776"/>
      <c r="AA714" s="776"/>
      <c r="AB714" s="776"/>
    </row>
    <row r="715" spans="1:31">
      <c r="A715" s="834" t="s">
        <v>24</v>
      </c>
      <c r="B715" s="835">
        <v>712</v>
      </c>
      <c r="C715" s="227" t="s">
        <v>1158</v>
      </c>
      <c r="D715" s="227" t="s">
        <v>57</v>
      </c>
      <c r="E715" s="226">
        <v>45807</v>
      </c>
      <c r="F715" s="838" t="s">
        <v>439</v>
      </c>
      <c r="G715" s="227">
        <v>18</v>
      </c>
      <c r="H715" s="227" t="s">
        <v>22</v>
      </c>
      <c r="I715" s="227" t="s">
        <v>28</v>
      </c>
      <c r="J715" s="838" t="s">
        <v>29</v>
      </c>
      <c r="K715" s="21" t="s">
        <v>1069</v>
      </c>
      <c r="L715" s="21"/>
      <c r="M715" s="22"/>
      <c r="N715" s="23"/>
      <c r="O715" s="848" t="s">
        <v>31</v>
      </c>
      <c r="P715" s="23" t="s">
        <v>1057</v>
      </c>
      <c r="Q715" s="23">
        <v>45838</v>
      </c>
      <c r="R715" s="79" t="s">
        <v>67</v>
      </c>
      <c r="S715" s="22" t="s">
        <v>1055</v>
      </c>
      <c r="T715" s="22">
        <v>15</v>
      </c>
      <c r="U715" s="24" t="s">
        <v>67</v>
      </c>
      <c r="V715" s="23">
        <v>45838</v>
      </c>
      <c r="W715" s="80" t="s">
        <v>30</v>
      </c>
      <c r="X715" s="83"/>
      <c r="Y715"/>
      <c r="Z715"/>
      <c r="AA715"/>
    </row>
    <row r="716" spans="1:31">
      <c r="A716" s="834" t="s">
        <v>24</v>
      </c>
      <c r="B716" s="835">
        <v>713</v>
      </c>
      <c r="C716" s="227" t="s">
        <v>1159</v>
      </c>
      <c r="D716" s="227" t="s">
        <v>34</v>
      </c>
      <c r="E716" s="226">
        <v>45808</v>
      </c>
      <c r="F716" s="838" t="s">
        <v>97</v>
      </c>
      <c r="G716" s="227">
        <v>13</v>
      </c>
      <c r="H716" s="227" t="s">
        <v>22</v>
      </c>
      <c r="I716" s="227" t="s">
        <v>28</v>
      </c>
      <c r="J716" s="838" t="s">
        <v>29</v>
      </c>
      <c r="K716" s="21"/>
      <c r="L716" s="21"/>
      <c r="M716" s="22"/>
      <c r="N716" s="23"/>
      <c r="O716" s="23"/>
      <c r="P716" s="23" t="s">
        <v>30</v>
      </c>
      <c r="Q716" s="23">
        <v>45834</v>
      </c>
      <c r="R716" s="79" t="s">
        <v>67</v>
      </c>
      <c r="S716" s="22" t="s">
        <v>1057</v>
      </c>
      <c r="T716" s="22">
        <v>11</v>
      </c>
      <c r="U716" s="24" t="s">
        <v>67</v>
      </c>
      <c r="V716" s="23">
        <v>45834</v>
      </c>
      <c r="W716" s="80" t="s">
        <v>30</v>
      </c>
      <c r="X716" s="228"/>
      <c r="Y716"/>
      <c r="Z716"/>
      <c r="AA716"/>
    </row>
    <row r="717" spans="1:31">
      <c r="A717" s="834" t="s">
        <v>24</v>
      </c>
      <c r="B717" s="835">
        <v>714</v>
      </c>
      <c r="C717" s="227" t="s">
        <v>1160</v>
      </c>
      <c r="D717" s="227" t="s">
        <v>102</v>
      </c>
      <c r="E717" s="226">
        <v>45808</v>
      </c>
      <c r="F717" s="838" t="s">
        <v>1068</v>
      </c>
      <c r="G717" s="227">
        <v>11</v>
      </c>
      <c r="H717" s="227" t="s">
        <v>22</v>
      </c>
      <c r="I717" s="227" t="s">
        <v>28</v>
      </c>
      <c r="J717" s="838" t="s">
        <v>29</v>
      </c>
      <c r="K717" s="21"/>
      <c r="L717" s="21"/>
      <c r="M717" s="22"/>
      <c r="N717" s="23"/>
      <c r="O717" s="23"/>
      <c r="P717" s="23" t="s">
        <v>30</v>
      </c>
      <c r="Q717" s="23">
        <v>45834</v>
      </c>
      <c r="R717" s="79" t="s">
        <v>67</v>
      </c>
      <c r="S717" s="22" t="s">
        <v>1055</v>
      </c>
      <c r="T717" s="22">
        <v>4</v>
      </c>
      <c r="U717" s="24" t="s">
        <v>67</v>
      </c>
      <c r="V717" s="23">
        <v>45834</v>
      </c>
      <c r="W717" s="80" t="s">
        <v>30</v>
      </c>
      <c r="X717" s="228"/>
      <c r="Y717"/>
      <c r="Z717" s="85"/>
      <c r="AA717" s="85"/>
      <c r="AB717" s="84"/>
      <c r="AC717" s="71"/>
      <c r="AD717" s="71"/>
      <c r="AE717" s="71"/>
    </row>
    <row r="718" spans="1:31">
      <c r="A718" s="834" t="s">
        <v>24</v>
      </c>
      <c r="B718" s="835">
        <v>715</v>
      </c>
      <c r="C718" s="227" t="s">
        <v>1161</v>
      </c>
      <c r="D718" s="227" t="s">
        <v>1162</v>
      </c>
      <c r="E718" s="850">
        <v>45808</v>
      </c>
      <c r="F718" s="838" t="s">
        <v>1163</v>
      </c>
      <c r="G718" s="227">
        <v>14</v>
      </c>
      <c r="H718" s="227" t="s">
        <v>22</v>
      </c>
      <c r="I718" s="227" t="s">
        <v>28</v>
      </c>
      <c r="J718" s="838" t="s">
        <v>29</v>
      </c>
      <c r="K718" s="21"/>
      <c r="L718" s="21"/>
      <c r="M718" s="22"/>
      <c r="N718" s="23"/>
      <c r="O718" s="23"/>
      <c r="P718" s="23" t="s">
        <v>1057</v>
      </c>
      <c r="Q718" s="23">
        <v>45838</v>
      </c>
      <c r="R718" s="79" t="s">
        <v>67</v>
      </c>
      <c r="S718" s="22" t="s">
        <v>1055</v>
      </c>
      <c r="T718" s="22">
        <v>11</v>
      </c>
      <c r="U718" s="24" t="s">
        <v>67</v>
      </c>
      <c r="V718" s="23">
        <v>45838</v>
      </c>
      <c r="W718" s="80" t="s">
        <v>32</v>
      </c>
      <c r="X718" s="228"/>
      <c r="Y718"/>
      <c r="Z718"/>
      <c r="AA718"/>
    </row>
    <row r="719" spans="1:31">
      <c r="A719" s="834" t="s">
        <v>24</v>
      </c>
      <c r="B719" s="835">
        <v>716</v>
      </c>
      <c r="C719" s="227" t="s">
        <v>1164</v>
      </c>
      <c r="D719" s="227" t="s">
        <v>50</v>
      </c>
      <c r="E719" s="226">
        <v>45808</v>
      </c>
      <c r="F719" s="838" t="s">
        <v>1165</v>
      </c>
      <c r="G719" s="227">
        <v>35</v>
      </c>
      <c r="H719" s="227" t="s">
        <v>22</v>
      </c>
      <c r="I719" s="227" t="s">
        <v>28</v>
      </c>
      <c r="J719" s="838" t="s">
        <v>29</v>
      </c>
      <c r="K719" s="21"/>
      <c r="L719" s="21"/>
      <c r="M719" s="22"/>
      <c r="N719" s="23"/>
      <c r="O719" s="848" t="s">
        <v>31</v>
      </c>
      <c r="P719" s="23" t="s">
        <v>30</v>
      </c>
      <c r="Q719" s="23">
        <v>45812</v>
      </c>
      <c r="R719" s="79" t="s">
        <v>67</v>
      </c>
      <c r="S719" s="22" t="s">
        <v>1063</v>
      </c>
      <c r="T719" s="22">
        <v>33</v>
      </c>
      <c r="U719" s="24" t="s">
        <v>67</v>
      </c>
      <c r="V719" s="23">
        <v>45812</v>
      </c>
      <c r="W719" s="96" t="s">
        <v>30</v>
      </c>
      <c r="X719" s="228"/>
      <c r="Y719"/>
      <c r="Z719"/>
      <c r="AA719"/>
    </row>
    <row r="720" spans="1:31">
      <c r="A720" s="834" t="s">
        <v>24</v>
      </c>
      <c r="B720" s="835">
        <v>717</v>
      </c>
      <c r="C720" s="227" t="s">
        <v>1166</v>
      </c>
      <c r="D720" s="227" t="s">
        <v>34</v>
      </c>
      <c r="E720" s="226">
        <v>45808</v>
      </c>
      <c r="F720" s="838" t="s">
        <v>918</v>
      </c>
      <c r="G720" s="227">
        <v>18</v>
      </c>
      <c r="H720" s="227" t="s">
        <v>22</v>
      </c>
      <c r="I720" s="227" t="s">
        <v>28</v>
      </c>
      <c r="J720" s="838" t="s">
        <v>29</v>
      </c>
      <c r="K720" s="21"/>
      <c r="L720" s="21"/>
      <c r="M720" s="22"/>
      <c r="N720" s="23"/>
      <c r="O720" s="848" t="s">
        <v>31</v>
      </c>
      <c r="P720" s="23" t="s">
        <v>1057</v>
      </c>
      <c r="Q720" s="23">
        <v>45838</v>
      </c>
      <c r="R720" s="79" t="s">
        <v>67</v>
      </c>
      <c r="S720" s="22" t="s">
        <v>1055</v>
      </c>
      <c r="T720" s="22">
        <v>19</v>
      </c>
      <c r="U720" s="24" t="s">
        <v>67</v>
      </c>
      <c r="V720" s="23">
        <v>45838</v>
      </c>
      <c r="W720" s="96" t="s">
        <v>30</v>
      </c>
      <c r="X720" s="228"/>
      <c r="Y720"/>
      <c r="Z720"/>
      <c r="AA720"/>
    </row>
    <row r="721" spans="1:31">
      <c r="A721" s="834" t="s">
        <v>24</v>
      </c>
      <c r="B721" s="835">
        <v>718</v>
      </c>
      <c r="C721" s="227" t="s">
        <v>1167</v>
      </c>
      <c r="D721" s="227" t="s">
        <v>102</v>
      </c>
      <c r="E721" s="226">
        <v>45808</v>
      </c>
      <c r="F721" s="838" t="s">
        <v>1168</v>
      </c>
      <c r="G721" s="227">
        <v>12</v>
      </c>
      <c r="H721" s="227" t="s">
        <v>21</v>
      </c>
      <c r="I721" s="227" t="s">
        <v>127</v>
      </c>
      <c r="J721" s="838" t="s">
        <v>29</v>
      </c>
      <c r="K721" s="21"/>
      <c r="L721" s="21"/>
      <c r="M721" s="22"/>
      <c r="N721" s="23"/>
      <c r="O721" s="23"/>
      <c r="P721" s="23" t="s">
        <v>30</v>
      </c>
      <c r="Q721" s="23">
        <v>45820</v>
      </c>
      <c r="R721" s="79" t="s">
        <v>21</v>
      </c>
      <c r="S721" s="22" t="s">
        <v>1063</v>
      </c>
      <c r="T721" s="22">
        <v>7</v>
      </c>
      <c r="U721" s="24" t="s">
        <v>21</v>
      </c>
      <c r="V721" s="23">
        <v>45820</v>
      </c>
      <c r="W721" s="80" t="s">
        <v>32</v>
      </c>
      <c r="X721" s="228"/>
      <c r="Y721"/>
      <c r="Z721"/>
      <c r="AA721"/>
    </row>
    <row r="722" spans="1:31">
      <c r="A722" s="834" t="s">
        <v>24</v>
      </c>
      <c r="B722" s="835">
        <v>719</v>
      </c>
      <c r="C722" s="227" t="s">
        <v>1169</v>
      </c>
      <c r="D722" s="227" t="s">
        <v>64</v>
      </c>
      <c r="E722" s="226">
        <v>45808</v>
      </c>
      <c r="F722" s="838" t="s">
        <v>35</v>
      </c>
      <c r="G722" s="227">
        <v>8</v>
      </c>
      <c r="H722" s="227" t="s">
        <v>21</v>
      </c>
      <c r="I722" s="227" t="s">
        <v>127</v>
      </c>
      <c r="J722" s="838" t="s">
        <v>29</v>
      </c>
      <c r="K722" s="21"/>
      <c r="L722" s="21"/>
      <c r="M722" s="22"/>
      <c r="N722" s="23"/>
      <c r="O722" s="23"/>
      <c r="P722" s="23" t="s">
        <v>30</v>
      </c>
      <c r="Q722" s="23">
        <v>45820</v>
      </c>
      <c r="R722" s="79" t="s">
        <v>21</v>
      </c>
      <c r="S722" s="22" t="s">
        <v>1055</v>
      </c>
      <c r="T722" s="22">
        <v>8</v>
      </c>
      <c r="U722" s="24" t="s">
        <v>21</v>
      </c>
      <c r="V722" s="23">
        <v>45820</v>
      </c>
      <c r="W722" s="80" t="s">
        <v>32</v>
      </c>
      <c r="X722" s="228"/>
      <c r="Y722"/>
      <c r="Z722"/>
      <c r="AA722"/>
    </row>
    <row r="723" spans="1:31">
      <c r="A723" s="834" t="s">
        <v>24</v>
      </c>
      <c r="B723" s="835">
        <v>720</v>
      </c>
      <c r="C723" s="227" t="s">
        <v>1170</v>
      </c>
      <c r="D723" s="227" t="s">
        <v>374</v>
      </c>
      <c r="E723" s="226">
        <v>45808</v>
      </c>
      <c r="F723" s="838" t="s">
        <v>1171</v>
      </c>
      <c r="G723" s="227">
        <v>10</v>
      </c>
      <c r="H723" s="227" t="s">
        <v>21</v>
      </c>
      <c r="I723" s="227" t="s">
        <v>127</v>
      </c>
      <c r="J723" s="838" t="s">
        <v>29</v>
      </c>
      <c r="K723" s="21"/>
      <c r="L723" s="21"/>
      <c r="M723" s="22"/>
      <c r="N723" s="23"/>
      <c r="O723" s="23"/>
      <c r="P723" s="23" t="s">
        <v>30</v>
      </c>
      <c r="Q723" s="23">
        <v>45813</v>
      </c>
      <c r="R723" s="79" t="s">
        <v>21</v>
      </c>
      <c r="S723" s="22" t="s">
        <v>1055</v>
      </c>
      <c r="T723" s="7">
        <v>10</v>
      </c>
      <c r="U723" s="24" t="s">
        <v>21</v>
      </c>
      <c r="V723" s="23">
        <v>45813</v>
      </c>
      <c r="W723" s="80" t="s">
        <v>32</v>
      </c>
      <c r="X723" s="228"/>
      <c r="Y723"/>
      <c r="Z723"/>
      <c r="AA723"/>
    </row>
    <row r="724" spans="1:31">
      <c r="A724" s="834" t="s">
        <v>24</v>
      </c>
      <c r="B724" s="835">
        <v>721</v>
      </c>
      <c r="C724" s="227" t="s">
        <v>1172</v>
      </c>
      <c r="D724" s="227" t="s">
        <v>34</v>
      </c>
      <c r="E724" s="226">
        <v>45808</v>
      </c>
      <c r="F724" s="838" t="s">
        <v>914</v>
      </c>
      <c r="G724" s="227">
        <v>15</v>
      </c>
      <c r="H724" s="227" t="s">
        <v>21</v>
      </c>
      <c r="I724" s="227" t="s">
        <v>127</v>
      </c>
      <c r="J724" s="838" t="s">
        <v>29</v>
      </c>
      <c r="K724" s="21"/>
      <c r="L724" s="21"/>
      <c r="M724" s="22"/>
      <c r="N724" s="23"/>
      <c r="O724" s="848" t="s">
        <v>31</v>
      </c>
      <c r="P724" s="23" t="s">
        <v>1057</v>
      </c>
      <c r="Q724" s="23">
        <v>45812</v>
      </c>
      <c r="R724" s="79" t="s">
        <v>21</v>
      </c>
      <c r="S724" s="22" t="s">
        <v>1055</v>
      </c>
      <c r="T724" s="22">
        <v>15</v>
      </c>
      <c r="U724" s="24" t="s">
        <v>21</v>
      </c>
      <c r="V724" s="23">
        <v>45812</v>
      </c>
      <c r="W724" s="80" t="s">
        <v>30</v>
      </c>
      <c r="X724" s="83"/>
      <c r="Y724"/>
      <c r="Z724" s="776"/>
      <c r="AA724" s="776"/>
      <c r="AB724" s="776"/>
    </row>
    <row r="725" spans="1:31">
      <c r="A725" s="834" t="s">
        <v>24</v>
      </c>
      <c r="B725" s="835">
        <v>722</v>
      </c>
      <c r="C725" s="227" t="s">
        <v>1173</v>
      </c>
      <c r="D725" s="227" t="s">
        <v>34</v>
      </c>
      <c r="E725" s="226">
        <v>45808</v>
      </c>
      <c r="F725" s="838" t="s">
        <v>324</v>
      </c>
      <c r="G725" s="227">
        <v>7</v>
      </c>
      <c r="H725" s="227" t="s">
        <v>21</v>
      </c>
      <c r="I725" s="227" t="s">
        <v>127</v>
      </c>
      <c r="J725" s="838" t="s">
        <v>29</v>
      </c>
      <c r="K725" s="21"/>
      <c r="L725" s="21"/>
      <c r="M725" s="22"/>
      <c r="N725" s="23"/>
      <c r="O725" s="23"/>
      <c r="P725" s="23" t="s">
        <v>30</v>
      </c>
      <c r="Q725" s="23">
        <v>45819</v>
      </c>
      <c r="R725" s="79" t="s">
        <v>21</v>
      </c>
      <c r="S725" s="22" t="s">
        <v>1055</v>
      </c>
      <c r="T725" s="22">
        <v>7</v>
      </c>
      <c r="U725" s="24" t="s">
        <v>21</v>
      </c>
      <c r="V725" s="23">
        <v>45819</v>
      </c>
      <c r="W725" s="80" t="s">
        <v>32</v>
      </c>
      <c r="X725" s="228"/>
      <c r="Y725"/>
      <c r="Z725" s="776"/>
      <c r="AA725" s="776"/>
      <c r="AB725" s="776"/>
    </row>
    <row r="726" spans="1:31">
      <c r="A726" s="834" t="s">
        <v>24</v>
      </c>
      <c r="B726" s="835">
        <v>723</v>
      </c>
      <c r="C726" s="227" t="s">
        <v>1174</v>
      </c>
      <c r="D726" s="227" t="s">
        <v>34</v>
      </c>
      <c r="E726" s="226">
        <v>45808</v>
      </c>
      <c r="F726" s="838" t="s">
        <v>324</v>
      </c>
      <c r="G726" s="227">
        <v>5</v>
      </c>
      <c r="H726" s="227" t="s">
        <v>21</v>
      </c>
      <c r="I726" s="227" t="s">
        <v>127</v>
      </c>
      <c r="J726" s="838" t="s">
        <v>29</v>
      </c>
      <c r="K726" s="21"/>
      <c r="L726" s="21"/>
      <c r="M726" s="22"/>
      <c r="N726" s="23"/>
      <c r="O726" s="23"/>
      <c r="P726" s="23" t="s">
        <v>30</v>
      </c>
      <c r="Q726" s="23">
        <v>45819</v>
      </c>
      <c r="R726" s="79" t="s">
        <v>21</v>
      </c>
      <c r="S726" s="22" t="s">
        <v>1055</v>
      </c>
      <c r="T726" s="22">
        <v>5</v>
      </c>
      <c r="U726" s="24" t="s">
        <v>21</v>
      </c>
      <c r="V726" s="23">
        <v>45819</v>
      </c>
      <c r="W726" s="80" t="s">
        <v>32</v>
      </c>
      <c r="X726" s="228"/>
      <c r="Y726"/>
      <c r="Z726"/>
      <c r="AA726"/>
    </row>
    <row r="727" spans="1:31">
      <c r="A727" s="834" t="s">
        <v>137</v>
      </c>
      <c r="B727" s="835">
        <v>724</v>
      </c>
      <c r="C727" s="838" t="s">
        <v>1175</v>
      </c>
      <c r="D727" s="834" t="s">
        <v>937</v>
      </c>
      <c r="E727" s="839">
        <v>45782.375</v>
      </c>
      <c r="F727" s="838" t="s">
        <v>140</v>
      </c>
      <c r="G727" s="229">
        <v>55</v>
      </c>
      <c r="H727" s="838" t="s">
        <v>111</v>
      </c>
      <c r="I727" s="838" t="s">
        <v>948</v>
      </c>
      <c r="J727" s="838"/>
      <c r="K727" s="21"/>
      <c r="L727" s="21"/>
      <c r="M727" s="22"/>
      <c r="N727" s="23"/>
      <c r="O727" s="61" t="s">
        <v>31</v>
      </c>
      <c r="P727" s="23" t="s">
        <v>1057</v>
      </c>
      <c r="Q727" s="23">
        <v>45791</v>
      </c>
      <c r="R727" s="230" t="s">
        <v>67</v>
      </c>
      <c r="S727" s="22" t="s">
        <v>1055</v>
      </c>
      <c r="T727" s="22">
        <v>55</v>
      </c>
      <c r="U727" s="22" t="s">
        <v>67</v>
      </c>
      <c r="V727" s="23">
        <v>45791</v>
      </c>
      <c r="W727" s="80"/>
      <c r="X727" s="83"/>
      <c r="Y727">
        <v>21</v>
      </c>
      <c r="Z727">
        <v>34</v>
      </c>
      <c r="AA727">
        <v>0</v>
      </c>
      <c r="AB727">
        <f>SUM(Y727:AA727)</f>
        <v>55</v>
      </c>
      <c r="AC727" s="71">
        <f>+Y727/AB727*AC$1</f>
        <v>2.290909090909091</v>
      </c>
      <c r="AD727" s="92">
        <f>+AA727/AB727*AE$1</f>
        <v>0</v>
      </c>
      <c r="AE727" s="92">
        <f>+AA727/AC727*AE$1</f>
        <v>0</v>
      </c>
    </row>
    <row r="728" spans="1:31">
      <c r="A728" s="834" t="s">
        <v>137</v>
      </c>
      <c r="B728" s="835">
        <v>725</v>
      </c>
      <c r="C728" s="838" t="s">
        <v>1176</v>
      </c>
      <c r="D728" s="834" t="s">
        <v>542</v>
      </c>
      <c r="E728" s="839">
        <v>45782.375</v>
      </c>
      <c r="F728" s="838" t="s">
        <v>140</v>
      </c>
      <c r="G728" s="229">
        <v>31</v>
      </c>
      <c r="H728" s="838" t="s">
        <v>210</v>
      </c>
      <c r="I728" s="838" t="s">
        <v>211</v>
      </c>
      <c r="J728" s="838"/>
      <c r="K728" s="21"/>
      <c r="L728" s="21"/>
      <c r="M728" s="22"/>
      <c r="N728" s="23"/>
      <c r="O728" s="61" t="s">
        <v>31</v>
      </c>
      <c r="P728" s="23" t="s">
        <v>1057</v>
      </c>
      <c r="Q728" s="23">
        <v>45791</v>
      </c>
      <c r="R728" s="230" t="s">
        <v>67</v>
      </c>
      <c r="S728" s="22" t="s">
        <v>1055</v>
      </c>
      <c r="T728" s="22">
        <v>32</v>
      </c>
      <c r="U728" s="22" t="s">
        <v>67</v>
      </c>
      <c r="V728" s="23">
        <v>45791</v>
      </c>
      <c r="W728" s="80"/>
      <c r="X728" s="83"/>
      <c r="Y728">
        <v>23</v>
      </c>
      <c r="Z728">
        <v>4</v>
      </c>
      <c r="AA728">
        <v>4</v>
      </c>
      <c r="AB728">
        <f>SUM(Y728:AA728)</f>
        <v>31</v>
      </c>
      <c r="AC728" s="71">
        <f>+Y728/AB728*AC$1</f>
        <v>4.4516129032258061</v>
      </c>
      <c r="AD728" s="92">
        <f>+Z728/AB728*AD$1</f>
        <v>0.38709677419354838</v>
      </c>
      <c r="AE728" s="92">
        <f>+AA728/AC728*AE$1</f>
        <v>0</v>
      </c>
    </row>
    <row r="729" spans="1:31">
      <c r="A729" s="834" t="s">
        <v>137</v>
      </c>
      <c r="B729" s="835">
        <v>726</v>
      </c>
      <c r="C729" s="838" t="s">
        <v>1177</v>
      </c>
      <c r="D729" s="834" t="s">
        <v>1178</v>
      </c>
      <c r="E729" s="839">
        <v>45782.375</v>
      </c>
      <c r="F729" s="838" t="s">
        <v>140</v>
      </c>
      <c r="G729" s="229">
        <v>4</v>
      </c>
      <c r="H729" s="838" t="s">
        <v>22</v>
      </c>
      <c r="I729" s="838" t="s">
        <v>28</v>
      </c>
      <c r="J729" s="838"/>
      <c r="K729" s="21"/>
      <c r="L729" s="21"/>
      <c r="M729" s="22"/>
      <c r="N729" s="23"/>
      <c r="O729" s="61"/>
      <c r="P729" s="23" t="s">
        <v>1057</v>
      </c>
      <c r="Q729" s="23">
        <v>45791</v>
      </c>
      <c r="R729" s="79" t="s">
        <v>67</v>
      </c>
      <c r="S729" s="22" t="s">
        <v>1055</v>
      </c>
      <c r="T729" s="22">
        <v>5</v>
      </c>
      <c r="U729" s="24" t="s">
        <v>67</v>
      </c>
      <c r="V729" s="23">
        <v>45791</v>
      </c>
      <c r="W729" s="80"/>
      <c r="X729" s="83"/>
      <c r="Y729"/>
      <c r="Z729"/>
      <c r="AA729"/>
      <c r="AC729" s="92"/>
      <c r="AD729" s="92"/>
      <c r="AE729" s="92"/>
    </row>
    <row r="730" spans="1:31">
      <c r="A730" s="834" t="s">
        <v>137</v>
      </c>
      <c r="B730" s="835">
        <v>727</v>
      </c>
      <c r="C730" s="838" t="s">
        <v>1179</v>
      </c>
      <c r="D730" s="834" t="s">
        <v>1180</v>
      </c>
      <c r="E730" s="839">
        <v>45782.458333333336</v>
      </c>
      <c r="F730" s="838" t="s">
        <v>140</v>
      </c>
      <c r="G730" s="229">
        <v>1</v>
      </c>
      <c r="H730" s="838" t="s">
        <v>21</v>
      </c>
      <c r="I730" s="838" t="s">
        <v>127</v>
      </c>
      <c r="J730" s="838"/>
      <c r="K730" s="21"/>
      <c r="L730" s="21"/>
      <c r="M730" s="22"/>
      <c r="N730" s="23"/>
      <c r="O730" s="61"/>
      <c r="P730" s="23" t="s">
        <v>1057</v>
      </c>
      <c r="Q730" s="23">
        <v>45791</v>
      </c>
      <c r="R730" s="79" t="s">
        <v>67</v>
      </c>
      <c r="S730" s="22" t="s">
        <v>1055</v>
      </c>
      <c r="T730" s="22">
        <v>1</v>
      </c>
      <c r="U730" s="24" t="s">
        <v>67</v>
      </c>
      <c r="V730" s="23">
        <v>45791</v>
      </c>
      <c r="W730" s="80"/>
      <c r="X730" s="83"/>
      <c r="Y730"/>
      <c r="Z730"/>
      <c r="AA730"/>
      <c r="AC730" s="92"/>
      <c r="AD730" s="92"/>
      <c r="AE730" s="92"/>
    </row>
    <row r="731" spans="1:31">
      <c r="A731" s="834" t="s">
        <v>137</v>
      </c>
      <c r="B731" s="835">
        <v>728</v>
      </c>
      <c r="C731" s="838" t="s">
        <v>1181</v>
      </c>
      <c r="D731" s="834" t="s">
        <v>1182</v>
      </c>
      <c r="E731" s="839">
        <v>45782.375</v>
      </c>
      <c r="F731" s="838" t="s">
        <v>140</v>
      </c>
      <c r="G731" s="229">
        <v>4</v>
      </c>
      <c r="H731" s="838" t="s">
        <v>22</v>
      </c>
      <c r="I731" s="838" t="s">
        <v>28</v>
      </c>
      <c r="J731" s="838"/>
      <c r="K731" s="21"/>
      <c r="L731" s="21"/>
      <c r="M731" s="22"/>
      <c r="N731" s="23"/>
      <c r="O731" s="61"/>
      <c r="P731" s="23" t="s">
        <v>1057</v>
      </c>
      <c r="Q731" s="23">
        <v>45791</v>
      </c>
      <c r="R731" s="79" t="s">
        <v>67</v>
      </c>
      <c r="S731" s="22" t="s">
        <v>1055</v>
      </c>
      <c r="T731" s="22">
        <v>4</v>
      </c>
      <c r="U731" s="24" t="s">
        <v>67</v>
      </c>
      <c r="V731" s="23">
        <v>45791</v>
      </c>
      <c r="W731" s="80"/>
      <c r="X731" s="83"/>
      <c r="Y731"/>
      <c r="Z731"/>
      <c r="AA731"/>
      <c r="AC731" s="92"/>
      <c r="AD731" s="92"/>
      <c r="AE731" s="92"/>
    </row>
    <row r="732" spans="1:31">
      <c r="A732" s="834" t="s">
        <v>137</v>
      </c>
      <c r="B732" s="835">
        <v>729</v>
      </c>
      <c r="C732" s="838" t="s">
        <v>1183</v>
      </c>
      <c r="D732" s="834" t="s">
        <v>1184</v>
      </c>
      <c r="E732" s="839">
        <v>45782.041666666664</v>
      </c>
      <c r="F732" s="838" t="s">
        <v>140</v>
      </c>
      <c r="G732" s="229">
        <v>8</v>
      </c>
      <c r="H732" s="838" t="s">
        <v>141</v>
      </c>
      <c r="I732" s="838" t="s">
        <v>819</v>
      </c>
      <c r="J732" s="838"/>
      <c r="K732" s="21"/>
      <c r="L732" s="21"/>
      <c r="M732" s="22"/>
      <c r="N732" s="23"/>
      <c r="O732" s="23"/>
      <c r="P732" s="23" t="s">
        <v>1057</v>
      </c>
      <c r="Q732" s="23">
        <v>45791</v>
      </c>
      <c r="R732" s="79" t="s">
        <v>67</v>
      </c>
      <c r="S732" s="22" t="s">
        <v>1055</v>
      </c>
      <c r="T732" s="22">
        <v>9</v>
      </c>
      <c r="U732" s="24" t="s">
        <v>67</v>
      </c>
      <c r="V732" s="23">
        <v>45791</v>
      </c>
      <c r="W732" s="80"/>
      <c r="X732" s="83"/>
      <c r="Y732"/>
      <c r="Z732" s="85"/>
      <c r="AA732" s="85"/>
      <c r="AB732" s="84"/>
      <c r="AC732" s="92"/>
      <c r="AD732" s="92"/>
      <c r="AE732" s="92"/>
    </row>
    <row r="733" spans="1:31">
      <c r="A733" s="834" t="s">
        <v>137</v>
      </c>
      <c r="B733" s="835">
        <v>730</v>
      </c>
      <c r="C733" s="838" t="s">
        <v>1185</v>
      </c>
      <c r="D733" s="834" t="s">
        <v>1186</v>
      </c>
      <c r="E733" s="839">
        <v>45782.375</v>
      </c>
      <c r="F733" s="838" t="s">
        <v>140</v>
      </c>
      <c r="G733" s="229">
        <v>55</v>
      </c>
      <c r="H733" s="838" t="s">
        <v>22</v>
      </c>
      <c r="I733" s="838" t="s">
        <v>28</v>
      </c>
      <c r="J733" s="838"/>
      <c r="K733" s="21"/>
      <c r="L733" s="21"/>
      <c r="M733" s="22"/>
      <c r="N733" s="23"/>
      <c r="O733" s="848" t="s">
        <v>31</v>
      </c>
      <c r="P733" s="23" t="s">
        <v>30</v>
      </c>
      <c r="Q733" s="23">
        <v>45838</v>
      </c>
      <c r="R733" s="79" t="s">
        <v>67</v>
      </c>
      <c r="S733" s="22" t="s">
        <v>1057</v>
      </c>
      <c r="T733" s="22">
        <v>32</v>
      </c>
      <c r="U733" s="24" t="s">
        <v>67</v>
      </c>
      <c r="V733" s="23">
        <v>45838</v>
      </c>
      <c r="W733" s="80"/>
      <c r="X733" s="83"/>
      <c r="Y733" s="85">
        <v>0</v>
      </c>
      <c r="Z733" s="86">
        <v>55</v>
      </c>
      <c r="AA733" s="86">
        <v>0</v>
      </c>
      <c r="AB733">
        <f>SUM(Y733:AA733)</f>
        <v>55</v>
      </c>
      <c r="AC733" s="71">
        <f>+Y733/AB733*AC$1</f>
        <v>0</v>
      </c>
      <c r="AD733" s="92">
        <f>+Z733/AB733*AD$1</f>
        <v>3</v>
      </c>
      <c r="AE733" s="92" t="e">
        <f>+AA733/AC733*AE$1</f>
        <v>#DIV/0!</v>
      </c>
    </row>
    <row r="734" spans="1:31">
      <c r="A734" s="834" t="s">
        <v>137</v>
      </c>
      <c r="B734" s="835">
        <v>731</v>
      </c>
      <c r="C734" s="838" t="s">
        <v>1187</v>
      </c>
      <c r="D734" s="834" t="s">
        <v>818</v>
      </c>
      <c r="E734" s="839">
        <v>45782.083333333336</v>
      </c>
      <c r="F734" s="838" t="s">
        <v>140</v>
      </c>
      <c r="G734" s="229">
        <v>8</v>
      </c>
      <c r="H734" s="838" t="s">
        <v>141</v>
      </c>
      <c r="I734" s="838" t="s">
        <v>819</v>
      </c>
      <c r="J734" s="838"/>
      <c r="K734" s="21"/>
      <c r="L734" s="21"/>
      <c r="M734" s="22"/>
      <c r="N734" s="23"/>
      <c r="O734" s="23"/>
      <c r="P734" s="23" t="s">
        <v>1057</v>
      </c>
      <c r="Q734" s="23">
        <v>45792</v>
      </c>
      <c r="R734" s="79" t="s">
        <v>67</v>
      </c>
      <c r="S734" s="22" t="s">
        <v>1055</v>
      </c>
      <c r="T734" s="22">
        <v>8</v>
      </c>
      <c r="U734" s="24" t="s">
        <v>67</v>
      </c>
      <c r="V734" s="23">
        <v>45792</v>
      </c>
      <c r="W734" s="80"/>
      <c r="X734" s="83"/>
      <c r="Y734" s="85"/>
      <c r="Z734" s="86"/>
      <c r="AA734" s="86"/>
      <c r="AB734" s="84"/>
      <c r="AC734" s="92"/>
      <c r="AD734" s="92"/>
      <c r="AE734" s="92"/>
    </row>
    <row r="735" spans="1:31">
      <c r="A735" s="834" t="s">
        <v>137</v>
      </c>
      <c r="B735" s="835">
        <v>732</v>
      </c>
      <c r="C735" s="838" t="s">
        <v>1188</v>
      </c>
      <c r="D735" s="834" t="s">
        <v>841</v>
      </c>
      <c r="E735" s="839">
        <v>45782.375</v>
      </c>
      <c r="F735" s="838" t="s">
        <v>140</v>
      </c>
      <c r="G735" s="229">
        <v>18</v>
      </c>
      <c r="H735" s="838" t="s">
        <v>301</v>
      </c>
      <c r="I735" s="838" t="s">
        <v>302</v>
      </c>
      <c r="J735" s="838"/>
      <c r="K735" s="21"/>
      <c r="L735" s="21"/>
      <c r="M735" s="22"/>
      <c r="N735" s="23"/>
      <c r="O735" s="61" t="s">
        <v>31</v>
      </c>
      <c r="P735" s="23" t="s">
        <v>30</v>
      </c>
      <c r="Q735" s="23">
        <v>45792</v>
      </c>
      <c r="R735" s="79" t="s">
        <v>67</v>
      </c>
      <c r="S735" s="22" t="s">
        <v>1055</v>
      </c>
      <c r="T735" s="22">
        <v>19</v>
      </c>
      <c r="U735" s="24" t="s">
        <v>67</v>
      </c>
      <c r="V735" s="23">
        <v>45792</v>
      </c>
      <c r="W735" s="80"/>
      <c r="X735" s="83"/>
      <c r="Y735" s="85">
        <v>0</v>
      </c>
      <c r="Z735" s="86">
        <v>15</v>
      </c>
      <c r="AA735" s="86">
        <v>4</v>
      </c>
      <c r="AB735">
        <f>SUM(Y735:AA735)</f>
        <v>19</v>
      </c>
      <c r="AC735" s="71">
        <f>+Y735/AB735*AC$1</f>
        <v>0</v>
      </c>
      <c r="AD735" s="92">
        <f>+Z735/AB735*AD$1</f>
        <v>2.3684210526315788</v>
      </c>
      <c r="AE735" s="92" t="e">
        <f>+AA735/AC735*AE$1</f>
        <v>#DIV/0!</v>
      </c>
    </row>
    <row r="736" spans="1:31">
      <c r="A736" s="834" t="s">
        <v>137</v>
      </c>
      <c r="B736" s="835">
        <v>733</v>
      </c>
      <c r="C736" s="838" t="s">
        <v>1189</v>
      </c>
      <c r="D736" s="834" t="s">
        <v>1042</v>
      </c>
      <c r="E736" s="839">
        <v>45782.375</v>
      </c>
      <c r="F736" s="838" t="s">
        <v>140</v>
      </c>
      <c r="G736" s="229">
        <v>7</v>
      </c>
      <c r="H736" s="838" t="s">
        <v>22</v>
      </c>
      <c r="I736" s="838" t="s">
        <v>28</v>
      </c>
      <c r="J736" s="838"/>
      <c r="K736" s="21"/>
      <c r="L736" s="21"/>
      <c r="M736" s="22"/>
      <c r="N736" s="23"/>
      <c r="O736" s="23"/>
      <c r="P736" s="23" t="s">
        <v>1057</v>
      </c>
      <c r="Q736" s="23">
        <v>45804</v>
      </c>
      <c r="R736" s="79" t="s">
        <v>67</v>
      </c>
      <c r="S736" s="22" t="s">
        <v>1055</v>
      </c>
      <c r="T736" s="22">
        <v>7</v>
      </c>
      <c r="U736" s="24" t="s">
        <v>67</v>
      </c>
      <c r="V736" s="23">
        <v>45804</v>
      </c>
      <c r="W736" s="80"/>
      <c r="X736" s="83"/>
      <c r="Y736" s="85"/>
      <c r="Z736" s="86"/>
      <c r="AA736" s="86"/>
      <c r="AB736" s="776"/>
      <c r="AC736" s="92"/>
      <c r="AD736" s="92"/>
      <c r="AE736" s="92"/>
    </row>
    <row r="737" spans="1:31">
      <c r="A737" s="834" t="s">
        <v>137</v>
      </c>
      <c r="B737" s="835">
        <v>734</v>
      </c>
      <c r="C737" s="838" t="s">
        <v>1190</v>
      </c>
      <c r="D737" s="834" t="s">
        <v>846</v>
      </c>
      <c r="E737" s="839">
        <v>45782.375</v>
      </c>
      <c r="F737" s="838" t="s">
        <v>140</v>
      </c>
      <c r="G737" s="229">
        <v>2</v>
      </c>
      <c r="H737" s="838" t="s">
        <v>301</v>
      </c>
      <c r="I737" s="838" t="s">
        <v>302</v>
      </c>
      <c r="J737" s="838"/>
      <c r="K737" s="21"/>
      <c r="L737" s="21"/>
      <c r="M737" s="22"/>
      <c r="N737" s="23"/>
      <c r="O737" s="23"/>
      <c r="P737" s="23" t="s">
        <v>1057</v>
      </c>
      <c r="Q737" s="23">
        <v>45791</v>
      </c>
      <c r="R737" s="79" t="s">
        <v>67</v>
      </c>
      <c r="S737" s="22" t="s">
        <v>1055</v>
      </c>
      <c r="T737" s="22">
        <v>7</v>
      </c>
      <c r="U737" s="24" t="s">
        <v>67</v>
      </c>
      <c r="V737" s="23">
        <v>45791</v>
      </c>
      <c r="W737" s="80"/>
      <c r="X737" s="83"/>
      <c r="Y737" s="85"/>
      <c r="Z737" s="86"/>
      <c r="AA737" s="86"/>
      <c r="AB737" s="776"/>
      <c r="AC737" s="92"/>
      <c r="AD737" s="92"/>
      <c r="AE737" s="92"/>
    </row>
    <row r="738" spans="1:31">
      <c r="A738" s="834" t="s">
        <v>137</v>
      </c>
      <c r="B738" s="835">
        <v>735</v>
      </c>
      <c r="C738" s="838" t="s">
        <v>1191</v>
      </c>
      <c r="D738" s="834" t="s">
        <v>794</v>
      </c>
      <c r="E738" s="839">
        <v>45789.375</v>
      </c>
      <c r="F738" s="838" t="s">
        <v>140</v>
      </c>
      <c r="G738" s="229">
        <v>1</v>
      </c>
      <c r="H738" s="838" t="s">
        <v>46</v>
      </c>
      <c r="I738" s="838" t="s">
        <v>47</v>
      </c>
      <c r="J738" s="838"/>
      <c r="K738" s="21"/>
      <c r="L738" s="21"/>
      <c r="M738" s="22"/>
      <c r="N738" s="23"/>
      <c r="O738" s="23"/>
      <c r="P738" s="23" t="s">
        <v>1057</v>
      </c>
      <c r="Q738" s="23">
        <v>45796</v>
      </c>
      <c r="R738" s="79" t="s">
        <v>67</v>
      </c>
      <c r="S738" s="22" t="s">
        <v>1055</v>
      </c>
      <c r="T738" s="22">
        <v>1</v>
      </c>
      <c r="U738" s="24" t="s">
        <v>67</v>
      </c>
      <c r="V738" s="23">
        <v>45796</v>
      </c>
      <c r="W738" s="80"/>
      <c r="X738" s="83"/>
      <c r="Y738" s="85"/>
      <c r="Z738" s="86"/>
      <c r="AA738" s="86"/>
      <c r="AB738" s="776"/>
      <c r="AC738" s="92"/>
      <c r="AD738" s="92"/>
      <c r="AE738" s="92"/>
    </row>
    <row r="739" spans="1:31">
      <c r="A739" s="834" t="s">
        <v>137</v>
      </c>
      <c r="B739" s="835">
        <v>736</v>
      </c>
      <c r="C739" s="838" t="s">
        <v>1192</v>
      </c>
      <c r="D739" s="834" t="s">
        <v>1193</v>
      </c>
      <c r="E739" s="839">
        <v>45789.375</v>
      </c>
      <c r="F739" s="838" t="s">
        <v>140</v>
      </c>
      <c r="G739" s="229">
        <v>2</v>
      </c>
      <c r="H739" s="838" t="s">
        <v>22</v>
      </c>
      <c r="I739" s="838" t="s">
        <v>28</v>
      </c>
      <c r="J739" s="838"/>
      <c r="K739" s="21"/>
      <c r="L739" s="21"/>
      <c r="M739" s="22"/>
      <c r="N739" s="23"/>
      <c r="O739" s="23"/>
      <c r="P739" s="23" t="s">
        <v>1057</v>
      </c>
      <c r="Q739" s="23">
        <v>45796</v>
      </c>
      <c r="R739" s="79" t="s">
        <v>67</v>
      </c>
      <c r="S739" s="22" t="s">
        <v>1055</v>
      </c>
      <c r="T739" s="22">
        <v>2</v>
      </c>
      <c r="U739" s="24" t="s">
        <v>67</v>
      </c>
      <c r="V739" s="23">
        <v>45796</v>
      </c>
      <c r="W739" s="80"/>
      <c r="X739" s="83"/>
      <c r="Y739" s="85"/>
      <c r="Z739" s="86"/>
      <c r="AA739" s="86"/>
      <c r="AB739" s="776"/>
      <c r="AC739" s="92"/>
      <c r="AD739" s="92"/>
      <c r="AE739" s="92"/>
    </row>
    <row r="740" spans="1:31">
      <c r="A740" s="834" t="s">
        <v>137</v>
      </c>
      <c r="B740" s="835">
        <v>737</v>
      </c>
      <c r="C740" s="838" t="s">
        <v>1194</v>
      </c>
      <c r="D740" s="834" t="s">
        <v>1195</v>
      </c>
      <c r="E740" s="839">
        <v>45789.375</v>
      </c>
      <c r="F740" s="838" t="s">
        <v>140</v>
      </c>
      <c r="G740" s="229">
        <v>23</v>
      </c>
      <c r="H740" s="838" t="s">
        <v>22</v>
      </c>
      <c r="I740" s="838" t="s">
        <v>28</v>
      </c>
      <c r="J740" s="838"/>
      <c r="K740" s="21"/>
      <c r="L740" s="21"/>
      <c r="M740" s="22"/>
      <c r="N740" s="23"/>
      <c r="O740" s="61" t="s">
        <v>31</v>
      </c>
      <c r="P740" s="23" t="s">
        <v>1057</v>
      </c>
      <c r="Q740" s="23">
        <v>45796</v>
      </c>
      <c r="R740" s="79" t="s">
        <v>67</v>
      </c>
      <c r="S740" s="22" t="s">
        <v>1055</v>
      </c>
      <c r="T740" s="22">
        <v>21</v>
      </c>
      <c r="U740" s="24" t="s">
        <v>67</v>
      </c>
      <c r="V740" s="23">
        <v>45796</v>
      </c>
      <c r="W740" s="80"/>
      <c r="X740" s="83"/>
      <c r="Y740" s="85">
        <v>0</v>
      </c>
      <c r="Z740" s="85">
        <v>23</v>
      </c>
      <c r="AA740" s="85">
        <v>0</v>
      </c>
      <c r="AB740">
        <f>SUM(Y740:AA740)</f>
        <v>23</v>
      </c>
      <c r="AC740" s="71">
        <f>+Y740/AB740*AC$1</f>
        <v>0</v>
      </c>
      <c r="AD740" s="92">
        <f>+Z740/AB740*AD$1</f>
        <v>3</v>
      </c>
      <c r="AE740" s="92" t="e">
        <f>+AA740/AC740*AE$1</f>
        <v>#DIV/0!</v>
      </c>
    </row>
    <row r="741" spans="1:31">
      <c r="A741" s="834" t="s">
        <v>137</v>
      </c>
      <c r="B741" s="835">
        <v>738</v>
      </c>
      <c r="C741" s="838" t="s">
        <v>1196</v>
      </c>
      <c r="D741" s="834" t="s">
        <v>1184</v>
      </c>
      <c r="E741" s="839">
        <v>45789.083333333336</v>
      </c>
      <c r="F741" s="838" t="s">
        <v>140</v>
      </c>
      <c r="G741" s="229">
        <v>15</v>
      </c>
      <c r="H741" s="838" t="s">
        <v>21</v>
      </c>
      <c r="I741" s="838" t="s">
        <v>127</v>
      </c>
      <c r="J741" s="838"/>
      <c r="K741" s="21"/>
      <c r="L741" s="21"/>
      <c r="M741" s="22"/>
      <c r="N741" s="23"/>
      <c r="O741" s="61" t="s">
        <v>31</v>
      </c>
      <c r="P741" s="23" t="s">
        <v>1057</v>
      </c>
      <c r="Q741" s="23">
        <v>45796</v>
      </c>
      <c r="R741" s="79" t="s">
        <v>67</v>
      </c>
      <c r="S741" s="22" t="s">
        <v>1055</v>
      </c>
      <c r="T741" s="22">
        <v>15</v>
      </c>
      <c r="U741" s="24" t="s">
        <v>67</v>
      </c>
      <c r="V741" s="23">
        <v>45796</v>
      </c>
      <c r="W741" s="80"/>
      <c r="X741" s="83"/>
      <c r="Y741" s="85">
        <v>10</v>
      </c>
      <c r="Z741" s="85">
        <v>2</v>
      </c>
      <c r="AA741" s="85">
        <v>3</v>
      </c>
      <c r="AB741">
        <f>SUM(Y741:AA741)</f>
        <v>15</v>
      </c>
      <c r="AC741" s="71">
        <f>+Y741/AB741*AC$1</f>
        <v>4</v>
      </c>
      <c r="AD741" s="92">
        <f>+Z741/AB741*AD$1</f>
        <v>0.4</v>
      </c>
      <c r="AE741" s="92">
        <f>+AA741/AC741*AE$1</f>
        <v>0</v>
      </c>
    </row>
    <row r="742" spans="1:31">
      <c r="A742" s="834" t="s">
        <v>137</v>
      </c>
      <c r="B742" s="835">
        <v>739</v>
      </c>
      <c r="C742" s="838" t="s">
        <v>1197</v>
      </c>
      <c r="D742" s="834" t="s">
        <v>1198</v>
      </c>
      <c r="E742" s="839">
        <v>45789.375</v>
      </c>
      <c r="F742" s="838" t="s">
        <v>140</v>
      </c>
      <c r="G742" s="229">
        <v>3</v>
      </c>
      <c r="H742" s="838" t="s">
        <v>46</v>
      </c>
      <c r="I742" s="838" t="s">
        <v>47</v>
      </c>
      <c r="J742" s="838"/>
      <c r="K742" s="21"/>
      <c r="L742" s="21"/>
      <c r="M742" s="22"/>
      <c r="N742" s="23"/>
      <c r="O742" s="23"/>
      <c r="P742" s="23" t="s">
        <v>1057</v>
      </c>
      <c r="Q742" s="23">
        <v>45796</v>
      </c>
      <c r="R742" s="79" t="s">
        <v>67</v>
      </c>
      <c r="S742" s="22" t="s">
        <v>1055</v>
      </c>
      <c r="T742" s="22">
        <v>3</v>
      </c>
      <c r="U742" s="24" t="s">
        <v>67</v>
      </c>
      <c r="V742" s="23">
        <v>45796</v>
      </c>
      <c r="W742" s="80"/>
      <c r="X742" s="83"/>
      <c r="Y742" s="85"/>
      <c r="Z742" s="85"/>
      <c r="AA742" s="85"/>
      <c r="AC742" s="92"/>
      <c r="AD742" s="92"/>
      <c r="AE742" s="92"/>
    </row>
    <row r="743" spans="1:31">
      <c r="A743" s="834" t="s">
        <v>137</v>
      </c>
      <c r="B743" s="835">
        <v>740</v>
      </c>
      <c r="C743" s="838" t="s">
        <v>1199</v>
      </c>
      <c r="D743" s="834" t="s">
        <v>937</v>
      </c>
      <c r="E743" s="839">
        <v>45789.041666666664</v>
      </c>
      <c r="F743" s="838" t="s">
        <v>140</v>
      </c>
      <c r="G743" s="229">
        <v>5</v>
      </c>
      <c r="H743" s="838" t="s">
        <v>21</v>
      </c>
      <c r="I743" s="838" t="s">
        <v>127</v>
      </c>
      <c r="J743" s="838"/>
      <c r="K743" s="21"/>
      <c r="L743" s="21"/>
      <c r="M743" s="22"/>
      <c r="N743" s="23"/>
      <c r="O743" s="23"/>
      <c r="P743" s="23" t="s">
        <v>1057</v>
      </c>
      <c r="Q743" s="23">
        <v>45799</v>
      </c>
      <c r="R743" s="79" t="s">
        <v>67</v>
      </c>
      <c r="S743" s="22" t="s">
        <v>1055</v>
      </c>
      <c r="T743" s="22">
        <v>17</v>
      </c>
      <c r="U743" s="24" t="s">
        <v>67</v>
      </c>
      <c r="V743" s="23">
        <v>45799</v>
      </c>
      <c r="W743" s="80"/>
      <c r="X743" s="83"/>
      <c r="Y743" s="85"/>
      <c r="Z743" s="85"/>
      <c r="AA743" s="85"/>
      <c r="AC743" s="92"/>
      <c r="AD743" s="92"/>
      <c r="AE743" s="92"/>
    </row>
    <row r="744" spans="1:31">
      <c r="A744" s="834" t="s">
        <v>137</v>
      </c>
      <c r="B744" s="835">
        <v>741</v>
      </c>
      <c r="C744" s="838" t="s">
        <v>1200</v>
      </c>
      <c r="D744" s="834" t="s">
        <v>1201</v>
      </c>
      <c r="E744" s="839">
        <v>45789.375</v>
      </c>
      <c r="F744" s="838" t="s">
        <v>140</v>
      </c>
      <c r="G744" s="229">
        <v>2</v>
      </c>
      <c r="H744" s="838" t="s">
        <v>46</v>
      </c>
      <c r="I744" s="838" t="s">
        <v>47</v>
      </c>
      <c r="J744" s="838"/>
      <c r="K744" s="21"/>
      <c r="L744" s="21"/>
      <c r="M744" s="22"/>
      <c r="N744" s="23"/>
      <c r="O744" s="23"/>
      <c r="P744" s="23" t="s">
        <v>1057</v>
      </c>
      <c r="Q744" s="23">
        <v>45796</v>
      </c>
      <c r="R744" s="79" t="s">
        <v>67</v>
      </c>
      <c r="S744" s="22" t="s">
        <v>1055</v>
      </c>
      <c r="T744" s="22">
        <v>2</v>
      </c>
      <c r="U744" s="24" t="s">
        <v>67</v>
      </c>
      <c r="V744" s="23">
        <v>45796</v>
      </c>
      <c r="W744" s="80"/>
      <c r="X744" s="83"/>
      <c r="Y744" s="85"/>
      <c r="Z744" s="85"/>
      <c r="AA744" s="85"/>
      <c r="AC744" s="92"/>
      <c r="AD744" s="92"/>
      <c r="AE744" s="92"/>
    </row>
    <row r="745" spans="1:31">
      <c r="A745" s="834" t="s">
        <v>137</v>
      </c>
      <c r="B745" s="835">
        <v>742</v>
      </c>
      <c r="C745" s="838" t="s">
        <v>1202</v>
      </c>
      <c r="D745" s="834" t="s">
        <v>798</v>
      </c>
      <c r="E745" s="839">
        <v>45789.375</v>
      </c>
      <c r="F745" s="838" t="s">
        <v>140</v>
      </c>
      <c r="G745" s="229">
        <v>1</v>
      </c>
      <c r="H745" s="838" t="s">
        <v>46</v>
      </c>
      <c r="I745" s="838" t="s">
        <v>47</v>
      </c>
      <c r="J745" s="838"/>
      <c r="K745" s="21"/>
      <c r="L745" s="21"/>
      <c r="M745" s="22"/>
      <c r="N745" s="23"/>
      <c r="O745" s="23"/>
      <c r="P745" s="23" t="s">
        <v>1057</v>
      </c>
      <c r="Q745" s="23">
        <v>45799</v>
      </c>
      <c r="R745" s="79" t="s">
        <v>67</v>
      </c>
      <c r="S745" s="22" t="s">
        <v>1055</v>
      </c>
      <c r="T745" s="22">
        <v>1</v>
      </c>
      <c r="U745" s="24" t="s">
        <v>67</v>
      </c>
      <c r="V745" s="23">
        <v>45799</v>
      </c>
      <c r="W745" s="80"/>
      <c r="X745" s="83"/>
      <c r="Y745" s="85"/>
      <c r="Z745" s="85"/>
      <c r="AA745" s="85"/>
      <c r="AC745" s="92"/>
      <c r="AD745" s="92"/>
      <c r="AE745" s="92"/>
    </row>
    <row r="746" spans="1:31">
      <c r="A746" s="834" t="s">
        <v>137</v>
      </c>
      <c r="B746" s="835">
        <v>743</v>
      </c>
      <c r="C746" s="838" t="s">
        <v>1203</v>
      </c>
      <c r="D746" s="834" t="s">
        <v>1204</v>
      </c>
      <c r="E746" s="839">
        <v>45789.375</v>
      </c>
      <c r="F746" s="838" t="s">
        <v>140</v>
      </c>
      <c r="G746" s="229">
        <v>2</v>
      </c>
      <c r="H746" s="838" t="s">
        <v>22</v>
      </c>
      <c r="I746" s="838" t="s">
        <v>28</v>
      </c>
      <c r="J746" s="838"/>
      <c r="K746" s="21"/>
      <c r="L746" s="21"/>
      <c r="M746" s="22"/>
      <c r="N746" s="23"/>
      <c r="O746" s="61"/>
      <c r="P746" s="23" t="s">
        <v>1057</v>
      </c>
      <c r="Q746" s="23">
        <v>45796</v>
      </c>
      <c r="R746" s="79" t="s">
        <v>67</v>
      </c>
      <c r="S746" s="22" t="s">
        <v>1055</v>
      </c>
      <c r="T746" s="22">
        <v>4</v>
      </c>
      <c r="U746" s="24" t="s">
        <v>67</v>
      </c>
      <c r="V746" s="23">
        <v>45796</v>
      </c>
      <c r="W746" s="80"/>
      <c r="X746" s="83"/>
      <c r="Y746" s="85"/>
      <c r="Z746" s="86"/>
      <c r="AA746" s="86"/>
      <c r="AB746" s="776"/>
      <c r="AC746" s="92"/>
      <c r="AD746" s="92"/>
      <c r="AE746" s="92"/>
    </row>
    <row r="747" spans="1:31">
      <c r="A747" s="834" t="s">
        <v>137</v>
      </c>
      <c r="B747" s="835">
        <v>744</v>
      </c>
      <c r="C747" s="838" t="s">
        <v>1205</v>
      </c>
      <c r="D747" s="834" t="s">
        <v>829</v>
      </c>
      <c r="E747" s="839">
        <v>45789.166666666664</v>
      </c>
      <c r="F747" s="838" t="s">
        <v>140</v>
      </c>
      <c r="G747" s="229">
        <v>1</v>
      </c>
      <c r="H747" s="838" t="s">
        <v>78</v>
      </c>
      <c r="I747" s="838" t="s">
        <v>1206</v>
      </c>
      <c r="J747" s="838"/>
      <c r="K747" s="21"/>
      <c r="L747" s="21"/>
      <c r="M747" s="22"/>
      <c r="N747" s="23"/>
      <c r="O747" s="23"/>
      <c r="P747" s="23" t="s">
        <v>1057</v>
      </c>
      <c r="Q747" s="23">
        <v>45796</v>
      </c>
      <c r="R747" s="79" t="s">
        <v>67</v>
      </c>
      <c r="S747" s="22" t="s">
        <v>1055</v>
      </c>
      <c r="T747" s="22">
        <v>3</v>
      </c>
      <c r="U747" s="24" t="s">
        <v>67</v>
      </c>
      <c r="V747" s="23">
        <v>45796</v>
      </c>
      <c r="W747" s="840"/>
      <c r="X747" s="832"/>
      <c r="Y747" s="85"/>
      <c r="Z747" s="86"/>
      <c r="AA747" s="86"/>
      <c r="AB747" s="84"/>
      <c r="AC747" s="92"/>
      <c r="AD747" s="92"/>
      <c r="AE747" s="92"/>
    </row>
    <row r="748" spans="1:31">
      <c r="A748" s="834" t="s">
        <v>137</v>
      </c>
      <c r="B748" s="835">
        <v>745</v>
      </c>
      <c r="C748" s="838" t="s">
        <v>1207</v>
      </c>
      <c r="D748" s="834" t="s">
        <v>1208</v>
      </c>
      <c r="E748" s="839">
        <v>45789.083333333336</v>
      </c>
      <c r="F748" s="838" t="s">
        <v>140</v>
      </c>
      <c r="G748" s="229">
        <v>3</v>
      </c>
      <c r="H748" s="838" t="s">
        <v>21</v>
      </c>
      <c r="I748" s="838" t="s">
        <v>127</v>
      </c>
      <c r="J748" s="838"/>
      <c r="K748" s="21"/>
      <c r="L748" s="21"/>
      <c r="M748" s="22"/>
      <c r="N748" s="23"/>
      <c r="O748" s="23"/>
      <c r="P748" s="23" t="s">
        <v>1057</v>
      </c>
      <c r="Q748" s="23">
        <v>45797</v>
      </c>
      <c r="R748" s="79" t="s">
        <v>67</v>
      </c>
      <c r="S748" s="22" t="s">
        <v>1055</v>
      </c>
      <c r="T748" s="22">
        <v>3</v>
      </c>
      <c r="U748" s="24" t="s">
        <v>67</v>
      </c>
      <c r="V748" s="23">
        <v>45797</v>
      </c>
      <c r="W748" s="840"/>
      <c r="X748" s="832"/>
      <c r="Y748" s="85"/>
      <c r="Z748" s="85"/>
      <c r="AA748" s="85"/>
      <c r="AC748" s="92"/>
      <c r="AD748" s="92"/>
      <c r="AE748" s="92"/>
    </row>
    <row r="749" spans="1:31">
      <c r="A749" s="834" t="s">
        <v>137</v>
      </c>
      <c r="B749" s="835">
        <v>746</v>
      </c>
      <c r="C749" s="838" t="s">
        <v>1209</v>
      </c>
      <c r="D749" s="834" t="s">
        <v>1210</v>
      </c>
      <c r="E749" s="839">
        <v>45789.375</v>
      </c>
      <c r="F749" s="838" t="s">
        <v>140</v>
      </c>
      <c r="G749" s="229">
        <v>2</v>
      </c>
      <c r="H749" s="838" t="s">
        <v>46</v>
      </c>
      <c r="I749" s="838" t="s">
        <v>47</v>
      </c>
      <c r="J749" s="838"/>
      <c r="K749" s="21"/>
      <c r="L749" s="21"/>
      <c r="M749" s="22"/>
      <c r="N749" s="23"/>
      <c r="O749" s="23"/>
      <c r="P749" s="23" t="s">
        <v>1057</v>
      </c>
      <c r="Q749" s="23">
        <v>45805</v>
      </c>
      <c r="R749" s="221" t="s">
        <v>67</v>
      </c>
      <c r="S749" s="23" t="s">
        <v>1055</v>
      </c>
      <c r="T749" s="22">
        <v>2</v>
      </c>
      <c r="U749" s="23" t="s">
        <v>67</v>
      </c>
      <c r="V749" s="23">
        <v>45805</v>
      </c>
      <c r="W749" s="80"/>
      <c r="X749" s="83"/>
      <c r="Y749" s="85"/>
      <c r="Z749" s="85"/>
      <c r="AA749" s="85"/>
      <c r="AB749" s="84"/>
      <c r="AC749" s="92"/>
      <c r="AD749" s="92"/>
      <c r="AE749" s="92"/>
    </row>
    <row r="750" spans="1:31">
      <c r="A750" s="834" t="s">
        <v>137</v>
      </c>
      <c r="B750" s="835">
        <v>747</v>
      </c>
      <c r="C750" s="838" t="s">
        <v>1211</v>
      </c>
      <c r="D750" s="834" t="s">
        <v>1212</v>
      </c>
      <c r="E750" s="839">
        <v>45789.083333333336</v>
      </c>
      <c r="F750" s="838" t="s">
        <v>140</v>
      </c>
      <c r="G750" s="229">
        <v>3</v>
      </c>
      <c r="H750" s="838" t="s">
        <v>141</v>
      </c>
      <c r="I750" s="838" t="s">
        <v>819</v>
      </c>
      <c r="J750" s="838"/>
      <c r="K750" s="21"/>
      <c r="L750" s="21"/>
      <c r="M750" s="22"/>
      <c r="N750" s="23"/>
      <c r="O750" s="23"/>
      <c r="P750" s="23" t="s">
        <v>1057</v>
      </c>
      <c r="Q750" s="23">
        <v>45797</v>
      </c>
      <c r="R750" s="79" t="s">
        <v>67</v>
      </c>
      <c r="S750" s="22" t="s">
        <v>1055</v>
      </c>
      <c r="T750" s="22">
        <v>3</v>
      </c>
      <c r="U750" s="24" t="s">
        <v>67</v>
      </c>
      <c r="V750" s="23">
        <v>45797</v>
      </c>
      <c r="W750" s="840"/>
      <c r="X750" s="832"/>
      <c r="Y750" s="85"/>
      <c r="Z750" s="85"/>
      <c r="AA750" s="85"/>
      <c r="AC750" s="92"/>
      <c r="AD750" s="92"/>
      <c r="AE750" s="92"/>
    </row>
    <row r="751" spans="1:31">
      <c r="A751" s="834" t="s">
        <v>137</v>
      </c>
      <c r="B751" s="835">
        <v>748</v>
      </c>
      <c r="C751" s="838" t="s">
        <v>1213</v>
      </c>
      <c r="D751" s="834" t="s">
        <v>779</v>
      </c>
      <c r="E751" s="839">
        <v>45789.083333333336</v>
      </c>
      <c r="F751" s="838" t="s">
        <v>140</v>
      </c>
      <c r="G751" s="229">
        <v>2</v>
      </c>
      <c r="H751" s="838" t="s">
        <v>21</v>
      </c>
      <c r="I751" s="838" t="s">
        <v>127</v>
      </c>
      <c r="J751" s="838"/>
      <c r="K751" s="21"/>
      <c r="L751" s="21"/>
      <c r="M751" s="22"/>
      <c r="N751" s="23"/>
      <c r="O751" s="61"/>
      <c r="P751" s="23" t="s">
        <v>1057</v>
      </c>
      <c r="Q751" s="23">
        <v>45797</v>
      </c>
      <c r="R751" s="79" t="s">
        <v>67</v>
      </c>
      <c r="S751" s="22" t="s">
        <v>1055</v>
      </c>
      <c r="T751" s="22">
        <v>2</v>
      </c>
      <c r="U751" s="24" t="s">
        <v>67</v>
      </c>
      <c r="V751" s="23">
        <v>45797</v>
      </c>
      <c r="W751" s="840"/>
      <c r="X751" s="832"/>
      <c r="Y751" s="85"/>
      <c r="Z751" s="85"/>
      <c r="AA751" s="85"/>
      <c r="AC751" s="92"/>
      <c r="AD751" s="92"/>
      <c r="AE751" s="92"/>
    </row>
    <row r="752" spans="1:31">
      <c r="A752" s="834" t="s">
        <v>137</v>
      </c>
      <c r="B752" s="835">
        <v>749</v>
      </c>
      <c r="C752" s="838" t="s">
        <v>1214</v>
      </c>
      <c r="D752" s="834" t="s">
        <v>1215</v>
      </c>
      <c r="E752" s="839">
        <v>45789.458333333336</v>
      </c>
      <c r="F752" s="838" t="s">
        <v>140</v>
      </c>
      <c r="G752" s="229">
        <v>1</v>
      </c>
      <c r="H752" s="838" t="s">
        <v>21</v>
      </c>
      <c r="I752" s="838" t="s">
        <v>127</v>
      </c>
      <c r="J752" s="838"/>
      <c r="K752" s="21"/>
      <c r="L752" s="21"/>
      <c r="M752" s="22"/>
      <c r="N752" s="23"/>
      <c r="O752" s="61"/>
      <c r="P752" s="23" t="s">
        <v>1057</v>
      </c>
      <c r="Q752" s="23">
        <v>45797</v>
      </c>
      <c r="R752" s="79" t="s">
        <v>67</v>
      </c>
      <c r="S752" s="22" t="s">
        <v>1055</v>
      </c>
      <c r="T752" s="22">
        <v>1</v>
      </c>
      <c r="U752" s="24" t="s">
        <v>67</v>
      </c>
      <c r="V752" s="23">
        <v>45797</v>
      </c>
      <c r="W752" s="80"/>
      <c r="X752" s="83"/>
      <c r="Y752" s="85"/>
      <c r="Z752" s="85"/>
      <c r="AA752" s="85"/>
      <c r="AC752" s="92"/>
      <c r="AD752" s="92"/>
      <c r="AE752" s="92"/>
    </row>
    <row r="753" spans="1:31">
      <c r="A753" s="834" t="s">
        <v>137</v>
      </c>
      <c r="B753" s="835">
        <v>750</v>
      </c>
      <c r="C753" s="838" t="s">
        <v>1216</v>
      </c>
      <c r="D753" s="834" t="s">
        <v>798</v>
      </c>
      <c r="E753" s="839">
        <v>45789</v>
      </c>
      <c r="F753" s="838" t="s">
        <v>140</v>
      </c>
      <c r="G753" s="229">
        <v>1</v>
      </c>
      <c r="H753" s="838" t="s">
        <v>21</v>
      </c>
      <c r="I753" s="838" t="s">
        <v>127</v>
      </c>
      <c r="J753" s="838"/>
      <c r="K753" s="21"/>
      <c r="L753" s="21"/>
      <c r="M753" s="22"/>
      <c r="N753" s="23"/>
      <c r="O753" s="61"/>
      <c r="P753" s="23" t="s">
        <v>1057</v>
      </c>
      <c r="Q753" s="23">
        <v>45797</v>
      </c>
      <c r="R753" s="79" t="s">
        <v>67</v>
      </c>
      <c r="S753" s="22" t="s">
        <v>1055</v>
      </c>
      <c r="T753" s="22">
        <v>1</v>
      </c>
      <c r="U753" s="24" t="s">
        <v>67</v>
      </c>
      <c r="V753" s="23">
        <v>45797</v>
      </c>
      <c r="W753" s="80"/>
      <c r="X753" s="83"/>
      <c r="Y753" s="85"/>
      <c r="Z753" s="85"/>
      <c r="AA753" s="85"/>
      <c r="AC753" s="92"/>
      <c r="AD753" s="92"/>
      <c r="AE753" s="92"/>
    </row>
    <row r="754" spans="1:31">
      <c r="A754" s="834" t="s">
        <v>137</v>
      </c>
      <c r="B754" s="835">
        <v>751</v>
      </c>
      <c r="C754" s="838" t="s">
        <v>1217</v>
      </c>
      <c r="D754" s="834" t="s">
        <v>344</v>
      </c>
      <c r="E754" s="839">
        <v>45782.375</v>
      </c>
      <c r="F754" s="838" t="s">
        <v>140</v>
      </c>
      <c r="G754" s="229">
        <v>11</v>
      </c>
      <c r="H754" s="838" t="s">
        <v>301</v>
      </c>
      <c r="I754" s="838" t="s">
        <v>302</v>
      </c>
      <c r="J754" s="838"/>
      <c r="K754" s="21"/>
      <c r="L754" s="21"/>
      <c r="M754" s="22"/>
      <c r="N754" s="23"/>
      <c r="O754" s="61"/>
      <c r="P754" s="23" t="s">
        <v>1057</v>
      </c>
      <c r="Q754" s="23">
        <v>45792</v>
      </c>
      <c r="R754" s="221" t="s">
        <v>67</v>
      </c>
      <c r="S754" s="23" t="s">
        <v>1055</v>
      </c>
      <c r="T754" s="22">
        <v>11</v>
      </c>
      <c r="U754" s="23" t="s">
        <v>67</v>
      </c>
      <c r="V754" s="23">
        <v>45792</v>
      </c>
      <c r="W754" s="80"/>
      <c r="X754" s="83"/>
      <c r="Y754" s="85"/>
      <c r="Z754" s="85"/>
      <c r="AA754" s="85"/>
      <c r="AC754" s="92"/>
      <c r="AD754" s="92"/>
      <c r="AE754" s="92"/>
    </row>
    <row r="755" spans="1:31">
      <c r="A755" s="834" t="s">
        <v>137</v>
      </c>
      <c r="B755" s="835">
        <v>752</v>
      </c>
      <c r="C755" s="838" t="s">
        <v>1218</v>
      </c>
      <c r="D755" s="834" t="s">
        <v>1219</v>
      </c>
      <c r="E755" s="839">
        <v>45796.375</v>
      </c>
      <c r="F755" s="838" t="s">
        <v>140</v>
      </c>
      <c r="G755" s="229">
        <v>9</v>
      </c>
      <c r="H755" s="838" t="s">
        <v>22</v>
      </c>
      <c r="I755" s="838" t="s">
        <v>28</v>
      </c>
      <c r="J755" s="838"/>
      <c r="K755" s="21"/>
      <c r="L755" s="21"/>
      <c r="M755" s="22"/>
      <c r="N755" s="23"/>
      <c r="O755" s="61"/>
      <c r="P755" s="23" t="s">
        <v>1057</v>
      </c>
      <c r="Q755" s="23">
        <v>45800</v>
      </c>
      <c r="R755" s="79" t="s">
        <v>67</v>
      </c>
      <c r="S755" s="22" t="s">
        <v>1055</v>
      </c>
      <c r="T755" s="22">
        <v>9</v>
      </c>
      <c r="U755" s="24" t="s">
        <v>67</v>
      </c>
      <c r="V755" s="23">
        <v>45800</v>
      </c>
      <c r="W755" s="80"/>
      <c r="X755" s="83"/>
      <c r="Y755" s="85"/>
      <c r="Z755" s="86"/>
      <c r="AA755" s="86"/>
      <c r="AB755" s="776"/>
      <c r="AC755" s="92"/>
      <c r="AD755" s="92"/>
      <c r="AE755" s="92"/>
    </row>
    <row r="756" spans="1:31">
      <c r="A756" s="834" t="s">
        <v>137</v>
      </c>
      <c r="B756" s="835">
        <v>753</v>
      </c>
      <c r="C756" s="838" t="s">
        <v>1220</v>
      </c>
      <c r="D756" s="834" t="s">
        <v>937</v>
      </c>
      <c r="E756" s="839">
        <v>45796.083333333336</v>
      </c>
      <c r="F756" s="838" t="s">
        <v>140</v>
      </c>
      <c r="G756" s="229">
        <v>6</v>
      </c>
      <c r="H756" s="838" t="s">
        <v>78</v>
      </c>
      <c r="I756" s="838" t="s">
        <v>1206</v>
      </c>
      <c r="J756" s="838"/>
      <c r="K756" s="21"/>
      <c r="L756" s="21"/>
      <c r="M756" s="22"/>
      <c r="N756" s="23"/>
      <c r="O756" s="61"/>
      <c r="P756" s="23" t="s">
        <v>1057</v>
      </c>
      <c r="Q756" s="23">
        <v>45805</v>
      </c>
      <c r="R756" s="221" t="s">
        <v>67</v>
      </c>
      <c r="S756" s="23" t="s">
        <v>1055</v>
      </c>
      <c r="T756" s="22">
        <v>6</v>
      </c>
      <c r="U756" s="23" t="s">
        <v>67</v>
      </c>
      <c r="V756" s="23">
        <v>45805</v>
      </c>
      <c r="W756" s="80"/>
      <c r="X756" s="83"/>
      <c r="Y756" s="85"/>
      <c r="Z756" s="86"/>
      <c r="AA756" s="86"/>
      <c r="AB756" s="776"/>
      <c r="AC756" s="92"/>
      <c r="AD756" s="92"/>
      <c r="AE756" s="92"/>
    </row>
    <row r="757" spans="1:31">
      <c r="A757" s="834" t="s">
        <v>137</v>
      </c>
      <c r="B757" s="835">
        <v>754</v>
      </c>
      <c r="C757" s="838" t="s">
        <v>1221</v>
      </c>
      <c r="D757" s="834" t="s">
        <v>1198</v>
      </c>
      <c r="E757" s="839">
        <v>45796</v>
      </c>
      <c r="F757" s="838" t="s">
        <v>140</v>
      </c>
      <c r="G757" s="229">
        <v>53</v>
      </c>
      <c r="H757" s="838" t="s">
        <v>216</v>
      </c>
      <c r="I757" s="838" t="s">
        <v>1222</v>
      </c>
      <c r="J757" s="838"/>
      <c r="K757" s="21"/>
      <c r="L757" s="21"/>
      <c r="M757" s="22"/>
      <c r="N757" s="23"/>
      <c r="O757" s="61" t="s">
        <v>31</v>
      </c>
      <c r="P757" s="23" t="s">
        <v>1057</v>
      </c>
      <c r="Q757" s="23">
        <v>45805</v>
      </c>
      <c r="R757" s="79" t="s">
        <v>67</v>
      </c>
      <c r="S757" s="22" t="s">
        <v>1055</v>
      </c>
      <c r="T757" s="22">
        <v>53</v>
      </c>
      <c r="U757" s="24" t="s">
        <v>67</v>
      </c>
      <c r="V757" s="23">
        <v>45805</v>
      </c>
      <c r="W757" s="840"/>
      <c r="X757" s="832"/>
      <c r="Y757" s="85">
        <v>21</v>
      </c>
      <c r="Z757" s="86">
        <v>30</v>
      </c>
      <c r="AA757" s="86">
        <v>2</v>
      </c>
      <c r="AB757">
        <f>SUM(Y757:AA757)</f>
        <v>53</v>
      </c>
      <c r="AC757" s="71">
        <f>+Y757/AB757*AC$1</f>
        <v>2.3773584905660377</v>
      </c>
      <c r="AD757" s="92">
        <f>+Z757/AB757*AD$1</f>
        <v>1.6981132075471699</v>
      </c>
      <c r="AE757" s="92">
        <f>+AA757/AC757*AE$1</f>
        <v>0</v>
      </c>
    </row>
    <row r="758" spans="1:31">
      <c r="A758" s="834" t="s">
        <v>137</v>
      </c>
      <c r="B758" s="835">
        <v>755</v>
      </c>
      <c r="C758" s="838" t="s">
        <v>1223</v>
      </c>
      <c r="D758" s="834" t="s">
        <v>829</v>
      </c>
      <c r="E758" s="839">
        <v>45796.375</v>
      </c>
      <c r="F758" s="838" t="s">
        <v>140</v>
      </c>
      <c r="G758" s="229">
        <v>12</v>
      </c>
      <c r="H758" s="838" t="s">
        <v>46</v>
      </c>
      <c r="I758" s="838" t="s">
        <v>47</v>
      </c>
      <c r="J758" s="838"/>
      <c r="K758" s="21"/>
      <c r="L758" s="21"/>
      <c r="M758" s="22"/>
      <c r="N758" s="23"/>
      <c r="O758" s="23"/>
      <c r="P758" s="23" t="s">
        <v>1057</v>
      </c>
      <c r="Q758" s="23">
        <v>45803</v>
      </c>
      <c r="R758" s="79" t="s">
        <v>67</v>
      </c>
      <c r="S758" s="22" t="s">
        <v>1055</v>
      </c>
      <c r="T758" s="22">
        <v>12</v>
      </c>
      <c r="U758" s="24" t="s">
        <v>67</v>
      </c>
      <c r="V758" s="23">
        <v>45803</v>
      </c>
      <c r="W758" s="80"/>
      <c r="X758" s="83"/>
      <c r="Y758" s="85"/>
      <c r="Z758" s="85"/>
      <c r="AA758" s="85"/>
      <c r="AC758" s="92"/>
      <c r="AD758" s="92"/>
      <c r="AE758" s="92"/>
    </row>
    <row r="759" spans="1:31">
      <c r="A759" s="834" t="s">
        <v>137</v>
      </c>
      <c r="B759" s="835">
        <v>756</v>
      </c>
      <c r="C759" s="838" t="s">
        <v>1224</v>
      </c>
      <c r="D759" s="834" t="s">
        <v>1184</v>
      </c>
      <c r="E759" s="839">
        <v>45796.375</v>
      </c>
      <c r="F759" s="838" t="s">
        <v>140</v>
      </c>
      <c r="G759" s="229">
        <v>1</v>
      </c>
      <c r="H759" s="838" t="s">
        <v>46</v>
      </c>
      <c r="I759" s="838" t="s">
        <v>47</v>
      </c>
      <c r="J759" s="838"/>
      <c r="K759" s="21"/>
      <c r="L759" s="21"/>
      <c r="M759" s="22"/>
      <c r="N759" s="23"/>
      <c r="O759" s="61"/>
      <c r="P759" s="23" t="s">
        <v>1057</v>
      </c>
      <c r="Q759" s="23">
        <v>45803</v>
      </c>
      <c r="R759" s="79" t="s">
        <v>67</v>
      </c>
      <c r="S759" s="22" t="s">
        <v>1055</v>
      </c>
      <c r="T759" s="22">
        <v>1</v>
      </c>
      <c r="U759" s="24" t="s">
        <v>67</v>
      </c>
      <c r="V759" s="23">
        <v>45803</v>
      </c>
      <c r="W759" s="80"/>
      <c r="X759" s="83"/>
      <c r="Y759"/>
      <c r="Z759"/>
      <c r="AA759"/>
      <c r="AC759" s="92"/>
      <c r="AD759" s="92"/>
      <c r="AE759" s="92"/>
    </row>
    <row r="760" spans="1:31">
      <c r="A760" s="834" t="s">
        <v>137</v>
      </c>
      <c r="B760" s="835">
        <v>757</v>
      </c>
      <c r="C760" s="838" t="s">
        <v>1225</v>
      </c>
      <c r="D760" s="834" t="s">
        <v>1226</v>
      </c>
      <c r="E760" s="839">
        <v>45796.375</v>
      </c>
      <c r="F760" s="838" t="s">
        <v>140</v>
      </c>
      <c r="G760" s="229">
        <v>1</v>
      </c>
      <c r="H760" s="838" t="s">
        <v>21</v>
      </c>
      <c r="I760" s="838" t="s">
        <v>127</v>
      </c>
      <c r="J760" s="838"/>
      <c r="K760" s="21"/>
      <c r="L760" s="21"/>
      <c r="M760" s="22"/>
      <c r="N760" s="23"/>
      <c r="O760" s="23"/>
      <c r="P760" s="23" t="s">
        <v>1057</v>
      </c>
      <c r="Q760" s="23">
        <v>45803</v>
      </c>
      <c r="R760" s="79" t="s">
        <v>67</v>
      </c>
      <c r="S760" s="22" t="s">
        <v>1055</v>
      </c>
      <c r="T760" s="22">
        <v>1</v>
      </c>
      <c r="U760" s="24" t="s">
        <v>67</v>
      </c>
      <c r="V760" s="23">
        <v>45803</v>
      </c>
      <c r="W760" s="80"/>
      <c r="X760" s="83"/>
      <c r="Y760"/>
      <c r="Z760"/>
      <c r="AA760"/>
      <c r="AC760" s="92"/>
      <c r="AD760" s="92"/>
      <c r="AE760" s="92"/>
    </row>
    <row r="761" spans="1:31">
      <c r="A761" s="834" t="s">
        <v>137</v>
      </c>
      <c r="B761" s="835">
        <v>758</v>
      </c>
      <c r="C761" s="838" t="s">
        <v>1227</v>
      </c>
      <c r="D761" s="834" t="s">
        <v>1228</v>
      </c>
      <c r="E761" s="839">
        <v>45796.375</v>
      </c>
      <c r="F761" s="838" t="s">
        <v>140</v>
      </c>
      <c r="G761" s="229">
        <v>4</v>
      </c>
      <c r="H761" s="838" t="s">
        <v>21</v>
      </c>
      <c r="I761" s="838" t="s">
        <v>127</v>
      </c>
      <c r="J761" s="838"/>
      <c r="K761" s="21"/>
      <c r="L761" s="21"/>
      <c r="M761" s="22"/>
      <c r="N761" s="23"/>
      <c r="O761" s="61"/>
      <c r="P761" s="23" t="s">
        <v>1057</v>
      </c>
      <c r="Q761" s="23">
        <v>45803</v>
      </c>
      <c r="R761" s="79" t="s">
        <v>67</v>
      </c>
      <c r="S761" s="22" t="s">
        <v>1055</v>
      </c>
      <c r="T761" s="22">
        <v>4</v>
      </c>
      <c r="U761" s="24" t="s">
        <v>67</v>
      </c>
      <c r="V761" s="23">
        <v>45803</v>
      </c>
      <c r="W761" s="80"/>
      <c r="X761" s="83"/>
      <c r="Y761"/>
      <c r="Z761"/>
      <c r="AA761"/>
      <c r="AC761" s="92"/>
      <c r="AD761" s="92"/>
      <c r="AE761" s="92"/>
    </row>
    <row r="762" spans="1:31">
      <c r="A762" s="834" t="s">
        <v>137</v>
      </c>
      <c r="B762" s="835">
        <v>759</v>
      </c>
      <c r="C762" s="838" t="s">
        <v>1229</v>
      </c>
      <c r="D762" s="834" t="s">
        <v>1230</v>
      </c>
      <c r="E762" s="839">
        <v>45796.083333333336</v>
      </c>
      <c r="F762" s="838" t="s">
        <v>140</v>
      </c>
      <c r="G762" s="229">
        <v>2</v>
      </c>
      <c r="H762" s="838" t="s">
        <v>21</v>
      </c>
      <c r="I762" s="838" t="s">
        <v>127</v>
      </c>
      <c r="J762" s="838"/>
      <c r="K762" s="21"/>
      <c r="L762" s="21"/>
      <c r="M762" s="22"/>
      <c r="N762" s="23"/>
      <c r="O762" s="61"/>
      <c r="P762" s="23" t="s">
        <v>1057</v>
      </c>
      <c r="Q762" s="23">
        <v>45803</v>
      </c>
      <c r="R762" s="79" t="s">
        <v>67</v>
      </c>
      <c r="S762" s="22" t="s">
        <v>1055</v>
      </c>
      <c r="T762" s="22">
        <v>2</v>
      </c>
      <c r="U762" s="24" t="s">
        <v>67</v>
      </c>
      <c r="V762" s="23">
        <v>45803</v>
      </c>
      <c r="W762" s="840"/>
      <c r="X762" s="832"/>
      <c r="Y762"/>
      <c r="Z762"/>
      <c r="AA762"/>
      <c r="AC762" s="92"/>
      <c r="AD762" s="92"/>
      <c r="AE762" s="92"/>
    </row>
    <row r="763" spans="1:31">
      <c r="A763" s="834" t="s">
        <v>137</v>
      </c>
      <c r="B763" s="835">
        <v>760</v>
      </c>
      <c r="C763" s="838" t="s">
        <v>1231</v>
      </c>
      <c r="D763" s="834" t="s">
        <v>839</v>
      </c>
      <c r="E763" s="839">
        <v>45796.375</v>
      </c>
      <c r="F763" s="838" t="s">
        <v>140</v>
      </c>
      <c r="G763" s="229">
        <v>2</v>
      </c>
      <c r="H763" s="838" t="s">
        <v>46</v>
      </c>
      <c r="I763" s="838" t="s">
        <v>47</v>
      </c>
      <c r="J763" s="838"/>
      <c r="K763" s="21"/>
      <c r="L763" s="21"/>
      <c r="M763" s="22"/>
      <c r="N763" s="23"/>
      <c r="O763" s="61"/>
      <c r="P763" s="23" t="s">
        <v>1057</v>
      </c>
      <c r="Q763" s="23">
        <v>45803</v>
      </c>
      <c r="R763" s="79" t="s">
        <v>67</v>
      </c>
      <c r="S763" s="22" t="s">
        <v>1055</v>
      </c>
      <c r="T763" s="22">
        <v>2</v>
      </c>
      <c r="U763" s="24" t="s">
        <v>67</v>
      </c>
      <c r="V763" s="23">
        <v>45803</v>
      </c>
      <c r="W763" s="840"/>
      <c r="X763" s="832"/>
      <c r="Y763"/>
      <c r="Z763"/>
      <c r="AA763"/>
      <c r="AC763" s="92"/>
      <c r="AD763" s="92"/>
      <c r="AE763" s="92"/>
    </row>
    <row r="764" spans="1:31">
      <c r="A764" s="834" t="s">
        <v>137</v>
      </c>
      <c r="B764" s="835">
        <v>761</v>
      </c>
      <c r="C764" s="838" t="s">
        <v>1232</v>
      </c>
      <c r="D764" s="834" t="s">
        <v>813</v>
      </c>
      <c r="E764" s="839">
        <v>45796</v>
      </c>
      <c r="F764" s="838" t="s">
        <v>140</v>
      </c>
      <c r="G764" s="229">
        <v>5</v>
      </c>
      <c r="H764" s="838" t="s">
        <v>21</v>
      </c>
      <c r="I764" s="838" t="s">
        <v>127</v>
      </c>
      <c r="J764" s="838"/>
      <c r="K764" s="21"/>
      <c r="L764" s="21"/>
      <c r="M764" s="22"/>
      <c r="N764" s="23"/>
      <c r="O764" s="61"/>
      <c r="P764" s="23" t="s">
        <v>1057</v>
      </c>
      <c r="Q764" s="23">
        <v>45803</v>
      </c>
      <c r="R764" s="79" t="s">
        <v>67</v>
      </c>
      <c r="S764" s="22" t="s">
        <v>1055</v>
      </c>
      <c r="T764" s="22">
        <v>5</v>
      </c>
      <c r="U764" s="24" t="s">
        <v>67</v>
      </c>
      <c r="V764" s="23">
        <v>45803</v>
      </c>
      <c r="W764" s="840"/>
      <c r="X764" s="832"/>
      <c r="Y764"/>
      <c r="Z764"/>
      <c r="AA764"/>
      <c r="AC764" s="92"/>
      <c r="AD764" s="92"/>
      <c r="AE764" s="92"/>
    </row>
    <row r="765" spans="1:31">
      <c r="A765" s="834" t="s">
        <v>137</v>
      </c>
      <c r="B765" s="835">
        <v>762</v>
      </c>
      <c r="C765" s="838" t="s">
        <v>1233</v>
      </c>
      <c r="D765" s="834" t="s">
        <v>1234</v>
      </c>
      <c r="E765" s="839">
        <v>45796.375</v>
      </c>
      <c r="F765" s="838" t="s">
        <v>140</v>
      </c>
      <c r="G765" s="229">
        <v>2</v>
      </c>
      <c r="H765" s="838" t="s">
        <v>21</v>
      </c>
      <c r="I765" s="838" t="s">
        <v>127</v>
      </c>
      <c r="J765" s="838"/>
      <c r="K765" s="21"/>
      <c r="L765" s="21"/>
      <c r="M765" s="22"/>
      <c r="N765" s="23"/>
      <c r="O765" s="61"/>
      <c r="P765" s="23" t="s">
        <v>1057</v>
      </c>
      <c r="Q765" s="23">
        <v>45803</v>
      </c>
      <c r="R765" s="79" t="s">
        <v>67</v>
      </c>
      <c r="S765" s="22" t="s">
        <v>1055</v>
      </c>
      <c r="T765" s="22">
        <v>2</v>
      </c>
      <c r="U765" s="24" t="s">
        <v>67</v>
      </c>
      <c r="V765" s="23">
        <v>45803</v>
      </c>
      <c r="W765" s="840"/>
      <c r="X765" s="832"/>
      <c r="Y765"/>
      <c r="Z765" s="776"/>
      <c r="AA765" s="776"/>
      <c r="AB765" s="776"/>
      <c r="AC765" s="92"/>
      <c r="AD765" s="92"/>
      <c r="AE765" s="92"/>
    </row>
    <row r="766" spans="1:31">
      <c r="A766" s="834" t="s">
        <v>137</v>
      </c>
      <c r="B766" s="835">
        <v>763</v>
      </c>
      <c r="C766" s="838" t="s">
        <v>1235</v>
      </c>
      <c r="D766" s="834" t="s">
        <v>1236</v>
      </c>
      <c r="E766" s="839">
        <v>45796.375</v>
      </c>
      <c r="F766" s="838" t="s">
        <v>140</v>
      </c>
      <c r="G766" s="229">
        <v>1</v>
      </c>
      <c r="H766" s="838" t="s">
        <v>46</v>
      </c>
      <c r="I766" s="838" t="s">
        <v>47</v>
      </c>
      <c r="J766" s="838"/>
      <c r="K766" s="21"/>
      <c r="L766" s="21"/>
      <c r="M766" s="22"/>
      <c r="N766" s="23"/>
      <c r="O766" s="61"/>
      <c r="P766" s="23" t="s">
        <v>1057</v>
      </c>
      <c r="Q766" s="23">
        <v>45798</v>
      </c>
      <c r="R766" s="221" t="s">
        <v>67</v>
      </c>
      <c r="S766" s="23" t="s">
        <v>1055</v>
      </c>
      <c r="T766" s="22">
        <v>1</v>
      </c>
      <c r="U766" s="23" t="s">
        <v>67</v>
      </c>
      <c r="V766" s="23">
        <v>45798</v>
      </c>
      <c r="W766" s="80"/>
      <c r="X766" s="83"/>
      <c r="Y766"/>
      <c r="Z766" s="776"/>
      <c r="AA766" s="776"/>
      <c r="AB766" s="776"/>
      <c r="AC766" s="92"/>
      <c r="AD766" s="92"/>
      <c r="AE766" s="92"/>
    </row>
    <row r="767" spans="1:31">
      <c r="A767" s="834" t="s">
        <v>137</v>
      </c>
      <c r="B767" s="835">
        <v>764</v>
      </c>
      <c r="C767" s="838" t="s">
        <v>1237</v>
      </c>
      <c r="D767" s="834" t="s">
        <v>1238</v>
      </c>
      <c r="E767" s="839">
        <v>45796.375</v>
      </c>
      <c r="F767" s="838" t="s">
        <v>140</v>
      </c>
      <c r="G767" s="229">
        <v>1</v>
      </c>
      <c r="H767" s="838" t="s">
        <v>21</v>
      </c>
      <c r="I767" s="838" t="s">
        <v>127</v>
      </c>
      <c r="J767" s="838"/>
      <c r="K767" s="21"/>
      <c r="L767" s="21"/>
      <c r="M767" s="22"/>
      <c r="N767" s="23"/>
      <c r="O767" s="23"/>
      <c r="P767" s="23" t="s">
        <v>1057</v>
      </c>
      <c r="Q767" s="23">
        <v>45803</v>
      </c>
      <c r="R767" s="79" t="s">
        <v>67</v>
      </c>
      <c r="S767" s="22" t="s">
        <v>1055</v>
      </c>
      <c r="T767" s="22">
        <v>1</v>
      </c>
      <c r="U767" s="24" t="s">
        <v>67</v>
      </c>
      <c r="V767" s="23">
        <v>45803</v>
      </c>
      <c r="W767" s="80"/>
      <c r="X767" s="83"/>
      <c r="Y767"/>
      <c r="Z767" s="776"/>
      <c r="AA767" s="776"/>
      <c r="AB767" s="776"/>
      <c r="AC767" s="92"/>
      <c r="AD767" s="92"/>
      <c r="AE767" s="92"/>
    </row>
    <row r="768" spans="1:31">
      <c r="A768" s="834" t="s">
        <v>137</v>
      </c>
      <c r="B768" s="835">
        <v>765</v>
      </c>
      <c r="C768" s="838" t="s">
        <v>1239</v>
      </c>
      <c r="D768" s="834" t="s">
        <v>338</v>
      </c>
      <c r="E768" s="839">
        <v>45796.375</v>
      </c>
      <c r="F768" s="838" t="s">
        <v>140</v>
      </c>
      <c r="G768" s="229">
        <v>3</v>
      </c>
      <c r="H768" s="838" t="s">
        <v>21</v>
      </c>
      <c r="I768" s="838" t="s">
        <v>127</v>
      </c>
      <c r="J768" s="838"/>
      <c r="K768" s="21"/>
      <c r="L768" s="21"/>
      <c r="M768" s="22"/>
      <c r="N768" s="23"/>
      <c r="O768" s="23"/>
      <c r="P768" s="23" t="s">
        <v>1057</v>
      </c>
      <c r="Q768" s="23">
        <v>45806</v>
      </c>
      <c r="R768" s="79" t="s">
        <v>67</v>
      </c>
      <c r="S768" s="22" t="s">
        <v>1055</v>
      </c>
      <c r="T768" s="22">
        <v>3</v>
      </c>
      <c r="U768" s="24" t="s">
        <v>67</v>
      </c>
      <c r="V768" s="23">
        <v>45806</v>
      </c>
      <c r="W768" s="80"/>
      <c r="X768" s="83"/>
      <c r="Y768"/>
      <c r="Z768" s="85"/>
      <c r="AA768" s="85"/>
      <c r="AB768" s="84"/>
      <c r="AC768" s="92"/>
      <c r="AD768" s="92"/>
      <c r="AE768" s="92"/>
    </row>
    <row r="769" spans="1:31">
      <c r="A769" s="834" t="s">
        <v>137</v>
      </c>
      <c r="B769" s="835">
        <v>766</v>
      </c>
      <c r="C769" s="838" t="s">
        <v>1240</v>
      </c>
      <c r="D769" s="834" t="s">
        <v>1184</v>
      </c>
      <c r="E769" s="839">
        <v>45803.375</v>
      </c>
      <c r="F769" s="838" t="s">
        <v>140</v>
      </c>
      <c r="G769" s="229">
        <v>4</v>
      </c>
      <c r="H769" s="838" t="s">
        <v>301</v>
      </c>
      <c r="I769" s="838" t="s">
        <v>302</v>
      </c>
      <c r="J769" s="838"/>
      <c r="K769" s="21"/>
      <c r="L769" s="21"/>
      <c r="M769" s="22"/>
      <c r="N769" s="23"/>
      <c r="O769" s="61"/>
      <c r="P769" s="23" t="s">
        <v>1057</v>
      </c>
      <c r="Q769" s="23">
        <v>45811</v>
      </c>
      <c r="R769" s="221" t="s">
        <v>67</v>
      </c>
      <c r="S769" s="23" t="s">
        <v>1055</v>
      </c>
      <c r="T769" s="22">
        <v>4</v>
      </c>
      <c r="U769" s="23" t="s">
        <v>67</v>
      </c>
      <c r="V769" s="23">
        <v>45811</v>
      </c>
      <c r="W769" s="840"/>
      <c r="X769" s="832"/>
      <c r="Y769"/>
      <c r="Z769"/>
      <c r="AA769"/>
      <c r="AC769" s="92"/>
      <c r="AD769" s="92"/>
      <c r="AE769" s="92"/>
    </row>
    <row r="770" spans="1:31">
      <c r="A770" s="834" t="s">
        <v>137</v>
      </c>
      <c r="B770" s="835">
        <v>767</v>
      </c>
      <c r="C770" s="838" t="s">
        <v>1241</v>
      </c>
      <c r="D770" s="834" t="s">
        <v>1242</v>
      </c>
      <c r="E770" s="839">
        <v>45803.041666666664</v>
      </c>
      <c r="F770" s="838" t="s">
        <v>140</v>
      </c>
      <c r="G770" s="229">
        <v>14</v>
      </c>
      <c r="H770" s="838" t="s">
        <v>78</v>
      </c>
      <c r="I770" s="838" t="s">
        <v>1206</v>
      </c>
      <c r="J770" s="838"/>
      <c r="K770" s="21"/>
      <c r="L770" s="21"/>
      <c r="M770" s="22"/>
      <c r="N770" s="23"/>
      <c r="O770" s="61"/>
      <c r="P770" s="23" t="s">
        <v>1057</v>
      </c>
      <c r="Q770" s="23">
        <v>45811</v>
      </c>
      <c r="R770" s="221" t="s">
        <v>67</v>
      </c>
      <c r="S770" s="23" t="s">
        <v>1055</v>
      </c>
      <c r="T770" s="22">
        <v>6</v>
      </c>
      <c r="U770" s="23" t="s">
        <v>67</v>
      </c>
      <c r="V770" s="23">
        <v>45811</v>
      </c>
      <c r="W770" s="80"/>
      <c r="X770" s="83"/>
      <c r="Y770"/>
      <c r="Z770"/>
      <c r="AA770"/>
      <c r="AC770" s="92"/>
      <c r="AD770" s="92"/>
      <c r="AE770" s="92"/>
    </row>
    <row r="771" spans="1:31">
      <c r="A771" s="834" t="s">
        <v>137</v>
      </c>
      <c r="B771" s="835">
        <v>768</v>
      </c>
      <c r="C771" s="838" t="s">
        <v>1243</v>
      </c>
      <c r="D771" s="834" t="s">
        <v>1198</v>
      </c>
      <c r="E771" s="839">
        <v>45803.375</v>
      </c>
      <c r="F771" s="838" t="s">
        <v>140</v>
      </c>
      <c r="G771" s="229">
        <v>11</v>
      </c>
      <c r="H771" s="838" t="s">
        <v>46</v>
      </c>
      <c r="I771" s="838" t="s">
        <v>47</v>
      </c>
      <c r="J771" s="838"/>
      <c r="K771" s="21"/>
      <c r="L771" s="21"/>
      <c r="M771" s="22"/>
      <c r="N771" s="23"/>
      <c r="O771" s="61"/>
      <c r="P771" s="23" t="s">
        <v>1057</v>
      </c>
      <c r="Q771" s="23">
        <v>45811</v>
      </c>
      <c r="R771" s="79" t="s">
        <v>67</v>
      </c>
      <c r="S771" s="22" t="s">
        <v>1055</v>
      </c>
      <c r="T771" s="22">
        <v>8</v>
      </c>
      <c r="U771" s="24" t="s">
        <v>67</v>
      </c>
      <c r="V771" s="23">
        <v>45811</v>
      </c>
      <c r="W771" s="80"/>
      <c r="X771" s="83"/>
      <c r="Y771"/>
      <c r="Z771"/>
      <c r="AA771"/>
      <c r="AC771" s="92"/>
      <c r="AD771" s="92"/>
      <c r="AE771" s="92"/>
    </row>
    <row r="772" spans="1:31">
      <c r="A772" s="834" t="s">
        <v>137</v>
      </c>
      <c r="B772" s="835">
        <v>769</v>
      </c>
      <c r="C772" s="838" t="s">
        <v>1244</v>
      </c>
      <c r="D772" s="834" t="s">
        <v>1245</v>
      </c>
      <c r="E772" s="839">
        <v>45803.125</v>
      </c>
      <c r="F772" s="838" t="s">
        <v>140</v>
      </c>
      <c r="G772" s="229">
        <v>1</v>
      </c>
      <c r="H772" s="838" t="s">
        <v>21</v>
      </c>
      <c r="I772" s="838" t="s">
        <v>127</v>
      </c>
      <c r="J772" s="838"/>
      <c r="K772" s="21"/>
      <c r="L772" s="21"/>
      <c r="M772" s="22"/>
      <c r="N772" s="23"/>
      <c r="O772" s="61"/>
      <c r="P772" s="23" t="s">
        <v>1057</v>
      </c>
      <c r="Q772" s="23">
        <v>45811</v>
      </c>
      <c r="R772" s="79" t="s">
        <v>67</v>
      </c>
      <c r="S772" s="22" t="s">
        <v>1055</v>
      </c>
      <c r="T772" s="22">
        <v>1</v>
      </c>
      <c r="U772" s="24" t="s">
        <v>67</v>
      </c>
      <c r="V772" s="23">
        <v>45811</v>
      </c>
      <c r="W772" s="80"/>
      <c r="X772" s="83"/>
      <c r="Y772"/>
      <c r="Z772"/>
      <c r="AA772"/>
      <c r="AC772" s="92"/>
      <c r="AD772" s="92"/>
      <c r="AE772" s="92"/>
    </row>
    <row r="773" spans="1:31">
      <c r="A773" s="834" t="s">
        <v>137</v>
      </c>
      <c r="B773" s="835">
        <v>770</v>
      </c>
      <c r="C773" s="838" t="s">
        <v>1246</v>
      </c>
      <c r="D773" s="834" t="s">
        <v>1247</v>
      </c>
      <c r="E773" s="839">
        <v>45803.375</v>
      </c>
      <c r="F773" s="838" t="s">
        <v>140</v>
      </c>
      <c r="G773" s="229">
        <v>1</v>
      </c>
      <c r="H773" s="838" t="s">
        <v>46</v>
      </c>
      <c r="I773" s="838" t="s">
        <v>47</v>
      </c>
      <c r="J773" s="838"/>
      <c r="K773" s="21"/>
      <c r="L773" s="21"/>
      <c r="M773" s="22"/>
      <c r="N773" s="23"/>
      <c r="O773" s="61"/>
      <c r="P773" s="23" t="s">
        <v>1057</v>
      </c>
      <c r="Q773" s="23">
        <v>45811</v>
      </c>
      <c r="R773" s="79" t="s">
        <v>67</v>
      </c>
      <c r="S773" s="22" t="s">
        <v>1055</v>
      </c>
      <c r="T773" s="22">
        <v>1</v>
      </c>
      <c r="U773" s="24" t="s">
        <v>67</v>
      </c>
      <c r="V773" s="23">
        <v>45811</v>
      </c>
      <c r="W773" s="80"/>
      <c r="X773" s="83"/>
      <c r="Y773"/>
      <c r="Z773" s="776"/>
      <c r="AA773" s="776"/>
      <c r="AB773" s="776"/>
      <c r="AC773" s="92"/>
      <c r="AD773" s="92"/>
      <c r="AE773" s="92"/>
    </row>
    <row r="774" spans="1:31">
      <c r="A774" s="834" t="s">
        <v>137</v>
      </c>
      <c r="B774" s="835">
        <v>771</v>
      </c>
      <c r="C774" s="838" t="s">
        <v>1248</v>
      </c>
      <c r="D774" s="834" t="s">
        <v>829</v>
      </c>
      <c r="E774" s="839">
        <v>45803.083333333336</v>
      </c>
      <c r="F774" s="838" t="s">
        <v>140</v>
      </c>
      <c r="G774" s="229">
        <v>29</v>
      </c>
      <c r="H774" s="838" t="s">
        <v>78</v>
      </c>
      <c r="I774" s="838" t="s">
        <v>1206</v>
      </c>
      <c r="J774" s="838"/>
      <c r="K774" s="21"/>
      <c r="L774" s="21"/>
      <c r="M774" s="22"/>
      <c r="N774" s="23"/>
      <c r="O774" s="61" t="s">
        <v>31</v>
      </c>
      <c r="P774" s="23" t="s">
        <v>1057</v>
      </c>
      <c r="Q774" s="23">
        <v>45811</v>
      </c>
      <c r="R774" s="79" t="s">
        <v>67</v>
      </c>
      <c r="S774" s="22" t="s">
        <v>1055</v>
      </c>
      <c r="T774" s="22">
        <v>22</v>
      </c>
      <c r="U774" s="24" t="s">
        <v>67</v>
      </c>
      <c r="V774" s="23">
        <v>45811</v>
      </c>
      <c r="W774" s="80"/>
      <c r="X774" s="83"/>
      <c r="Y774">
        <v>17</v>
      </c>
      <c r="Z774" s="776">
        <v>0</v>
      </c>
      <c r="AA774" s="776">
        <v>12</v>
      </c>
      <c r="AB774">
        <f>SUM(Y774:AA774)</f>
        <v>29</v>
      </c>
      <c r="AC774" s="71">
        <f>+Y774/AB774*AC$1</f>
        <v>3.5172413793103443</v>
      </c>
      <c r="AD774" s="92">
        <f>+Z774/AB774*AD$1</f>
        <v>0</v>
      </c>
      <c r="AE774" s="92">
        <f>+AA774/AC774*AE$1</f>
        <v>0</v>
      </c>
    </row>
    <row r="775" spans="1:31">
      <c r="A775" s="834" t="s">
        <v>137</v>
      </c>
      <c r="B775" s="835">
        <v>772</v>
      </c>
      <c r="C775" s="838" t="s">
        <v>1249</v>
      </c>
      <c r="D775" s="834" t="s">
        <v>1250</v>
      </c>
      <c r="E775" s="839">
        <v>45803.125</v>
      </c>
      <c r="F775" s="838" t="s">
        <v>140</v>
      </c>
      <c r="G775" s="229">
        <v>1</v>
      </c>
      <c r="H775" s="838" t="s">
        <v>21</v>
      </c>
      <c r="I775" s="838" t="s">
        <v>127</v>
      </c>
      <c r="J775" s="838"/>
      <c r="K775" s="21"/>
      <c r="L775" s="21"/>
      <c r="M775" s="22"/>
      <c r="N775" s="23"/>
      <c r="O775" s="23"/>
      <c r="P775" s="23" t="s">
        <v>1057</v>
      </c>
      <c r="Q775" s="23">
        <v>45811</v>
      </c>
      <c r="R775" s="79" t="s">
        <v>67</v>
      </c>
      <c r="S775" s="22" t="s">
        <v>1055</v>
      </c>
      <c r="T775" s="22">
        <v>1</v>
      </c>
      <c r="U775" s="24" t="s">
        <v>67</v>
      </c>
      <c r="V775" s="23">
        <v>45811</v>
      </c>
      <c r="W775" s="840"/>
      <c r="X775" s="832"/>
      <c r="Y775"/>
      <c r="Z775" s="776"/>
      <c r="AA775" s="776"/>
      <c r="AB775" s="776"/>
      <c r="AC775" s="92"/>
      <c r="AD775" s="92"/>
      <c r="AE775" s="92"/>
    </row>
    <row r="776" spans="1:31">
      <c r="A776" s="834" t="s">
        <v>137</v>
      </c>
      <c r="B776" s="835">
        <v>773</v>
      </c>
      <c r="C776" s="838" t="s">
        <v>1251</v>
      </c>
      <c r="D776" s="834" t="s">
        <v>1252</v>
      </c>
      <c r="E776" s="839">
        <v>45803.375</v>
      </c>
      <c r="F776" s="838" t="s">
        <v>140</v>
      </c>
      <c r="G776" s="229">
        <v>6</v>
      </c>
      <c r="H776" s="838" t="s">
        <v>21</v>
      </c>
      <c r="I776" s="838" t="s">
        <v>127</v>
      </c>
      <c r="J776" s="838"/>
      <c r="K776" s="21"/>
      <c r="L776" s="21"/>
      <c r="M776" s="22"/>
      <c r="N776" s="23"/>
      <c r="O776" s="23"/>
      <c r="P776" s="23" t="s">
        <v>1057</v>
      </c>
      <c r="Q776" s="23">
        <v>45811</v>
      </c>
      <c r="R776" s="79" t="s">
        <v>67</v>
      </c>
      <c r="S776" s="22" t="s">
        <v>1055</v>
      </c>
      <c r="T776" s="22">
        <v>6</v>
      </c>
      <c r="U776" s="24" t="s">
        <v>67</v>
      </c>
      <c r="V776" s="23">
        <v>45811</v>
      </c>
      <c r="W776" s="80"/>
      <c r="X776" s="83"/>
      <c r="Y776"/>
      <c r="Z776"/>
      <c r="AA776"/>
      <c r="AC776" s="92"/>
      <c r="AD776" s="92"/>
      <c r="AE776" s="92"/>
    </row>
    <row r="777" spans="1:31">
      <c r="A777" s="834" t="s">
        <v>137</v>
      </c>
      <c r="B777" s="835">
        <v>774</v>
      </c>
      <c r="C777" s="838" t="s">
        <v>1253</v>
      </c>
      <c r="D777" s="834" t="s">
        <v>1254</v>
      </c>
      <c r="E777" s="839">
        <v>45803.458333333336</v>
      </c>
      <c r="F777" s="838" t="s">
        <v>140</v>
      </c>
      <c r="G777" s="229">
        <v>6</v>
      </c>
      <c r="H777" s="838" t="s">
        <v>22</v>
      </c>
      <c r="I777" s="838" t="s">
        <v>28</v>
      </c>
      <c r="J777" s="838"/>
      <c r="K777" s="97" t="s">
        <v>1255</v>
      </c>
      <c r="L777" s="21"/>
      <c r="M777" s="22"/>
      <c r="N777" s="23"/>
      <c r="O777" s="61"/>
      <c r="P777" s="23"/>
      <c r="Q777" s="61"/>
      <c r="R777" s="79" t="s">
        <v>67</v>
      </c>
      <c r="S777" s="22"/>
      <c r="T777" s="22"/>
      <c r="U777" s="24" t="s">
        <v>67</v>
      </c>
      <c r="V777" s="23"/>
      <c r="W777" s="80"/>
      <c r="X777" s="83"/>
      <c r="Y777"/>
      <c r="Z777"/>
      <c r="AA777"/>
      <c r="AC777" s="92"/>
      <c r="AD777" s="92"/>
      <c r="AE777" s="92"/>
    </row>
    <row r="778" spans="1:31">
      <c r="A778" s="834" t="s">
        <v>137</v>
      </c>
      <c r="B778" s="835">
        <v>775</v>
      </c>
      <c r="C778" s="838" t="s">
        <v>1256</v>
      </c>
      <c r="D778" s="834" t="s">
        <v>1257</v>
      </c>
      <c r="E778" s="839">
        <v>45803</v>
      </c>
      <c r="F778" s="838" t="s">
        <v>140</v>
      </c>
      <c r="G778" s="229">
        <v>3</v>
      </c>
      <c r="H778" s="838" t="s">
        <v>46</v>
      </c>
      <c r="I778" s="838" t="s">
        <v>47</v>
      </c>
      <c r="J778" s="838"/>
      <c r="K778" s="21"/>
      <c r="L778" s="21"/>
      <c r="M778" s="22"/>
      <c r="N778" s="23"/>
      <c r="O778" s="23"/>
      <c r="P778" s="23" t="s">
        <v>1057</v>
      </c>
      <c r="Q778" s="23">
        <v>45807</v>
      </c>
      <c r="R778" s="79" t="s">
        <v>67</v>
      </c>
      <c r="S778" s="22" t="s">
        <v>1055</v>
      </c>
      <c r="T778" s="22">
        <v>3</v>
      </c>
      <c r="U778" s="24" t="s">
        <v>67</v>
      </c>
      <c r="V778" s="23">
        <v>45807</v>
      </c>
      <c r="W778" s="80"/>
      <c r="X778" s="83"/>
      <c r="Y778"/>
      <c r="Z778"/>
      <c r="AA778"/>
      <c r="AC778" s="92"/>
      <c r="AD778" s="92"/>
      <c r="AE778" s="92"/>
    </row>
    <row r="779" spans="1:31">
      <c r="A779" s="834" t="s">
        <v>137</v>
      </c>
      <c r="B779" s="835">
        <v>776</v>
      </c>
      <c r="C779" s="838" t="s">
        <v>1258</v>
      </c>
      <c r="D779" s="834" t="s">
        <v>1259</v>
      </c>
      <c r="E779" s="839">
        <v>45782.375</v>
      </c>
      <c r="F779" s="838" t="s">
        <v>140</v>
      </c>
      <c r="G779" s="229">
        <v>10</v>
      </c>
      <c r="H779" s="838" t="s">
        <v>21</v>
      </c>
      <c r="I779" s="838" t="s">
        <v>127</v>
      </c>
      <c r="J779" s="838"/>
      <c r="K779" s="21"/>
      <c r="L779" s="21"/>
      <c r="M779" s="22"/>
      <c r="N779" s="23"/>
      <c r="O779" s="61"/>
      <c r="P779" s="23" t="s">
        <v>1057</v>
      </c>
      <c r="Q779" s="23">
        <v>45792</v>
      </c>
      <c r="R779" s="79" t="s">
        <v>67</v>
      </c>
      <c r="S779" s="22" t="s">
        <v>1057</v>
      </c>
      <c r="T779" s="22">
        <v>10</v>
      </c>
      <c r="U779" s="24" t="s">
        <v>67</v>
      </c>
      <c r="V779" s="23">
        <v>45792</v>
      </c>
      <c r="W779" s="80"/>
      <c r="X779" s="83"/>
      <c r="Y779"/>
      <c r="Z779"/>
      <c r="AA779"/>
      <c r="AC779" s="92"/>
      <c r="AD779" s="92"/>
      <c r="AE779" s="92"/>
    </row>
    <row r="780" spans="1:31">
      <c r="A780" s="834" t="s">
        <v>137</v>
      </c>
      <c r="B780" s="835">
        <v>777</v>
      </c>
      <c r="C780" s="838" t="s">
        <v>1260</v>
      </c>
      <c r="D780" s="834" t="s">
        <v>865</v>
      </c>
      <c r="E780" s="839">
        <v>45789.041666666664</v>
      </c>
      <c r="F780" s="838" t="s">
        <v>140</v>
      </c>
      <c r="G780" s="229">
        <v>2</v>
      </c>
      <c r="H780" s="838" t="s">
        <v>21</v>
      </c>
      <c r="I780" s="838" t="s">
        <v>127</v>
      </c>
      <c r="J780" s="838"/>
      <c r="K780" s="21"/>
      <c r="L780" s="21"/>
      <c r="M780" s="22"/>
      <c r="N780" s="23"/>
      <c r="O780" s="61"/>
      <c r="P780" s="23" t="s">
        <v>1057</v>
      </c>
      <c r="Q780" s="23">
        <v>45800</v>
      </c>
      <c r="R780" s="221" t="s">
        <v>67</v>
      </c>
      <c r="S780" s="23" t="s">
        <v>1055</v>
      </c>
      <c r="T780" s="22">
        <v>2</v>
      </c>
      <c r="U780" s="23" t="s">
        <v>67</v>
      </c>
      <c r="V780" s="23">
        <v>45800</v>
      </c>
      <c r="W780" s="840"/>
      <c r="X780" s="832"/>
      <c r="Y780"/>
      <c r="Z780"/>
      <c r="AA780"/>
      <c r="AC780" s="92"/>
      <c r="AD780" s="92"/>
      <c r="AE780" s="92"/>
    </row>
    <row r="781" spans="1:31">
      <c r="A781" s="834" t="s">
        <v>137</v>
      </c>
      <c r="B781" s="835">
        <v>778</v>
      </c>
      <c r="C781" s="838" t="s">
        <v>1261</v>
      </c>
      <c r="D781" s="834" t="s">
        <v>1184</v>
      </c>
      <c r="E781" s="839">
        <v>45789</v>
      </c>
      <c r="F781" s="838" t="s">
        <v>140</v>
      </c>
      <c r="G781" s="229">
        <v>4</v>
      </c>
      <c r="H781" s="838" t="s">
        <v>21</v>
      </c>
      <c r="I781" s="838" t="s">
        <v>127</v>
      </c>
      <c r="J781" s="838"/>
      <c r="K781" s="21"/>
      <c r="L781" s="21"/>
      <c r="M781" s="22"/>
      <c r="N781" s="23"/>
      <c r="O781" s="61"/>
      <c r="P781" s="23" t="s">
        <v>1057</v>
      </c>
      <c r="Q781" s="23">
        <v>45800</v>
      </c>
      <c r="R781" s="79" t="s">
        <v>67</v>
      </c>
      <c r="S781" s="22" t="s">
        <v>1055</v>
      </c>
      <c r="T781" s="22">
        <v>4</v>
      </c>
      <c r="U781" s="24" t="s">
        <v>67</v>
      </c>
      <c r="V781" s="23">
        <v>45800</v>
      </c>
      <c r="W781" s="840"/>
      <c r="X781" s="832"/>
      <c r="Y781"/>
      <c r="Z781"/>
      <c r="AA781"/>
      <c r="AC781" s="92"/>
      <c r="AD781" s="92"/>
      <c r="AE781" s="92"/>
    </row>
    <row r="782" spans="1:31">
      <c r="A782" s="834" t="s">
        <v>137</v>
      </c>
      <c r="B782" s="835">
        <v>779</v>
      </c>
      <c r="C782" s="838" t="s">
        <v>1262</v>
      </c>
      <c r="D782" s="834" t="s">
        <v>1263</v>
      </c>
      <c r="E782" s="839">
        <v>45789.458333333336</v>
      </c>
      <c r="F782" s="838" t="s">
        <v>140</v>
      </c>
      <c r="G782" s="229">
        <v>2</v>
      </c>
      <c r="H782" s="838" t="s">
        <v>21</v>
      </c>
      <c r="I782" s="838" t="s">
        <v>127</v>
      </c>
      <c r="J782" s="838"/>
      <c r="K782" s="21"/>
      <c r="L782" s="21"/>
      <c r="M782" s="22"/>
      <c r="N782" s="23"/>
      <c r="O782" s="61"/>
      <c r="P782" s="23" t="s">
        <v>1057</v>
      </c>
      <c r="Q782" s="23">
        <v>45800</v>
      </c>
      <c r="R782" s="79" t="s">
        <v>67</v>
      </c>
      <c r="S782" s="22" t="s">
        <v>1055</v>
      </c>
      <c r="T782" s="22">
        <v>2</v>
      </c>
      <c r="U782" s="24" t="s">
        <v>67</v>
      </c>
      <c r="V782" s="23">
        <v>45800</v>
      </c>
      <c r="W782" s="840"/>
      <c r="X782" s="832"/>
      <c r="Y782"/>
      <c r="Z782"/>
      <c r="AA782"/>
      <c r="AC782" s="92"/>
      <c r="AD782" s="92"/>
      <c r="AE782" s="92"/>
    </row>
    <row r="783" spans="1:31">
      <c r="A783" s="834" t="s">
        <v>137</v>
      </c>
      <c r="B783" s="835">
        <v>780</v>
      </c>
      <c r="C783" s="838" t="s">
        <v>1264</v>
      </c>
      <c r="D783" s="834" t="s">
        <v>1265</v>
      </c>
      <c r="E783" s="839">
        <v>45789.375</v>
      </c>
      <c r="F783" s="838" t="s">
        <v>140</v>
      </c>
      <c r="G783" s="229">
        <v>3</v>
      </c>
      <c r="H783" s="838" t="s">
        <v>46</v>
      </c>
      <c r="I783" s="838" t="s">
        <v>47</v>
      </c>
      <c r="J783" s="838"/>
      <c r="K783" s="21"/>
      <c r="L783" s="21"/>
      <c r="M783" s="22"/>
      <c r="N783" s="23"/>
      <c r="O783" s="61"/>
      <c r="P783" s="23" t="s">
        <v>1057</v>
      </c>
      <c r="Q783" s="23">
        <v>45800</v>
      </c>
      <c r="R783" s="79" t="s">
        <v>67</v>
      </c>
      <c r="S783" s="22" t="s">
        <v>1055</v>
      </c>
      <c r="T783" s="22">
        <v>3</v>
      </c>
      <c r="U783" s="24" t="s">
        <v>67</v>
      </c>
      <c r="V783" s="23">
        <v>45800</v>
      </c>
      <c r="W783" s="840"/>
      <c r="X783" s="832"/>
      <c r="Y783"/>
      <c r="Z783" s="776"/>
      <c r="AA783" s="776"/>
      <c r="AB783" s="776"/>
      <c r="AC783" s="92"/>
      <c r="AD783" s="92"/>
      <c r="AE783" s="92"/>
    </row>
    <row r="784" spans="1:31">
      <c r="A784" s="834" t="s">
        <v>137</v>
      </c>
      <c r="B784" s="835">
        <v>781</v>
      </c>
      <c r="C784" s="838" t="s">
        <v>1266</v>
      </c>
      <c r="D784" s="834" t="s">
        <v>1267</v>
      </c>
      <c r="E784" s="839">
        <v>45796.458333333336</v>
      </c>
      <c r="F784" s="838" t="s">
        <v>140</v>
      </c>
      <c r="G784" s="229">
        <v>2</v>
      </c>
      <c r="H784" s="838" t="s">
        <v>21</v>
      </c>
      <c r="I784" s="838" t="s">
        <v>127</v>
      </c>
      <c r="J784" s="838"/>
      <c r="K784" s="21"/>
      <c r="L784" s="21"/>
      <c r="M784" s="22"/>
      <c r="N784" s="23"/>
      <c r="O784" s="61"/>
      <c r="P784" s="23" t="s">
        <v>1057</v>
      </c>
      <c r="Q784" s="23">
        <v>45804</v>
      </c>
      <c r="R784" s="79" t="s">
        <v>67</v>
      </c>
      <c r="S784" s="22" t="s">
        <v>1055</v>
      </c>
      <c r="T784" s="22">
        <v>2</v>
      </c>
      <c r="U784" s="24" t="s">
        <v>67</v>
      </c>
      <c r="V784" s="23">
        <v>45804</v>
      </c>
      <c r="W784" s="80"/>
      <c r="X784" s="83"/>
      <c r="Y784"/>
      <c r="Z784" s="776"/>
      <c r="AA784" s="776"/>
      <c r="AB784" s="776"/>
      <c r="AC784" s="92"/>
      <c r="AD784" s="92"/>
      <c r="AE784" s="92"/>
    </row>
    <row r="785" spans="1:31">
      <c r="A785" s="834" t="s">
        <v>137</v>
      </c>
      <c r="B785" s="835">
        <v>782</v>
      </c>
      <c r="C785" s="838" t="s">
        <v>1268</v>
      </c>
      <c r="D785" s="834" t="s">
        <v>561</v>
      </c>
      <c r="E785" s="839">
        <v>45796.375</v>
      </c>
      <c r="F785" s="838" t="s">
        <v>140</v>
      </c>
      <c r="G785" s="229">
        <v>7</v>
      </c>
      <c r="H785" s="838" t="s">
        <v>21</v>
      </c>
      <c r="I785" s="838" t="s">
        <v>127</v>
      </c>
      <c r="J785" s="838"/>
      <c r="K785" s="21"/>
      <c r="L785" s="21"/>
      <c r="M785" s="22"/>
      <c r="N785" s="23"/>
      <c r="O785" s="23"/>
      <c r="P785" s="23" t="s">
        <v>1057</v>
      </c>
      <c r="Q785" s="23">
        <v>45806</v>
      </c>
      <c r="R785" s="79" t="s">
        <v>67</v>
      </c>
      <c r="S785" s="22" t="s">
        <v>1055</v>
      </c>
      <c r="T785" s="22">
        <v>6</v>
      </c>
      <c r="U785" s="24" t="s">
        <v>67</v>
      </c>
      <c r="V785" s="23">
        <v>45806</v>
      </c>
      <c r="W785" s="80"/>
      <c r="X785" s="83"/>
      <c r="Y785"/>
      <c r="Z785" s="776"/>
      <c r="AA785" s="776"/>
      <c r="AB785" s="776"/>
      <c r="AC785" s="92"/>
      <c r="AD785" s="92"/>
      <c r="AE785" s="92"/>
    </row>
    <row r="786" spans="1:31">
      <c r="A786" s="834" t="s">
        <v>137</v>
      </c>
      <c r="B786" s="835">
        <v>783</v>
      </c>
      <c r="C786" s="838" t="s">
        <v>1269</v>
      </c>
      <c r="D786" s="834" t="s">
        <v>846</v>
      </c>
      <c r="E786" s="839">
        <v>45796.375</v>
      </c>
      <c r="F786" s="838" t="s">
        <v>140</v>
      </c>
      <c r="G786" s="229">
        <v>1</v>
      </c>
      <c r="H786" s="838" t="s">
        <v>21</v>
      </c>
      <c r="I786" s="838" t="s">
        <v>127</v>
      </c>
      <c r="J786" s="838"/>
      <c r="K786" s="21"/>
      <c r="L786" s="21"/>
      <c r="M786" s="22"/>
      <c r="N786" s="23"/>
      <c r="O786" s="23"/>
      <c r="P786" s="23" t="s">
        <v>1057</v>
      </c>
      <c r="Q786" s="23">
        <v>45804</v>
      </c>
      <c r="R786" s="79" t="s">
        <v>67</v>
      </c>
      <c r="S786" s="22" t="s">
        <v>1055</v>
      </c>
      <c r="T786" s="22">
        <v>1</v>
      </c>
      <c r="U786" s="24" t="s">
        <v>67</v>
      </c>
      <c r="V786" s="23">
        <v>45804</v>
      </c>
      <c r="W786" s="80"/>
      <c r="X786" s="83"/>
      <c r="Y786"/>
      <c r="Z786" s="85"/>
      <c r="AA786" s="85"/>
      <c r="AB786" s="84"/>
      <c r="AC786" s="92"/>
      <c r="AD786" s="92"/>
      <c r="AE786" s="92"/>
    </row>
    <row r="787" spans="1:31">
      <c r="A787" s="834" t="s">
        <v>137</v>
      </c>
      <c r="B787" s="835">
        <v>784</v>
      </c>
      <c r="C787" s="838" t="s">
        <v>1270</v>
      </c>
      <c r="D787" s="834" t="s">
        <v>1265</v>
      </c>
      <c r="E787" s="839">
        <v>45796.375</v>
      </c>
      <c r="F787" s="838" t="s">
        <v>140</v>
      </c>
      <c r="G787" s="229">
        <v>2</v>
      </c>
      <c r="H787" s="838" t="s">
        <v>46</v>
      </c>
      <c r="I787" s="838" t="s">
        <v>47</v>
      </c>
      <c r="J787" s="838"/>
      <c r="K787" s="21"/>
      <c r="L787" s="21"/>
      <c r="M787" s="22"/>
      <c r="N787" s="23"/>
      <c r="O787" s="23"/>
      <c r="P787" s="23" t="s">
        <v>1057</v>
      </c>
      <c r="Q787" s="23">
        <v>45804</v>
      </c>
      <c r="R787" s="79" t="s">
        <v>67</v>
      </c>
      <c r="S787" s="22" t="s">
        <v>1055</v>
      </c>
      <c r="T787" s="22">
        <v>2</v>
      </c>
      <c r="U787" s="24" t="s">
        <v>67</v>
      </c>
      <c r="V787" s="23">
        <v>45804</v>
      </c>
      <c r="W787" s="80"/>
      <c r="X787" s="83"/>
      <c r="Y787"/>
      <c r="Z787"/>
      <c r="AA787"/>
      <c r="AC787" s="92"/>
      <c r="AD787" s="92"/>
      <c r="AE787" s="92"/>
    </row>
    <row r="788" spans="1:31">
      <c r="A788" s="834" t="s">
        <v>137</v>
      </c>
      <c r="B788" s="835">
        <v>785</v>
      </c>
      <c r="C788" s="838" t="s">
        <v>1271</v>
      </c>
      <c r="D788" s="834" t="s">
        <v>989</v>
      </c>
      <c r="E788" s="839">
        <v>45796.125</v>
      </c>
      <c r="F788" s="838" t="s">
        <v>140</v>
      </c>
      <c r="G788" s="229">
        <v>2</v>
      </c>
      <c r="H788" s="838" t="s">
        <v>21</v>
      </c>
      <c r="I788" s="838" t="s">
        <v>127</v>
      </c>
      <c r="J788" s="838"/>
      <c r="K788" s="21"/>
      <c r="L788" s="21"/>
      <c r="M788" s="22"/>
      <c r="N788" s="23"/>
      <c r="O788" s="61"/>
      <c r="P788" s="23" t="s">
        <v>1057</v>
      </c>
      <c r="Q788" s="23">
        <v>45805</v>
      </c>
      <c r="R788" s="79" t="s">
        <v>67</v>
      </c>
      <c r="S788" s="22" t="s">
        <v>1055</v>
      </c>
      <c r="T788" s="22">
        <v>2</v>
      </c>
      <c r="U788" s="24" t="s">
        <v>67</v>
      </c>
      <c r="V788" s="23">
        <v>45805</v>
      </c>
      <c r="W788" s="80"/>
      <c r="X788" s="83"/>
      <c r="Y788"/>
      <c r="Z788"/>
      <c r="AA788"/>
      <c r="AC788" s="92"/>
      <c r="AD788" s="92"/>
      <c r="AE788" s="92"/>
    </row>
    <row r="789" spans="1:31">
      <c r="A789" s="834" t="s">
        <v>137</v>
      </c>
      <c r="B789" s="835">
        <v>786</v>
      </c>
      <c r="C789" s="838" t="s">
        <v>1272</v>
      </c>
      <c r="D789" s="834" t="s">
        <v>1265</v>
      </c>
      <c r="E789" s="839">
        <v>45803.375</v>
      </c>
      <c r="F789" s="838" t="s">
        <v>140</v>
      </c>
      <c r="G789" s="229">
        <v>2</v>
      </c>
      <c r="H789" s="838" t="s">
        <v>46</v>
      </c>
      <c r="I789" s="838" t="s">
        <v>47</v>
      </c>
      <c r="J789" s="838"/>
      <c r="K789" s="21"/>
      <c r="L789" s="21"/>
      <c r="M789" s="22"/>
      <c r="N789" s="23"/>
      <c r="O789" s="61"/>
      <c r="P789" s="23" t="s">
        <v>1057</v>
      </c>
      <c r="Q789" s="23">
        <v>45812</v>
      </c>
      <c r="R789" s="79" t="s">
        <v>67</v>
      </c>
      <c r="S789" s="22" t="s">
        <v>1055</v>
      </c>
      <c r="T789" s="22">
        <v>2</v>
      </c>
      <c r="U789" s="24" t="s">
        <v>67</v>
      </c>
      <c r="V789" s="23">
        <v>45812</v>
      </c>
      <c r="W789" s="840"/>
      <c r="X789" s="832"/>
      <c r="Y789"/>
      <c r="Z789"/>
      <c r="AA789"/>
      <c r="AC789" s="92"/>
      <c r="AD789" s="92"/>
      <c r="AE789" s="92"/>
    </row>
    <row r="790" spans="1:31">
      <c r="A790" s="834" t="s">
        <v>137</v>
      </c>
      <c r="B790" s="835">
        <v>787</v>
      </c>
      <c r="C790" s="838" t="s">
        <v>1273</v>
      </c>
      <c r="D790" s="834" t="s">
        <v>779</v>
      </c>
      <c r="E790" s="839">
        <v>45803.375</v>
      </c>
      <c r="F790" s="838" t="s">
        <v>140</v>
      </c>
      <c r="G790" s="229">
        <v>4</v>
      </c>
      <c r="H790" s="838" t="s">
        <v>22</v>
      </c>
      <c r="I790" s="838" t="s">
        <v>28</v>
      </c>
      <c r="J790" s="838"/>
      <c r="K790" s="21"/>
      <c r="L790" s="21"/>
      <c r="M790" s="22"/>
      <c r="N790" s="23"/>
      <c r="O790" s="61"/>
      <c r="P790" s="23" t="s">
        <v>1057</v>
      </c>
      <c r="Q790" s="23">
        <v>45812</v>
      </c>
      <c r="R790" s="79" t="s">
        <v>67</v>
      </c>
      <c r="S790" s="22" t="s">
        <v>1055</v>
      </c>
      <c r="T790" s="22">
        <v>4</v>
      </c>
      <c r="U790" s="24" t="s">
        <v>67</v>
      </c>
      <c r="V790" s="23">
        <v>45812</v>
      </c>
      <c r="W790" s="840"/>
      <c r="X790" s="832"/>
      <c r="Y790"/>
      <c r="Z790"/>
      <c r="AA790"/>
      <c r="AC790" s="92"/>
      <c r="AD790" s="92"/>
      <c r="AE790" s="92"/>
    </row>
    <row r="791" spans="1:31">
      <c r="A791" s="834" t="s">
        <v>137</v>
      </c>
      <c r="B791" s="835">
        <v>788</v>
      </c>
      <c r="C791" s="838" t="s">
        <v>1274</v>
      </c>
      <c r="D791" s="834" t="s">
        <v>215</v>
      </c>
      <c r="E791" s="839">
        <v>45803.375</v>
      </c>
      <c r="F791" s="838" t="s">
        <v>140</v>
      </c>
      <c r="G791" s="229">
        <v>81</v>
      </c>
      <c r="H791" s="838" t="s">
        <v>111</v>
      </c>
      <c r="I791" s="838" t="s">
        <v>948</v>
      </c>
      <c r="J791" s="838"/>
      <c r="K791" s="21"/>
      <c r="L791" s="21"/>
      <c r="M791" s="22"/>
      <c r="N791" s="23"/>
      <c r="O791" s="61" t="s">
        <v>31</v>
      </c>
      <c r="P791" s="23" t="s">
        <v>1057</v>
      </c>
      <c r="Q791" s="23">
        <v>45812</v>
      </c>
      <c r="R791" s="79" t="s">
        <v>67</v>
      </c>
      <c r="S791" s="22" t="s">
        <v>1055</v>
      </c>
      <c r="T791" s="22">
        <v>78</v>
      </c>
      <c r="U791" s="24" t="s">
        <v>67</v>
      </c>
      <c r="V791" s="23">
        <v>45812</v>
      </c>
      <c r="W791" s="840"/>
      <c r="X791" s="832"/>
      <c r="Y791">
        <v>7</v>
      </c>
      <c r="Z791">
        <v>74</v>
      </c>
      <c r="AA791">
        <v>0</v>
      </c>
      <c r="AB791">
        <f>SUM(Y791:AA791)</f>
        <v>81</v>
      </c>
      <c r="AC791" s="71">
        <f>+Y791/AB791*AC$1</f>
        <v>0.51851851851851849</v>
      </c>
      <c r="AD791" s="92">
        <f>+Z791/AB791*AD$1</f>
        <v>2.7407407407407405</v>
      </c>
      <c r="AE791" s="92">
        <f>+AA791/AC791*AE$1</f>
        <v>0</v>
      </c>
    </row>
    <row r="792" spans="1:31">
      <c r="A792" s="834" t="s">
        <v>137</v>
      </c>
      <c r="B792" s="835">
        <v>789</v>
      </c>
      <c r="C792" s="838" t="s">
        <v>1275</v>
      </c>
      <c r="D792" s="834" t="s">
        <v>338</v>
      </c>
      <c r="E792" s="839">
        <v>45803.458333333336</v>
      </c>
      <c r="F792" s="838" t="s">
        <v>140</v>
      </c>
      <c r="G792" s="229">
        <v>10</v>
      </c>
      <c r="H792" s="838" t="s">
        <v>21</v>
      </c>
      <c r="I792" s="838" t="s">
        <v>127</v>
      </c>
      <c r="J792" s="838"/>
      <c r="K792" s="21"/>
      <c r="L792" s="21"/>
      <c r="M792" s="22"/>
      <c r="N792" s="23"/>
      <c r="O792" s="61"/>
      <c r="P792" s="23" t="s">
        <v>1057</v>
      </c>
      <c r="Q792" s="23">
        <v>45838</v>
      </c>
      <c r="R792" s="79" t="s">
        <v>67</v>
      </c>
      <c r="S792" s="22" t="s">
        <v>1055</v>
      </c>
      <c r="T792" s="22">
        <v>10</v>
      </c>
      <c r="U792" s="24" t="s">
        <v>67</v>
      </c>
      <c r="V792" s="23">
        <v>45838</v>
      </c>
      <c r="W792" s="840"/>
      <c r="X792" s="832"/>
      <c r="Y792"/>
      <c r="Z792" s="776"/>
      <c r="AA792" s="776"/>
      <c r="AB792" s="776"/>
      <c r="AC792" s="92"/>
      <c r="AD792" s="92"/>
      <c r="AE792" s="92"/>
    </row>
    <row r="793" spans="1:31">
      <c r="A793" s="834" t="s">
        <v>137</v>
      </c>
      <c r="B793" s="835">
        <v>790</v>
      </c>
      <c r="C793" s="838" t="s">
        <v>1276</v>
      </c>
      <c r="D793" s="834" t="s">
        <v>1277</v>
      </c>
      <c r="E793" s="839">
        <v>45803.375</v>
      </c>
      <c r="F793" s="838" t="s">
        <v>140</v>
      </c>
      <c r="G793" s="229">
        <v>6</v>
      </c>
      <c r="H793" s="838" t="s">
        <v>21</v>
      </c>
      <c r="I793" s="838" t="s">
        <v>127</v>
      </c>
      <c r="J793" s="838"/>
      <c r="K793" s="21"/>
      <c r="L793" s="21"/>
      <c r="M793" s="22"/>
      <c r="N793" s="23"/>
      <c r="O793" s="61"/>
      <c r="P793" s="23" t="s">
        <v>1057</v>
      </c>
      <c r="Q793" s="23">
        <v>45833</v>
      </c>
      <c r="R793" s="79" t="s">
        <v>67</v>
      </c>
      <c r="S793" s="22" t="s">
        <v>1055</v>
      </c>
      <c r="T793" s="22">
        <v>6</v>
      </c>
      <c r="U793" s="24" t="s">
        <v>67</v>
      </c>
      <c r="V793" s="23">
        <v>45833</v>
      </c>
      <c r="W793" s="80"/>
      <c r="X793" s="83"/>
      <c r="Y793"/>
      <c r="Z793" s="776"/>
      <c r="AA793" s="776"/>
      <c r="AB793" s="776"/>
      <c r="AC793" s="92"/>
      <c r="AD793" s="92"/>
      <c r="AE793" s="92"/>
    </row>
    <row r="794" spans="1:31">
      <c r="A794" s="834" t="s">
        <v>137</v>
      </c>
      <c r="B794" s="835">
        <v>791</v>
      </c>
      <c r="C794" s="838" t="s">
        <v>1278</v>
      </c>
      <c r="D794" s="834" t="s">
        <v>1279</v>
      </c>
      <c r="E794" s="839">
        <v>45803.375</v>
      </c>
      <c r="F794" s="838" t="s">
        <v>140</v>
      </c>
      <c r="G794" s="229">
        <v>6</v>
      </c>
      <c r="H794" s="838" t="s">
        <v>21</v>
      </c>
      <c r="I794" s="838" t="s">
        <v>127</v>
      </c>
      <c r="J794" s="838"/>
      <c r="K794" s="21"/>
      <c r="L794" s="21"/>
      <c r="M794" s="22"/>
      <c r="N794" s="23"/>
      <c r="O794" s="23"/>
      <c r="P794" s="23" t="s">
        <v>1057</v>
      </c>
      <c r="Q794" s="23">
        <v>45838</v>
      </c>
      <c r="R794" s="79" t="s">
        <v>67</v>
      </c>
      <c r="S794" s="22" t="s">
        <v>1055</v>
      </c>
      <c r="T794" s="22">
        <v>6</v>
      </c>
      <c r="U794" s="24" t="s">
        <v>67</v>
      </c>
      <c r="V794" s="23">
        <v>45838</v>
      </c>
      <c r="W794" s="80"/>
      <c r="X794" s="83"/>
      <c r="Y794"/>
      <c r="Z794" s="776"/>
      <c r="AA794" s="776"/>
      <c r="AB794" s="776"/>
      <c r="AC794" s="92"/>
      <c r="AD794" s="92"/>
      <c r="AE794" s="92"/>
    </row>
    <row r="795" spans="1:31">
      <c r="A795" s="834" t="s">
        <v>137</v>
      </c>
      <c r="B795" s="835">
        <v>792</v>
      </c>
      <c r="C795" s="838" t="s">
        <v>1280</v>
      </c>
      <c r="D795" s="834" t="s">
        <v>841</v>
      </c>
      <c r="E795" s="839">
        <v>45807.375</v>
      </c>
      <c r="F795" s="838" t="s">
        <v>140</v>
      </c>
      <c r="G795" s="229">
        <v>30</v>
      </c>
      <c r="H795" s="838" t="s">
        <v>22</v>
      </c>
      <c r="I795" s="838" t="s">
        <v>28</v>
      </c>
      <c r="J795" s="838"/>
      <c r="K795" s="21"/>
      <c r="L795" s="21"/>
      <c r="M795" s="22"/>
      <c r="N795" s="23"/>
      <c r="O795" s="61" t="s">
        <v>31</v>
      </c>
      <c r="P795" s="61" t="s">
        <v>1057</v>
      </c>
      <c r="Q795" s="23">
        <v>45832</v>
      </c>
      <c r="R795" s="79" t="s">
        <v>67</v>
      </c>
      <c r="S795" s="22" t="s">
        <v>1055</v>
      </c>
      <c r="T795" s="22">
        <v>29</v>
      </c>
      <c r="U795" s="24" t="s">
        <v>67</v>
      </c>
      <c r="V795" s="23">
        <v>45832</v>
      </c>
      <c r="W795" s="80"/>
      <c r="X795" s="83"/>
      <c r="Y795">
        <v>0</v>
      </c>
      <c r="Z795" s="85">
        <v>30</v>
      </c>
      <c r="AA795" s="85">
        <v>0</v>
      </c>
      <c r="AB795">
        <f>SUM(Y795:AA795)</f>
        <v>30</v>
      </c>
      <c r="AC795" s="71">
        <f>+Y795/AB795*AC$1</f>
        <v>0</v>
      </c>
      <c r="AD795" s="92">
        <f>+Z795/AB795*AD$1</f>
        <v>3</v>
      </c>
      <c r="AE795" s="92" t="e">
        <f>+AA795/AC795*AE$1</f>
        <v>#DIV/0!</v>
      </c>
    </row>
    <row r="796" spans="1:31">
      <c r="A796" s="834" t="s">
        <v>137</v>
      </c>
      <c r="B796" s="835">
        <v>793</v>
      </c>
      <c r="C796" s="838" t="s">
        <v>1281</v>
      </c>
      <c r="D796" s="834" t="s">
        <v>526</v>
      </c>
      <c r="E796" s="839">
        <v>45807.375</v>
      </c>
      <c r="F796" s="838" t="s">
        <v>140</v>
      </c>
      <c r="G796" s="229">
        <v>30</v>
      </c>
      <c r="H796" s="838" t="s">
        <v>22</v>
      </c>
      <c r="I796" s="838" t="s">
        <v>28</v>
      </c>
      <c r="J796" s="838"/>
      <c r="K796" s="21"/>
      <c r="L796" s="21"/>
      <c r="M796" s="22"/>
      <c r="N796" s="23"/>
      <c r="O796" s="61" t="s">
        <v>31</v>
      </c>
      <c r="P796" s="61" t="s">
        <v>1057</v>
      </c>
      <c r="Q796" s="23">
        <v>45832</v>
      </c>
      <c r="R796" s="79" t="s">
        <v>67</v>
      </c>
      <c r="S796" s="22" t="s">
        <v>1055</v>
      </c>
      <c r="T796" s="22">
        <v>29</v>
      </c>
      <c r="U796" s="24" t="s">
        <v>67</v>
      </c>
      <c r="V796" s="23">
        <v>45832</v>
      </c>
      <c r="W796" s="840"/>
      <c r="X796" s="832"/>
      <c r="Y796">
        <v>0</v>
      </c>
      <c r="Z796">
        <v>30</v>
      </c>
      <c r="AA796">
        <v>0</v>
      </c>
      <c r="AB796">
        <f>SUM(Y796:AA796)</f>
        <v>30</v>
      </c>
      <c r="AC796" s="71">
        <f>+Y796/AB796*AC$1</f>
        <v>0</v>
      </c>
      <c r="AD796" s="92">
        <f>+Z796/AB796*AD$1</f>
        <v>3</v>
      </c>
      <c r="AE796" s="92" t="e">
        <f>+AA796/AC796*AE$1</f>
        <v>#DIV/0!</v>
      </c>
    </row>
    <row r="797" spans="1:31">
      <c r="A797" s="834" t="s">
        <v>24</v>
      </c>
      <c r="B797" s="835">
        <v>794</v>
      </c>
      <c r="C797" s="838" t="s">
        <v>1282</v>
      </c>
      <c r="D797" s="838" t="s">
        <v>102</v>
      </c>
      <c r="E797" s="839">
        <v>45810</v>
      </c>
      <c r="F797" s="838" t="s">
        <v>1283</v>
      </c>
      <c r="G797" s="838">
        <v>13</v>
      </c>
      <c r="H797" s="838" t="s">
        <v>46</v>
      </c>
      <c r="I797" s="838" t="s">
        <v>47</v>
      </c>
      <c r="J797" s="838" t="s">
        <v>29</v>
      </c>
      <c r="K797" s="838" t="s">
        <v>22</v>
      </c>
      <c r="L797" s="834"/>
      <c r="M797" s="834"/>
      <c r="N797" s="834"/>
      <c r="O797" s="848"/>
      <c r="P797" s="848" t="s">
        <v>30</v>
      </c>
      <c r="Q797" s="23">
        <v>45869</v>
      </c>
      <c r="R797" s="79" t="s">
        <v>21</v>
      </c>
      <c r="S797" s="22" t="s">
        <v>1091</v>
      </c>
      <c r="T797" s="22">
        <v>7</v>
      </c>
      <c r="U797" s="24" t="s">
        <v>21</v>
      </c>
      <c r="V797" s="23">
        <v>45869</v>
      </c>
      <c r="W797" s="80" t="s">
        <v>30</v>
      </c>
      <c r="X797" s="99" t="s">
        <v>30</v>
      </c>
      <c r="Y797"/>
      <c r="Z797" s="776"/>
      <c r="AA797" s="776"/>
      <c r="AB797" s="776"/>
    </row>
    <row r="798" spans="1:31">
      <c r="A798" s="834" t="s">
        <v>24</v>
      </c>
      <c r="B798" s="835">
        <v>795</v>
      </c>
      <c r="C798" s="838" t="s">
        <v>1284</v>
      </c>
      <c r="D798" s="838" t="s">
        <v>64</v>
      </c>
      <c r="E798" s="839">
        <v>45810</v>
      </c>
      <c r="F798" s="838" t="s">
        <v>1135</v>
      </c>
      <c r="G798" s="838">
        <v>17</v>
      </c>
      <c r="H798" s="838" t="s">
        <v>21</v>
      </c>
      <c r="I798" s="838" t="s">
        <v>127</v>
      </c>
      <c r="J798" s="838" t="s">
        <v>29</v>
      </c>
      <c r="K798" s="838"/>
      <c r="L798" s="834"/>
      <c r="M798" s="834"/>
      <c r="N798" s="834"/>
      <c r="O798" s="848" t="s">
        <v>31</v>
      </c>
      <c r="P798" s="848" t="s">
        <v>1057</v>
      </c>
      <c r="Q798" s="23">
        <v>45845</v>
      </c>
      <c r="R798" s="79" t="s">
        <v>127</v>
      </c>
      <c r="S798" s="22" t="s">
        <v>32</v>
      </c>
      <c r="T798" s="22">
        <v>17</v>
      </c>
      <c r="U798" s="24" t="s">
        <v>127</v>
      </c>
      <c r="V798" s="23">
        <v>45845</v>
      </c>
      <c r="W798" s="80" t="s">
        <v>30</v>
      </c>
      <c r="X798" s="83" t="s">
        <v>30</v>
      </c>
      <c r="Y798"/>
      <c r="Z798" s="776"/>
      <c r="AA798" s="776"/>
      <c r="AB798" s="776"/>
    </row>
    <row r="799" spans="1:31">
      <c r="A799" s="834" t="s">
        <v>24</v>
      </c>
      <c r="B799" s="835">
        <v>796</v>
      </c>
      <c r="C799" s="838" t="s">
        <v>1285</v>
      </c>
      <c r="D799" s="838" t="s">
        <v>43</v>
      </c>
      <c r="E799" s="839">
        <v>45811</v>
      </c>
      <c r="F799" s="838" t="s">
        <v>247</v>
      </c>
      <c r="G799" s="838">
        <v>5</v>
      </c>
      <c r="H799" s="838" t="s">
        <v>46</v>
      </c>
      <c r="I799" s="838" t="s">
        <v>47</v>
      </c>
      <c r="J799" s="838" t="s">
        <v>29</v>
      </c>
      <c r="L799" s="834"/>
      <c r="M799" s="834"/>
      <c r="N799" s="834"/>
      <c r="O799" s="848"/>
      <c r="P799" s="848" t="s">
        <v>30</v>
      </c>
      <c r="Q799" s="23">
        <v>45845</v>
      </c>
      <c r="R799" s="79" t="s">
        <v>47</v>
      </c>
      <c r="S799" s="22" t="s">
        <v>32</v>
      </c>
      <c r="T799" s="22">
        <v>5</v>
      </c>
      <c r="U799" s="24" t="s">
        <v>47</v>
      </c>
      <c r="V799" s="23">
        <v>45845</v>
      </c>
      <c r="W799" s="80" t="s">
        <v>30</v>
      </c>
      <c r="X799" s="83" t="s">
        <v>30</v>
      </c>
      <c r="Y799"/>
      <c r="Z799" s="776"/>
      <c r="AA799" s="776"/>
      <c r="AB799" s="776"/>
    </row>
    <row r="800" spans="1:31">
      <c r="A800" s="834" t="s">
        <v>24</v>
      </c>
      <c r="B800" s="835">
        <v>797</v>
      </c>
      <c r="C800" s="838" t="s">
        <v>1286</v>
      </c>
      <c r="D800" s="838" t="s">
        <v>43</v>
      </c>
      <c r="E800" s="839">
        <v>45814</v>
      </c>
      <c r="F800" s="838" t="s">
        <v>395</v>
      </c>
      <c r="G800" s="838">
        <v>17</v>
      </c>
      <c r="H800" s="838" t="s">
        <v>22</v>
      </c>
      <c r="I800" s="838" t="s">
        <v>28</v>
      </c>
      <c r="J800" s="838" t="s">
        <v>237</v>
      </c>
      <c r="K800" s="838"/>
      <c r="L800" s="834"/>
      <c r="M800" s="834"/>
      <c r="N800" s="834"/>
      <c r="O800" s="848" t="s">
        <v>31</v>
      </c>
      <c r="P800" s="848" t="s">
        <v>30</v>
      </c>
      <c r="Q800" s="23">
        <v>45868</v>
      </c>
      <c r="R800" s="79" t="s">
        <v>1077</v>
      </c>
      <c r="S800" s="22" t="s">
        <v>32</v>
      </c>
      <c r="T800" s="22">
        <v>22</v>
      </c>
      <c r="U800" s="24" t="s">
        <v>1077</v>
      </c>
      <c r="V800" s="23">
        <v>45868</v>
      </c>
      <c r="W800" s="80" t="s">
        <v>30</v>
      </c>
      <c r="X800" s="83" t="s">
        <v>30</v>
      </c>
      <c r="Y800"/>
      <c r="Z800" s="776"/>
      <c r="AA800" s="776"/>
      <c r="AB800" s="776"/>
    </row>
    <row r="801" spans="1:28">
      <c r="A801" s="834" t="s">
        <v>24</v>
      </c>
      <c r="B801" s="835">
        <v>798</v>
      </c>
      <c r="C801" s="838" t="s">
        <v>1287</v>
      </c>
      <c r="D801" s="838" t="s">
        <v>178</v>
      </c>
      <c r="E801" s="839">
        <v>45815</v>
      </c>
      <c r="F801" s="838" t="s">
        <v>1288</v>
      </c>
      <c r="G801" s="838">
        <v>11</v>
      </c>
      <c r="H801" s="838" t="s">
        <v>22</v>
      </c>
      <c r="I801" s="838" t="s">
        <v>28</v>
      </c>
      <c r="J801" s="838" t="s">
        <v>29</v>
      </c>
      <c r="K801" s="89"/>
      <c r="L801" s="834"/>
      <c r="M801" s="834"/>
      <c r="N801" s="834"/>
      <c r="O801" s="848"/>
      <c r="P801" s="848" t="s">
        <v>30</v>
      </c>
      <c r="Q801" s="23">
        <v>45855</v>
      </c>
      <c r="R801" s="79" t="s">
        <v>1077</v>
      </c>
      <c r="S801" s="22" t="s">
        <v>32</v>
      </c>
      <c r="T801" s="22">
        <v>11</v>
      </c>
      <c r="U801" s="24" t="s">
        <v>1077</v>
      </c>
      <c r="V801" s="23">
        <v>45855</v>
      </c>
      <c r="W801" s="80" t="s">
        <v>30</v>
      </c>
      <c r="X801" s="83" t="s">
        <v>30</v>
      </c>
      <c r="Y801"/>
      <c r="Z801"/>
      <c r="AA801"/>
    </row>
    <row r="802" spans="1:28">
      <c r="A802" s="834" t="s">
        <v>24</v>
      </c>
      <c r="B802" s="835">
        <v>799</v>
      </c>
      <c r="C802" s="838" t="s">
        <v>1289</v>
      </c>
      <c r="D802" s="838" t="s">
        <v>34</v>
      </c>
      <c r="E802" s="839">
        <v>45815</v>
      </c>
      <c r="F802" s="838" t="s">
        <v>1290</v>
      </c>
      <c r="G802" s="838">
        <v>14</v>
      </c>
      <c r="H802" s="838" t="s">
        <v>22</v>
      </c>
      <c r="I802" s="838" t="s">
        <v>28</v>
      </c>
      <c r="J802" s="838" t="s">
        <v>29</v>
      </c>
      <c r="K802" s="98" t="s">
        <v>1291</v>
      </c>
      <c r="L802" s="834"/>
      <c r="M802" s="834"/>
      <c r="N802" s="90"/>
      <c r="O802" s="848"/>
      <c r="P802" s="848" t="s">
        <v>30</v>
      </c>
      <c r="Q802" s="23">
        <v>45850</v>
      </c>
      <c r="R802" s="79" t="s">
        <v>1138</v>
      </c>
      <c r="S802" s="22" t="s">
        <v>32</v>
      </c>
      <c r="T802" s="22">
        <v>14</v>
      </c>
      <c r="U802" s="24" t="s">
        <v>1138</v>
      </c>
      <c r="V802" s="23">
        <v>45850</v>
      </c>
      <c r="W802" s="80" t="s">
        <v>30</v>
      </c>
      <c r="X802" s="99" t="s">
        <v>30</v>
      </c>
      <c r="Y802"/>
      <c r="Z802" s="776"/>
      <c r="AA802" s="776"/>
      <c r="AB802" s="776"/>
    </row>
    <row r="803" spans="1:28">
      <c r="A803" s="834" t="s">
        <v>24</v>
      </c>
      <c r="B803" s="835">
        <v>800</v>
      </c>
      <c r="C803" s="838" t="s">
        <v>1292</v>
      </c>
      <c r="D803" s="838" t="s">
        <v>43</v>
      </c>
      <c r="E803" s="839">
        <v>45815</v>
      </c>
      <c r="F803" s="838" t="s">
        <v>77</v>
      </c>
      <c r="G803" s="838">
        <v>7</v>
      </c>
      <c r="H803" s="838" t="s">
        <v>21</v>
      </c>
      <c r="I803" s="838" t="s">
        <v>127</v>
      </c>
      <c r="J803" s="838" t="s">
        <v>29</v>
      </c>
      <c r="K803" s="231"/>
      <c r="L803" s="834"/>
      <c r="M803" s="834"/>
      <c r="N803" s="848"/>
      <c r="O803" s="848"/>
      <c r="P803" s="848" t="s">
        <v>30</v>
      </c>
      <c r="Q803" s="23">
        <v>45846</v>
      </c>
      <c r="R803" s="79" t="s">
        <v>47</v>
      </c>
      <c r="S803" s="22" t="s">
        <v>32</v>
      </c>
      <c r="T803" s="22">
        <v>7</v>
      </c>
      <c r="U803" s="22" t="s">
        <v>47</v>
      </c>
      <c r="V803" s="23">
        <v>45846</v>
      </c>
      <c r="W803" s="80" t="s">
        <v>30</v>
      </c>
      <c r="X803" s="83" t="s">
        <v>30</v>
      </c>
      <c r="Y803"/>
      <c r="Z803" s="776"/>
      <c r="AA803" s="776"/>
      <c r="AB803" s="776"/>
    </row>
    <row r="804" spans="1:28">
      <c r="A804" s="834" t="s">
        <v>24</v>
      </c>
      <c r="B804" s="835">
        <v>801</v>
      </c>
      <c r="C804" s="838" t="s">
        <v>1293</v>
      </c>
      <c r="D804" s="838" t="s">
        <v>43</v>
      </c>
      <c r="E804" s="839">
        <v>45815</v>
      </c>
      <c r="F804" s="838" t="s">
        <v>1068</v>
      </c>
      <c r="G804" s="838">
        <v>17</v>
      </c>
      <c r="H804" s="838" t="s">
        <v>22</v>
      </c>
      <c r="I804" s="838" t="s">
        <v>28</v>
      </c>
      <c r="J804" s="838" t="s">
        <v>29</v>
      </c>
      <c r="K804" s="838"/>
      <c r="L804" s="834"/>
      <c r="M804" s="834"/>
      <c r="N804" s="848"/>
      <c r="O804" s="848" t="s">
        <v>31</v>
      </c>
      <c r="P804" s="848" t="s">
        <v>30</v>
      </c>
      <c r="Q804" s="23">
        <v>45849</v>
      </c>
      <c r="R804" s="79" t="s">
        <v>28</v>
      </c>
      <c r="S804" s="22" t="s">
        <v>32</v>
      </c>
      <c r="T804" s="229">
        <v>7</v>
      </c>
      <c r="U804" s="22" t="s">
        <v>28</v>
      </c>
      <c r="V804" s="23">
        <v>45849</v>
      </c>
      <c r="W804" s="80" t="s">
        <v>30</v>
      </c>
      <c r="X804" s="83" t="s">
        <v>30</v>
      </c>
      <c r="Y804"/>
      <c r="Z804" s="776"/>
      <c r="AA804" s="776"/>
      <c r="AB804" s="776"/>
    </row>
    <row r="805" spans="1:28">
      <c r="A805" s="834" t="s">
        <v>24</v>
      </c>
      <c r="B805" s="835">
        <v>802</v>
      </c>
      <c r="C805" s="838" t="s">
        <v>1294</v>
      </c>
      <c r="D805" s="838" t="s">
        <v>34</v>
      </c>
      <c r="E805" s="839">
        <v>45815</v>
      </c>
      <c r="F805" s="838" t="s">
        <v>1295</v>
      </c>
      <c r="G805" s="838">
        <v>14</v>
      </c>
      <c r="H805" s="838" t="s">
        <v>21</v>
      </c>
      <c r="I805" s="838" t="s">
        <v>127</v>
      </c>
      <c r="J805" s="838" t="s">
        <v>29</v>
      </c>
      <c r="K805" s="21"/>
      <c r="L805" s="834"/>
      <c r="M805" s="834"/>
      <c r="N805" s="90"/>
      <c r="O805" s="848"/>
      <c r="P805" s="848" t="s">
        <v>1057</v>
      </c>
      <c r="Q805" s="23">
        <v>45845</v>
      </c>
      <c r="R805" s="79" t="s">
        <v>127</v>
      </c>
      <c r="S805" s="22" t="s">
        <v>32</v>
      </c>
      <c r="T805" s="22">
        <v>14</v>
      </c>
      <c r="U805" s="24" t="s">
        <v>127</v>
      </c>
      <c r="V805" s="23">
        <v>45845</v>
      </c>
      <c r="W805" s="80" t="s">
        <v>30</v>
      </c>
      <c r="X805" s="83" t="s">
        <v>30</v>
      </c>
      <c r="Y805"/>
      <c r="Z805" s="776"/>
      <c r="AA805" s="776"/>
      <c r="AB805" s="776"/>
    </row>
    <row r="806" spans="1:28">
      <c r="A806" s="834" t="s">
        <v>24</v>
      </c>
      <c r="B806" s="835">
        <v>803</v>
      </c>
      <c r="C806" s="838" t="s">
        <v>1296</v>
      </c>
      <c r="D806" s="838" t="s">
        <v>34</v>
      </c>
      <c r="E806" s="839">
        <v>45815</v>
      </c>
      <c r="F806" s="838" t="s">
        <v>364</v>
      </c>
      <c r="G806" s="838">
        <v>10</v>
      </c>
      <c r="H806" s="838" t="s">
        <v>21</v>
      </c>
      <c r="I806" s="838" t="s">
        <v>127</v>
      </c>
      <c r="J806" s="838" t="s">
        <v>29</v>
      </c>
      <c r="K806" s="231"/>
      <c r="L806" s="834"/>
      <c r="M806" s="834"/>
      <c r="N806" s="848"/>
      <c r="O806" s="848"/>
      <c r="P806" s="848" t="s">
        <v>1057</v>
      </c>
      <c r="Q806" s="23">
        <v>45845</v>
      </c>
      <c r="R806" s="79" t="s">
        <v>127</v>
      </c>
      <c r="S806" s="22" t="s">
        <v>32</v>
      </c>
      <c r="T806" s="22">
        <v>10</v>
      </c>
      <c r="U806" s="24" t="s">
        <v>127</v>
      </c>
      <c r="V806" s="23">
        <v>45845</v>
      </c>
      <c r="W806" s="80" t="s">
        <v>30</v>
      </c>
      <c r="X806" s="83" t="s">
        <v>30</v>
      </c>
      <c r="Y806"/>
      <c r="Z806" s="776"/>
      <c r="AA806" s="776"/>
      <c r="AB806" s="776"/>
    </row>
    <row r="807" spans="1:28">
      <c r="A807" s="834" t="s">
        <v>24</v>
      </c>
      <c r="B807" s="835">
        <v>804</v>
      </c>
      <c r="C807" s="838" t="s">
        <v>1297</v>
      </c>
      <c r="D807" s="838" t="s">
        <v>43</v>
      </c>
      <c r="E807" s="839">
        <v>45817</v>
      </c>
      <c r="F807" s="838" t="s">
        <v>1298</v>
      </c>
      <c r="G807" s="838">
        <v>12</v>
      </c>
      <c r="H807" s="838" t="s">
        <v>21</v>
      </c>
      <c r="I807" s="838" t="s">
        <v>127</v>
      </c>
      <c r="J807" s="838" t="s">
        <v>29</v>
      </c>
      <c r="K807" s="838"/>
      <c r="L807" s="834"/>
      <c r="M807" s="834"/>
      <c r="N807" s="848"/>
      <c r="O807" s="848"/>
      <c r="P807" s="848" t="s">
        <v>1057</v>
      </c>
      <c r="Q807" s="23">
        <v>45845</v>
      </c>
      <c r="R807" s="79" t="s">
        <v>127</v>
      </c>
      <c r="S807" s="22" t="s">
        <v>32</v>
      </c>
      <c r="T807" s="22">
        <v>12</v>
      </c>
      <c r="U807" s="24" t="s">
        <v>127</v>
      </c>
      <c r="V807" s="23">
        <v>45845</v>
      </c>
      <c r="W807" s="80" t="s">
        <v>30</v>
      </c>
      <c r="X807" s="83" t="s">
        <v>30</v>
      </c>
      <c r="Y807"/>
      <c r="Z807" s="776"/>
      <c r="AA807" s="776"/>
      <c r="AB807" s="776"/>
    </row>
    <row r="808" spans="1:28">
      <c r="A808" s="834" t="s">
        <v>24</v>
      </c>
      <c r="B808" s="835">
        <v>805</v>
      </c>
      <c r="C808" s="838" t="s">
        <v>1299</v>
      </c>
      <c r="D808" s="838" t="s">
        <v>178</v>
      </c>
      <c r="E808" s="839">
        <v>45817</v>
      </c>
      <c r="F808" s="838" t="s">
        <v>202</v>
      </c>
      <c r="G808" s="838">
        <v>23</v>
      </c>
      <c r="H808" s="838" t="s">
        <v>22</v>
      </c>
      <c r="I808" s="838" t="s">
        <v>28</v>
      </c>
      <c r="J808" s="838" t="s">
        <v>29</v>
      </c>
      <c r="K808" s="89"/>
      <c r="L808" s="834"/>
      <c r="M808" s="834"/>
      <c r="N808" s="90"/>
      <c r="O808" s="848" t="s">
        <v>31</v>
      </c>
      <c r="P808" s="23" t="s">
        <v>30</v>
      </c>
      <c r="Q808" s="23">
        <v>45845</v>
      </c>
      <c r="R808" s="79" t="s">
        <v>28</v>
      </c>
      <c r="S808" s="22" t="s">
        <v>32</v>
      </c>
      <c r="T808" s="229">
        <v>23</v>
      </c>
      <c r="U808" s="24" t="s">
        <v>28</v>
      </c>
      <c r="V808" s="23">
        <v>45845</v>
      </c>
      <c r="W808" s="80" t="s">
        <v>30</v>
      </c>
      <c r="X808" s="83" t="s">
        <v>30</v>
      </c>
      <c r="Y808"/>
      <c r="Z808"/>
      <c r="AA808"/>
    </row>
    <row r="809" spans="1:28">
      <c r="A809" s="834" t="s">
        <v>24</v>
      </c>
      <c r="B809" s="835">
        <v>806</v>
      </c>
      <c r="C809" s="217" t="s">
        <v>1300</v>
      </c>
      <c r="D809" s="217" t="s">
        <v>102</v>
      </c>
      <c r="E809" s="218">
        <v>45819</v>
      </c>
      <c r="F809" s="217" t="s">
        <v>1301</v>
      </c>
      <c r="G809" s="217">
        <v>12</v>
      </c>
      <c r="H809" s="217" t="s">
        <v>21</v>
      </c>
      <c r="I809" s="217" t="s">
        <v>127</v>
      </c>
      <c r="J809" s="838" t="s">
        <v>29</v>
      </c>
      <c r="K809" s="21"/>
      <c r="L809" s="834"/>
      <c r="M809" s="834"/>
      <c r="N809" s="90"/>
      <c r="O809" s="848"/>
      <c r="P809" s="23" t="s">
        <v>30</v>
      </c>
      <c r="Q809" s="23">
        <v>45847</v>
      </c>
      <c r="R809" s="79" t="s">
        <v>127</v>
      </c>
      <c r="S809" s="22" t="s">
        <v>32</v>
      </c>
      <c r="T809" s="22">
        <v>10</v>
      </c>
      <c r="U809" s="22" t="s">
        <v>127</v>
      </c>
      <c r="V809" s="23">
        <v>45847</v>
      </c>
      <c r="W809" s="80" t="s">
        <v>30</v>
      </c>
      <c r="X809" s="83" t="s">
        <v>30</v>
      </c>
      <c r="Y809"/>
      <c r="Z809"/>
      <c r="AA809"/>
    </row>
    <row r="810" spans="1:28">
      <c r="A810" s="834" t="s">
        <v>24</v>
      </c>
      <c r="B810" s="835">
        <v>807</v>
      </c>
      <c r="C810" s="217" t="s">
        <v>1302</v>
      </c>
      <c r="D810" s="217" t="s">
        <v>64</v>
      </c>
      <c r="E810" s="218">
        <v>45822</v>
      </c>
      <c r="F810" s="217" t="s">
        <v>701</v>
      </c>
      <c r="G810" s="217">
        <v>12</v>
      </c>
      <c r="H810" s="217" t="s">
        <v>22</v>
      </c>
      <c r="I810" s="217" t="s">
        <v>28</v>
      </c>
      <c r="J810" s="838" t="s">
        <v>29</v>
      </c>
      <c r="K810" s="21"/>
      <c r="L810" s="834"/>
      <c r="M810" s="834"/>
      <c r="N810" s="848"/>
      <c r="O810" s="848"/>
      <c r="P810" s="848" t="s">
        <v>30</v>
      </c>
      <c r="Q810" s="23">
        <v>45849</v>
      </c>
      <c r="R810" s="79" t="s">
        <v>47</v>
      </c>
      <c r="S810" s="22" t="s">
        <v>32</v>
      </c>
      <c r="T810" s="22">
        <v>12</v>
      </c>
      <c r="U810" s="24" t="s">
        <v>47</v>
      </c>
      <c r="V810" s="23">
        <v>45849</v>
      </c>
      <c r="W810" s="80" t="s">
        <v>30</v>
      </c>
      <c r="X810" s="99" t="s">
        <v>30</v>
      </c>
      <c r="Y810"/>
      <c r="Z810"/>
      <c r="AA810"/>
    </row>
    <row r="811" spans="1:28">
      <c r="A811" s="834" t="s">
        <v>24</v>
      </c>
      <c r="B811" s="835">
        <v>808</v>
      </c>
      <c r="C811" s="217" t="s">
        <v>1303</v>
      </c>
      <c r="D811" s="217" t="s">
        <v>406</v>
      </c>
      <c r="E811" s="218">
        <v>45822</v>
      </c>
      <c r="F811" s="217" t="s">
        <v>97</v>
      </c>
      <c r="G811" s="217">
        <v>23</v>
      </c>
      <c r="H811" s="217" t="s">
        <v>22</v>
      </c>
      <c r="I811" s="217" t="s">
        <v>28</v>
      </c>
      <c r="J811" s="838" t="s">
        <v>29</v>
      </c>
      <c r="K811" s="838" t="s">
        <v>1069</v>
      </c>
      <c r="L811" s="834"/>
      <c r="M811" s="834"/>
      <c r="N811" s="90"/>
      <c r="O811" s="848" t="s">
        <v>31</v>
      </c>
      <c r="P811" s="848" t="s">
        <v>30</v>
      </c>
      <c r="Q811" s="23">
        <v>45853</v>
      </c>
      <c r="R811" s="79" t="s">
        <v>47</v>
      </c>
      <c r="S811" s="22" t="s">
        <v>32</v>
      </c>
      <c r="T811" s="22">
        <v>24</v>
      </c>
      <c r="U811" s="24" t="s">
        <v>47</v>
      </c>
      <c r="V811" s="23">
        <v>45853</v>
      </c>
      <c r="W811" s="80" t="s">
        <v>30</v>
      </c>
      <c r="X811" s="99" t="s">
        <v>30</v>
      </c>
      <c r="Y811"/>
      <c r="Z811"/>
      <c r="AA811"/>
    </row>
    <row r="812" spans="1:28">
      <c r="A812" s="834" t="s">
        <v>24</v>
      </c>
      <c r="B812" s="835">
        <v>809</v>
      </c>
      <c r="C812" s="224" t="s">
        <v>1304</v>
      </c>
      <c r="D812" s="224" t="s">
        <v>34</v>
      </c>
      <c r="E812" s="218">
        <v>45822</v>
      </c>
      <c r="F812" s="224" t="s">
        <v>1305</v>
      </c>
      <c r="G812" s="224">
        <v>6</v>
      </c>
      <c r="H812" s="224" t="s">
        <v>22</v>
      </c>
      <c r="I812" s="224" t="s">
        <v>28</v>
      </c>
      <c r="J812" s="838" t="s">
        <v>29</v>
      </c>
      <c r="K812" s="98" t="s">
        <v>1306</v>
      </c>
      <c r="L812" s="834"/>
      <c r="M812" s="834"/>
      <c r="N812" s="848"/>
      <c r="O812" s="848"/>
      <c r="P812" s="848" t="s">
        <v>32</v>
      </c>
      <c r="Q812" s="23">
        <v>45847</v>
      </c>
      <c r="R812" s="79" t="s">
        <v>1138</v>
      </c>
      <c r="S812" s="22" t="s">
        <v>32</v>
      </c>
      <c r="T812" s="22">
        <v>6</v>
      </c>
      <c r="U812" s="24" t="s">
        <v>1138</v>
      </c>
      <c r="V812" s="23">
        <v>45847</v>
      </c>
      <c r="W812" s="80" t="s">
        <v>30</v>
      </c>
      <c r="X812" s="99" t="s">
        <v>30</v>
      </c>
      <c r="Y812"/>
      <c r="Z812"/>
      <c r="AA812"/>
    </row>
    <row r="813" spans="1:28">
      <c r="A813" s="834" t="s">
        <v>24</v>
      </c>
      <c r="B813" s="835">
        <v>810</v>
      </c>
      <c r="C813" s="217" t="s">
        <v>1307</v>
      </c>
      <c r="D813" s="217" t="s">
        <v>374</v>
      </c>
      <c r="E813" s="218">
        <v>45822</v>
      </c>
      <c r="F813" s="217" t="s">
        <v>1308</v>
      </c>
      <c r="G813" s="217">
        <v>7</v>
      </c>
      <c r="H813" s="217" t="s">
        <v>46</v>
      </c>
      <c r="I813" s="217" t="s">
        <v>47</v>
      </c>
      <c r="J813" s="838" t="s">
        <v>29</v>
      </c>
      <c r="K813" s="838"/>
      <c r="L813" s="834"/>
      <c r="M813" s="834"/>
      <c r="N813" s="90"/>
      <c r="O813" s="848"/>
      <c r="P813" s="848" t="s">
        <v>1091</v>
      </c>
      <c r="Q813" s="23">
        <v>45856</v>
      </c>
      <c r="R813" s="79" t="s">
        <v>1138</v>
      </c>
      <c r="S813" s="22" t="s">
        <v>32</v>
      </c>
      <c r="T813" s="22">
        <v>7</v>
      </c>
      <c r="U813" s="24" t="s">
        <v>1138</v>
      </c>
      <c r="V813" s="23">
        <v>45856</v>
      </c>
      <c r="W813" s="80" t="s">
        <v>30</v>
      </c>
      <c r="X813" s="83" t="s">
        <v>30</v>
      </c>
      <c r="Y813"/>
      <c r="Z813"/>
      <c r="AA813"/>
    </row>
    <row r="814" spans="1:28">
      <c r="A814" s="834" t="s">
        <v>24</v>
      </c>
      <c r="B814" s="835">
        <v>811</v>
      </c>
      <c r="C814" s="217" t="s">
        <v>1309</v>
      </c>
      <c r="D814" s="217" t="s">
        <v>83</v>
      </c>
      <c r="E814" s="218">
        <v>45822</v>
      </c>
      <c r="F814" s="217" t="s">
        <v>401</v>
      </c>
      <c r="G814" s="217">
        <v>7</v>
      </c>
      <c r="H814" s="217" t="s">
        <v>46</v>
      </c>
      <c r="I814" s="217" t="s">
        <v>47</v>
      </c>
      <c r="J814" s="838" t="s">
        <v>29</v>
      </c>
      <c r="K814" s="838"/>
      <c r="L814" s="834"/>
      <c r="M814" s="834"/>
      <c r="N814" s="848"/>
      <c r="O814" s="848"/>
      <c r="P814" s="848" t="s">
        <v>30</v>
      </c>
      <c r="Q814" s="23">
        <v>45868</v>
      </c>
      <c r="R814" s="79" t="s">
        <v>21</v>
      </c>
      <c r="S814" s="22" t="s">
        <v>32</v>
      </c>
      <c r="T814" s="22">
        <v>7</v>
      </c>
      <c r="U814" s="24" t="s">
        <v>21</v>
      </c>
      <c r="V814" s="23">
        <v>45868</v>
      </c>
      <c r="W814" s="80" t="s">
        <v>30</v>
      </c>
      <c r="X814" s="83" t="s">
        <v>30</v>
      </c>
      <c r="Y814"/>
      <c r="Z814"/>
      <c r="AA814"/>
    </row>
    <row r="815" spans="1:28">
      <c r="A815" s="834" t="s">
        <v>24</v>
      </c>
      <c r="B815" s="835">
        <v>812</v>
      </c>
      <c r="C815" s="217" t="s">
        <v>1310</v>
      </c>
      <c r="D815" s="217" t="s">
        <v>83</v>
      </c>
      <c r="E815" s="218">
        <v>45822</v>
      </c>
      <c r="F815" s="217" t="s">
        <v>1311</v>
      </c>
      <c r="G815" s="217">
        <v>12</v>
      </c>
      <c r="H815" s="217" t="s">
        <v>21</v>
      </c>
      <c r="I815" s="217" t="s">
        <v>127</v>
      </c>
      <c r="J815" s="838" t="s">
        <v>29</v>
      </c>
      <c r="K815" s="21"/>
      <c r="L815" s="834"/>
      <c r="M815" s="22"/>
      <c r="N815" s="23"/>
      <c r="O815" s="848"/>
      <c r="P815" s="848" t="s">
        <v>1057</v>
      </c>
      <c r="Q815" s="23">
        <v>45845</v>
      </c>
      <c r="R815" s="79" t="s">
        <v>127</v>
      </c>
      <c r="S815" s="22" t="s">
        <v>32</v>
      </c>
      <c r="T815" s="22">
        <v>12</v>
      </c>
      <c r="U815" s="24" t="s">
        <v>127</v>
      </c>
      <c r="V815" s="23">
        <v>45845</v>
      </c>
      <c r="W815" s="80" t="s">
        <v>30</v>
      </c>
      <c r="X815" s="83" t="s">
        <v>30</v>
      </c>
      <c r="Y815"/>
      <c r="Z815"/>
      <c r="AA815"/>
    </row>
    <row r="816" spans="1:28">
      <c r="A816" s="834" t="s">
        <v>24</v>
      </c>
      <c r="B816" s="835">
        <v>813</v>
      </c>
      <c r="C816" s="217" t="s">
        <v>1312</v>
      </c>
      <c r="D816" s="217" t="s">
        <v>43</v>
      </c>
      <c r="E816" s="218">
        <v>45822</v>
      </c>
      <c r="F816" s="217" t="s">
        <v>272</v>
      </c>
      <c r="G816" s="217">
        <v>12</v>
      </c>
      <c r="H816" s="217" t="s">
        <v>21</v>
      </c>
      <c r="I816" s="217" t="s">
        <v>127</v>
      </c>
      <c r="J816" s="838" t="s">
        <v>29</v>
      </c>
      <c r="K816" s="89"/>
      <c r="L816" s="834"/>
      <c r="M816" s="22"/>
      <c r="N816" s="23"/>
      <c r="O816" s="848"/>
      <c r="P816" s="848" t="s">
        <v>1091</v>
      </c>
      <c r="Q816" s="23">
        <v>45847</v>
      </c>
      <c r="R816" s="79" t="s">
        <v>127</v>
      </c>
      <c r="S816" s="22" t="s">
        <v>32</v>
      </c>
      <c r="T816" s="22">
        <v>12</v>
      </c>
      <c r="U816" s="24" t="s">
        <v>127</v>
      </c>
      <c r="V816" s="23">
        <v>45847</v>
      </c>
      <c r="W816" s="80" t="s">
        <v>30</v>
      </c>
      <c r="X816" s="83" t="s">
        <v>30</v>
      </c>
      <c r="Y816"/>
      <c r="Z816" s="776"/>
      <c r="AA816" s="776"/>
      <c r="AB816" s="776"/>
    </row>
    <row r="817" spans="1:28">
      <c r="A817" s="834" t="s">
        <v>24</v>
      </c>
      <c r="B817" s="835">
        <v>814</v>
      </c>
      <c r="C817" s="217" t="s">
        <v>1313</v>
      </c>
      <c r="D817" s="217" t="s">
        <v>64</v>
      </c>
      <c r="E817" s="218">
        <v>45822</v>
      </c>
      <c r="F817" s="217" t="s">
        <v>1314</v>
      </c>
      <c r="G817" s="217">
        <v>11</v>
      </c>
      <c r="H817" s="217" t="s">
        <v>21</v>
      </c>
      <c r="I817" s="217" t="s">
        <v>127</v>
      </c>
      <c r="J817" s="838" t="s">
        <v>29</v>
      </c>
      <c r="K817" s="89"/>
      <c r="L817" s="834"/>
      <c r="M817" s="22"/>
      <c r="N817" s="23"/>
      <c r="O817" s="848"/>
      <c r="P817" s="23" t="s">
        <v>30</v>
      </c>
      <c r="Q817" s="23">
        <v>45845</v>
      </c>
      <c r="R817" s="79" t="s">
        <v>127</v>
      </c>
      <c r="S817" s="22" t="s">
        <v>32</v>
      </c>
      <c r="T817" s="22">
        <v>11</v>
      </c>
      <c r="U817" s="22" t="s">
        <v>127</v>
      </c>
      <c r="V817" s="23">
        <v>45845</v>
      </c>
      <c r="W817" s="80" t="s">
        <v>30</v>
      </c>
      <c r="X817" s="83" t="s">
        <v>30</v>
      </c>
      <c r="Y817"/>
      <c r="Z817" s="776"/>
      <c r="AA817" s="776"/>
      <c r="AB817" s="776"/>
    </row>
    <row r="818" spans="1:28">
      <c r="A818" s="834" t="s">
        <v>24</v>
      </c>
      <c r="B818" s="835">
        <v>815</v>
      </c>
      <c r="C818" s="217" t="s">
        <v>1315</v>
      </c>
      <c r="D818" s="217" t="s">
        <v>102</v>
      </c>
      <c r="E818" s="218">
        <v>45824</v>
      </c>
      <c r="F818" s="217" t="s">
        <v>202</v>
      </c>
      <c r="G818" s="217">
        <v>14</v>
      </c>
      <c r="H818" s="217" t="s">
        <v>22</v>
      </c>
      <c r="I818" s="217" t="s">
        <v>28</v>
      </c>
      <c r="J818" s="838" t="s">
        <v>237</v>
      </c>
      <c r="K818" s="838" t="s">
        <v>1069</v>
      </c>
      <c r="L818" s="834"/>
      <c r="M818" s="22"/>
      <c r="N818" s="23"/>
      <c r="O818" s="848"/>
      <c r="P818" s="23" t="s">
        <v>30</v>
      </c>
      <c r="Q818" s="23">
        <v>45869</v>
      </c>
      <c r="R818" s="79" t="s">
        <v>1077</v>
      </c>
      <c r="S818" s="22" t="s">
        <v>32</v>
      </c>
      <c r="T818" s="22">
        <v>14</v>
      </c>
      <c r="U818" s="22" t="s">
        <v>1077</v>
      </c>
      <c r="V818" s="23">
        <v>45869</v>
      </c>
      <c r="W818" s="80" t="s">
        <v>30</v>
      </c>
      <c r="X818" s="83" t="s">
        <v>30</v>
      </c>
      <c r="Y818"/>
      <c r="Z818" s="776"/>
      <c r="AA818" s="776"/>
      <c r="AB818" s="776"/>
    </row>
    <row r="819" spans="1:28">
      <c r="A819" s="834" t="s">
        <v>24</v>
      </c>
      <c r="B819" s="835">
        <v>816</v>
      </c>
      <c r="C819" s="217" t="s">
        <v>1316</v>
      </c>
      <c r="D819" s="217" t="s">
        <v>406</v>
      </c>
      <c r="E819" s="218">
        <v>45828</v>
      </c>
      <c r="F819" s="217" t="s">
        <v>202</v>
      </c>
      <c r="G819" s="217">
        <v>19</v>
      </c>
      <c r="H819" s="217" t="s">
        <v>22</v>
      </c>
      <c r="I819" s="217" t="s">
        <v>28</v>
      </c>
      <c r="J819" s="838" t="s">
        <v>237</v>
      </c>
      <c r="K819" s="98" t="s">
        <v>1317</v>
      </c>
      <c r="L819" s="89"/>
      <c r="M819" s="22"/>
      <c r="N819" s="23"/>
      <c r="O819" s="848" t="s">
        <v>31</v>
      </c>
      <c r="P819" s="23"/>
      <c r="Q819" s="23"/>
      <c r="R819" s="79" t="s">
        <v>1077</v>
      </c>
      <c r="S819" s="22"/>
      <c r="T819" s="22"/>
      <c r="U819" s="24"/>
      <c r="V819" s="23"/>
      <c r="W819" s="91" t="s">
        <v>32</v>
      </c>
      <c r="X819" s="83"/>
      <c r="Y819"/>
      <c r="Z819"/>
      <c r="AA819"/>
    </row>
    <row r="820" spans="1:28">
      <c r="A820" s="834" t="s">
        <v>24</v>
      </c>
      <c r="B820" s="835">
        <v>817</v>
      </c>
      <c r="C820" s="217" t="s">
        <v>1318</v>
      </c>
      <c r="D820" s="217" t="s">
        <v>34</v>
      </c>
      <c r="E820" s="218">
        <v>45829</v>
      </c>
      <c r="F820" s="217" t="s">
        <v>1319</v>
      </c>
      <c r="G820" s="217">
        <v>14</v>
      </c>
      <c r="H820" s="217" t="s">
        <v>46</v>
      </c>
      <c r="I820" s="217" t="s">
        <v>47</v>
      </c>
      <c r="J820" s="838" t="s">
        <v>29</v>
      </c>
      <c r="K820" s="838"/>
      <c r="L820" s="89"/>
      <c r="M820" s="22"/>
      <c r="N820" s="23"/>
      <c r="O820" s="848"/>
      <c r="P820" s="23" t="s">
        <v>30</v>
      </c>
      <c r="Q820" s="23">
        <v>45848</v>
      </c>
      <c r="R820" s="79" t="s">
        <v>47</v>
      </c>
      <c r="S820" s="22" t="s">
        <v>32</v>
      </c>
      <c r="T820" s="22">
        <v>14</v>
      </c>
      <c r="U820" s="22" t="s">
        <v>47</v>
      </c>
      <c r="V820" s="23">
        <v>45848</v>
      </c>
      <c r="W820" s="80" t="s">
        <v>30</v>
      </c>
      <c r="X820" s="83" t="s">
        <v>30</v>
      </c>
      <c r="Y820"/>
      <c r="Z820"/>
      <c r="AA820"/>
    </row>
    <row r="821" spans="1:28">
      <c r="A821" s="834" t="s">
        <v>24</v>
      </c>
      <c r="B821" s="835">
        <v>818</v>
      </c>
      <c r="C821" s="217" t="s">
        <v>1320</v>
      </c>
      <c r="D821" s="217" t="s">
        <v>34</v>
      </c>
      <c r="E821" s="218">
        <v>45829</v>
      </c>
      <c r="F821" s="217" t="s">
        <v>65</v>
      </c>
      <c r="G821" s="217">
        <v>2</v>
      </c>
      <c r="H821" s="217" t="s">
        <v>46</v>
      </c>
      <c r="I821" s="217" t="s">
        <v>47</v>
      </c>
      <c r="J821" s="838" t="s">
        <v>29</v>
      </c>
      <c r="K821" s="217"/>
      <c r="L821" s="838"/>
      <c r="M821" s="838"/>
      <c r="N821" s="838"/>
      <c r="O821" s="838"/>
      <c r="P821" s="834" t="s">
        <v>30</v>
      </c>
      <c r="Q821" s="23">
        <v>45869</v>
      </c>
      <c r="R821" s="79" t="s">
        <v>28</v>
      </c>
      <c r="S821" s="22" t="s">
        <v>32</v>
      </c>
      <c r="T821" s="838">
        <v>2</v>
      </c>
      <c r="U821" s="838" t="s">
        <v>28</v>
      </c>
      <c r="V821" s="23">
        <v>45869</v>
      </c>
      <c r="W821" s="80" t="s">
        <v>30</v>
      </c>
      <c r="X821" s="83" t="s">
        <v>32</v>
      </c>
      <c r="Y821"/>
      <c r="Z821"/>
      <c r="AA821"/>
    </row>
    <row r="822" spans="1:28">
      <c r="A822" s="834" t="s">
        <v>24</v>
      </c>
      <c r="B822" s="835">
        <v>819</v>
      </c>
      <c r="C822" s="217" t="s">
        <v>1321</v>
      </c>
      <c r="D822" s="217" t="s">
        <v>34</v>
      </c>
      <c r="E822" s="218">
        <v>45829</v>
      </c>
      <c r="F822" s="217" t="s">
        <v>401</v>
      </c>
      <c r="G822" s="217">
        <v>24</v>
      </c>
      <c r="H822" s="217" t="s">
        <v>46</v>
      </c>
      <c r="I822" s="217" t="s">
        <v>47</v>
      </c>
      <c r="J822" s="838" t="s">
        <v>29</v>
      </c>
      <c r="K822" s="217"/>
      <c r="L822" s="89"/>
      <c r="M822" s="22"/>
      <c r="N822" s="23"/>
      <c r="O822" s="848" t="s">
        <v>31</v>
      </c>
      <c r="P822" s="23" t="s">
        <v>30</v>
      </c>
      <c r="Q822" s="23">
        <v>45869</v>
      </c>
      <c r="R822" s="79" t="s">
        <v>47</v>
      </c>
      <c r="S822" s="22" t="s">
        <v>32</v>
      </c>
      <c r="T822" s="22">
        <v>20</v>
      </c>
      <c r="U822" s="24" t="s">
        <v>47</v>
      </c>
      <c r="V822" s="23">
        <v>45869</v>
      </c>
      <c r="W822" s="80" t="s">
        <v>30</v>
      </c>
      <c r="X822" s="83" t="s">
        <v>32</v>
      </c>
      <c r="Y822"/>
      <c r="Z822"/>
      <c r="AA822"/>
    </row>
    <row r="823" spans="1:28">
      <c r="A823" s="834" t="s">
        <v>24</v>
      </c>
      <c r="B823" s="835">
        <v>820</v>
      </c>
      <c r="C823" s="217" t="s">
        <v>1322</v>
      </c>
      <c r="D823" s="217" t="s">
        <v>234</v>
      </c>
      <c r="E823" s="218">
        <v>45829</v>
      </c>
      <c r="F823" s="217" t="s">
        <v>65</v>
      </c>
      <c r="G823" s="217">
        <v>6</v>
      </c>
      <c r="H823" s="217" t="s">
        <v>46</v>
      </c>
      <c r="I823" s="217" t="s">
        <v>47</v>
      </c>
      <c r="J823" s="838" t="s">
        <v>29</v>
      </c>
      <c r="K823" s="217"/>
      <c r="L823" s="834"/>
      <c r="M823" s="22"/>
      <c r="N823" s="23"/>
      <c r="O823" s="848"/>
      <c r="P823" s="23" t="s">
        <v>30</v>
      </c>
      <c r="Q823" s="23">
        <v>45848</v>
      </c>
      <c r="R823" s="79" t="s">
        <v>1077</v>
      </c>
      <c r="S823" s="22" t="s">
        <v>32</v>
      </c>
      <c r="T823" s="22">
        <v>6</v>
      </c>
      <c r="U823" s="24" t="s">
        <v>1077</v>
      </c>
      <c r="V823" s="23">
        <v>45848</v>
      </c>
      <c r="W823" s="80" t="s">
        <v>30</v>
      </c>
      <c r="X823" s="99" t="s">
        <v>30</v>
      </c>
      <c r="Y823"/>
      <c r="Z823"/>
      <c r="AA823"/>
    </row>
    <row r="824" spans="1:28">
      <c r="A824" s="834" t="s">
        <v>24</v>
      </c>
      <c r="B824" s="835">
        <v>821</v>
      </c>
      <c r="C824" s="217" t="s">
        <v>1323</v>
      </c>
      <c r="D824" s="217" t="s">
        <v>234</v>
      </c>
      <c r="E824" s="218">
        <v>45829</v>
      </c>
      <c r="F824" s="217" t="s">
        <v>401</v>
      </c>
      <c r="G824" s="217">
        <v>7</v>
      </c>
      <c r="H824" s="217" t="s">
        <v>46</v>
      </c>
      <c r="I824" s="217" t="s">
        <v>47</v>
      </c>
      <c r="J824" s="838" t="s">
        <v>29</v>
      </c>
      <c r="K824" s="98"/>
      <c r="L824" s="838"/>
      <c r="M824" s="22"/>
      <c r="N824" s="23"/>
      <c r="O824" s="848"/>
      <c r="P824" s="23" t="s">
        <v>30</v>
      </c>
      <c r="Q824" s="23">
        <v>45896</v>
      </c>
      <c r="R824" s="79" t="s">
        <v>28</v>
      </c>
      <c r="S824" s="22" t="s">
        <v>32</v>
      </c>
      <c r="T824" s="229">
        <v>7</v>
      </c>
      <c r="U824" s="24" t="s">
        <v>28</v>
      </c>
      <c r="V824" s="23">
        <v>45896</v>
      </c>
      <c r="W824" s="80" t="s">
        <v>30</v>
      </c>
      <c r="X824" s="83" t="s">
        <v>32</v>
      </c>
      <c r="Y824"/>
      <c r="Z824"/>
      <c r="AA824"/>
    </row>
    <row r="825" spans="1:28">
      <c r="A825" s="834" t="s">
        <v>24</v>
      </c>
      <c r="B825" s="835">
        <v>822</v>
      </c>
      <c r="C825" s="217" t="s">
        <v>1324</v>
      </c>
      <c r="D825" s="217" t="s">
        <v>374</v>
      </c>
      <c r="E825" s="218">
        <v>45829</v>
      </c>
      <c r="F825" s="217" t="s">
        <v>1325</v>
      </c>
      <c r="G825" s="217">
        <v>30</v>
      </c>
      <c r="H825" s="217" t="s">
        <v>46</v>
      </c>
      <c r="I825" s="217" t="s">
        <v>47</v>
      </c>
      <c r="J825" s="838" t="s">
        <v>29</v>
      </c>
      <c r="K825" s="838"/>
      <c r="L825" s="21"/>
      <c r="M825" s="22"/>
      <c r="N825" s="23"/>
      <c r="O825" s="848" t="s">
        <v>31</v>
      </c>
      <c r="P825" s="848" t="s">
        <v>30</v>
      </c>
      <c r="Q825" s="23">
        <v>45868</v>
      </c>
      <c r="R825" s="79" t="s">
        <v>21</v>
      </c>
      <c r="S825" s="22" t="s">
        <v>32</v>
      </c>
      <c r="T825" s="22">
        <v>15</v>
      </c>
      <c r="U825" s="24" t="s">
        <v>21</v>
      </c>
      <c r="V825" s="23">
        <v>45868</v>
      </c>
      <c r="W825" s="80" t="s">
        <v>30</v>
      </c>
      <c r="X825" s="99" t="s">
        <v>30</v>
      </c>
      <c r="Y825"/>
      <c r="Z825"/>
      <c r="AA825"/>
    </row>
    <row r="826" spans="1:28">
      <c r="A826" s="834" t="s">
        <v>24</v>
      </c>
      <c r="B826" s="835">
        <v>823</v>
      </c>
      <c r="C826" s="217" t="s">
        <v>1326</v>
      </c>
      <c r="D826" s="217" t="s">
        <v>406</v>
      </c>
      <c r="E826" s="218">
        <v>45829</v>
      </c>
      <c r="F826" s="217" t="s">
        <v>1327</v>
      </c>
      <c r="G826" s="217">
        <v>15</v>
      </c>
      <c r="H826" s="217" t="s">
        <v>21</v>
      </c>
      <c r="I826" s="217" t="s">
        <v>127</v>
      </c>
      <c r="J826" s="838" t="s">
        <v>29</v>
      </c>
      <c r="K826" s="217" t="s">
        <v>1328</v>
      </c>
      <c r="L826" s="834"/>
      <c r="M826" s="22"/>
      <c r="N826" s="23"/>
      <c r="O826" s="848" t="s">
        <v>31</v>
      </c>
      <c r="P826" s="848" t="s">
        <v>30</v>
      </c>
      <c r="Q826" s="23">
        <v>45845</v>
      </c>
      <c r="R826" s="79" t="s">
        <v>127</v>
      </c>
      <c r="S826" s="22" t="s">
        <v>32</v>
      </c>
      <c r="T826" s="22">
        <v>15</v>
      </c>
      <c r="U826" s="24" t="s">
        <v>127</v>
      </c>
      <c r="V826" s="23">
        <v>45845</v>
      </c>
      <c r="W826" s="96" t="s">
        <v>30</v>
      </c>
      <c r="X826" s="83" t="s">
        <v>30</v>
      </c>
      <c r="Y826"/>
      <c r="Z826"/>
      <c r="AA826"/>
    </row>
    <row r="827" spans="1:28">
      <c r="A827" s="834" t="s">
        <v>24</v>
      </c>
      <c r="B827" s="835">
        <v>824</v>
      </c>
      <c r="C827" s="838" t="s">
        <v>1329</v>
      </c>
      <c r="D827" s="838" t="s">
        <v>50</v>
      </c>
      <c r="E827" s="839">
        <v>45829</v>
      </c>
      <c r="F827" s="217" t="s">
        <v>912</v>
      </c>
      <c r="G827" s="838">
        <v>13</v>
      </c>
      <c r="H827" s="838" t="s">
        <v>22</v>
      </c>
      <c r="I827" s="838" t="s">
        <v>28</v>
      </c>
      <c r="J827" s="838" t="s">
        <v>237</v>
      </c>
      <c r="K827" s="838" t="s">
        <v>1069</v>
      </c>
      <c r="L827" s="21"/>
      <c r="M827" s="22"/>
      <c r="N827" s="23"/>
      <c r="O827" s="848"/>
      <c r="P827" s="848" t="s">
        <v>30</v>
      </c>
      <c r="Q827" s="23">
        <v>45868</v>
      </c>
      <c r="R827" s="79" t="s">
        <v>1077</v>
      </c>
      <c r="S827" s="22" t="s">
        <v>32</v>
      </c>
      <c r="T827" s="22">
        <v>12</v>
      </c>
      <c r="U827" s="24" t="s">
        <v>1077</v>
      </c>
      <c r="V827" s="23">
        <v>45868</v>
      </c>
      <c r="W827" s="80" t="s">
        <v>30</v>
      </c>
      <c r="X827" s="83" t="s">
        <v>30</v>
      </c>
      <c r="Y827"/>
      <c r="Z827"/>
      <c r="AA827"/>
    </row>
    <row r="828" spans="1:28">
      <c r="A828" s="834" t="s">
        <v>24</v>
      </c>
      <c r="B828" s="835">
        <v>825</v>
      </c>
      <c r="C828" s="838" t="s">
        <v>1330</v>
      </c>
      <c r="D828" s="838" t="s">
        <v>34</v>
      </c>
      <c r="E828" s="839">
        <v>45829</v>
      </c>
      <c r="F828" s="838" t="s">
        <v>117</v>
      </c>
      <c r="G828" s="838">
        <v>4</v>
      </c>
      <c r="H828" s="838" t="s">
        <v>22</v>
      </c>
      <c r="I828" s="838" t="s">
        <v>28</v>
      </c>
      <c r="J828" s="838" t="s">
        <v>29</v>
      </c>
      <c r="K828" s="21"/>
      <c r="L828" s="838"/>
      <c r="M828" s="22"/>
      <c r="N828" s="23"/>
      <c r="O828" s="848"/>
      <c r="P828" s="848" t="s">
        <v>30</v>
      </c>
      <c r="Q828" s="23">
        <v>45847</v>
      </c>
      <c r="R828" s="79" t="s">
        <v>1138</v>
      </c>
      <c r="S828" s="22" t="s">
        <v>30</v>
      </c>
      <c r="T828" s="22">
        <v>3</v>
      </c>
      <c r="U828" s="24" t="s">
        <v>1138</v>
      </c>
      <c r="V828" s="23">
        <v>45847</v>
      </c>
      <c r="W828" s="80" t="s">
        <v>30</v>
      </c>
      <c r="X828" s="99" t="s">
        <v>30</v>
      </c>
      <c r="Y828"/>
      <c r="Z828" s="776"/>
      <c r="AA828" s="776"/>
      <c r="AB828" s="776"/>
    </row>
    <row r="829" spans="1:28">
      <c r="A829" s="834" t="s">
        <v>24</v>
      </c>
      <c r="B829" s="835">
        <v>826</v>
      </c>
      <c r="C829" s="838" t="s">
        <v>1331</v>
      </c>
      <c r="D829" s="838" t="s">
        <v>34</v>
      </c>
      <c r="E829" s="839">
        <v>45831</v>
      </c>
      <c r="F829" s="838" t="s">
        <v>187</v>
      </c>
      <c r="G829" s="838">
        <v>7</v>
      </c>
      <c r="H829" s="838" t="s">
        <v>21</v>
      </c>
      <c r="I829" s="838" t="s">
        <v>127</v>
      </c>
      <c r="J829" s="838" t="s">
        <v>29</v>
      </c>
      <c r="K829" s="89"/>
      <c r="L829" s="21"/>
      <c r="M829" s="22"/>
      <c r="N829" s="23"/>
      <c r="O829" s="848"/>
      <c r="P829" s="848" t="s">
        <v>30</v>
      </c>
      <c r="Q829" s="23">
        <v>45842</v>
      </c>
      <c r="R829" s="79" t="s">
        <v>28</v>
      </c>
      <c r="S829" s="22" t="s">
        <v>32</v>
      </c>
      <c r="T829" s="229">
        <v>7</v>
      </c>
      <c r="U829" s="24" t="s">
        <v>28</v>
      </c>
      <c r="V829" s="23">
        <v>45842</v>
      </c>
      <c r="W829" s="80" t="s">
        <v>30</v>
      </c>
      <c r="X829" s="83" t="s">
        <v>30</v>
      </c>
      <c r="Y829"/>
      <c r="Z829" s="776"/>
      <c r="AA829" s="776"/>
      <c r="AB829" s="776"/>
    </row>
    <row r="830" spans="1:28">
      <c r="A830" s="834" t="s">
        <v>24</v>
      </c>
      <c r="B830" s="835">
        <v>827</v>
      </c>
      <c r="C830" s="838" t="s">
        <v>1332</v>
      </c>
      <c r="D830" s="838" t="s">
        <v>109</v>
      </c>
      <c r="E830" s="839">
        <v>45831</v>
      </c>
      <c r="F830" s="838" t="s">
        <v>110</v>
      </c>
      <c r="G830" s="838">
        <v>11</v>
      </c>
      <c r="H830" s="838" t="s">
        <v>1333</v>
      </c>
      <c r="I830" s="838" t="s">
        <v>1334</v>
      </c>
      <c r="J830" s="838" t="s">
        <v>29</v>
      </c>
      <c r="K830" s="838" t="s">
        <v>113</v>
      </c>
      <c r="L830" s="834"/>
      <c r="M830" s="22"/>
      <c r="N830" s="23"/>
      <c r="O830" s="848"/>
      <c r="P830" s="23" t="s">
        <v>30</v>
      </c>
      <c r="Q830" s="23">
        <v>45850</v>
      </c>
      <c r="R830" s="79" t="s">
        <v>48</v>
      </c>
      <c r="S830" s="22" t="s">
        <v>32</v>
      </c>
      <c r="T830" s="22">
        <v>11</v>
      </c>
      <c r="U830" s="24" t="s">
        <v>48</v>
      </c>
      <c r="V830" s="23">
        <v>45850</v>
      </c>
      <c r="W830" s="91" t="s">
        <v>113</v>
      </c>
      <c r="X830" s="228"/>
      <c r="Y830"/>
      <c r="Z830" s="776"/>
      <c r="AA830" s="776"/>
      <c r="AB830" s="776"/>
    </row>
    <row r="831" spans="1:28">
      <c r="A831" s="834" t="s">
        <v>24</v>
      </c>
      <c r="B831" s="835">
        <v>828</v>
      </c>
      <c r="C831" s="838" t="s">
        <v>1335</v>
      </c>
      <c r="D831" s="838" t="s">
        <v>477</v>
      </c>
      <c r="E831" s="839">
        <v>45834</v>
      </c>
      <c r="F831" s="838" t="s">
        <v>1336</v>
      </c>
      <c r="G831" s="838">
        <v>16</v>
      </c>
      <c r="H831" s="838" t="s">
        <v>22</v>
      </c>
      <c r="I831" s="838" t="s">
        <v>28</v>
      </c>
      <c r="J831" s="838" t="s">
        <v>29</v>
      </c>
      <c r="K831" s="838" t="s">
        <v>1337</v>
      </c>
      <c r="L831" s="21"/>
      <c r="M831" s="22"/>
      <c r="N831" s="23"/>
      <c r="O831" s="848" t="s">
        <v>31</v>
      </c>
      <c r="P831" s="23" t="s">
        <v>30</v>
      </c>
      <c r="Q831" s="23">
        <v>45869</v>
      </c>
      <c r="R831" s="79" t="s">
        <v>21</v>
      </c>
      <c r="S831" s="22" t="s">
        <v>32</v>
      </c>
      <c r="T831" s="22">
        <v>15</v>
      </c>
      <c r="U831" s="24" t="s">
        <v>21</v>
      </c>
      <c r="V831" s="23">
        <v>45869</v>
      </c>
      <c r="W831" s="91" t="s">
        <v>32</v>
      </c>
      <c r="X831" s="83" t="s">
        <v>32</v>
      </c>
      <c r="Y831"/>
      <c r="Z831" s="776"/>
      <c r="AA831" s="776"/>
      <c r="AB831" s="776"/>
    </row>
    <row r="832" spans="1:28">
      <c r="A832" s="834" t="s">
        <v>24</v>
      </c>
      <c r="B832" s="835">
        <v>829</v>
      </c>
      <c r="C832" s="838" t="s">
        <v>1338</v>
      </c>
      <c r="D832" s="838" t="s">
        <v>43</v>
      </c>
      <c r="E832" s="839">
        <v>45835</v>
      </c>
      <c r="F832" s="838" t="s">
        <v>1339</v>
      </c>
      <c r="G832" s="838">
        <v>8</v>
      </c>
      <c r="H832" s="838" t="s">
        <v>21</v>
      </c>
      <c r="I832" s="838" t="s">
        <v>127</v>
      </c>
      <c r="J832" s="838" t="s">
        <v>29</v>
      </c>
      <c r="K832" s="21"/>
      <c r="L832" s="21"/>
      <c r="M832" s="22"/>
      <c r="N832" s="23"/>
      <c r="O832" s="848"/>
      <c r="P832" s="23" t="s">
        <v>30</v>
      </c>
      <c r="Q832" s="23">
        <v>45847</v>
      </c>
      <c r="R832" s="79" t="s">
        <v>127</v>
      </c>
      <c r="S832" s="22" t="s">
        <v>32</v>
      </c>
      <c r="T832" s="22">
        <v>8</v>
      </c>
      <c r="U832" s="22" t="s">
        <v>127</v>
      </c>
      <c r="V832" s="23">
        <v>45847</v>
      </c>
      <c r="W832" s="80" t="s">
        <v>30</v>
      </c>
      <c r="X832" s="83" t="s">
        <v>30</v>
      </c>
      <c r="Y832"/>
      <c r="Z832" s="776"/>
      <c r="AA832" s="776"/>
      <c r="AB832" s="776"/>
    </row>
    <row r="833" spans="1:31">
      <c r="A833" s="834" t="s">
        <v>24</v>
      </c>
      <c r="B833" s="835">
        <v>830</v>
      </c>
      <c r="C833" s="838" t="s">
        <v>1340</v>
      </c>
      <c r="D833" s="838" t="s">
        <v>57</v>
      </c>
      <c r="E833" s="839">
        <v>45835</v>
      </c>
      <c r="F833" s="838" t="s">
        <v>395</v>
      </c>
      <c r="G833" s="838">
        <v>14</v>
      </c>
      <c r="H833" s="838" t="s">
        <v>22</v>
      </c>
      <c r="I833" s="838" t="s">
        <v>28</v>
      </c>
      <c r="J833" s="838" t="s">
        <v>29</v>
      </c>
      <c r="K833" s="838" t="s">
        <v>1337</v>
      </c>
      <c r="L833" s="21"/>
      <c r="M833" s="22"/>
      <c r="N833" s="23"/>
      <c r="O833" s="848"/>
      <c r="P833" s="23" t="s">
        <v>30</v>
      </c>
      <c r="Q833" s="23">
        <v>45869</v>
      </c>
      <c r="R833" s="79" t="s">
        <v>21</v>
      </c>
      <c r="S833" s="22" t="s">
        <v>32</v>
      </c>
      <c r="T833" s="22">
        <v>12</v>
      </c>
      <c r="U833" s="24" t="s">
        <v>21</v>
      </c>
      <c r="V833" s="23">
        <v>45869</v>
      </c>
      <c r="W833" s="91" t="s">
        <v>32</v>
      </c>
      <c r="X833" s="83" t="s">
        <v>30</v>
      </c>
      <c r="Y833"/>
      <c r="Z833" s="776"/>
      <c r="AA833" s="776"/>
      <c r="AB833" s="776"/>
    </row>
    <row r="834" spans="1:31">
      <c r="A834" s="834" t="s">
        <v>24</v>
      </c>
      <c r="B834" s="835">
        <v>831</v>
      </c>
      <c r="C834" s="838" t="s">
        <v>1341</v>
      </c>
      <c r="D834" s="838" t="s">
        <v>34</v>
      </c>
      <c r="E834" s="839">
        <v>45836</v>
      </c>
      <c r="F834" s="838" t="s">
        <v>1342</v>
      </c>
      <c r="G834" s="838">
        <v>10</v>
      </c>
      <c r="H834" s="842" t="s">
        <v>21</v>
      </c>
      <c r="I834" s="838" t="s">
        <v>127</v>
      </c>
      <c r="J834" s="838" t="s">
        <v>29</v>
      </c>
      <c r="K834" s="231" t="s">
        <v>273</v>
      </c>
      <c r="L834" s="21"/>
      <c r="M834" s="22"/>
      <c r="N834" s="23"/>
      <c r="O834" s="848"/>
      <c r="P834" s="848" t="s">
        <v>30</v>
      </c>
      <c r="Q834" s="23">
        <v>45845</v>
      </c>
      <c r="R834" s="79" t="s">
        <v>28</v>
      </c>
      <c r="S834" s="22" t="s">
        <v>32</v>
      </c>
      <c r="T834" s="22">
        <v>10</v>
      </c>
      <c r="U834" s="24" t="s">
        <v>28</v>
      </c>
      <c r="V834" s="23">
        <v>45845</v>
      </c>
      <c r="W834" s="80" t="s">
        <v>30</v>
      </c>
      <c r="X834" s="83" t="s">
        <v>30</v>
      </c>
      <c r="Y834"/>
      <c r="Z834" s="776"/>
      <c r="AA834" s="776"/>
      <c r="AB834" s="776"/>
    </row>
    <row r="835" spans="1:31">
      <c r="A835" s="834" t="s">
        <v>24</v>
      </c>
      <c r="B835" s="835">
        <v>832</v>
      </c>
      <c r="C835" s="838" t="s">
        <v>1343</v>
      </c>
      <c r="D835" s="838" t="s">
        <v>43</v>
      </c>
      <c r="E835" s="839">
        <v>45836</v>
      </c>
      <c r="F835" s="838" t="s">
        <v>435</v>
      </c>
      <c r="G835" s="838">
        <v>28</v>
      </c>
      <c r="H835" s="842" t="s">
        <v>21</v>
      </c>
      <c r="I835" s="838" t="s">
        <v>127</v>
      </c>
      <c r="J835" s="838" t="s">
        <v>29</v>
      </c>
      <c r="K835" s="21"/>
      <c r="L835" s="21"/>
      <c r="M835" s="22"/>
      <c r="N835" s="23"/>
      <c r="O835" s="848" t="s">
        <v>31</v>
      </c>
      <c r="P835" s="848" t="s">
        <v>1057</v>
      </c>
      <c r="Q835" s="23">
        <v>45845</v>
      </c>
      <c r="R835" s="79" t="s">
        <v>127</v>
      </c>
      <c r="S835" s="22" t="s">
        <v>32</v>
      </c>
      <c r="T835" s="22">
        <v>28</v>
      </c>
      <c r="U835" s="24" t="s">
        <v>127</v>
      </c>
      <c r="V835" s="23">
        <v>45845</v>
      </c>
      <c r="W835" s="80" t="s">
        <v>30</v>
      </c>
      <c r="X835" s="83" t="s">
        <v>30</v>
      </c>
      <c r="Y835"/>
      <c r="Z835" s="776"/>
      <c r="AA835" s="776"/>
      <c r="AB835" s="776"/>
    </row>
    <row r="836" spans="1:31">
      <c r="A836" s="834" t="s">
        <v>24</v>
      </c>
      <c r="B836" s="835">
        <v>833</v>
      </c>
      <c r="C836" s="838" t="s">
        <v>1344</v>
      </c>
      <c r="D836" s="838" t="s">
        <v>83</v>
      </c>
      <c r="E836" s="839">
        <v>45836</v>
      </c>
      <c r="F836" s="838" t="s">
        <v>1345</v>
      </c>
      <c r="G836" s="838">
        <v>7</v>
      </c>
      <c r="H836" s="838" t="s">
        <v>21</v>
      </c>
      <c r="I836" s="838" t="s">
        <v>127</v>
      </c>
      <c r="J836" s="838" t="s">
        <v>29</v>
      </c>
      <c r="K836" s="98" t="s">
        <v>1317</v>
      </c>
      <c r="L836" s="89"/>
      <c r="M836" s="22"/>
      <c r="N836" s="23"/>
      <c r="O836" s="848"/>
      <c r="P836" s="23"/>
      <c r="Q836" s="23"/>
      <c r="R836" s="79" t="s">
        <v>48</v>
      </c>
      <c r="S836" s="22"/>
      <c r="T836" s="22"/>
      <c r="U836" s="24" t="s">
        <v>48</v>
      </c>
      <c r="V836" s="23"/>
      <c r="W836" s="91" t="s">
        <v>32</v>
      </c>
      <c r="X836" s="83"/>
      <c r="Y836"/>
      <c r="Z836" s="776"/>
      <c r="AA836" s="776"/>
      <c r="AB836" s="776"/>
    </row>
    <row r="837" spans="1:31">
      <c r="A837" s="834" t="s">
        <v>24</v>
      </c>
      <c r="B837" s="835">
        <v>834</v>
      </c>
      <c r="C837" s="838" t="s">
        <v>1346</v>
      </c>
      <c r="D837" s="838" t="s">
        <v>34</v>
      </c>
      <c r="E837" s="839">
        <v>45836</v>
      </c>
      <c r="F837" s="838" t="s">
        <v>401</v>
      </c>
      <c r="G837" s="838">
        <v>7</v>
      </c>
      <c r="H837" s="842" t="s">
        <v>21</v>
      </c>
      <c r="I837" s="838" t="s">
        <v>127</v>
      </c>
      <c r="J837" s="838" t="s">
        <v>29</v>
      </c>
      <c r="K837" s="98" t="s">
        <v>1317</v>
      </c>
      <c r="L837" s="21"/>
      <c r="M837" s="22"/>
      <c r="N837" s="23"/>
      <c r="O837" s="848"/>
      <c r="P837" s="23"/>
      <c r="Q837" s="23"/>
      <c r="R837" s="79" t="s">
        <v>48</v>
      </c>
      <c r="S837" s="22"/>
      <c r="T837" s="22"/>
      <c r="U837" s="24" t="s">
        <v>48</v>
      </c>
      <c r="V837" s="23"/>
      <c r="W837" s="91" t="s">
        <v>32</v>
      </c>
      <c r="X837" s="83"/>
      <c r="Y837"/>
      <c r="Z837"/>
      <c r="AA837"/>
    </row>
    <row r="838" spans="1:31">
      <c r="A838" s="834" t="s">
        <v>24</v>
      </c>
      <c r="B838" s="835">
        <v>835</v>
      </c>
      <c r="C838" s="838" t="s">
        <v>1347</v>
      </c>
      <c r="D838" s="838" t="s">
        <v>34</v>
      </c>
      <c r="E838" s="839">
        <v>45836</v>
      </c>
      <c r="F838" s="838" t="s">
        <v>1348</v>
      </c>
      <c r="G838" s="838">
        <v>12</v>
      </c>
      <c r="H838" s="842" t="s">
        <v>21</v>
      </c>
      <c r="I838" s="838" t="s">
        <v>127</v>
      </c>
      <c r="J838" s="838" t="s">
        <v>29</v>
      </c>
      <c r="K838" s="89"/>
      <c r="L838" s="21"/>
      <c r="M838" s="22"/>
      <c r="N838" s="23"/>
      <c r="O838" s="848"/>
      <c r="P838" s="23" t="s">
        <v>30</v>
      </c>
      <c r="Q838" s="23">
        <v>45842</v>
      </c>
      <c r="R838" s="79" t="s">
        <v>28</v>
      </c>
      <c r="S838" s="22" t="s">
        <v>32</v>
      </c>
      <c r="T838" s="22">
        <v>11</v>
      </c>
      <c r="U838" s="23" t="s">
        <v>28</v>
      </c>
      <c r="V838" s="23">
        <v>45842</v>
      </c>
      <c r="W838" s="80" t="s">
        <v>30</v>
      </c>
      <c r="X838" s="83" t="s">
        <v>30</v>
      </c>
      <c r="Y838"/>
      <c r="Z838"/>
      <c r="AA838"/>
    </row>
    <row r="839" spans="1:31">
      <c r="A839" s="834" t="s">
        <v>24</v>
      </c>
      <c r="B839" s="835">
        <v>836</v>
      </c>
      <c r="C839" s="838" t="s">
        <v>1349</v>
      </c>
      <c r="D839" s="838" t="s">
        <v>99</v>
      </c>
      <c r="E839" s="839">
        <v>45836</v>
      </c>
      <c r="F839" s="838" t="s">
        <v>931</v>
      </c>
      <c r="G839" s="838">
        <v>15</v>
      </c>
      <c r="H839" s="842" t="s">
        <v>21</v>
      </c>
      <c r="I839" s="838" t="s">
        <v>127</v>
      </c>
      <c r="J839" s="838" t="s">
        <v>29</v>
      </c>
      <c r="K839" s="89"/>
      <c r="L839" s="21"/>
      <c r="M839" s="22"/>
      <c r="N839" s="23"/>
      <c r="O839" s="848" t="s">
        <v>31</v>
      </c>
      <c r="P839" s="23" t="s">
        <v>30</v>
      </c>
      <c r="Q839" s="23">
        <v>45840</v>
      </c>
      <c r="R839" s="79" t="s">
        <v>28</v>
      </c>
      <c r="S839" s="22" t="s">
        <v>32</v>
      </c>
      <c r="T839" s="22">
        <v>13</v>
      </c>
      <c r="U839" s="24" t="s">
        <v>28</v>
      </c>
      <c r="V839" s="23">
        <v>45840</v>
      </c>
      <c r="W839" s="80" t="s">
        <v>30</v>
      </c>
      <c r="X839" s="83" t="s">
        <v>30</v>
      </c>
      <c r="Y839"/>
      <c r="Z839"/>
      <c r="AA839"/>
    </row>
    <row r="840" spans="1:31">
      <c r="A840" s="834" t="s">
        <v>24</v>
      </c>
      <c r="B840" s="835">
        <v>837</v>
      </c>
      <c r="C840" s="838" t="s">
        <v>1350</v>
      </c>
      <c r="D840" s="838" t="s">
        <v>34</v>
      </c>
      <c r="E840" s="839">
        <v>45836</v>
      </c>
      <c r="F840" s="838" t="s">
        <v>187</v>
      </c>
      <c r="G840" s="838">
        <v>12</v>
      </c>
      <c r="H840" s="842" t="s">
        <v>21</v>
      </c>
      <c r="I840" s="838" t="s">
        <v>127</v>
      </c>
      <c r="J840" s="838" t="s">
        <v>29</v>
      </c>
      <c r="K840" s="231"/>
      <c r="L840" s="21"/>
      <c r="M840" s="22"/>
      <c r="N840" s="23"/>
      <c r="O840" s="848"/>
      <c r="P840" s="23" t="s">
        <v>30</v>
      </c>
      <c r="Q840" s="23">
        <v>45842</v>
      </c>
      <c r="R840" s="79" t="s">
        <v>28</v>
      </c>
      <c r="S840" s="22" t="s">
        <v>32</v>
      </c>
      <c r="T840" s="22">
        <v>12</v>
      </c>
      <c r="U840" s="24" t="s">
        <v>28</v>
      </c>
      <c r="V840" s="23">
        <v>45842</v>
      </c>
      <c r="W840" s="80" t="s">
        <v>30</v>
      </c>
      <c r="X840" s="83" t="s">
        <v>30</v>
      </c>
      <c r="Y840"/>
      <c r="Z840"/>
      <c r="AA840"/>
    </row>
    <row r="841" spans="1:31">
      <c r="A841" s="834" t="s">
        <v>24</v>
      </c>
      <c r="B841" s="835">
        <v>838</v>
      </c>
      <c r="C841" s="838" t="s">
        <v>1351</v>
      </c>
      <c r="D841" s="838" t="s">
        <v>34</v>
      </c>
      <c r="E841" s="839">
        <v>45836</v>
      </c>
      <c r="F841" s="838" t="s">
        <v>1352</v>
      </c>
      <c r="G841" s="838">
        <v>11</v>
      </c>
      <c r="H841" s="842" t="s">
        <v>21</v>
      </c>
      <c r="I841" s="838" t="s">
        <v>127</v>
      </c>
      <c r="J841" s="838" t="s">
        <v>29</v>
      </c>
      <c r="K841" s="231" t="s">
        <v>1353</v>
      </c>
      <c r="L841" s="834"/>
      <c r="M841" s="22"/>
      <c r="N841" s="23"/>
      <c r="O841" s="848"/>
      <c r="P841" s="23" t="s">
        <v>30</v>
      </c>
      <c r="Q841" s="23">
        <v>45847</v>
      </c>
      <c r="R841" s="79" t="s">
        <v>28</v>
      </c>
      <c r="S841" s="22" t="s">
        <v>32</v>
      </c>
      <c r="T841" s="22">
        <v>10</v>
      </c>
      <c r="U841" s="22" t="s">
        <v>28</v>
      </c>
      <c r="V841" s="23">
        <v>45847</v>
      </c>
      <c r="W841" s="91" t="s">
        <v>32</v>
      </c>
      <c r="X841" s="83" t="s">
        <v>30</v>
      </c>
      <c r="Y841"/>
      <c r="Z841"/>
      <c r="AA841"/>
    </row>
    <row r="842" spans="1:31">
      <c r="A842" s="834" t="s">
        <v>24</v>
      </c>
      <c r="B842" s="835">
        <v>839</v>
      </c>
      <c r="C842" s="838" t="s">
        <v>1354</v>
      </c>
      <c r="D842" s="838" t="s">
        <v>26</v>
      </c>
      <c r="E842" s="839">
        <v>45836</v>
      </c>
      <c r="F842" s="838" t="s">
        <v>701</v>
      </c>
      <c r="G842" s="838">
        <v>16</v>
      </c>
      <c r="H842" s="842" t="s">
        <v>22</v>
      </c>
      <c r="I842" s="838" t="s">
        <v>28</v>
      </c>
      <c r="J842" s="838" t="s">
        <v>29</v>
      </c>
      <c r="K842" s="21"/>
      <c r="L842" s="834"/>
      <c r="M842" s="22"/>
      <c r="N842" s="23"/>
      <c r="O842" s="848" t="s">
        <v>31</v>
      </c>
      <c r="P842" s="23" t="s">
        <v>30</v>
      </c>
      <c r="Q842" s="23">
        <v>45845</v>
      </c>
      <c r="R842" s="79" t="s">
        <v>1138</v>
      </c>
      <c r="S842" s="22" t="s">
        <v>32</v>
      </c>
      <c r="T842" s="22">
        <v>16</v>
      </c>
      <c r="U842" s="24" t="s">
        <v>1138</v>
      </c>
      <c r="V842" s="23">
        <v>45845</v>
      </c>
      <c r="W842" s="80" t="s">
        <v>30</v>
      </c>
      <c r="X842" s="99" t="s">
        <v>30</v>
      </c>
      <c r="Y842"/>
      <c r="Z842"/>
      <c r="AA842"/>
    </row>
    <row r="843" spans="1:31">
      <c r="A843" s="834" t="s">
        <v>24</v>
      </c>
      <c r="B843" s="835">
        <v>840</v>
      </c>
      <c r="C843" s="838" t="s">
        <v>1355</v>
      </c>
      <c r="D843" s="838" t="s">
        <v>43</v>
      </c>
      <c r="E843" s="839">
        <v>45836</v>
      </c>
      <c r="F843" s="838" t="s">
        <v>1356</v>
      </c>
      <c r="G843" s="838">
        <v>8</v>
      </c>
      <c r="H843" s="842" t="s">
        <v>22</v>
      </c>
      <c r="I843" s="838" t="s">
        <v>28</v>
      </c>
      <c r="J843" s="838" t="s">
        <v>29</v>
      </c>
      <c r="K843" s="98"/>
      <c r="L843" s="21"/>
      <c r="M843" s="22"/>
      <c r="N843" s="23"/>
      <c r="O843" s="848"/>
      <c r="P843" s="23" t="s">
        <v>30</v>
      </c>
      <c r="Q843" s="23">
        <v>45847</v>
      </c>
      <c r="R843" s="79" t="s">
        <v>28</v>
      </c>
      <c r="S843" s="22" t="s">
        <v>32</v>
      </c>
      <c r="T843" s="22">
        <v>8</v>
      </c>
      <c r="U843" s="24" t="s">
        <v>28</v>
      </c>
      <c r="V843" s="23">
        <v>45847</v>
      </c>
      <c r="W843" s="80" t="s">
        <v>30</v>
      </c>
      <c r="X843" s="83" t="s">
        <v>30</v>
      </c>
      <c r="Y843"/>
      <c r="Z843"/>
      <c r="AA843"/>
    </row>
    <row r="844" spans="1:31">
      <c r="A844" s="834" t="s">
        <v>24</v>
      </c>
      <c r="B844" s="835">
        <v>841</v>
      </c>
      <c r="C844" s="838" t="s">
        <v>1357</v>
      </c>
      <c r="D844" s="838" t="s">
        <v>34</v>
      </c>
      <c r="E844" s="839">
        <v>45836</v>
      </c>
      <c r="F844" s="838" t="s">
        <v>1314</v>
      </c>
      <c r="G844" s="838">
        <v>12</v>
      </c>
      <c r="H844" s="842" t="s">
        <v>46</v>
      </c>
      <c r="I844" s="838" t="s">
        <v>47</v>
      </c>
      <c r="J844" s="838" t="s">
        <v>29</v>
      </c>
      <c r="K844" s="89"/>
      <c r="L844" s="21"/>
      <c r="M844" s="22"/>
      <c r="N844" s="23"/>
      <c r="O844" s="848"/>
      <c r="P844" s="23" t="s">
        <v>32</v>
      </c>
      <c r="Q844" s="23">
        <v>45860</v>
      </c>
      <c r="R844" s="79" t="s">
        <v>47</v>
      </c>
      <c r="S844" s="22" t="s">
        <v>30</v>
      </c>
      <c r="T844" s="22">
        <v>12</v>
      </c>
      <c r="U844" s="24" t="s">
        <v>47</v>
      </c>
      <c r="V844" s="23">
        <v>45860</v>
      </c>
      <c r="W844" s="80" t="s">
        <v>30</v>
      </c>
      <c r="X844" s="83" t="s">
        <v>30</v>
      </c>
      <c r="Y844"/>
      <c r="Z844"/>
      <c r="AA844"/>
    </row>
    <row r="845" spans="1:31">
      <c r="A845" s="834" t="s">
        <v>24</v>
      </c>
      <c r="B845" s="835">
        <v>842</v>
      </c>
      <c r="C845" s="838" t="s">
        <v>1358</v>
      </c>
      <c r="D845" s="838" t="s">
        <v>234</v>
      </c>
      <c r="E845" s="839">
        <v>45836</v>
      </c>
      <c r="F845" s="838" t="s">
        <v>401</v>
      </c>
      <c r="G845" s="838">
        <v>2</v>
      </c>
      <c r="H845" s="842" t="s">
        <v>46</v>
      </c>
      <c r="I845" s="838" t="s">
        <v>47</v>
      </c>
      <c r="J845" s="838" t="s">
        <v>29</v>
      </c>
      <c r="K845" s="21"/>
      <c r="L845" s="21"/>
      <c r="M845" s="22"/>
      <c r="N845" s="23"/>
      <c r="O845" s="848"/>
      <c r="P845" s="23" t="s">
        <v>30</v>
      </c>
      <c r="Q845" s="23">
        <v>45869</v>
      </c>
      <c r="R845" s="79" t="s">
        <v>28</v>
      </c>
      <c r="S845" s="22" t="s">
        <v>32</v>
      </c>
      <c r="T845" s="22">
        <v>1</v>
      </c>
      <c r="U845" s="24" t="s">
        <v>28</v>
      </c>
      <c r="V845" s="23">
        <v>45869</v>
      </c>
      <c r="W845" s="80" t="s">
        <v>30</v>
      </c>
      <c r="X845" s="99" t="s">
        <v>30</v>
      </c>
      <c r="Y845"/>
      <c r="Z845" s="776"/>
      <c r="AA845" s="776"/>
      <c r="AB845" s="776"/>
    </row>
    <row r="846" spans="1:31">
      <c r="A846" s="834" t="s">
        <v>24</v>
      </c>
      <c r="B846" s="835">
        <v>843</v>
      </c>
      <c r="C846" s="838" t="s">
        <v>1359</v>
      </c>
      <c r="D846" s="838" t="s">
        <v>34</v>
      </c>
      <c r="E846" s="839">
        <v>45836</v>
      </c>
      <c r="F846" s="838" t="s">
        <v>65</v>
      </c>
      <c r="G846" s="838">
        <v>13</v>
      </c>
      <c r="H846" s="842" t="s">
        <v>1077</v>
      </c>
      <c r="I846" s="838" t="s">
        <v>1138</v>
      </c>
      <c r="J846" s="838" t="s">
        <v>29</v>
      </c>
      <c r="K846" s="231" t="s">
        <v>1156</v>
      </c>
      <c r="L846" s="21"/>
      <c r="M846" s="22"/>
      <c r="N846" s="23"/>
      <c r="O846" s="848"/>
      <c r="P846" s="23" t="s">
        <v>30</v>
      </c>
      <c r="Q846" s="23">
        <v>45848</v>
      </c>
      <c r="R846" s="79" t="s">
        <v>127</v>
      </c>
      <c r="S846" s="22" t="s">
        <v>32</v>
      </c>
      <c r="T846" s="22">
        <v>13</v>
      </c>
      <c r="U846" s="24" t="s">
        <v>127</v>
      </c>
      <c r="V846" s="23">
        <v>45848</v>
      </c>
      <c r="W846" s="80" t="s">
        <v>30</v>
      </c>
      <c r="X846" s="99" t="s">
        <v>30</v>
      </c>
      <c r="Y846"/>
      <c r="Z846"/>
      <c r="AA846"/>
    </row>
    <row r="847" spans="1:31">
      <c r="A847" s="834" t="s">
        <v>24</v>
      </c>
      <c r="B847" s="835">
        <v>844</v>
      </c>
      <c r="C847" s="227" t="s">
        <v>1360</v>
      </c>
      <c r="D847" s="227" t="s">
        <v>50</v>
      </c>
      <c r="E847" s="226">
        <v>45838</v>
      </c>
      <c r="F847" s="838" t="s">
        <v>1298</v>
      </c>
      <c r="G847" s="227">
        <v>12</v>
      </c>
      <c r="H847" s="227" t="s">
        <v>21</v>
      </c>
      <c r="I847" s="227" t="s">
        <v>127</v>
      </c>
      <c r="J847" s="838" t="s">
        <v>29</v>
      </c>
      <c r="K847" s="838" t="s">
        <v>238</v>
      </c>
      <c r="L847" s="21"/>
      <c r="M847" s="22"/>
      <c r="N847" s="23"/>
      <c r="O847" s="23"/>
      <c r="P847" s="23" t="s">
        <v>30</v>
      </c>
      <c r="Q847" s="23">
        <v>45842</v>
      </c>
      <c r="R847" s="79" t="s">
        <v>28</v>
      </c>
      <c r="S847" s="22" t="s">
        <v>32</v>
      </c>
      <c r="T847" s="22">
        <v>12</v>
      </c>
      <c r="U847" s="24" t="s">
        <v>28</v>
      </c>
      <c r="V847" s="23">
        <v>45842</v>
      </c>
      <c r="W847" s="91" t="s">
        <v>32</v>
      </c>
      <c r="X847" s="83" t="s">
        <v>30</v>
      </c>
      <c r="Y847" s="87"/>
      <c r="Z847" s="84"/>
      <c r="AA847" s="88"/>
      <c r="AB847" s="84"/>
      <c r="AC847" s="71"/>
      <c r="AD847" s="71"/>
      <c r="AE847" s="71"/>
    </row>
    <row r="848" spans="1:31">
      <c r="A848" s="834" t="s">
        <v>24</v>
      </c>
      <c r="B848" s="835">
        <v>845</v>
      </c>
      <c r="C848" s="227" t="s">
        <v>1361</v>
      </c>
      <c r="D848" s="227" t="s">
        <v>1362</v>
      </c>
      <c r="E848" s="226">
        <v>45838</v>
      </c>
      <c r="F848" s="838" t="s">
        <v>167</v>
      </c>
      <c r="G848" s="227">
        <v>14</v>
      </c>
      <c r="H848" s="227" t="s">
        <v>21</v>
      </c>
      <c r="I848" s="227" t="s">
        <v>127</v>
      </c>
      <c r="J848" s="838" t="s">
        <v>237</v>
      </c>
      <c r="K848" s="98" t="s">
        <v>1317</v>
      </c>
      <c r="L848" s="21"/>
      <c r="M848" s="22"/>
      <c r="N848" s="23"/>
      <c r="O848" s="23"/>
      <c r="P848" s="23"/>
      <c r="Q848" s="23"/>
      <c r="R848" s="79" t="s">
        <v>28</v>
      </c>
      <c r="S848" s="22"/>
      <c r="T848" s="22"/>
      <c r="U848" s="24" t="s">
        <v>28</v>
      </c>
      <c r="V848" s="23"/>
      <c r="W848" s="91" t="s">
        <v>32</v>
      </c>
      <c r="X848" s="83"/>
      <c r="Y848"/>
      <c r="Z848"/>
      <c r="AA848"/>
    </row>
    <row r="849" spans="1:31">
      <c r="A849" s="834" t="s">
        <v>137</v>
      </c>
      <c r="B849" s="835">
        <v>846</v>
      </c>
      <c r="C849" s="838" t="s">
        <v>1281</v>
      </c>
      <c r="D849" s="834" t="s">
        <v>1363</v>
      </c>
      <c r="E849" s="839">
        <v>45810.375</v>
      </c>
      <c r="F849" s="838" t="s">
        <v>140</v>
      </c>
      <c r="G849" s="838">
        <v>30</v>
      </c>
      <c r="H849" s="838" t="s">
        <v>1077</v>
      </c>
      <c r="I849" s="838" t="s">
        <v>1138</v>
      </c>
      <c r="J849" s="838"/>
      <c r="K849" s="21"/>
      <c r="L849" s="21"/>
      <c r="M849" s="22"/>
      <c r="N849" s="23"/>
      <c r="O849" s="23"/>
      <c r="P849" s="23" t="s">
        <v>30</v>
      </c>
      <c r="Q849" s="23">
        <v>45832</v>
      </c>
      <c r="R849" s="79" t="s">
        <v>67</v>
      </c>
      <c r="S849" s="22" t="s">
        <v>32</v>
      </c>
      <c r="T849" s="229">
        <v>30</v>
      </c>
      <c r="U849" s="24" t="s">
        <v>67</v>
      </c>
      <c r="V849" s="23">
        <v>45832</v>
      </c>
      <c r="W849" s="80"/>
      <c r="X849" s="83"/>
      <c r="Y849"/>
      <c r="Z849"/>
      <c r="AA849"/>
      <c r="AB849" s="84"/>
      <c r="AC849" s="71"/>
      <c r="AD849" s="71"/>
      <c r="AE849" s="71"/>
    </row>
    <row r="850" spans="1:31">
      <c r="A850" s="834" t="s">
        <v>137</v>
      </c>
      <c r="B850" s="835">
        <v>847</v>
      </c>
      <c r="C850" s="838" t="s">
        <v>1364</v>
      </c>
      <c r="D850" s="834" t="s">
        <v>221</v>
      </c>
      <c r="E850" s="839">
        <v>45810.375</v>
      </c>
      <c r="F850" s="838" t="s">
        <v>140</v>
      </c>
      <c r="G850" s="838">
        <v>10</v>
      </c>
      <c r="H850" s="838" t="s">
        <v>22</v>
      </c>
      <c r="I850" s="838" t="s">
        <v>28</v>
      </c>
      <c r="J850" s="838"/>
      <c r="K850" s="21"/>
      <c r="L850" s="21"/>
      <c r="M850" s="22"/>
      <c r="N850" s="23"/>
      <c r="O850" s="23"/>
      <c r="P850" s="23" t="s">
        <v>30</v>
      </c>
      <c r="Q850" s="23">
        <v>45820</v>
      </c>
      <c r="R850" s="79" t="s">
        <v>67</v>
      </c>
      <c r="S850" s="22" t="s">
        <v>32</v>
      </c>
      <c r="T850" s="229">
        <v>10</v>
      </c>
      <c r="U850" s="24" t="s">
        <v>67</v>
      </c>
      <c r="V850" s="23">
        <v>45820</v>
      </c>
      <c r="W850" s="80"/>
      <c r="X850" s="83"/>
      <c r="Y850"/>
      <c r="Z850"/>
      <c r="AA850"/>
    </row>
    <row r="851" spans="1:31">
      <c r="A851" s="834" t="s">
        <v>137</v>
      </c>
      <c r="B851" s="835">
        <v>848</v>
      </c>
      <c r="C851" s="838" t="s">
        <v>1365</v>
      </c>
      <c r="D851" s="834" t="s">
        <v>1366</v>
      </c>
      <c r="E851" s="839">
        <v>45810.083333333336</v>
      </c>
      <c r="F851" s="838" t="s">
        <v>140</v>
      </c>
      <c r="G851" s="838">
        <v>6</v>
      </c>
      <c r="H851" s="838" t="s">
        <v>21</v>
      </c>
      <c r="I851" s="838" t="s">
        <v>127</v>
      </c>
      <c r="J851" s="838"/>
      <c r="K851" s="21"/>
      <c r="L851" s="21"/>
      <c r="M851" s="22"/>
      <c r="N851" s="23"/>
      <c r="O851" s="848"/>
      <c r="P851" s="23" t="s">
        <v>30</v>
      </c>
      <c r="Q851" s="23">
        <v>45817</v>
      </c>
      <c r="R851" s="79" t="s">
        <v>67</v>
      </c>
      <c r="S851" s="22" t="s">
        <v>32</v>
      </c>
      <c r="T851" s="229">
        <v>6</v>
      </c>
      <c r="U851" s="24" t="s">
        <v>67</v>
      </c>
      <c r="V851" s="23">
        <v>45817</v>
      </c>
      <c r="W851" s="80"/>
      <c r="X851" s="83"/>
      <c r="Y851"/>
      <c r="Z851"/>
      <c r="AA851"/>
      <c r="AB851" s="84"/>
      <c r="AC851" s="71"/>
      <c r="AD851" s="71"/>
      <c r="AE851" s="71"/>
    </row>
    <row r="852" spans="1:31">
      <c r="A852" s="834" t="s">
        <v>137</v>
      </c>
      <c r="B852" s="835">
        <v>849</v>
      </c>
      <c r="C852" s="838" t="s">
        <v>1367</v>
      </c>
      <c r="D852" s="834" t="s">
        <v>829</v>
      </c>
      <c r="E852" s="839">
        <v>45810.375</v>
      </c>
      <c r="F852" s="838" t="s">
        <v>140</v>
      </c>
      <c r="G852" s="838">
        <v>6</v>
      </c>
      <c r="H852" s="838" t="s">
        <v>46</v>
      </c>
      <c r="I852" s="838" t="s">
        <v>47</v>
      </c>
      <c r="J852" s="838"/>
      <c r="K852" s="21"/>
      <c r="L852" s="21"/>
      <c r="M852" s="22"/>
      <c r="N852" s="23"/>
      <c r="O852" s="848"/>
      <c r="P852" s="23" t="s">
        <v>30</v>
      </c>
      <c r="Q852" s="23">
        <v>45819</v>
      </c>
      <c r="R852" s="79" t="s">
        <v>67</v>
      </c>
      <c r="S852" s="22" t="s">
        <v>32</v>
      </c>
      <c r="T852" s="229">
        <v>11</v>
      </c>
      <c r="U852" s="24" t="s">
        <v>67</v>
      </c>
      <c r="V852" s="23">
        <v>45819</v>
      </c>
      <c r="W852" s="80"/>
      <c r="X852" s="83"/>
      <c r="Y852"/>
      <c r="Z852"/>
      <c r="AA852"/>
    </row>
    <row r="853" spans="1:31">
      <c r="A853" s="834" t="s">
        <v>137</v>
      </c>
      <c r="B853" s="835">
        <v>850</v>
      </c>
      <c r="C853" s="838" t="s">
        <v>1368</v>
      </c>
      <c r="D853" s="834" t="s">
        <v>157</v>
      </c>
      <c r="E853" s="839">
        <v>45810.375</v>
      </c>
      <c r="F853" s="838" t="s">
        <v>140</v>
      </c>
      <c r="G853" s="838">
        <v>1</v>
      </c>
      <c r="H853" s="838" t="s">
        <v>21</v>
      </c>
      <c r="I853" s="838" t="s">
        <v>127</v>
      </c>
      <c r="J853" s="838"/>
      <c r="K853" s="21"/>
      <c r="L853" s="21"/>
      <c r="M853" s="22"/>
      <c r="N853" s="23"/>
      <c r="O853" s="23"/>
      <c r="P853" s="23" t="s">
        <v>30</v>
      </c>
      <c r="Q853" s="23">
        <v>45826</v>
      </c>
      <c r="R853" s="79" t="s">
        <v>67</v>
      </c>
      <c r="S853" s="22" t="s">
        <v>32</v>
      </c>
      <c r="T853" s="229">
        <v>1</v>
      </c>
      <c r="U853" s="24" t="s">
        <v>67</v>
      </c>
      <c r="V853" s="23">
        <v>45826</v>
      </c>
      <c r="W853" s="80"/>
      <c r="X853" s="83"/>
      <c r="Y853"/>
      <c r="Z853"/>
      <c r="AA853"/>
    </row>
    <row r="854" spans="1:31">
      <c r="A854" s="834" t="s">
        <v>137</v>
      </c>
      <c r="B854" s="835">
        <v>851</v>
      </c>
      <c r="C854" s="838" t="s">
        <v>1369</v>
      </c>
      <c r="D854" s="834" t="s">
        <v>1370</v>
      </c>
      <c r="E854" s="839">
        <v>45810.375</v>
      </c>
      <c r="F854" s="838" t="s">
        <v>140</v>
      </c>
      <c r="G854" s="838">
        <v>7</v>
      </c>
      <c r="H854" s="838" t="s">
        <v>46</v>
      </c>
      <c r="I854" s="838" t="s">
        <v>47</v>
      </c>
      <c r="J854" s="838"/>
      <c r="K854" s="21"/>
      <c r="L854" s="21"/>
      <c r="M854" s="22"/>
      <c r="N854" s="23"/>
      <c r="O854" s="848"/>
      <c r="P854" s="23" t="s">
        <v>30</v>
      </c>
      <c r="Q854" s="23">
        <v>45820</v>
      </c>
      <c r="R854" s="79" t="s">
        <v>67</v>
      </c>
      <c r="S854" s="22" t="s">
        <v>32</v>
      </c>
      <c r="T854" s="229">
        <v>12</v>
      </c>
      <c r="U854" s="24" t="s">
        <v>67</v>
      </c>
      <c r="V854" s="23">
        <v>45820</v>
      </c>
      <c r="W854" s="80"/>
      <c r="X854" s="83"/>
      <c r="Y854"/>
      <c r="Z854"/>
      <c r="AA854"/>
      <c r="AB854" s="84"/>
      <c r="AC854" s="71"/>
      <c r="AD854" s="71"/>
      <c r="AE854" s="71"/>
    </row>
    <row r="855" spans="1:31">
      <c r="A855" s="834" t="s">
        <v>137</v>
      </c>
      <c r="B855" s="835">
        <v>852</v>
      </c>
      <c r="C855" s="838" t="s">
        <v>1371</v>
      </c>
      <c r="D855" s="834" t="s">
        <v>306</v>
      </c>
      <c r="E855" s="839">
        <v>45810.375</v>
      </c>
      <c r="F855" s="838" t="s">
        <v>140</v>
      </c>
      <c r="G855" s="838">
        <v>20</v>
      </c>
      <c r="H855" s="838" t="s">
        <v>938</v>
      </c>
      <c r="I855" s="838" t="s">
        <v>939</v>
      </c>
      <c r="J855" s="838"/>
      <c r="K855" s="21"/>
      <c r="L855" s="21"/>
      <c r="M855" s="22"/>
      <c r="N855" s="23"/>
      <c r="O855" s="23" t="s">
        <v>31</v>
      </c>
      <c r="P855" s="23" t="s">
        <v>30</v>
      </c>
      <c r="Q855" s="23">
        <v>45819</v>
      </c>
      <c r="R855" s="79" t="s">
        <v>67</v>
      </c>
      <c r="S855" s="22" t="s">
        <v>32</v>
      </c>
      <c r="T855" s="229">
        <v>13</v>
      </c>
      <c r="U855" s="24" t="s">
        <v>67</v>
      </c>
      <c r="V855" s="23">
        <v>45819</v>
      </c>
      <c r="W855" s="80"/>
      <c r="X855" s="83"/>
      <c r="Y855" s="85">
        <v>7</v>
      </c>
      <c r="Z855" s="85">
        <v>2</v>
      </c>
      <c r="AA855" s="85">
        <v>11</v>
      </c>
      <c r="AB855">
        <f>SUM(Y855:AA855)</f>
        <v>20</v>
      </c>
      <c r="AC855" s="71">
        <f>+Y855/AB855*AC$1</f>
        <v>2.0999999999999996</v>
      </c>
      <c r="AD855" s="71">
        <f>+Z855/AB855*AD$1</f>
        <v>0.30000000000000004</v>
      </c>
      <c r="AE855" s="71">
        <f>+AA855/AB855*AE$1</f>
        <v>0</v>
      </c>
    </row>
    <row r="856" spans="1:31">
      <c r="A856" s="834" t="s">
        <v>137</v>
      </c>
      <c r="B856" s="835">
        <v>853</v>
      </c>
      <c r="C856" s="838" t="s">
        <v>1372</v>
      </c>
      <c r="D856" s="834" t="s">
        <v>1184</v>
      </c>
      <c r="E856" s="839">
        <v>45810.375</v>
      </c>
      <c r="F856" s="838" t="s">
        <v>140</v>
      </c>
      <c r="G856" s="838">
        <v>1</v>
      </c>
      <c r="H856" s="838" t="s">
        <v>46</v>
      </c>
      <c r="I856" s="838" t="s">
        <v>47</v>
      </c>
      <c r="J856" s="838"/>
      <c r="K856" s="21"/>
      <c r="L856" s="21"/>
      <c r="M856" s="22"/>
      <c r="N856" s="23"/>
      <c r="O856" s="23"/>
      <c r="P856" s="23" t="s">
        <v>30</v>
      </c>
      <c r="Q856" s="23">
        <v>45819</v>
      </c>
      <c r="R856" s="79" t="s">
        <v>67</v>
      </c>
      <c r="S856" s="22" t="s">
        <v>32</v>
      </c>
      <c r="T856" s="229">
        <v>1</v>
      </c>
      <c r="U856" s="24" t="s">
        <v>67</v>
      </c>
      <c r="V856" s="23">
        <v>45819</v>
      </c>
      <c r="W856" s="80"/>
      <c r="X856" s="83"/>
      <c r="Y856"/>
      <c r="Z856"/>
      <c r="AA856"/>
    </row>
    <row r="857" spans="1:31">
      <c r="A857" s="834" t="s">
        <v>137</v>
      </c>
      <c r="B857" s="835">
        <v>854</v>
      </c>
      <c r="C857" s="838" t="s">
        <v>1373</v>
      </c>
      <c r="D857" s="834" t="s">
        <v>1230</v>
      </c>
      <c r="E857" s="839">
        <v>45810.375</v>
      </c>
      <c r="F857" s="838" t="s">
        <v>140</v>
      </c>
      <c r="G857" s="838">
        <v>3</v>
      </c>
      <c r="H857" s="838" t="s">
        <v>22</v>
      </c>
      <c r="I857" s="838" t="s">
        <v>28</v>
      </c>
      <c r="J857" s="838"/>
      <c r="K857" s="21"/>
      <c r="L857" s="21"/>
      <c r="M857" s="22"/>
      <c r="N857" s="23"/>
      <c r="O857" s="23"/>
      <c r="P857" s="23" t="s">
        <v>30</v>
      </c>
      <c r="Q857" s="23">
        <v>45819</v>
      </c>
      <c r="R857" s="79" t="s">
        <v>67</v>
      </c>
      <c r="S857" s="22" t="s">
        <v>32</v>
      </c>
      <c r="T857" s="229">
        <v>3</v>
      </c>
      <c r="U857" s="24" t="s">
        <v>67</v>
      </c>
      <c r="V857" s="23">
        <v>45819</v>
      </c>
      <c r="W857" s="80"/>
      <c r="X857" s="83"/>
      <c r="Y857"/>
      <c r="Z857"/>
      <c r="AA857"/>
    </row>
    <row r="858" spans="1:31">
      <c r="A858" s="834" t="s">
        <v>137</v>
      </c>
      <c r="B858" s="835">
        <v>855</v>
      </c>
      <c r="C858" s="838" t="s">
        <v>1374</v>
      </c>
      <c r="D858" s="834" t="s">
        <v>1238</v>
      </c>
      <c r="E858" s="839">
        <v>45810.041666666664</v>
      </c>
      <c r="F858" s="838" t="s">
        <v>140</v>
      </c>
      <c r="G858" s="838">
        <v>2</v>
      </c>
      <c r="H858" s="838" t="s">
        <v>21</v>
      </c>
      <c r="I858" s="838" t="s">
        <v>127</v>
      </c>
      <c r="J858" s="838"/>
      <c r="K858" s="21"/>
      <c r="L858" s="21"/>
      <c r="M858" s="22"/>
      <c r="N858" s="23"/>
      <c r="O858" s="848"/>
      <c r="P858" s="23" t="s">
        <v>30</v>
      </c>
      <c r="Q858" s="23">
        <v>45820</v>
      </c>
      <c r="R858" s="79" t="s">
        <v>67</v>
      </c>
      <c r="S858" s="22" t="s">
        <v>32</v>
      </c>
      <c r="T858" s="229">
        <v>2</v>
      </c>
      <c r="U858" s="24" t="s">
        <v>67</v>
      </c>
      <c r="V858" s="23">
        <v>45820</v>
      </c>
      <c r="W858" s="80"/>
      <c r="X858" s="83"/>
      <c r="Y858"/>
      <c r="Z858"/>
      <c r="AA858"/>
      <c r="AB858" s="84"/>
      <c r="AC858" s="71"/>
      <c r="AD858" s="71"/>
      <c r="AE858" s="71"/>
    </row>
    <row r="859" spans="1:31">
      <c r="A859" s="834" t="s">
        <v>137</v>
      </c>
      <c r="B859" s="835">
        <v>856</v>
      </c>
      <c r="C859" s="838" t="s">
        <v>1375</v>
      </c>
      <c r="D859" s="834" t="s">
        <v>1376</v>
      </c>
      <c r="E859" s="839">
        <v>45810.375</v>
      </c>
      <c r="F859" s="838" t="s">
        <v>140</v>
      </c>
      <c r="G859" s="838">
        <v>7</v>
      </c>
      <c r="H859" s="838" t="s">
        <v>21</v>
      </c>
      <c r="I859" s="838" t="s">
        <v>127</v>
      </c>
      <c r="J859" s="838"/>
      <c r="K859" s="21"/>
      <c r="L859" s="21"/>
      <c r="M859" s="22"/>
      <c r="N859" s="23"/>
      <c r="O859" s="848"/>
      <c r="P859" s="23" t="s">
        <v>30</v>
      </c>
      <c r="Q859" s="23">
        <v>45825</v>
      </c>
      <c r="R859" s="79" t="s">
        <v>67</v>
      </c>
      <c r="S859" s="22" t="s">
        <v>32</v>
      </c>
      <c r="T859" s="229">
        <v>7</v>
      </c>
      <c r="U859" s="24" t="s">
        <v>67</v>
      </c>
      <c r="V859" s="23">
        <v>45825</v>
      </c>
      <c r="W859" s="80"/>
      <c r="X859" s="83"/>
      <c r="Y859"/>
      <c r="Z859" s="776"/>
      <c r="AA859" s="776"/>
      <c r="AB859" s="776"/>
    </row>
    <row r="860" spans="1:31">
      <c r="A860" s="834" t="s">
        <v>137</v>
      </c>
      <c r="B860" s="835">
        <v>857</v>
      </c>
      <c r="C860" s="838" t="s">
        <v>1377</v>
      </c>
      <c r="D860" s="834" t="s">
        <v>1025</v>
      </c>
      <c r="E860" s="839">
        <v>45831</v>
      </c>
      <c r="F860" s="838" t="s">
        <v>140</v>
      </c>
      <c r="G860" s="838">
        <v>1</v>
      </c>
      <c r="H860" s="838" t="s">
        <v>21</v>
      </c>
      <c r="I860" s="838" t="s">
        <v>127</v>
      </c>
      <c r="J860" s="838"/>
      <c r="K860" s="98" t="s">
        <v>1378</v>
      </c>
      <c r="L860" s="21"/>
      <c r="M860" s="22"/>
      <c r="N860" s="23"/>
      <c r="O860" s="23"/>
      <c r="P860" s="23"/>
      <c r="Q860" s="23"/>
      <c r="R860" s="79" t="s">
        <v>67</v>
      </c>
      <c r="S860" s="22"/>
      <c r="T860" s="229"/>
      <c r="U860" s="24" t="s">
        <v>67</v>
      </c>
      <c r="V860" s="23"/>
      <c r="W860" s="80"/>
      <c r="X860" s="83"/>
      <c r="Y860"/>
      <c r="Z860" s="776"/>
      <c r="AA860" s="776"/>
      <c r="AB860" s="776"/>
    </row>
    <row r="861" spans="1:31">
      <c r="A861" s="834" t="s">
        <v>137</v>
      </c>
      <c r="B861" s="835">
        <v>858</v>
      </c>
      <c r="C861" s="838" t="s">
        <v>1379</v>
      </c>
      <c r="D861" s="834" t="s">
        <v>773</v>
      </c>
      <c r="E861" s="839">
        <v>45817.375</v>
      </c>
      <c r="F861" s="838" t="s">
        <v>140</v>
      </c>
      <c r="G861" s="838">
        <v>2</v>
      </c>
      <c r="H861" s="838" t="s">
        <v>291</v>
      </c>
      <c r="I861" s="838" t="s">
        <v>760</v>
      </c>
      <c r="J861" s="838"/>
      <c r="K861" s="21"/>
      <c r="L861" s="21"/>
      <c r="M861" s="22"/>
      <c r="N861" s="23"/>
      <c r="O861" s="23"/>
      <c r="P861" s="23" t="s">
        <v>30</v>
      </c>
      <c r="Q861" s="23">
        <v>45825</v>
      </c>
      <c r="R861" s="79" t="s">
        <v>67</v>
      </c>
      <c r="S861" s="22" t="s">
        <v>32</v>
      </c>
      <c r="T861" s="229">
        <v>2</v>
      </c>
      <c r="U861" s="24" t="s">
        <v>67</v>
      </c>
      <c r="V861" s="23">
        <v>45825</v>
      </c>
      <c r="W861" s="80"/>
      <c r="X861" s="83"/>
      <c r="Y861"/>
      <c r="Z861" s="776"/>
      <c r="AA861" s="776"/>
      <c r="AB861" s="776"/>
    </row>
    <row r="862" spans="1:31">
      <c r="A862" s="834" t="s">
        <v>137</v>
      </c>
      <c r="B862" s="835">
        <v>859</v>
      </c>
      <c r="C862" s="838" t="s">
        <v>1380</v>
      </c>
      <c r="D862" s="834" t="s">
        <v>779</v>
      </c>
      <c r="E862" s="839">
        <v>45817</v>
      </c>
      <c r="F862" s="838" t="s">
        <v>140</v>
      </c>
      <c r="G862" s="838">
        <v>10</v>
      </c>
      <c r="H862" s="838" t="s">
        <v>938</v>
      </c>
      <c r="I862" s="838" t="s">
        <v>939</v>
      </c>
      <c r="J862" s="838"/>
      <c r="K862" s="98" t="s">
        <v>1381</v>
      </c>
      <c r="L862" s="21"/>
      <c r="M862" s="22"/>
      <c r="N862" s="23"/>
      <c r="O862" s="23"/>
      <c r="P862" s="23"/>
      <c r="Q862" s="23"/>
      <c r="R862" s="79" t="s">
        <v>67</v>
      </c>
      <c r="S862" s="22"/>
      <c r="T862" s="229"/>
      <c r="U862" s="24" t="s">
        <v>67</v>
      </c>
      <c r="V862" s="23"/>
      <c r="W862" s="80"/>
      <c r="X862" s="83"/>
      <c r="Y862"/>
      <c r="Z862" s="776"/>
      <c r="AA862" s="776"/>
      <c r="AB862" s="776"/>
    </row>
    <row r="863" spans="1:31">
      <c r="A863" s="834" t="s">
        <v>137</v>
      </c>
      <c r="B863" s="835">
        <v>860</v>
      </c>
      <c r="C863" s="838" t="s">
        <v>1382</v>
      </c>
      <c r="D863" s="834" t="s">
        <v>306</v>
      </c>
      <c r="E863" s="839">
        <v>45817.375</v>
      </c>
      <c r="F863" s="838" t="s">
        <v>140</v>
      </c>
      <c r="G863" s="838">
        <v>1</v>
      </c>
      <c r="H863" s="838" t="s">
        <v>46</v>
      </c>
      <c r="I863" s="838" t="s">
        <v>47</v>
      </c>
      <c r="J863" s="838"/>
      <c r="K863" s="21"/>
      <c r="L863" s="21"/>
      <c r="M863" s="22"/>
      <c r="N863" s="23"/>
      <c r="O863" s="23"/>
      <c r="P863" s="23" t="s">
        <v>30</v>
      </c>
      <c r="Q863" s="23">
        <v>45826</v>
      </c>
      <c r="R863" s="79" t="s">
        <v>67</v>
      </c>
      <c r="S863" s="22" t="s">
        <v>32</v>
      </c>
      <c r="T863" s="229">
        <v>1</v>
      </c>
      <c r="U863" s="24" t="s">
        <v>67</v>
      </c>
      <c r="V863" s="23">
        <v>45826</v>
      </c>
      <c r="W863" s="91"/>
      <c r="X863" s="228"/>
      <c r="Y863"/>
      <c r="Z863"/>
      <c r="AA863"/>
    </row>
    <row r="864" spans="1:31">
      <c r="A864" s="834" t="s">
        <v>137</v>
      </c>
      <c r="B864" s="835">
        <v>861</v>
      </c>
      <c r="C864" s="838" t="s">
        <v>1383</v>
      </c>
      <c r="D864" s="834" t="s">
        <v>865</v>
      </c>
      <c r="E864" s="839">
        <v>45817</v>
      </c>
      <c r="F864" s="838" t="s">
        <v>140</v>
      </c>
      <c r="G864" s="838">
        <v>13</v>
      </c>
      <c r="H864" s="838" t="s">
        <v>22</v>
      </c>
      <c r="I864" s="838" t="s">
        <v>28</v>
      </c>
      <c r="J864" s="838"/>
      <c r="K864" s="21"/>
      <c r="L864" s="21"/>
      <c r="M864" s="22"/>
      <c r="N864" s="23"/>
      <c r="O864" s="848"/>
      <c r="P864" s="23" t="s">
        <v>30</v>
      </c>
      <c r="Q864" s="23">
        <v>45826</v>
      </c>
      <c r="R864" s="79" t="s">
        <v>67</v>
      </c>
      <c r="S864" s="22" t="s">
        <v>32</v>
      </c>
      <c r="T864" s="229">
        <v>13</v>
      </c>
      <c r="U864" s="24" t="s">
        <v>67</v>
      </c>
      <c r="V864" s="23">
        <v>45826</v>
      </c>
      <c r="W864" s="91"/>
      <c r="X864" s="228"/>
      <c r="Y864"/>
      <c r="Z864"/>
      <c r="AA864"/>
    </row>
    <row r="865" spans="1:31">
      <c r="A865" s="834" t="s">
        <v>137</v>
      </c>
      <c r="B865" s="835">
        <v>862</v>
      </c>
      <c r="C865" s="838" t="s">
        <v>1384</v>
      </c>
      <c r="D865" s="834" t="s">
        <v>829</v>
      </c>
      <c r="E865" s="839">
        <v>45817.375</v>
      </c>
      <c r="F865" s="838" t="s">
        <v>140</v>
      </c>
      <c r="G865" s="838">
        <v>1</v>
      </c>
      <c r="H865" s="838" t="s">
        <v>22</v>
      </c>
      <c r="I865" s="838" t="s">
        <v>28</v>
      </c>
      <c r="J865" s="838"/>
      <c r="K865" s="21"/>
      <c r="L865" s="21"/>
      <c r="M865" s="22"/>
      <c r="N865" s="23"/>
      <c r="O865" s="848"/>
      <c r="P865" s="23" t="s">
        <v>30</v>
      </c>
      <c r="Q865" s="23">
        <v>45825</v>
      </c>
      <c r="R865" s="79" t="s">
        <v>67</v>
      </c>
      <c r="S865" s="22" t="s">
        <v>32</v>
      </c>
      <c r="T865" s="229">
        <v>1</v>
      </c>
      <c r="U865" s="24" t="s">
        <v>67</v>
      </c>
      <c r="V865" s="23">
        <v>45825</v>
      </c>
      <c r="W865" s="91"/>
      <c r="X865" s="228"/>
      <c r="Y865"/>
      <c r="Z865"/>
      <c r="AA865"/>
    </row>
    <row r="866" spans="1:31">
      <c r="A866" s="834" t="s">
        <v>137</v>
      </c>
      <c r="B866" s="835">
        <v>863</v>
      </c>
      <c r="C866" s="838" t="s">
        <v>1385</v>
      </c>
      <c r="D866" s="834" t="s">
        <v>1386</v>
      </c>
      <c r="E866" s="839">
        <v>45817.375</v>
      </c>
      <c r="F866" s="838" t="s">
        <v>140</v>
      </c>
      <c r="G866" s="838">
        <v>6</v>
      </c>
      <c r="H866" s="838" t="s">
        <v>21</v>
      </c>
      <c r="I866" s="838" t="s">
        <v>127</v>
      </c>
      <c r="J866" s="838"/>
      <c r="K866" s="21"/>
      <c r="L866" s="21"/>
      <c r="M866" s="22"/>
      <c r="N866" s="23"/>
      <c r="O866" s="23"/>
      <c r="P866" s="23" t="s">
        <v>30</v>
      </c>
      <c r="Q866" s="23">
        <v>45832</v>
      </c>
      <c r="R866" s="79" t="s">
        <v>67</v>
      </c>
      <c r="S866" s="22" t="s">
        <v>32</v>
      </c>
      <c r="T866" s="229">
        <v>4</v>
      </c>
      <c r="U866" s="24" t="s">
        <v>67</v>
      </c>
      <c r="V866" s="23">
        <v>45832</v>
      </c>
      <c r="W866" s="91"/>
      <c r="X866" s="228"/>
      <c r="Y866"/>
      <c r="Z866"/>
      <c r="AA866"/>
    </row>
    <row r="867" spans="1:31">
      <c r="A867" s="834" t="s">
        <v>137</v>
      </c>
      <c r="B867" s="835">
        <v>864</v>
      </c>
      <c r="C867" s="838" t="s">
        <v>1387</v>
      </c>
      <c r="D867" s="834" t="s">
        <v>1230</v>
      </c>
      <c r="E867" s="839">
        <v>45817</v>
      </c>
      <c r="F867" s="838" t="s">
        <v>140</v>
      </c>
      <c r="G867" s="838">
        <v>3</v>
      </c>
      <c r="H867" s="838" t="s">
        <v>22</v>
      </c>
      <c r="I867" s="838" t="s">
        <v>28</v>
      </c>
      <c r="J867" s="838"/>
      <c r="K867" s="21"/>
      <c r="L867" s="21"/>
      <c r="M867" s="22"/>
      <c r="N867" s="23"/>
      <c r="O867" s="23"/>
      <c r="P867" s="23" t="s">
        <v>30</v>
      </c>
      <c r="Q867" s="23">
        <v>45829</v>
      </c>
      <c r="R867" s="79" t="s">
        <v>67</v>
      </c>
      <c r="S867" s="22" t="s">
        <v>32</v>
      </c>
      <c r="T867" s="229">
        <v>3</v>
      </c>
      <c r="U867" s="24" t="s">
        <v>67</v>
      </c>
      <c r="V867" s="23">
        <v>45829</v>
      </c>
      <c r="W867" s="91"/>
      <c r="X867" s="228"/>
      <c r="Y867"/>
      <c r="Z867"/>
      <c r="AA867"/>
    </row>
    <row r="868" spans="1:31">
      <c r="A868" s="834" t="s">
        <v>137</v>
      </c>
      <c r="B868" s="835">
        <v>865</v>
      </c>
      <c r="C868" s="838" t="s">
        <v>1388</v>
      </c>
      <c r="D868" s="834" t="s">
        <v>846</v>
      </c>
      <c r="E868" s="839">
        <v>45817.375</v>
      </c>
      <c r="F868" s="838" t="s">
        <v>140</v>
      </c>
      <c r="G868" s="838">
        <v>1</v>
      </c>
      <c r="H868" s="838" t="s">
        <v>21</v>
      </c>
      <c r="I868" s="838" t="s">
        <v>127</v>
      </c>
      <c r="J868" s="838"/>
      <c r="K868" s="21"/>
      <c r="L868" s="21"/>
      <c r="M868" s="22"/>
      <c r="N868" s="23"/>
      <c r="O868" s="23"/>
      <c r="P868" s="23" t="s">
        <v>30</v>
      </c>
      <c r="Q868" s="23">
        <v>45826</v>
      </c>
      <c r="R868" s="79" t="s">
        <v>67</v>
      </c>
      <c r="S868" s="22" t="s">
        <v>32</v>
      </c>
      <c r="T868" s="232">
        <v>1</v>
      </c>
      <c r="U868" s="24" t="s">
        <v>67</v>
      </c>
      <c r="V868" s="23">
        <v>45826</v>
      </c>
      <c r="W868" s="91"/>
      <c r="X868" s="228"/>
      <c r="Y868"/>
      <c r="Z868"/>
      <c r="AA868"/>
    </row>
    <row r="869" spans="1:31">
      <c r="A869" s="834" t="s">
        <v>137</v>
      </c>
      <c r="B869" s="835">
        <v>866</v>
      </c>
      <c r="C869" s="838" t="s">
        <v>1389</v>
      </c>
      <c r="D869" s="834" t="s">
        <v>846</v>
      </c>
      <c r="E869" s="839">
        <v>45821</v>
      </c>
      <c r="F869" s="838" t="s">
        <v>140</v>
      </c>
      <c r="G869" s="838">
        <v>6</v>
      </c>
      <c r="H869" s="838" t="s">
        <v>141</v>
      </c>
      <c r="I869" s="838" t="s">
        <v>819</v>
      </c>
      <c r="J869" s="838"/>
      <c r="K869" s="21"/>
      <c r="L869" s="21"/>
      <c r="M869" s="22"/>
      <c r="N869" s="23"/>
      <c r="O869" s="848"/>
      <c r="P869" s="23" t="s">
        <v>30</v>
      </c>
      <c r="Q869" s="23">
        <v>45833</v>
      </c>
      <c r="R869" s="79" t="s">
        <v>67</v>
      </c>
      <c r="S869" s="22" t="s">
        <v>32</v>
      </c>
      <c r="T869" s="229">
        <v>6</v>
      </c>
      <c r="U869" s="24" t="s">
        <v>67</v>
      </c>
      <c r="V869" s="23">
        <v>45833</v>
      </c>
      <c r="W869" s="80"/>
      <c r="X869" s="83"/>
      <c r="Y869"/>
      <c r="Z869" s="776"/>
      <c r="AA869" s="776"/>
      <c r="AB869" s="776"/>
    </row>
    <row r="870" spans="1:31">
      <c r="A870" s="834" t="s">
        <v>137</v>
      </c>
      <c r="B870" s="835">
        <v>867</v>
      </c>
      <c r="C870" s="838" t="s">
        <v>1390</v>
      </c>
      <c r="D870" s="834" t="s">
        <v>1198</v>
      </c>
      <c r="E870" s="839">
        <v>45824.083333333336</v>
      </c>
      <c r="F870" s="838" t="s">
        <v>140</v>
      </c>
      <c r="G870" s="838">
        <v>42</v>
      </c>
      <c r="H870" s="838" t="s">
        <v>938</v>
      </c>
      <c r="I870" s="838" t="s">
        <v>939</v>
      </c>
      <c r="J870" s="838"/>
      <c r="K870" s="21"/>
      <c r="L870" s="21"/>
      <c r="M870" s="22"/>
      <c r="N870" s="23"/>
      <c r="O870" s="23" t="s">
        <v>31</v>
      </c>
      <c r="P870" s="23" t="s">
        <v>30</v>
      </c>
      <c r="Q870" s="23">
        <v>45842</v>
      </c>
      <c r="R870" s="79" t="s">
        <v>67</v>
      </c>
      <c r="S870" s="22" t="s">
        <v>32</v>
      </c>
      <c r="T870" s="229">
        <v>40</v>
      </c>
      <c r="U870" s="24" t="s">
        <v>67</v>
      </c>
      <c r="V870" s="23">
        <v>45842</v>
      </c>
      <c r="W870" s="91"/>
      <c r="X870" s="228"/>
      <c r="Y870" s="85">
        <v>5</v>
      </c>
      <c r="Z870" s="86">
        <v>31</v>
      </c>
      <c r="AA870" s="86">
        <v>6</v>
      </c>
      <c r="AB870">
        <f>SUM(Y870:AA870)</f>
        <v>42</v>
      </c>
      <c r="AC870" s="71">
        <f>+Y870/AB870*AC$1</f>
        <v>0.71428571428571419</v>
      </c>
      <c r="AD870" s="92">
        <f>+AA870/AB870*AE$1</f>
        <v>0</v>
      </c>
      <c r="AE870" s="92">
        <f>+AB870/AC870*AF$1</f>
        <v>0</v>
      </c>
    </row>
    <row r="871" spans="1:31">
      <c r="A871" s="834" t="s">
        <v>137</v>
      </c>
      <c r="B871" s="835">
        <v>868</v>
      </c>
      <c r="C871" s="838" t="s">
        <v>1391</v>
      </c>
      <c r="D871" s="834" t="s">
        <v>1184</v>
      </c>
      <c r="E871" s="839">
        <v>45824.041666666664</v>
      </c>
      <c r="F871" s="838" t="s">
        <v>140</v>
      </c>
      <c r="G871" s="838">
        <v>3</v>
      </c>
      <c r="H871" s="838" t="s">
        <v>141</v>
      </c>
      <c r="I871" s="838" t="s">
        <v>819</v>
      </c>
      <c r="J871" s="838"/>
      <c r="K871" s="21"/>
      <c r="L871" s="21"/>
      <c r="M871" s="22"/>
      <c r="N871" s="23"/>
      <c r="O871" s="23"/>
      <c r="P871" s="23" t="s">
        <v>30</v>
      </c>
      <c r="Q871" s="23">
        <v>45833</v>
      </c>
      <c r="R871" s="79" t="s">
        <v>67</v>
      </c>
      <c r="S871" s="22" t="s">
        <v>32</v>
      </c>
      <c r="T871" s="229">
        <v>4</v>
      </c>
      <c r="U871" s="24" t="s">
        <v>67</v>
      </c>
      <c r="V871" s="23">
        <v>45833</v>
      </c>
      <c r="W871" s="91"/>
      <c r="X871" s="228"/>
      <c r="Y871"/>
      <c r="Z871"/>
      <c r="AA871"/>
    </row>
    <row r="872" spans="1:31">
      <c r="A872" s="834" t="s">
        <v>137</v>
      </c>
      <c r="B872" s="835">
        <v>869</v>
      </c>
      <c r="C872" s="838" t="s">
        <v>1392</v>
      </c>
      <c r="D872" s="834" t="s">
        <v>1393</v>
      </c>
      <c r="E872" s="839">
        <v>45824.375</v>
      </c>
      <c r="F872" s="838" t="s">
        <v>140</v>
      </c>
      <c r="G872" s="838">
        <v>9</v>
      </c>
      <c r="H872" s="838" t="s">
        <v>22</v>
      </c>
      <c r="I872" s="838" t="s">
        <v>28</v>
      </c>
      <c r="J872" s="838"/>
      <c r="K872" s="21"/>
      <c r="L872" s="21"/>
      <c r="M872" s="22"/>
      <c r="N872" s="23"/>
      <c r="O872" s="61"/>
      <c r="P872" s="23" t="s">
        <v>30</v>
      </c>
      <c r="Q872" s="23">
        <v>45832</v>
      </c>
      <c r="R872" s="79" t="s">
        <v>67</v>
      </c>
      <c r="S872" s="22" t="s">
        <v>32</v>
      </c>
      <c r="T872" s="229">
        <v>9</v>
      </c>
      <c r="U872" s="24" t="s">
        <v>67</v>
      </c>
      <c r="V872" s="23">
        <v>45832</v>
      </c>
      <c r="W872" s="80"/>
      <c r="X872" s="83"/>
      <c r="Y872">
        <v>21</v>
      </c>
      <c r="Z872">
        <v>34</v>
      </c>
      <c r="AA872">
        <v>0</v>
      </c>
      <c r="AB872">
        <f>SUM(Y872:AA872)</f>
        <v>55</v>
      </c>
      <c r="AC872" s="71">
        <f>+Y872/AB872*AC$1</f>
        <v>2.290909090909091</v>
      </c>
      <c r="AD872" s="92">
        <f>+AA872/AB872*AE$1</f>
        <v>0</v>
      </c>
      <c r="AE872" s="92">
        <f>+AA872/AC872*AE$1</f>
        <v>0</v>
      </c>
    </row>
    <row r="873" spans="1:31">
      <c r="A873" s="834" t="s">
        <v>137</v>
      </c>
      <c r="B873" s="835">
        <v>870</v>
      </c>
      <c r="C873" s="838" t="s">
        <v>1394</v>
      </c>
      <c r="D873" s="834" t="s">
        <v>865</v>
      </c>
      <c r="E873" s="839">
        <v>45824.375</v>
      </c>
      <c r="F873" s="838" t="s">
        <v>140</v>
      </c>
      <c r="G873" s="838">
        <v>4</v>
      </c>
      <c r="H873" s="838" t="s">
        <v>22</v>
      </c>
      <c r="I873" s="838" t="s">
        <v>28</v>
      </c>
      <c r="J873" s="838"/>
      <c r="K873" s="21"/>
      <c r="L873" s="21"/>
      <c r="M873" s="22"/>
      <c r="N873" s="23"/>
      <c r="O873" s="61"/>
      <c r="P873" s="23" t="s">
        <v>30</v>
      </c>
      <c r="Q873" s="23">
        <v>45842</v>
      </c>
      <c r="R873" s="79" t="s">
        <v>67</v>
      </c>
      <c r="S873" s="22" t="s">
        <v>32</v>
      </c>
      <c r="T873" s="229">
        <v>4</v>
      </c>
      <c r="U873" s="24" t="s">
        <v>67</v>
      </c>
      <c r="V873" s="23">
        <v>45842</v>
      </c>
      <c r="W873" s="80"/>
      <c r="X873" s="83"/>
      <c r="Y873">
        <v>23</v>
      </c>
      <c r="Z873">
        <v>4</v>
      </c>
      <c r="AA873">
        <v>4</v>
      </c>
      <c r="AB873">
        <f>SUM(Y873:AA873)</f>
        <v>31</v>
      </c>
      <c r="AC873" s="71">
        <f>+Y873/AB873*AC$1</f>
        <v>4.4516129032258061</v>
      </c>
      <c r="AD873" s="92">
        <f>+Z873/AB873*AD$1</f>
        <v>0.38709677419354838</v>
      </c>
      <c r="AE873" s="92">
        <f>+AA873/AC873*AE$1</f>
        <v>0</v>
      </c>
    </row>
    <row r="874" spans="1:31">
      <c r="A874" s="834" t="s">
        <v>137</v>
      </c>
      <c r="B874" s="835">
        <v>871</v>
      </c>
      <c r="C874" s="838" t="s">
        <v>1395</v>
      </c>
      <c r="D874" s="834" t="s">
        <v>1230</v>
      </c>
      <c r="E874" s="839">
        <v>45824.375</v>
      </c>
      <c r="F874" s="838" t="s">
        <v>140</v>
      </c>
      <c r="G874" s="838">
        <v>1</v>
      </c>
      <c r="H874" s="838" t="s">
        <v>22</v>
      </c>
      <c r="I874" s="838" t="s">
        <v>28</v>
      </c>
      <c r="J874" s="838"/>
      <c r="K874" s="21"/>
      <c r="L874" s="21"/>
      <c r="M874" s="22"/>
      <c r="N874" s="23"/>
      <c r="O874" s="61"/>
      <c r="P874" s="23" t="s">
        <v>30</v>
      </c>
      <c r="Q874" s="23">
        <v>45831</v>
      </c>
      <c r="R874" s="79" t="s">
        <v>67</v>
      </c>
      <c r="S874" s="22" t="s">
        <v>32</v>
      </c>
      <c r="T874" s="229">
        <v>10</v>
      </c>
      <c r="U874" s="24" t="s">
        <v>67</v>
      </c>
      <c r="V874" s="23">
        <v>45831</v>
      </c>
      <c r="W874" s="80"/>
      <c r="X874" s="83"/>
      <c r="Y874"/>
      <c r="Z874"/>
      <c r="AA874"/>
      <c r="AC874" s="92"/>
      <c r="AD874" s="92"/>
      <c r="AE874" s="92"/>
    </row>
    <row r="875" spans="1:31">
      <c r="A875" s="834" t="s">
        <v>137</v>
      </c>
      <c r="B875" s="835">
        <v>872</v>
      </c>
      <c r="C875" s="838" t="s">
        <v>1396</v>
      </c>
      <c r="D875" s="834" t="s">
        <v>1212</v>
      </c>
      <c r="E875" s="839">
        <v>45824</v>
      </c>
      <c r="F875" s="838" t="s">
        <v>140</v>
      </c>
      <c r="G875" s="838">
        <v>3</v>
      </c>
      <c r="H875" s="838" t="s">
        <v>22</v>
      </c>
      <c r="I875" s="838" t="s">
        <v>28</v>
      </c>
      <c r="J875" s="838"/>
      <c r="K875" s="21"/>
      <c r="L875" s="21"/>
      <c r="M875" s="22"/>
      <c r="N875" s="23"/>
      <c r="O875" s="61"/>
      <c r="P875" s="23" t="s">
        <v>30</v>
      </c>
      <c r="Q875" s="23">
        <v>45831</v>
      </c>
      <c r="R875" s="79" t="s">
        <v>67</v>
      </c>
      <c r="S875" s="22" t="s">
        <v>32</v>
      </c>
      <c r="T875" s="229">
        <v>3</v>
      </c>
      <c r="U875" s="24" t="s">
        <v>67</v>
      </c>
      <c r="V875" s="23">
        <v>45831</v>
      </c>
      <c r="W875" s="80"/>
      <c r="X875" s="83"/>
      <c r="Y875"/>
      <c r="Z875"/>
      <c r="AA875"/>
      <c r="AC875" s="92"/>
      <c r="AD875" s="92"/>
      <c r="AE875" s="92"/>
    </row>
    <row r="876" spans="1:31">
      <c r="A876" s="834" t="s">
        <v>137</v>
      </c>
      <c r="B876" s="835">
        <v>873</v>
      </c>
      <c r="C876" s="838" t="s">
        <v>1397</v>
      </c>
      <c r="D876" s="834" t="s">
        <v>1398</v>
      </c>
      <c r="E876" s="839">
        <v>45824</v>
      </c>
      <c r="F876" s="838" t="s">
        <v>140</v>
      </c>
      <c r="G876" s="838">
        <v>3</v>
      </c>
      <c r="H876" s="838" t="s">
        <v>22</v>
      </c>
      <c r="I876" s="838" t="s">
        <v>28</v>
      </c>
      <c r="J876" s="838"/>
      <c r="K876" s="98" t="s">
        <v>1378</v>
      </c>
      <c r="L876" s="21"/>
      <c r="M876" s="22"/>
      <c r="N876" s="23"/>
      <c r="O876" s="61"/>
      <c r="P876" s="23"/>
      <c r="Q876" s="23"/>
      <c r="R876" s="79" t="s">
        <v>67</v>
      </c>
      <c r="S876" s="22"/>
      <c r="T876" s="229"/>
      <c r="U876" s="24" t="s">
        <v>67</v>
      </c>
      <c r="V876" s="23"/>
      <c r="W876" s="80"/>
      <c r="X876" s="83"/>
      <c r="Y876"/>
      <c r="Z876"/>
      <c r="AA876"/>
      <c r="AC876" s="92"/>
      <c r="AD876" s="92"/>
      <c r="AE876" s="92"/>
    </row>
    <row r="877" spans="1:31">
      <c r="A877" s="834" t="s">
        <v>137</v>
      </c>
      <c r="B877" s="835">
        <v>874</v>
      </c>
      <c r="C877" s="838" t="s">
        <v>1399</v>
      </c>
      <c r="D877" s="834" t="s">
        <v>1376</v>
      </c>
      <c r="E877" s="839">
        <v>45824.375</v>
      </c>
      <c r="F877" s="838" t="s">
        <v>140</v>
      </c>
      <c r="G877" s="838">
        <v>2</v>
      </c>
      <c r="H877" s="838" t="s">
        <v>21</v>
      </c>
      <c r="I877" s="838" t="s">
        <v>127</v>
      </c>
      <c r="J877" s="838"/>
      <c r="K877" s="21"/>
      <c r="L877" s="21"/>
      <c r="M877" s="22"/>
      <c r="N877" s="23"/>
      <c r="O877" s="23"/>
      <c r="P877" s="23" t="s">
        <v>30</v>
      </c>
      <c r="Q877" s="23">
        <v>45832</v>
      </c>
      <c r="R877" s="79" t="s">
        <v>67</v>
      </c>
      <c r="S877" s="22" t="s">
        <v>32</v>
      </c>
      <c r="T877" s="229">
        <v>2</v>
      </c>
      <c r="U877" s="24" t="s">
        <v>67</v>
      </c>
      <c r="V877" s="23">
        <v>45832</v>
      </c>
      <c r="W877" s="80"/>
      <c r="X877" s="83"/>
      <c r="Y877"/>
      <c r="Z877" s="85"/>
      <c r="AA877" s="85"/>
      <c r="AB877" s="84"/>
      <c r="AC877" s="92"/>
      <c r="AD877" s="92"/>
      <c r="AE877" s="92"/>
    </row>
    <row r="878" spans="1:31">
      <c r="A878" s="834" t="s">
        <v>137</v>
      </c>
      <c r="B878" s="835">
        <v>875</v>
      </c>
      <c r="C878" s="838" t="s">
        <v>1400</v>
      </c>
      <c r="D878" s="834" t="s">
        <v>1401</v>
      </c>
      <c r="E878" s="839">
        <v>45824.375</v>
      </c>
      <c r="F878" s="838" t="s">
        <v>140</v>
      </c>
      <c r="G878" s="838">
        <v>7</v>
      </c>
      <c r="H878" s="838" t="s">
        <v>22</v>
      </c>
      <c r="I878" s="838" t="s">
        <v>28</v>
      </c>
      <c r="J878" s="838"/>
      <c r="K878" s="98"/>
      <c r="L878" s="21"/>
      <c r="M878" s="22"/>
      <c r="N878" s="23"/>
      <c r="O878" s="61"/>
      <c r="P878" s="23" t="s">
        <v>30</v>
      </c>
      <c r="Q878" s="23">
        <v>45842</v>
      </c>
      <c r="R878" s="79" t="s">
        <v>67</v>
      </c>
      <c r="S878" s="22" t="s">
        <v>32</v>
      </c>
      <c r="T878" s="229">
        <v>7</v>
      </c>
      <c r="U878" s="24" t="s">
        <v>67</v>
      </c>
      <c r="V878" s="23">
        <v>45842</v>
      </c>
      <c r="W878" s="80"/>
      <c r="X878" s="83"/>
      <c r="Y878" s="85">
        <v>0</v>
      </c>
      <c r="Z878" s="86">
        <v>55</v>
      </c>
      <c r="AA878" s="86">
        <v>0</v>
      </c>
      <c r="AB878">
        <f>SUM(Y878:AA878)</f>
        <v>55</v>
      </c>
      <c r="AC878" s="71">
        <f>+Y878/AB878*AC$1</f>
        <v>0</v>
      </c>
      <c r="AD878" s="92">
        <f>+Z878/AB878*AD$1</f>
        <v>3</v>
      </c>
      <c r="AE878" s="92">
        <f>+AA878/AB878*AE$1</f>
        <v>0</v>
      </c>
    </row>
    <row r="879" spans="1:31">
      <c r="A879" s="834" t="s">
        <v>137</v>
      </c>
      <c r="B879" s="835">
        <v>876</v>
      </c>
      <c r="C879" s="838" t="s">
        <v>1402</v>
      </c>
      <c r="D879" s="834" t="s">
        <v>1403</v>
      </c>
      <c r="E879" s="839">
        <v>45824.375</v>
      </c>
      <c r="F879" s="838" t="s">
        <v>140</v>
      </c>
      <c r="G879" s="838">
        <v>3</v>
      </c>
      <c r="H879" s="838" t="s">
        <v>210</v>
      </c>
      <c r="I879" s="838" t="s">
        <v>211</v>
      </c>
      <c r="J879" s="838"/>
      <c r="K879" s="21"/>
      <c r="L879" s="21"/>
      <c r="M879" s="22"/>
      <c r="N879" s="23"/>
      <c r="O879" s="23"/>
      <c r="P879" s="23" t="s">
        <v>30</v>
      </c>
      <c r="Q879" s="23">
        <v>45833</v>
      </c>
      <c r="R879" s="79" t="s">
        <v>67</v>
      </c>
      <c r="S879" s="22" t="s">
        <v>32</v>
      </c>
      <c r="T879" s="229">
        <v>3</v>
      </c>
      <c r="U879" s="24" t="s">
        <v>67</v>
      </c>
      <c r="V879" s="23">
        <v>45833</v>
      </c>
      <c r="W879" s="80"/>
      <c r="X879" s="83"/>
      <c r="Y879" s="85"/>
      <c r="Z879" s="86"/>
      <c r="AA879" s="86"/>
      <c r="AB879" s="84"/>
      <c r="AC879" s="92"/>
      <c r="AD879" s="92"/>
      <c r="AE879" s="92"/>
    </row>
    <row r="880" spans="1:31">
      <c r="A880" s="834" t="s">
        <v>137</v>
      </c>
      <c r="B880" s="835">
        <v>877</v>
      </c>
      <c r="C880" s="838" t="s">
        <v>1404</v>
      </c>
      <c r="D880" s="834" t="s">
        <v>798</v>
      </c>
      <c r="E880" s="839">
        <v>45824</v>
      </c>
      <c r="F880" s="838" t="s">
        <v>140</v>
      </c>
      <c r="G880" s="838">
        <v>7</v>
      </c>
      <c r="H880" s="838" t="s">
        <v>22</v>
      </c>
      <c r="I880" s="838" t="s">
        <v>28</v>
      </c>
      <c r="J880" s="838"/>
      <c r="K880" s="21"/>
      <c r="L880" s="21"/>
      <c r="M880" s="22"/>
      <c r="N880" s="23"/>
      <c r="O880" s="61"/>
      <c r="P880" s="23" t="s">
        <v>30</v>
      </c>
      <c r="Q880" s="23">
        <v>45832</v>
      </c>
      <c r="R880" s="79" t="s">
        <v>67</v>
      </c>
      <c r="S880" s="22" t="s">
        <v>32</v>
      </c>
      <c r="T880" s="229">
        <v>7</v>
      </c>
      <c r="U880" s="24" t="s">
        <v>67</v>
      </c>
      <c r="V880" s="23">
        <v>45832</v>
      </c>
      <c r="W880" s="80"/>
      <c r="X880" s="83"/>
      <c r="Y880" s="85">
        <v>0</v>
      </c>
      <c r="Z880" s="86">
        <v>15</v>
      </c>
      <c r="AA880" s="86">
        <v>4</v>
      </c>
      <c r="AB880">
        <f>SUM(Y880:AA880)</f>
        <v>19</v>
      </c>
      <c r="AC880" s="71">
        <f>+Y880/AB880*AC$1</f>
        <v>0</v>
      </c>
      <c r="AD880" s="92">
        <f>+Z880/AB880*AD$1</f>
        <v>2.3684210526315788</v>
      </c>
      <c r="AE880" s="92">
        <f>+AA880/AB880*AE$1</f>
        <v>0</v>
      </c>
    </row>
    <row r="881" spans="1:31">
      <c r="A881" s="834" t="s">
        <v>137</v>
      </c>
      <c r="B881" s="835">
        <v>878</v>
      </c>
      <c r="C881" s="838" t="s">
        <v>1405</v>
      </c>
      <c r="D881" s="834" t="s">
        <v>1406</v>
      </c>
      <c r="E881" s="839">
        <v>45824.375</v>
      </c>
      <c r="F881" s="838" t="s">
        <v>140</v>
      </c>
      <c r="G881" s="838">
        <v>6</v>
      </c>
      <c r="H881" s="838" t="s">
        <v>22</v>
      </c>
      <c r="I881" s="838" t="s">
        <v>28</v>
      </c>
      <c r="J881" s="838"/>
      <c r="K881" s="21"/>
      <c r="L881" s="21"/>
      <c r="M881" s="22"/>
      <c r="N881" s="23"/>
      <c r="O881" s="23"/>
      <c r="P881" s="23" t="s">
        <v>30</v>
      </c>
      <c r="Q881" s="23">
        <v>45832</v>
      </c>
      <c r="R881" s="79" t="s">
        <v>67</v>
      </c>
      <c r="S881" s="22" t="s">
        <v>32</v>
      </c>
      <c r="T881" s="229">
        <v>7</v>
      </c>
      <c r="U881" s="24" t="s">
        <v>67</v>
      </c>
      <c r="V881" s="23">
        <v>45832</v>
      </c>
      <c r="W881" s="80"/>
      <c r="X881" s="83"/>
      <c r="Y881" s="85"/>
      <c r="Z881" s="86"/>
      <c r="AA881" s="86"/>
      <c r="AB881" s="776"/>
      <c r="AC881" s="92"/>
      <c r="AD881" s="92"/>
      <c r="AE881" s="92"/>
    </row>
    <row r="882" spans="1:31">
      <c r="A882" s="834" t="s">
        <v>137</v>
      </c>
      <c r="B882" s="835">
        <v>879</v>
      </c>
      <c r="C882" s="838" t="s">
        <v>1407</v>
      </c>
      <c r="D882" s="834" t="s">
        <v>937</v>
      </c>
      <c r="E882" s="839">
        <v>45824.375</v>
      </c>
      <c r="F882" s="838" t="s">
        <v>140</v>
      </c>
      <c r="G882" s="838">
        <v>2</v>
      </c>
      <c r="H882" s="838" t="s">
        <v>46</v>
      </c>
      <c r="I882" s="838" t="s">
        <v>47</v>
      </c>
      <c r="J882" s="838"/>
      <c r="K882" s="21"/>
      <c r="L882" s="21"/>
      <c r="M882" s="22"/>
      <c r="N882" s="23"/>
      <c r="O882" s="23"/>
      <c r="P882" s="23" t="s">
        <v>30</v>
      </c>
      <c r="Q882" s="23">
        <v>45833</v>
      </c>
      <c r="R882" s="79" t="s">
        <v>67</v>
      </c>
      <c r="S882" s="22" t="s">
        <v>32</v>
      </c>
      <c r="T882" s="229">
        <v>2</v>
      </c>
      <c r="U882" s="24" t="s">
        <v>67</v>
      </c>
      <c r="V882" s="23">
        <v>45833</v>
      </c>
      <c r="W882" s="80"/>
      <c r="X882" s="83"/>
      <c r="Y882" s="85"/>
      <c r="Z882" s="86"/>
      <c r="AA882" s="86"/>
      <c r="AB882" s="776"/>
      <c r="AC882" s="92"/>
      <c r="AD882" s="92"/>
      <c r="AE882" s="92"/>
    </row>
    <row r="883" spans="1:31">
      <c r="A883" s="834" t="s">
        <v>137</v>
      </c>
      <c r="B883" s="835">
        <v>880</v>
      </c>
      <c r="C883" s="838" t="s">
        <v>1408</v>
      </c>
      <c r="D883" s="834" t="s">
        <v>306</v>
      </c>
      <c r="E883" s="839">
        <v>45831.375</v>
      </c>
      <c r="F883" s="838" t="s">
        <v>140</v>
      </c>
      <c r="G883" s="838">
        <v>32</v>
      </c>
      <c r="H883" s="838" t="s">
        <v>938</v>
      </c>
      <c r="I883" s="838" t="s">
        <v>939</v>
      </c>
      <c r="J883" s="838"/>
      <c r="K883" s="21"/>
      <c r="L883" s="21"/>
      <c r="M883" s="22"/>
      <c r="N883" s="23"/>
      <c r="O883" s="23" t="s">
        <v>31</v>
      </c>
      <c r="P883" s="23" t="s">
        <v>30</v>
      </c>
      <c r="Q883" s="23">
        <v>45840</v>
      </c>
      <c r="R883" s="79" t="s">
        <v>67</v>
      </c>
      <c r="S883" s="22" t="s">
        <v>32</v>
      </c>
      <c r="T883" s="229">
        <v>32</v>
      </c>
      <c r="U883" s="24" t="s">
        <v>67</v>
      </c>
      <c r="V883" s="23">
        <v>45840</v>
      </c>
      <c r="W883" s="80"/>
      <c r="X883" s="83"/>
      <c r="Y883" s="85">
        <v>9</v>
      </c>
      <c r="Z883" s="86">
        <v>1</v>
      </c>
      <c r="AA883" s="86">
        <v>22</v>
      </c>
      <c r="AB883">
        <f>SUM(Y883:AA883)</f>
        <v>32</v>
      </c>
      <c r="AC883" s="71">
        <f>+Y883/AB883*AC$1</f>
        <v>1.6875</v>
      </c>
      <c r="AD883" s="92">
        <f>+Z883/AB883*AD$1</f>
        <v>9.375E-2</v>
      </c>
      <c r="AE883" s="92">
        <f>+AA883/AB883*AE$1</f>
        <v>0</v>
      </c>
    </row>
    <row r="884" spans="1:31">
      <c r="A884" s="834" t="s">
        <v>137</v>
      </c>
      <c r="B884" s="835">
        <v>881</v>
      </c>
      <c r="C884" s="838" t="s">
        <v>1409</v>
      </c>
      <c r="D884" s="834" t="s">
        <v>1184</v>
      </c>
      <c r="E884" s="839">
        <v>45831</v>
      </c>
      <c r="F884" s="838" t="s">
        <v>140</v>
      </c>
      <c r="G884" s="838">
        <v>9</v>
      </c>
      <c r="H884" s="838" t="s">
        <v>938</v>
      </c>
      <c r="I884" s="838" t="s">
        <v>939</v>
      </c>
      <c r="J884" s="838"/>
      <c r="K884" s="21"/>
      <c r="L884" s="21"/>
      <c r="M884" s="22"/>
      <c r="N884" s="23"/>
      <c r="O884" s="23"/>
      <c r="P884" s="23" t="s">
        <v>30</v>
      </c>
      <c r="Q884" s="23">
        <v>45840</v>
      </c>
      <c r="R884" s="79" t="s">
        <v>67</v>
      </c>
      <c r="S884" s="22" t="s">
        <v>32</v>
      </c>
      <c r="T884" s="229">
        <v>9</v>
      </c>
      <c r="U884" s="24" t="s">
        <v>67</v>
      </c>
      <c r="V884" s="23">
        <v>45840</v>
      </c>
      <c r="W884" s="80"/>
      <c r="X884" s="83"/>
      <c r="Y884" s="85"/>
      <c r="Z884" s="86"/>
      <c r="AA884" s="86"/>
      <c r="AB884" s="776"/>
      <c r="AC884" s="92"/>
      <c r="AD884" s="92"/>
      <c r="AE884" s="92"/>
    </row>
    <row r="885" spans="1:31">
      <c r="A885" s="834" t="s">
        <v>137</v>
      </c>
      <c r="B885" s="835">
        <v>882</v>
      </c>
      <c r="C885" s="838" t="s">
        <v>1410</v>
      </c>
      <c r="D885" s="834" t="s">
        <v>1250</v>
      </c>
      <c r="E885" s="839">
        <v>45831.375</v>
      </c>
      <c r="F885" s="838" t="s">
        <v>140</v>
      </c>
      <c r="G885" s="838">
        <v>3</v>
      </c>
      <c r="H885" s="838" t="s">
        <v>22</v>
      </c>
      <c r="I885" s="838" t="s">
        <v>28</v>
      </c>
      <c r="J885" s="838"/>
      <c r="K885" s="21"/>
      <c r="L885" s="21"/>
      <c r="M885" s="22"/>
      <c r="N885" s="23"/>
      <c r="O885" s="61"/>
      <c r="P885" s="23" t="s">
        <v>30</v>
      </c>
      <c r="Q885" s="23">
        <v>45840</v>
      </c>
      <c r="R885" s="79" t="s">
        <v>67</v>
      </c>
      <c r="S885" s="22" t="s">
        <v>32</v>
      </c>
      <c r="T885" s="229">
        <v>3</v>
      </c>
      <c r="U885" s="24" t="s">
        <v>67</v>
      </c>
      <c r="V885" s="23">
        <v>45840</v>
      </c>
      <c r="W885" s="80"/>
      <c r="X885" s="83"/>
      <c r="Y885" s="85">
        <v>0</v>
      </c>
      <c r="Z885" s="85">
        <v>23</v>
      </c>
      <c r="AA885" s="85">
        <v>0</v>
      </c>
      <c r="AB885">
        <f>SUM(Y885:AA885)</f>
        <v>23</v>
      </c>
      <c r="AC885" s="71">
        <f>+Y885/AB885*AC$1</f>
        <v>0</v>
      </c>
      <c r="AD885" s="92">
        <f>+Z885/AB885*AD$1</f>
        <v>3</v>
      </c>
      <c r="AE885" s="92">
        <f>+AA885/AB885*AE$1</f>
        <v>0</v>
      </c>
    </row>
    <row r="886" spans="1:31">
      <c r="A886" s="834" t="s">
        <v>137</v>
      </c>
      <c r="B886" s="835">
        <v>883</v>
      </c>
      <c r="C886" s="838" t="s">
        <v>1411</v>
      </c>
      <c r="D886" s="834" t="s">
        <v>829</v>
      </c>
      <c r="E886" s="839">
        <v>45831</v>
      </c>
      <c r="F886" s="838" t="s">
        <v>140</v>
      </c>
      <c r="G886" s="838">
        <v>13</v>
      </c>
      <c r="H886" s="838" t="s">
        <v>938</v>
      </c>
      <c r="I886" s="838" t="s">
        <v>939</v>
      </c>
      <c r="J886" s="838"/>
      <c r="K886" s="21"/>
      <c r="L886" s="21"/>
      <c r="M886" s="22"/>
      <c r="N886" s="23"/>
      <c r="O886" s="61"/>
      <c r="P886" s="23" t="s">
        <v>30</v>
      </c>
      <c r="Q886" s="23">
        <v>45840</v>
      </c>
      <c r="R886" s="79" t="s">
        <v>67</v>
      </c>
      <c r="S886" s="22" t="s">
        <v>32</v>
      </c>
      <c r="T886" s="229">
        <v>13</v>
      </c>
      <c r="U886" s="24" t="s">
        <v>67</v>
      </c>
      <c r="V886" s="23">
        <v>45840</v>
      </c>
      <c r="W886" s="80"/>
      <c r="X886" s="83"/>
      <c r="Y886" s="85">
        <v>10</v>
      </c>
      <c r="Z886" s="85">
        <v>2</v>
      </c>
      <c r="AA886" s="85">
        <v>3</v>
      </c>
      <c r="AB886">
        <f>SUM(Y886:AA886)</f>
        <v>15</v>
      </c>
      <c r="AC886" s="71">
        <f>+Y886/AB886*AC$1</f>
        <v>4</v>
      </c>
      <c r="AD886" s="92">
        <f>+Z886/AB886*AD$1</f>
        <v>0.4</v>
      </c>
      <c r="AE886" s="92">
        <f>+AA886/AB886*AE$1</f>
        <v>0</v>
      </c>
    </row>
    <row r="887" spans="1:31">
      <c r="A887" s="834" t="s">
        <v>137</v>
      </c>
      <c r="B887" s="835">
        <v>884</v>
      </c>
      <c r="C887" s="838" t="s">
        <v>1412</v>
      </c>
      <c r="D887" s="834" t="s">
        <v>950</v>
      </c>
      <c r="E887" s="839">
        <v>45831.375</v>
      </c>
      <c r="F887" s="838" t="s">
        <v>140</v>
      </c>
      <c r="G887" s="838">
        <v>20</v>
      </c>
      <c r="H887" s="838" t="s">
        <v>22</v>
      </c>
      <c r="I887" s="838" t="s">
        <v>28</v>
      </c>
      <c r="J887" s="838"/>
      <c r="K887" s="21"/>
      <c r="L887" s="21"/>
      <c r="M887" s="22"/>
      <c r="N887" s="23"/>
      <c r="O887" s="23" t="s">
        <v>31</v>
      </c>
      <c r="P887" s="23" t="s">
        <v>30</v>
      </c>
      <c r="Q887" s="23">
        <v>45841</v>
      </c>
      <c r="R887" s="79" t="s">
        <v>67</v>
      </c>
      <c r="S887" s="22" t="s">
        <v>32</v>
      </c>
      <c r="T887" s="229">
        <v>21</v>
      </c>
      <c r="U887" s="24" t="s">
        <v>67</v>
      </c>
      <c r="V887" s="23">
        <v>45841</v>
      </c>
      <c r="W887" s="80"/>
      <c r="X887" s="83"/>
      <c r="Y887" s="85">
        <v>0</v>
      </c>
      <c r="Z887" s="85">
        <v>20</v>
      </c>
      <c r="AA887" s="85">
        <v>0</v>
      </c>
      <c r="AB887">
        <f>SUM(Y887:AA887)</f>
        <v>20</v>
      </c>
      <c r="AC887" s="71">
        <f>+Y887/AB887*AC$1</f>
        <v>0</v>
      </c>
      <c r="AD887" s="92">
        <f>+Z887/AB887*AD$1</f>
        <v>3</v>
      </c>
      <c r="AE887" s="92">
        <f>+AA887/AB887*AE$1</f>
        <v>0</v>
      </c>
    </row>
    <row r="888" spans="1:31">
      <c r="A888" s="834" t="s">
        <v>137</v>
      </c>
      <c r="B888" s="835">
        <v>885</v>
      </c>
      <c r="C888" s="838" t="s">
        <v>1413</v>
      </c>
      <c r="D888" s="834" t="s">
        <v>969</v>
      </c>
      <c r="E888" s="839">
        <v>45831.375</v>
      </c>
      <c r="F888" s="838" t="s">
        <v>140</v>
      </c>
      <c r="G888" s="838">
        <v>5</v>
      </c>
      <c r="H888" s="838" t="s">
        <v>46</v>
      </c>
      <c r="I888" s="838" t="s">
        <v>47</v>
      </c>
      <c r="J888" s="838"/>
      <c r="K888" s="21"/>
      <c r="L888" s="21"/>
      <c r="M888" s="22"/>
      <c r="N888" s="23"/>
      <c r="O888" s="23"/>
      <c r="P888" s="23" t="s">
        <v>30</v>
      </c>
      <c r="Q888" s="23">
        <v>45840</v>
      </c>
      <c r="R888" s="79" t="s">
        <v>67</v>
      </c>
      <c r="S888" s="22" t="s">
        <v>32</v>
      </c>
      <c r="T888" s="229">
        <v>5</v>
      </c>
      <c r="U888" s="24" t="s">
        <v>67</v>
      </c>
      <c r="V888" s="23">
        <v>45840</v>
      </c>
      <c r="W888" s="80"/>
      <c r="X888" s="83"/>
      <c r="Y888" s="85"/>
      <c r="Z888" s="85"/>
      <c r="AA888" s="85"/>
      <c r="AC888" s="71"/>
      <c r="AD888" s="92"/>
      <c r="AE888" s="92"/>
    </row>
    <row r="889" spans="1:31">
      <c r="A889" s="834" t="s">
        <v>137</v>
      </c>
      <c r="B889" s="835">
        <v>886</v>
      </c>
      <c r="C889" s="838" t="s">
        <v>1414</v>
      </c>
      <c r="D889" s="834" t="s">
        <v>1238</v>
      </c>
      <c r="E889" s="839">
        <v>45831</v>
      </c>
      <c r="F889" s="838" t="s">
        <v>140</v>
      </c>
      <c r="G889" s="838">
        <v>2</v>
      </c>
      <c r="H889" s="838" t="s">
        <v>21</v>
      </c>
      <c r="I889" s="838" t="s">
        <v>127</v>
      </c>
      <c r="J889" s="838"/>
      <c r="K889" s="21"/>
      <c r="L889" s="21"/>
      <c r="M889" s="22"/>
      <c r="N889" s="23"/>
      <c r="O889" s="23"/>
      <c r="P889" s="23" t="s">
        <v>30</v>
      </c>
      <c r="Q889" s="23">
        <v>45840</v>
      </c>
      <c r="R889" s="79" t="s">
        <v>67</v>
      </c>
      <c r="S889" s="22" t="s">
        <v>32</v>
      </c>
      <c r="T889" s="229">
        <v>2</v>
      </c>
      <c r="U889" s="24" t="s">
        <v>67</v>
      </c>
      <c r="V889" s="23">
        <v>45840</v>
      </c>
      <c r="W889" s="80"/>
      <c r="X889" s="83"/>
      <c r="Y889" s="85"/>
      <c r="Z889" s="85"/>
      <c r="AA889" s="85"/>
      <c r="AC889" s="71"/>
      <c r="AD889" s="92"/>
      <c r="AE889" s="92"/>
    </row>
    <row r="890" spans="1:31">
      <c r="A890" s="834" t="s">
        <v>137</v>
      </c>
      <c r="B890" s="835">
        <v>887</v>
      </c>
      <c r="C890" s="838" t="s">
        <v>1415</v>
      </c>
      <c r="D890" s="834" t="s">
        <v>937</v>
      </c>
      <c r="E890" s="839">
        <v>45831.083333333336</v>
      </c>
      <c r="F890" s="838" t="s">
        <v>140</v>
      </c>
      <c r="G890" s="838">
        <v>11</v>
      </c>
      <c r="H890" s="838" t="s">
        <v>78</v>
      </c>
      <c r="I890" s="838" t="s">
        <v>1206</v>
      </c>
      <c r="J890" s="838"/>
      <c r="K890" s="21"/>
      <c r="L890" s="21"/>
      <c r="M890" s="22"/>
      <c r="N890" s="23"/>
      <c r="O890" s="23"/>
      <c r="P890" s="23" t="s">
        <v>30</v>
      </c>
      <c r="Q890" s="23">
        <v>45841</v>
      </c>
      <c r="R890" s="79" t="s">
        <v>67</v>
      </c>
      <c r="S890" s="22" t="s">
        <v>32</v>
      </c>
      <c r="T890" s="229">
        <v>19</v>
      </c>
      <c r="U890" s="24" t="s">
        <v>67</v>
      </c>
      <c r="V890" s="23">
        <v>45841</v>
      </c>
      <c r="W890" s="80"/>
      <c r="X890" s="83"/>
      <c r="Y890" s="85"/>
      <c r="Z890" s="85"/>
      <c r="AA890" s="85"/>
      <c r="AC890" s="71"/>
      <c r="AD890" s="92"/>
      <c r="AE890" s="92"/>
    </row>
    <row r="891" spans="1:31">
      <c r="A891" s="834" t="s">
        <v>137</v>
      </c>
      <c r="B891" s="835">
        <v>888</v>
      </c>
      <c r="C891" s="838" t="s">
        <v>1416</v>
      </c>
      <c r="D891" s="834" t="s">
        <v>798</v>
      </c>
      <c r="E891" s="839">
        <v>45831.041666666664</v>
      </c>
      <c r="F891" s="838" t="s">
        <v>140</v>
      </c>
      <c r="G891" s="838">
        <v>1</v>
      </c>
      <c r="H891" s="838" t="s">
        <v>21</v>
      </c>
      <c r="I891" s="838" t="s">
        <v>127</v>
      </c>
      <c r="J891" s="838"/>
      <c r="K891" s="21"/>
      <c r="L891" s="21"/>
      <c r="M891" s="22"/>
      <c r="N891" s="23"/>
      <c r="O891" s="61"/>
      <c r="P891" s="23" t="s">
        <v>30</v>
      </c>
      <c r="Q891" s="23">
        <v>45841</v>
      </c>
      <c r="R891" s="79" t="s">
        <v>67</v>
      </c>
      <c r="S891" s="22" t="s">
        <v>32</v>
      </c>
      <c r="T891" s="229">
        <v>1</v>
      </c>
      <c r="U891" s="24" t="s">
        <v>67</v>
      </c>
      <c r="V891" s="23">
        <v>45841</v>
      </c>
      <c r="W891" s="80"/>
      <c r="X891" s="83"/>
      <c r="Y891" s="85"/>
      <c r="Z891" s="86"/>
      <c r="AA891" s="86"/>
      <c r="AB891" s="776"/>
      <c r="AC891" s="71"/>
      <c r="AD891" s="92"/>
      <c r="AE891" s="92"/>
    </row>
    <row r="892" spans="1:31">
      <c r="A892" s="834" t="s">
        <v>137</v>
      </c>
      <c r="B892" s="835">
        <v>889</v>
      </c>
      <c r="C892" s="838" t="s">
        <v>1417</v>
      </c>
      <c r="D892" s="834" t="s">
        <v>1025</v>
      </c>
      <c r="E892" s="839">
        <v>45838.375</v>
      </c>
      <c r="F892" s="838" t="s">
        <v>140</v>
      </c>
      <c r="G892" s="838">
        <v>1</v>
      </c>
      <c r="H892" s="838" t="s">
        <v>46</v>
      </c>
      <c r="I892" s="838" t="s">
        <v>47</v>
      </c>
      <c r="J892" s="838"/>
      <c r="K892" s="98" t="s">
        <v>1378</v>
      </c>
      <c r="L892" s="21"/>
      <c r="M892" s="22"/>
      <c r="N892" s="23"/>
      <c r="O892" s="23"/>
      <c r="P892" s="23"/>
      <c r="Q892" s="23"/>
      <c r="R892" s="79" t="s">
        <v>67</v>
      </c>
      <c r="S892" s="22"/>
      <c r="T892" s="229"/>
      <c r="U892" s="24" t="s">
        <v>67</v>
      </c>
      <c r="V892" s="23"/>
      <c r="W892" s="840"/>
      <c r="X892" s="832"/>
      <c r="Y892" s="85"/>
      <c r="Z892" s="86"/>
      <c r="AA892" s="86"/>
      <c r="AB892" s="84"/>
      <c r="AC892" s="71"/>
      <c r="AD892" s="92"/>
      <c r="AE892" s="92"/>
    </row>
    <row r="893" spans="1:31">
      <c r="A893" s="834" t="s">
        <v>137</v>
      </c>
      <c r="B893" s="835">
        <v>890</v>
      </c>
      <c r="C893" s="838" t="s">
        <v>1418</v>
      </c>
      <c r="D893" s="834" t="s">
        <v>1184</v>
      </c>
      <c r="E893" s="839">
        <v>45838.375</v>
      </c>
      <c r="F893" s="838" t="s">
        <v>140</v>
      </c>
      <c r="G893" s="838">
        <v>7</v>
      </c>
      <c r="H893" s="838" t="s">
        <v>46</v>
      </c>
      <c r="I893" s="838" t="s">
        <v>47</v>
      </c>
      <c r="J893" s="838"/>
      <c r="K893" s="21"/>
      <c r="L893" s="21"/>
      <c r="M893" s="22"/>
      <c r="N893" s="23"/>
      <c r="O893" s="23"/>
      <c r="P893" s="23" t="s">
        <v>30</v>
      </c>
      <c r="Q893" s="23">
        <v>45847</v>
      </c>
      <c r="R893" s="79" t="s">
        <v>67</v>
      </c>
      <c r="S893" s="22" t="s">
        <v>32</v>
      </c>
      <c r="T893" s="229">
        <v>7</v>
      </c>
      <c r="U893" s="24" t="s">
        <v>67</v>
      </c>
      <c r="V893" s="23">
        <v>45847</v>
      </c>
      <c r="W893" s="840"/>
      <c r="X893" s="832"/>
      <c r="Y893" s="85"/>
      <c r="Z893" s="85"/>
      <c r="AA893" s="85"/>
      <c r="AC893" s="71"/>
      <c r="AD893" s="92"/>
      <c r="AE893" s="92"/>
    </row>
    <row r="894" spans="1:31">
      <c r="A894" s="834" t="s">
        <v>137</v>
      </c>
      <c r="B894" s="835">
        <v>891</v>
      </c>
      <c r="C894" s="838" t="s">
        <v>1419</v>
      </c>
      <c r="D894" s="834" t="s">
        <v>846</v>
      </c>
      <c r="E894" s="839">
        <v>45838</v>
      </c>
      <c r="F894" s="838" t="s">
        <v>140</v>
      </c>
      <c r="G894" s="838">
        <v>3</v>
      </c>
      <c r="H894" s="838" t="s">
        <v>21</v>
      </c>
      <c r="I894" s="838" t="s">
        <v>127</v>
      </c>
      <c r="J894" s="838"/>
      <c r="K894" s="98"/>
      <c r="L894" s="21"/>
      <c r="M894" s="22"/>
      <c r="N894" s="23"/>
      <c r="O894" s="23"/>
      <c r="P894" s="23" t="s">
        <v>30</v>
      </c>
      <c r="Q894" s="23">
        <v>45869</v>
      </c>
      <c r="R894" s="79" t="s">
        <v>67</v>
      </c>
      <c r="S894" s="22" t="s">
        <v>32</v>
      </c>
      <c r="T894" s="229">
        <v>3</v>
      </c>
      <c r="U894" s="24" t="s">
        <v>67</v>
      </c>
      <c r="V894" s="23">
        <v>45869</v>
      </c>
      <c r="W894" s="80"/>
      <c r="X894" s="83"/>
      <c r="Y894" s="85"/>
      <c r="Z894" s="85"/>
      <c r="AA894" s="85"/>
      <c r="AB894" s="84"/>
      <c r="AC894" s="71"/>
      <c r="AD894" s="92"/>
      <c r="AE894" s="92"/>
    </row>
    <row r="895" spans="1:31">
      <c r="A895" s="834" t="s">
        <v>137</v>
      </c>
      <c r="B895" s="835">
        <v>892</v>
      </c>
      <c r="C895" s="838" t="s">
        <v>1420</v>
      </c>
      <c r="D895" s="834" t="s">
        <v>829</v>
      </c>
      <c r="E895" s="839">
        <v>45838.375</v>
      </c>
      <c r="F895" s="838" t="s">
        <v>140</v>
      </c>
      <c r="G895" s="838">
        <v>18</v>
      </c>
      <c r="H895" s="838" t="s">
        <v>78</v>
      </c>
      <c r="I895" s="838" t="s">
        <v>1206</v>
      </c>
      <c r="J895" s="838"/>
      <c r="K895" s="21"/>
      <c r="L895" s="21"/>
      <c r="M895" s="22"/>
      <c r="N895" s="23"/>
      <c r="O895" s="23" t="s">
        <v>31</v>
      </c>
      <c r="P895" s="23" t="s">
        <v>30</v>
      </c>
      <c r="Q895" s="23">
        <v>45848</v>
      </c>
      <c r="R895" s="79" t="s">
        <v>67</v>
      </c>
      <c r="S895" s="22" t="s">
        <v>32</v>
      </c>
      <c r="T895" s="229">
        <v>18</v>
      </c>
      <c r="U895" s="24" t="s">
        <v>67</v>
      </c>
      <c r="V895" s="23">
        <v>45848</v>
      </c>
      <c r="W895" s="840"/>
      <c r="X895" s="832"/>
      <c r="Y895" s="85">
        <v>1</v>
      </c>
      <c r="Z895" s="85">
        <v>0</v>
      </c>
      <c r="AA895" s="85">
        <v>17</v>
      </c>
      <c r="AB895">
        <f>SUM(Y895:AA895)</f>
        <v>18</v>
      </c>
      <c r="AC895" s="71">
        <f>+Y895/AB895*AC$1</f>
        <v>0.33333333333333331</v>
      </c>
      <c r="AD895" s="92">
        <f>+Z895/AB895*AD$1</f>
        <v>0</v>
      </c>
      <c r="AE895" s="92">
        <f>+AA895/AB895*AE$1</f>
        <v>0</v>
      </c>
    </row>
    <row r="896" spans="1:31">
      <c r="A896" s="834" t="s">
        <v>137</v>
      </c>
      <c r="B896" s="835">
        <v>893</v>
      </c>
      <c r="C896" s="838" t="s">
        <v>1421</v>
      </c>
      <c r="D896" s="834" t="s">
        <v>1230</v>
      </c>
      <c r="E896" s="839">
        <v>45838.375</v>
      </c>
      <c r="F896" s="838" t="s">
        <v>140</v>
      </c>
      <c r="G896" s="838">
        <v>2</v>
      </c>
      <c r="H896" s="838" t="s">
        <v>21</v>
      </c>
      <c r="I896" s="838" t="s">
        <v>127</v>
      </c>
      <c r="J896" s="838"/>
      <c r="K896" s="21"/>
      <c r="L896" s="21"/>
      <c r="M896" s="22"/>
      <c r="N896" s="23"/>
      <c r="O896" s="61"/>
      <c r="P896" s="23" t="s">
        <v>30</v>
      </c>
      <c r="Q896" s="23">
        <v>45848</v>
      </c>
      <c r="R896" s="79" t="s">
        <v>67</v>
      </c>
      <c r="S896" s="22" t="s">
        <v>32</v>
      </c>
      <c r="T896" s="229">
        <v>2</v>
      </c>
      <c r="U896" s="24" t="s">
        <v>67</v>
      </c>
      <c r="V896" s="23">
        <v>45848</v>
      </c>
      <c r="W896" s="840"/>
      <c r="X896" s="832"/>
      <c r="Y896" s="85"/>
      <c r="Z896" s="85"/>
      <c r="AA896" s="85"/>
      <c r="AC896" s="71"/>
      <c r="AD896" s="92"/>
      <c r="AE896" s="92"/>
    </row>
    <row r="897" spans="1:31">
      <c r="A897" s="834" t="s">
        <v>137</v>
      </c>
      <c r="B897" s="835">
        <v>894</v>
      </c>
      <c r="C897" s="838" t="s">
        <v>1422</v>
      </c>
      <c r="D897" s="834" t="s">
        <v>315</v>
      </c>
      <c r="E897" s="839">
        <v>45838.375</v>
      </c>
      <c r="F897" s="838" t="s">
        <v>140</v>
      </c>
      <c r="G897" s="838">
        <v>2</v>
      </c>
      <c r="H897" s="838" t="s">
        <v>21</v>
      </c>
      <c r="I897" s="838" t="s">
        <v>127</v>
      </c>
      <c r="J897" s="838"/>
      <c r="K897" s="21"/>
      <c r="L897" s="21"/>
      <c r="M897" s="22"/>
      <c r="N897" s="23"/>
      <c r="O897" s="61"/>
      <c r="P897" s="23" t="s">
        <v>30</v>
      </c>
      <c r="Q897" s="23">
        <v>45848</v>
      </c>
      <c r="R897" s="79" t="s">
        <v>67</v>
      </c>
      <c r="S897" s="22" t="s">
        <v>32</v>
      </c>
      <c r="T897" s="229">
        <v>2</v>
      </c>
      <c r="U897" s="24" t="s">
        <v>67</v>
      </c>
      <c r="V897" s="23">
        <v>45848</v>
      </c>
      <c r="W897" s="80"/>
      <c r="X897" s="83"/>
      <c r="Y897" s="85"/>
      <c r="Z897" s="85"/>
      <c r="AA897" s="85"/>
      <c r="AC897" s="71"/>
      <c r="AD897" s="92"/>
      <c r="AE897" s="92"/>
    </row>
    <row r="898" spans="1:31">
      <c r="A898" s="834" t="s">
        <v>137</v>
      </c>
      <c r="B898" s="835">
        <v>895</v>
      </c>
      <c r="C898" s="838" t="s">
        <v>1423</v>
      </c>
      <c r="D898" s="834" t="s">
        <v>1424</v>
      </c>
      <c r="E898" s="839">
        <v>45838.375</v>
      </c>
      <c r="F898" s="838" t="s">
        <v>140</v>
      </c>
      <c r="G898" s="838">
        <v>2</v>
      </c>
      <c r="H898" s="838" t="s">
        <v>21</v>
      </c>
      <c r="I898" s="838" t="s">
        <v>127</v>
      </c>
      <c r="J898" s="838"/>
      <c r="K898" s="21"/>
      <c r="L898" s="21"/>
      <c r="M898" s="22"/>
      <c r="N898" s="23"/>
      <c r="O898" s="61"/>
      <c r="P898" s="23" t="s">
        <v>30</v>
      </c>
      <c r="Q898" s="23">
        <v>45848</v>
      </c>
      <c r="R898" s="79" t="s">
        <v>67</v>
      </c>
      <c r="S898" s="22" t="s">
        <v>32</v>
      </c>
      <c r="T898" s="229">
        <v>2</v>
      </c>
      <c r="U898" s="24" t="s">
        <v>67</v>
      </c>
      <c r="V898" s="23">
        <v>45848</v>
      </c>
      <c r="W898" s="80"/>
      <c r="X898" s="83"/>
      <c r="Y898" s="85"/>
      <c r="Z898" s="85"/>
      <c r="AA898" s="85"/>
      <c r="AC898" s="71"/>
      <c r="AD898" s="92"/>
      <c r="AE898" s="92"/>
    </row>
    <row r="899" spans="1:31">
      <c r="A899" s="834" t="s">
        <v>137</v>
      </c>
      <c r="B899" s="835">
        <v>896</v>
      </c>
      <c r="C899" s="838" t="s">
        <v>1425</v>
      </c>
      <c r="D899" s="834" t="s">
        <v>1426</v>
      </c>
      <c r="E899" s="839">
        <v>45838.375</v>
      </c>
      <c r="F899" s="838" t="s">
        <v>140</v>
      </c>
      <c r="G899" s="838">
        <v>7</v>
      </c>
      <c r="H899" s="838" t="s">
        <v>21</v>
      </c>
      <c r="I899" s="838" t="s">
        <v>127</v>
      </c>
      <c r="J899" s="838"/>
      <c r="K899" s="21"/>
      <c r="L899" s="21"/>
      <c r="M899" s="22"/>
      <c r="N899" s="23"/>
      <c r="O899" s="61"/>
      <c r="P899" s="23" t="s">
        <v>30</v>
      </c>
      <c r="Q899" s="23">
        <v>45848</v>
      </c>
      <c r="R899" s="79" t="s">
        <v>67</v>
      </c>
      <c r="S899" s="22" t="s">
        <v>32</v>
      </c>
      <c r="T899" s="229">
        <v>10</v>
      </c>
      <c r="U899" s="24" t="s">
        <v>67</v>
      </c>
      <c r="V899" s="23">
        <v>45848</v>
      </c>
      <c r="W899" s="80"/>
      <c r="X899" s="83"/>
      <c r="Y899" s="85"/>
      <c r="Z899" s="85"/>
      <c r="AA899" s="85"/>
      <c r="AC899" s="71"/>
      <c r="AD899" s="92"/>
      <c r="AE899" s="92"/>
    </row>
    <row r="900" spans="1:31">
      <c r="A900" s="834" t="s">
        <v>137</v>
      </c>
      <c r="B900" s="835">
        <v>897</v>
      </c>
      <c r="C900" s="838" t="s">
        <v>1427</v>
      </c>
      <c r="D900" s="834" t="s">
        <v>1198</v>
      </c>
      <c r="E900" s="839">
        <v>45838.375</v>
      </c>
      <c r="F900" s="838" t="s">
        <v>140</v>
      </c>
      <c r="G900" s="838">
        <v>2</v>
      </c>
      <c r="H900" s="838" t="s">
        <v>21</v>
      </c>
      <c r="I900" s="838" t="s">
        <v>127</v>
      </c>
      <c r="J900" s="838"/>
      <c r="K900" s="21"/>
      <c r="L900" s="21"/>
      <c r="M900" s="22"/>
      <c r="N900" s="23"/>
      <c r="O900" s="61"/>
      <c r="P900" s="23" t="s">
        <v>30</v>
      </c>
      <c r="Q900" s="23">
        <v>45848</v>
      </c>
      <c r="R900" s="79" t="s">
        <v>67</v>
      </c>
      <c r="S900" s="22" t="s">
        <v>32</v>
      </c>
      <c r="T900" s="229">
        <v>2</v>
      </c>
      <c r="U900" s="24" t="s">
        <v>67</v>
      </c>
      <c r="V900" s="23">
        <v>45848</v>
      </c>
      <c r="W900" s="80"/>
      <c r="X900" s="83"/>
      <c r="Y900" s="85"/>
      <c r="Z900" s="86"/>
      <c r="AA900" s="86"/>
      <c r="AB900" s="776"/>
      <c r="AC900" s="71"/>
      <c r="AD900" s="92"/>
      <c r="AE900" s="92"/>
    </row>
    <row r="901" spans="1:31">
      <c r="A901" s="834" t="s">
        <v>137</v>
      </c>
      <c r="B901" s="835">
        <v>898</v>
      </c>
      <c r="C901" s="838" t="s">
        <v>1428</v>
      </c>
      <c r="D901" s="834" t="s">
        <v>1228</v>
      </c>
      <c r="E901" s="839">
        <v>45838.375</v>
      </c>
      <c r="F901" s="838" t="s">
        <v>140</v>
      </c>
      <c r="G901" s="838">
        <v>2</v>
      </c>
      <c r="H901" s="838" t="s">
        <v>21</v>
      </c>
      <c r="I901" s="838" t="s">
        <v>127</v>
      </c>
      <c r="J901" s="838"/>
      <c r="K901" s="21"/>
      <c r="L901" s="21"/>
      <c r="M901" s="22"/>
      <c r="N901" s="23"/>
      <c r="O901" s="61"/>
      <c r="P901" s="23" t="s">
        <v>30</v>
      </c>
      <c r="Q901" s="23">
        <v>45848</v>
      </c>
      <c r="R901" s="79" t="s">
        <v>67</v>
      </c>
      <c r="S901" s="22" t="s">
        <v>32</v>
      </c>
      <c r="T901" s="229">
        <v>2</v>
      </c>
      <c r="U901" s="24" t="s">
        <v>67</v>
      </c>
      <c r="V901" s="23">
        <v>45848</v>
      </c>
      <c r="W901" s="80"/>
      <c r="X901" s="83"/>
      <c r="Y901" s="85"/>
      <c r="Z901" s="86"/>
      <c r="AA901" s="86"/>
      <c r="AB901" s="776"/>
      <c r="AC901" s="71"/>
      <c r="AD901" s="92"/>
      <c r="AE901" s="92"/>
    </row>
    <row r="902" spans="1:31">
      <c r="A902" s="834" t="s">
        <v>137</v>
      </c>
      <c r="B902" s="835">
        <v>899</v>
      </c>
      <c r="C902" s="838" t="s">
        <v>1429</v>
      </c>
      <c r="D902" s="834" t="s">
        <v>1198</v>
      </c>
      <c r="E902" s="839">
        <v>45810.375</v>
      </c>
      <c r="F902" s="838" t="s">
        <v>140</v>
      </c>
      <c r="G902" s="838">
        <v>23</v>
      </c>
      <c r="H902" s="838" t="s">
        <v>301</v>
      </c>
      <c r="I902" s="838" t="s">
        <v>760</v>
      </c>
      <c r="J902" s="838"/>
      <c r="K902" s="21"/>
      <c r="L902" s="21"/>
      <c r="M902" s="22"/>
      <c r="N902" s="23"/>
      <c r="O902" s="23" t="s">
        <v>31</v>
      </c>
      <c r="P902" s="23" t="s">
        <v>30</v>
      </c>
      <c r="Q902" s="23">
        <v>45869</v>
      </c>
      <c r="R902" s="79" t="s">
        <v>67</v>
      </c>
      <c r="S902" s="22" t="s">
        <v>32</v>
      </c>
      <c r="T902" s="229">
        <v>12</v>
      </c>
      <c r="U902" s="24" t="s">
        <v>67</v>
      </c>
      <c r="V902" s="23">
        <v>45869</v>
      </c>
      <c r="W902" s="840"/>
      <c r="X902" s="832"/>
      <c r="Y902" s="85">
        <v>0</v>
      </c>
      <c r="Z902" s="86">
        <v>9</v>
      </c>
      <c r="AA902" s="86">
        <v>14</v>
      </c>
      <c r="AB902">
        <f>SUM(Y902:AA902)</f>
        <v>23</v>
      </c>
      <c r="AC902" s="71">
        <f>+Y902/AB902*AC$1</f>
        <v>0</v>
      </c>
      <c r="AD902" s="92">
        <f>+Z902/AB902*AD$1</f>
        <v>1.173913043478261</v>
      </c>
      <c r="AE902" s="92">
        <f>+AA902/AB902*AE$1</f>
        <v>0</v>
      </c>
    </row>
    <row r="903" spans="1:31">
      <c r="A903" s="834" t="s">
        <v>137</v>
      </c>
      <c r="B903" s="835">
        <v>900</v>
      </c>
      <c r="C903" s="838" t="s">
        <v>1430</v>
      </c>
      <c r="D903" s="834" t="s">
        <v>937</v>
      </c>
      <c r="E903" s="839">
        <v>45810.375</v>
      </c>
      <c r="F903" s="838" t="s">
        <v>140</v>
      </c>
      <c r="G903" s="838">
        <v>75</v>
      </c>
      <c r="H903" s="838" t="s">
        <v>141</v>
      </c>
      <c r="I903" s="838" t="s">
        <v>819</v>
      </c>
      <c r="J903" s="838"/>
      <c r="K903" s="21"/>
      <c r="L903" s="21"/>
      <c r="M903" s="22"/>
      <c r="N903" s="23"/>
      <c r="O903" s="23" t="s">
        <v>31</v>
      </c>
      <c r="P903" s="23" t="s">
        <v>30</v>
      </c>
      <c r="Q903" s="23">
        <v>45819</v>
      </c>
      <c r="R903" s="79" t="s">
        <v>67</v>
      </c>
      <c r="S903" s="22" t="s">
        <v>32</v>
      </c>
      <c r="T903" s="229">
        <v>75</v>
      </c>
      <c r="U903" s="24" t="s">
        <v>67</v>
      </c>
      <c r="V903" s="23">
        <v>45819</v>
      </c>
      <c r="W903" s="80"/>
      <c r="X903" s="83"/>
      <c r="Y903" s="85">
        <v>1</v>
      </c>
      <c r="Z903" s="85">
        <v>74</v>
      </c>
      <c r="AA903" s="85">
        <v>0</v>
      </c>
      <c r="AB903">
        <f>SUM(Y903:AA903)</f>
        <v>75</v>
      </c>
      <c r="AC903" s="71">
        <f>+Y903/AB903*AC$1</f>
        <v>0.08</v>
      </c>
      <c r="AD903" s="92">
        <f>+Z903/AB903*AD$1</f>
        <v>2.96</v>
      </c>
      <c r="AE903" s="92">
        <f>+AA903/AB903*AE$1</f>
        <v>0</v>
      </c>
    </row>
    <row r="904" spans="1:31">
      <c r="A904" s="834" t="s">
        <v>137</v>
      </c>
      <c r="B904" s="835">
        <v>901</v>
      </c>
      <c r="C904" s="838" t="s">
        <v>1431</v>
      </c>
      <c r="D904" s="834" t="s">
        <v>829</v>
      </c>
      <c r="E904" s="839">
        <v>45810.375</v>
      </c>
      <c r="F904" s="838" t="s">
        <v>140</v>
      </c>
      <c r="G904" s="838">
        <v>11</v>
      </c>
      <c r="H904" s="838" t="s">
        <v>21</v>
      </c>
      <c r="I904" s="838" t="s">
        <v>127</v>
      </c>
      <c r="J904" s="838"/>
      <c r="K904" s="21"/>
      <c r="L904" s="21"/>
      <c r="M904" s="22"/>
      <c r="N904" s="23"/>
      <c r="O904" s="61"/>
      <c r="P904" s="23" t="s">
        <v>30</v>
      </c>
      <c r="Q904" s="23">
        <v>45819</v>
      </c>
      <c r="R904" s="79" t="s">
        <v>67</v>
      </c>
      <c r="S904" s="22" t="s">
        <v>32</v>
      </c>
      <c r="T904" s="229">
        <v>11</v>
      </c>
      <c r="U904" s="24" t="s">
        <v>67</v>
      </c>
      <c r="V904" s="23">
        <v>45819</v>
      </c>
      <c r="W904" s="80"/>
      <c r="X904" s="83"/>
      <c r="Y904"/>
      <c r="Z904"/>
      <c r="AA904"/>
      <c r="AC904" s="71"/>
      <c r="AD904" s="92"/>
      <c r="AE904" s="92"/>
    </row>
    <row r="905" spans="1:31">
      <c r="A905" s="834" t="s">
        <v>137</v>
      </c>
      <c r="B905" s="835">
        <v>902</v>
      </c>
      <c r="C905" s="838" t="s">
        <v>1432</v>
      </c>
      <c r="D905" s="834" t="s">
        <v>779</v>
      </c>
      <c r="E905" s="839">
        <v>45810.375</v>
      </c>
      <c r="F905" s="838" t="s">
        <v>140</v>
      </c>
      <c r="G905" s="838">
        <v>2</v>
      </c>
      <c r="H905" s="838" t="s">
        <v>46</v>
      </c>
      <c r="I905" s="838" t="s">
        <v>47</v>
      </c>
      <c r="J905" s="838"/>
      <c r="K905" s="21"/>
      <c r="L905" s="21"/>
      <c r="M905" s="22"/>
      <c r="N905" s="23"/>
      <c r="O905" s="23"/>
      <c r="P905" s="23" t="s">
        <v>30</v>
      </c>
      <c r="Q905" s="23">
        <v>45842</v>
      </c>
      <c r="R905" s="79" t="s">
        <v>67</v>
      </c>
      <c r="S905" s="22" t="s">
        <v>32</v>
      </c>
      <c r="T905" s="229">
        <v>2</v>
      </c>
      <c r="U905" s="24" t="s">
        <v>67</v>
      </c>
      <c r="V905" s="23">
        <v>45842</v>
      </c>
      <c r="W905" s="80"/>
      <c r="X905" s="83"/>
      <c r="Y905"/>
      <c r="Z905"/>
      <c r="AA905"/>
      <c r="AC905" s="71"/>
      <c r="AD905" s="92"/>
      <c r="AE905" s="92"/>
    </row>
    <row r="906" spans="1:31">
      <c r="A906" s="834" t="s">
        <v>137</v>
      </c>
      <c r="B906" s="835">
        <v>903</v>
      </c>
      <c r="C906" s="838" t="s">
        <v>1433</v>
      </c>
      <c r="D906" s="834" t="s">
        <v>865</v>
      </c>
      <c r="E906" s="839">
        <v>45810.041666666664</v>
      </c>
      <c r="F906" s="838" t="s">
        <v>140</v>
      </c>
      <c r="G906" s="838">
        <v>2</v>
      </c>
      <c r="H906" s="838" t="s">
        <v>21</v>
      </c>
      <c r="I906" s="838" t="s">
        <v>127</v>
      </c>
      <c r="J906" s="838"/>
      <c r="K906" s="21"/>
      <c r="L906" s="21"/>
      <c r="M906" s="22"/>
      <c r="N906" s="23"/>
      <c r="O906" s="61"/>
      <c r="P906" s="23" t="s">
        <v>30</v>
      </c>
      <c r="Q906" s="23">
        <v>45817</v>
      </c>
      <c r="R906" s="79" t="s">
        <v>67</v>
      </c>
      <c r="S906" s="22" t="s">
        <v>32</v>
      </c>
      <c r="T906" s="229">
        <v>1</v>
      </c>
      <c r="U906" s="24" t="s">
        <v>67</v>
      </c>
      <c r="V906" s="23">
        <v>45817</v>
      </c>
      <c r="W906" s="80"/>
      <c r="X906" s="83"/>
      <c r="Y906"/>
      <c r="Z906"/>
      <c r="AA906"/>
      <c r="AC906" s="71"/>
      <c r="AD906" s="92"/>
      <c r="AE906" s="92"/>
    </row>
    <row r="907" spans="1:31">
      <c r="A907" s="834" t="s">
        <v>137</v>
      </c>
      <c r="B907" s="835">
        <v>904</v>
      </c>
      <c r="C907" s="838" t="s">
        <v>1434</v>
      </c>
      <c r="D907" s="834" t="s">
        <v>1245</v>
      </c>
      <c r="E907" s="839">
        <v>45810.375</v>
      </c>
      <c r="F907" s="838" t="s">
        <v>140</v>
      </c>
      <c r="G907" s="838">
        <v>1</v>
      </c>
      <c r="H907" s="838" t="s">
        <v>21</v>
      </c>
      <c r="I907" s="838" t="s">
        <v>127</v>
      </c>
      <c r="J907" s="838"/>
      <c r="K907" s="21"/>
      <c r="L907" s="21"/>
      <c r="M907" s="22"/>
      <c r="N907" s="23"/>
      <c r="O907" s="61"/>
      <c r="P907" s="23" t="s">
        <v>30</v>
      </c>
      <c r="Q907" s="23">
        <v>45826</v>
      </c>
      <c r="R907" s="79" t="s">
        <v>67</v>
      </c>
      <c r="S907" s="22" t="s">
        <v>32</v>
      </c>
      <c r="T907" s="229">
        <v>1</v>
      </c>
      <c r="U907" s="24" t="s">
        <v>67</v>
      </c>
      <c r="V907" s="23">
        <v>45826</v>
      </c>
      <c r="W907" s="840"/>
      <c r="X907" s="832"/>
      <c r="Y907"/>
      <c r="Z907"/>
      <c r="AA907"/>
      <c r="AC907" s="71"/>
      <c r="AD907" s="92"/>
      <c r="AE907" s="92"/>
    </row>
    <row r="908" spans="1:31">
      <c r="A908" s="834" t="s">
        <v>137</v>
      </c>
      <c r="B908" s="835">
        <v>905</v>
      </c>
      <c r="C908" s="838" t="s">
        <v>1435</v>
      </c>
      <c r="D908" s="834" t="s">
        <v>215</v>
      </c>
      <c r="E908" s="839">
        <v>45817.375</v>
      </c>
      <c r="F908" s="838" t="s">
        <v>140</v>
      </c>
      <c r="G908" s="838">
        <v>5</v>
      </c>
      <c r="H908" s="838" t="s">
        <v>21</v>
      </c>
      <c r="I908" s="838" t="s">
        <v>127</v>
      </c>
      <c r="J908" s="838"/>
      <c r="K908" s="21"/>
      <c r="L908" s="21"/>
      <c r="M908" s="22"/>
      <c r="N908" s="23"/>
      <c r="O908" s="61"/>
      <c r="P908" s="23" t="s">
        <v>30</v>
      </c>
      <c r="Q908" s="23">
        <v>45835</v>
      </c>
      <c r="R908" s="79" t="s">
        <v>67</v>
      </c>
      <c r="S908" s="22" t="s">
        <v>32</v>
      </c>
      <c r="T908" s="229">
        <v>5</v>
      </c>
      <c r="U908" s="24" t="s">
        <v>67</v>
      </c>
      <c r="V908" s="23">
        <v>45835</v>
      </c>
      <c r="W908" s="840"/>
      <c r="X908" s="832"/>
      <c r="Y908"/>
      <c r="Z908"/>
      <c r="AA908"/>
      <c r="AC908" s="71"/>
      <c r="AD908" s="92"/>
      <c r="AE908" s="92"/>
    </row>
    <row r="909" spans="1:31">
      <c r="A909" s="834" t="s">
        <v>137</v>
      </c>
      <c r="B909" s="835">
        <v>906</v>
      </c>
      <c r="C909" s="838" t="s">
        <v>1436</v>
      </c>
      <c r="D909" s="834" t="s">
        <v>519</v>
      </c>
      <c r="E909" s="839">
        <v>45817.375</v>
      </c>
      <c r="F909" s="838" t="s">
        <v>140</v>
      </c>
      <c r="G909" s="838">
        <v>74</v>
      </c>
      <c r="H909" s="838" t="s">
        <v>22</v>
      </c>
      <c r="I909" s="838" t="s">
        <v>28</v>
      </c>
      <c r="J909" s="838"/>
      <c r="K909" s="21"/>
      <c r="L909" s="21"/>
      <c r="M909" s="22"/>
      <c r="N909" s="23"/>
      <c r="O909" s="23" t="s">
        <v>31</v>
      </c>
      <c r="P909" s="23" t="s">
        <v>30</v>
      </c>
      <c r="Q909" s="23">
        <v>45826</v>
      </c>
      <c r="R909" s="79" t="s">
        <v>67</v>
      </c>
      <c r="S909" s="22" t="s">
        <v>32</v>
      </c>
      <c r="T909" s="229">
        <v>74</v>
      </c>
      <c r="U909" s="24" t="s">
        <v>67</v>
      </c>
      <c r="V909" s="23">
        <v>45826</v>
      </c>
      <c r="W909" s="840"/>
      <c r="X909" s="832"/>
      <c r="Y909" s="85">
        <v>0</v>
      </c>
      <c r="Z909" s="85">
        <v>74</v>
      </c>
      <c r="AA909" s="85">
        <v>0</v>
      </c>
      <c r="AB909">
        <f>SUM(Y909:AA909)</f>
        <v>74</v>
      </c>
      <c r="AC909" s="71">
        <f t="shared" ref="AC909:AC914" si="1">+Y909/AB909*AC$1</f>
        <v>0</v>
      </c>
      <c r="AD909" s="92">
        <f t="shared" ref="AD909:AD914" si="2">+Z909/AB909*AD$1</f>
        <v>3</v>
      </c>
      <c r="AE909" s="92">
        <f>+AA909/AB909*AE$1</f>
        <v>0</v>
      </c>
    </row>
    <row r="910" spans="1:31">
      <c r="A910" s="834" t="s">
        <v>137</v>
      </c>
      <c r="B910" s="835">
        <v>907</v>
      </c>
      <c r="C910" s="838" t="s">
        <v>1437</v>
      </c>
      <c r="D910" s="834" t="s">
        <v>1438</v>
      </c>
      <c r="E910" s="839">
        <v>45817.375</v>
      </c>
      <c r="F910" s="838" t="s">
        <v>140</v>
      </c>
      <c r="G910" s="838">
        <v>6</v>
      </c>
      <c r="H910" s="838" t="s">
        <v>21</v>
      </c>
      <c r="I910" s="838" t="s">
        <v>127</v>
      </c>
      <c r="J910" s="838"/>
      <c r="K910" s="21"/>
      <c r="L910" s="21"/>
      <c r="M910" s="22"/>
      <c r="N910" s="23"/>
      <c r="O910" s="61"/>
      <c r="P910" s="23" t="s">
        <v>30</v>
      </c>
      <c r="Q910" s="23">
        <v>45833</v>
      </c>
      <c r="R910" s="79" t="s">
        <v>67</v>
      </c>
      <c r="S910" s="22" t="s">
        <v>32</v>
      </c>
      <c r="T910" s="229">
        <v>6</v>
      </c>
      <c r="U910" s="24" t="s">
        <v>67</v>
      </c>
      <c r="V910" s="23">
        <v>45833</v>
      </c>
      <c r="W910" s="840"/>
      <c r="X910" s="832"/>
      <c r="Y910"/>
      <c r="Z910" s="776"/>
      <c r="AA910" s="776"/>
      <c r="AB910" s="776"/>
      <c r="AC910" s="92"/>
      <c r="AD910" s="92"/>
      <c r="AE910" s="92"/>
    </row>
    <row r="911" spans="1:31">
      <c r="A911" s="834" t="s">
        <v>137</v>
      </c>
      <c r="B911" s="835">
        <v>908</v>
      </c>
      <c r="C911" s="838" t="s">
        <v>1439</v>
      </c>
      <c r="D911" s="834" t="s">
        <v>779</v>
      </c>
      <c r="E911" s="839">
        <v>45817.375</v>
      </c>
      <c r="F911" s="838" t="s">
        <v>140</v>
      </c>
      <c r="G911" s="838">
        <v>4</v>
      </c>
      <c r="H911" s="838" t="s">
        <v>22</v>
      </c>
      <c r="I911" s="838" t="s">
        <v>28</v>
      </c>
      <c r="J911" s="838"/>
      <c r="K911" s="21"/>
      <c r="L911" s="21"/>
      <c r="M911" s="22"/>
      <c r="N911" s="23"/>
      <c r="O911" s="61"/>
      <c r="P911" s="23" t="s">
        <v>30</v>
      </c>
      <c r="Q911" s="23">
        <v>45833</v>
      </c>
      <c r="R911" s="79" t="s">
        <v>67</v>
      </c>
      <c r="S911" s="22" t="s">
        <v>32</v>
      </c>
      <c r="T911" s="229">
        <v>4</v>
      </c>
      <c r="U911" s="24" t="s">
        <v>67</v>
      </c>
      <c r="V911" s="23">
        <v>45833</v>
      </c>
      <c r="W911" s="80"/>
      <c r="X911" s="83"/>
      <c r="Y911"/>
      <c r="Z911" s="776"/>
      <c r="AA911" s="776"/>
      <c r="AB911" s="776"/>
      <c r="AC911" s="71"/>
      <c r="AD911" s="92"/>
      <c r="AE911" s="92"/>
    </row>
    <row r="912" spans="1:31">
      <c r="A912" s="834" t="s">
        <v>137</v>
      </c>
      <c r="B912" s="835">
        <v>909</v>
      </c>
      <c r="C912" s="838" t="s">
        <v>1440</v>
      </c>
      <c r="D912" s="834" t="s">
        <v>1441</v>
      </c>
      <c r="E912" s="839">
        <v>45824.375</v>
      </c>
      <c r="F912" s="838" t="s">
        <v>140</v>
      </c>
      <c r="G912" s="838">
        <v>74</v>
      </c>
      <c r="H912" s="838" t="s">
        <v>22</v>
      </c>
      <c r="I912" s="838" t="s">
        <v>28</v>
      </c>
      <c r="J912" s="838"/>
      <c r="K912" s="21"/>
      <c r="L912" s="21"/>
      <c r="M912" s="22"/>
      <c r="N912" s="23"/>
      <c r="O912" s="23" t="s">
        <v>31</v>
      </c>
      <c r="P912" s="23" t="s">
        <v>30</v>
      </c>
      <c r="Q912" s="23">
        <v>45833</v>
      </c>
      <c r="R912" s="79" t="s">
        <v>67</v>
      </c>
      <c r="S912" s="22" t="s">
        <v>32</v>
      </c>
      <c r="T912" s="229">
        <v>79</v>
      </c>
      <c r="U912" s="24" t="s">
        <v>67</v>
      </c>
      <c r="V912" s="23">
        <v>45833</v>
      </c>
      <c r="W912" s="80"/>
      <c r="X912" s="83"/>
      <c r="Y912" s="85">
        <v>0</v>
      </c>
      <c r="Z912" s="86">
        <v>74</v>
      </c>
      <c r="AA912" s="86">
        <v>0</v>
      </c>
      <c r="AB912">
        <f>SUM(Y912:AA912)</f>
        <v>74</v>
      </c>
      <c r="AC912" s="71">
        <f t="shared" si="1"/>
        <v>0</v>
      </c>
      <c r="AD912" s="92">
        <f t="shared" si="2"/>
        <v>3</v>
      </c>
      <c r="AE912" s="92">
        <f>+AA912/AB912*AE$1</f>
        <v>0</v>
      </c>
    </row>
    <row r="913" spans="1:31">
      <c r="A913" s="834" t="s">
        <v>137</v>
      </c>
      <c r="B913" s="835">
        <v>910</v>
      </c>
      <c r="C913" s="838" t="s">
        <v>1442</v>
      </c>
      <c r="D913" s="834" t="s">
        <v>779</v>
      </c>
      <c r="E913" s="839">
        <v>45824.041666666664</v>
      </c>
      <c r="F913" s="838" t="s">
        <v>140</v>
      </c>
      <c r="G913" s="838">
        <v>2</v>
      </c>
      <c r="H913" s="838" t="s">
        <v>21</v>
      </c>
      <c r="I913" s="838" t="s">
        <v>127</v>
      </c>
      <c r="J913" s="838"/>
      <c r="K913" s="21"/>
      <c r="L913" s="21"/>
      <c r="M913" s="22"/>
      <c r="N913" s="23"/>
      <c r="O913" s="23"/>
      <c r="P913" s="23" t="s">
        <v>30</v>
      </c>
      <c r="Q913" s="23">
        <v>45833</v>
      </c>
      <c r="R913" s="79" t="s">
        <v>67</v>
      </c>
      <c r="S913" s="22" t="s">
        <v>32</v>
      </c>
      <c r="T913" s="229">
        <v>2</v>
      </c>
      <c r="U913" s="24" t="s">
        <v>67</v>
      </c>
      <c r="V913" s="23">
        <v>45833</v>
      </c>
      <c r="W913" s="80"/>
      <c r="X913" s="83"/>
      <c r="Y913"/>
      <c r="Z913" s="85"/>
      <c r="AA913" s="85"/>
      <c r="AB913" s="84"/>
      <c r="AC913" s="71"/>
      <c r="AD913" s="92"/>
      <c r="AE913" s="92"/>
    </row>
    <row r="914" spans="1:31">
      <c r="A914" s="834" t="s">
        <v>137</v>
      </c>
      <c r="B914" s="835">
        <v>911</v>
      </c>
      <c r="C914" s="838" t="s">
        <v>1443</v>
      </c>
      <c r="D914" s="834" t="s">
        <v>1444</v>
      </c>
      <c r="E914" s="839">
        <v>45831.375</v>
      </c>
      <c r="F914" s="838" t="s">
        <v>140</v>
      </c>
      <c r="G914" s="838">
        <v>74</v>
      </c>
      <c r="H914" s="838" t="s">
        <v>210</v>
      </c>
      <c r="I914" s="838" t="s">
        <v>211</v>
      </c>
      <c r="J914" s="838"/>
      <c r="K914" s="21"/>
      <c r="L914" s="21"/>
      <c r="M914" s="22"/>
      <c r="N914" s="23"/>
      <c r="O914" s="23" t="s">
        <v>31</v>
      </c>
      <c r="P914" s="23" t="s">
        <v>30</v>
      </c>
      <c r="Q914" s="23">
        <v>45869</v>
      </c>
      <c r="R914" s="79" t="s">
        <v>67</v>
      </c>
      <c r="S914" s="22" t="s">
        <v>32</v>
      </c>
      <c r="T914" s="229">
        <v>74</v>
      </c>
      <c r="U914" s="24" t="s">
        <v>67</v>
      </c>
      <c r="V914" s="23">
        <v>45869</v>
      </c>
      <c r="W914" s="840"/>
      <c r="X914" s="832"/>
      <c r="Y914" s="85">
        <v>0</v>
      </c>
      <c r="Z914" s="85">
        <v>74</v>
      </c>
      <c r="AA914" s="85">
        <v>0</v>
      </c>
      <c r="AB914">
        <f>SUM(Y914:AA914)</f>
        <v>74</v>
      </c>
      <c r="AC914" s="71">
        <f t="shared" si="1"/>
        <v>0</v>
      </c>
      <c r="AD914" s="92">
        <f t="shared" si="2"/>
        <v>3</v>
      </c>
      <c r="AE914" s="92"/>
    </row>
    <row r="915" spans="1:31">
      <c r="A915" s="834" t="s">
        <v>137</v>
      </c>
      <c r="B915" s="835">
        <v>912</v>
      </c>
      <c r="C915" s="838" t="s">
        <v>1280</v>
      </c>
      <c r="D915" s="839" t="s">
        <v>1445</v>
      </c>
      <c r="E915" s="839">
        <v>45810</v>
      </c>
      <c r="F915" s="838" t="s">
        <v>140</v>
      </c>
      <c r="G915" s="838">
        <v>29</v>
      </c>
      <c r="H915" s="838" t="s">
        <v>1077</v>
      </c>
      <c r="I915" s="838" t="s">
        <v>1138</v>
      </c>
      <c r="J915" s="838"/>
      <c r="K915" s="21"/>
      <c r="L915" s="21"/>
      <c r="M915" s="22"/>
      <c r="N915" s="23"/>
      <c r="O915" s="61"/>
      <c r="P915" s="23" t="s">
        <v>30</v>
      </c>
      <c r="Q915" s="23">
        <v>45832</v>
      </c>
      <c r="R915" s="221" t="s">
        <v>67</v>
      </c>
      <c r="S915" s="23" t="s">
        <v>32</v>
      </c>
      <c r="T915" s="229">
        <v>29</v>
      </c>
      <c r="U915" s="23" t="s">
        <v>67</v>
      </c>
      <c r="V915" s="23">
        <v>45832</v>
      </c>
      <c r="W915" s="80"/>
      <c r="X915" s="83"/>
      <c r="Y915"/>
      <c r="Z915"/>
      <c r="AA915"/>
      <c r="AC915" s="92"/>
      <c r="AD915" s="92"/>
      <c r="AE915" s="92"/>
    </row>
    <row r="916" spans="1:31">
      <c r="A916" s="834" t="s">
        <v>137</v>
      </c>
      <c r="B916" s="835">
        <v>913</v>
      </c>
      <c r="C916" s="838" t="s">
        <v>1446</v>
      </c>
      <c r="D916" s="838" t="s">
        <v>1447</v>
      </c>
      <c r="E916" s="844">
        <v>45838.375</v>
      </c>
      <c r="F916" s="838" t="s">
        <v>140</v>
      </c>
      <c r="G916" s="838">
        <v>3</v>
      </c>
      <c r="H916" s="838" t="s">
        <v>21</v>
      </c>
      <c r="I916" s="838" t="s">
        <v>127</v>
      </c>
      <c r="J916" s="838"/>
      <c r="K916" s="838"/>
      <c r="L916" s="838"/>
      <c r="M916" s="838"/>
      <c r="N916" s="838"/>
      <c r="O916" s="838"/>
      <c r="P916" s="23" t="s">
        <v>30</v>
      </c>
      <c r="Q916" s="23">
        <v>45849</v>
      </c>
      <c r="R916" s="221" t="s">
        <v>67</v>
      </c>
      <c r="S916" s="23" t="s">
        <v>32</v>
      </c>
      <c r="T916" s="838">
        <v>3</v>
      </c>
      <c r="U916" s="23" t="s">
        <v>67</v>
      </c>
      <c r="V916" s="23">
        <v>45849</v>
      </c>
      <c r="W916" s="838"/>
      <c r="X916" s="831"/>
      <c r="Y916" s="831"/>
      <c r="Z916" s="831"/>
      <c r="AA916" s="831"/>
      <c r="AB916" s="831"/>
      <c r="AC916" s="831"/>
      <c r="AD916" s="831"/>
      <c r="AE916" s="831"/>
    </row>
    <row r="917" spans="1:31">
      <c r="A917" s="834" t="s">
        <v>137</v>
      </c>
      <c r="B917" s="835">
        <v>914</v>
      </c>
      <c r="C917" s="838" t="s">
        <v>1448</v>
      </c>
      <c r="D917" s="838" t="s">
        <v>1449</v>
      </c>
      <c r="E917" s="844">
        <v>45838.375</v>
      </c>
      <c r="F917" s="838" t="s">
        <v>140</v>
      </c>
      <c r="G917" s="838">
        <v>2</v>
      </c>
      <c r="H917" s="838" t="s">
        <v>46</v>
      </c>
      <c r="I917" s="838" t="s">
        <v>47</v>
      </c>
      <c r="J917" s="838"/>
      <c r="K917" s="838"/>
      <c r="L917" s="838"/>
      <c r="M917" s="838"/>
      <c r="N917" s="838"/>
      <c r="O917" s="838"/>
      <c r="P917" s="23" t="s">
        <v>30</v>
      </c>
      <c r="Q917" s="23">
        <v>45849</v>
      </c>
      <c r="R917" s="221" t="s">
        <v>67</v>
      </c>
      <c r="S917" s="23" t="s">
        <v>32</v>
      </c>
      <c r="T917" s="838">
        <v>2</v>
      </c>
      <c r="U917" s="23" t="s">
        <v>67</v>
      </c>
      <c r="V917" s="23">
        <v>45849</v>
      </c>
      <c r="W917" s="838"/>
      <c r="X917" s="831"/>
      <c r="Y917" s="831"/>
      <c r="Z917" s="831"/>
      <c r="AA917" s="831"/>
      <c r="AB917" s="831"/>
      <c r="AC917" s="831"/>
      <c r="AD917" s="831"/>
      <c r="AE917" s="831"/>
    </row>
    <row r="918" spans="1:31">
      <c r="A918" s="834" t="s">
        <v>137</v>
      </c>
      <c r="B918" s="835">
        <v>915</v>
      </c>
      <c r="C918" s="838" t="s">
        <v>1450</v>
      </c>
      <c r="D918" s="838" t="s">
        <v>950</v>
      </c>
      <c r="E918" s="844">
        <v>45838.375</v>
      </c>
      <c r="F918" s="838" t="s">
        <v>140</v>
      </c>
      <c r="G918" s="838">
        <v>1</v>
      </c>
      <c r="H918" s="838" t="s">
        <v>46</v>
      </c>
      <c r="I918" s="838" t="s">
        <v>47</v>
      </c>
      <c r="J918" s="838"/>
      <c r="K918" s="838"/>
      <c r="L918" s="838"/>
      <c r="M918" s="838"/>
      <c r="N918" s="838"/>
      <c r="O918" s="838"/>
      <c r="P918" s="23" t="s">
        <v>30</v>
      </c>
      <c r="Q918" s="23">
        <v>45849</v>
      </c>
      <c r="R918" s="221" t="s">
        <v>67</v>
      </c>
      <c r="S918" s="23" t="s">
        <v>32</v>
      </c>
      <c r="T918" s="838">
        <v>1</v>
      </c>
      <c r="U918" s="23" t="s">
        <v>67</v>
      </c>
      <c r="V918" s="23">
        <v>45849</v>
      </c>
      <c r="W918" s="838"/>
      <c r="X918" s="831"/>
      <c r="Y918" s="831"/>
      <c r="Z918" s="831"/>
      <c r="AA918" s="831"/>
      <c r="AB918" s="831"/>
      <c r="AC918" s="831"/>
      <c r="AD918" s="831"/>
      <c r="AE918" s="831"/>
    </row>
    <row r="919" spans="1:31">
      <c r="A919" s="834" t="s">
        <v>137</v>
      </c>
      <c r="B919" s="835">
        <v>916</v>
      </c>
      <c r="C919" s="838" t="s">
        <v>1451</v>
      </c>
      <c r="D919" s="838" t="s">
        <v>1452</v>
      </c>
      <c r="E919" s="844">
        <v>45838.375</v>
      </c>
      <c r="F919" s="838" t="s">
        <v>140</v>
      </c>
      <c r="G919" s="838">
        <v>10</v>
      </c>
      <c r="H919" s="838" t="s">
        <v>1077</v>
      </c>
      <c r="I919" s="838" t="s">
        <v>1138</v>
      </c>
      <c r="J919" s="838"/>
      <c r="K919" s="838"/>
      <c r="L919" s="838"/>
      <c r="M919" s="838"/>
      <c r="N919" s="838"/>
      <c r="O919" s="838"/>
      <c r="P919" s="23" t="s">
        <v>30</v>
      </c>
      <c r="Q919" s="23">
        <v>45847</v>
      </c>
      <c r="R919" s="221" t="s">
        <v>67</v>
      </c>
      <c r="S919" s="23" t="s">
        <v>32</v>
      </c>
      <c r="T919" s="838">
        <v>10</v>
      </c>
      <c r="U919" s="23" t="s">
        <v>67</v>
      </c>
      <c r="V919" s="23">
        <v>45847</v>
      </c>
      <c r="W919" s="838"/>
      <c r="X919" s="831"/>
      <c r="Y919" s="831"/>
      <c r="Z919" s="831"/>
      <c r="AA919" s="831"/>
      <c r="AB919" s="831"/>
      <c r="AC919" s="831"/>
      <c r="AD919" s="831"/>
      <c r="AE919" s="831"/>
    </row>
    <row r="920" spans="1:31">
      <c r="A920" s="834" t="s">
        <v>137</v>
      </c>
      <c r="B920" s="835">
        <v>917</v>
      </c>
      <c r="C920" s="838" t="s">
        <v>1453</v>
      </c>
      <c r="D920" s="838" t="s">
        <v>1454</v>
      </c>
      <c r="E920" s="839">
        <v>45837</v>
      </c>
      <c r="F920" s="838" t="s">
        <v>140</v>
      </c>
      <c r="G920" s="838">
        <v>7</v>
      </c>
      <c r="H920" s="838" t="s">
        <v>46</v>
      </c>
      <c r="I920" s="838" t="s">
        <v>47</v>
      </c>
      <c r="J920" s="838"/>
      <c r="K920" s="838"/>
      <c r="L920" s="233"/>
      <c r="M920" s="22"/>
      <c r="N920" s="23"/>
      <c r="O920" s="23"/>
      <c r="P920" s="23" t="s">
        <v>30</v>
      </c>
      <c r="Q920" s="23">
        <v>45838</v>
      </c>
      <c r="R920" s="221" t="s">
        <v>67</v>
      </c>
      <c r="S920" s="23" t="s">
        <v>32</v>
      </c>
      <c r="T920" s="229">
        <v>7</v>
      </c>
      <c r="U920" s="23" t="s">
        <v>67</v>
      </c>
      <c r="V920" s="23">
        <v>45838</v>
      </c>
      <c r="W920" s="840"/>
      <c r="X920" s="832"/>
      <c r="Y920"/>
      <c r="Z920" s="776"/>
      <c r="AA920" s="776"/>
      <c r="AB920" s="776"/>
      <c r="AD920" s="92"/>
    </row>
    <row r="921" spans="1:31">
      <c r="A921" s="834" t="s">
        <v>137</v>
      </c>
      <c r="B921" s="835">
        <v>918</v>
      </c>
      <c r="C921" s="838" t="s">
        <v>1455</v>
      </c>
      <c r="D921" s="838" t="s">
        <v>1449</v>
      </c>
      <c r="E921" s="839">
        <v>45837</v>
      </c>
      <c r="F921" s="838" t="s">
        <v>140</v>
      </c>
      <c r="G921" s="838">
        <v>1</v>
      </c>
      <c r="H921" s="838" t="s">
        <v>46</v>
      </c>
      <c r="I921" s="838" t="s">
        <v>47</v>
      </c>
      <c r="J921" s="838"/>
      <c r="K921" s="838"/>
      <c r="L921" s="233"/>
      <c r="M921" s="22"/>
      <c r="N921" s="23"/>
      <c r="O921" s="23"/>
      <c r="P921" s="23" t="s">
        <v>30</v>
      </c>
      <c r="Q921" s="23">
        <v>45869</v>
      </c>
      <c r="R921" s="221" t="s">
        <v>67</v>
      </c>
      <c r="S921" s="23" t="s">
        <v>32</v>
      </c>
      <c r="T921" s="229">
        <v>1</v>
      </c>
      <c r="U921" s="23" t="s">
        <v>67</v>
      </c>
      <c r="V921" s="23">
        <v>45869</v>
      </c>
      <c r="W921" s="840"/>
      <c r="X921" s="832"/>
      <c r="Y921"/>
      <c r="Z921" s="776"/>
      <c r="AA921" s="776"/>
      <c r="AB921" s="776"/>
      <c r="AD921" s="92"/>
    </row>
    <row r="922" spans="1:31">
      <c r="A922" s="834" t="s">
        <v>24</v>
      </c>
      <c r="B922" s="835">
        <v>919</v>
      </c>
      <c r="C922" s="838" t="s">
        <v>121</v>
      </c>
      <c r="D922" s="839" t="s">
        <v>34</v>
      </c>
      <c r="E922" s="839">
        <v>45840</v>
      </c>
      <c r="F922" s="838" t="s">
        <v>1128</v>
      </c>
      <c r="G922" s="838">
        <v>10</v>
      </c>
      <c r="H922" s="838" t="s">
        <v>1077</v>
      </c>
      <c r="I922" s="838" t="s">
        <v>1138</v>
      </c>
      <c r="J922" s="838" t="s">
        <v>871</v>
      </c>
      <c r="K922" s="838"/>
      <c r="L922" s="834"/>
      <c r="M922" s="834"/>
      <c r="N922" s="834"/>
      <c r="O922" s="848"/>
      <c r="P922" s="848" t="s">
        <v>30</v>
      </c>
      <c r="Q922" s="23">
        <v>45883</v>
      </c>
      <c r="R922" s="79" t="s">
        <v>1077</v>
      </c>
      <c r="S922" s="22" t="s">
        <v>32</v>
      </c>
      <c r="T922" s="22">
        <v>10</v>
      </c>
      <c r="U922" s="24" t="s">
        <v>1077</v>
      </c>
      <c r="V922" s="23">
        <v>45883</v>
      </c>
      <c r="W922" s="234" t="s">
        <v>30</v>
      </c>
      <c r="X922" s="80" t="s">
        <v>30</v>
      </c>
      <c r="Y922" s="96" t="s">
        <v>30</v>
      </c>
      <c r="Z922"/>
      <c r="AA922" s="776"/>
      <c r="AB922" s="776"/>
      <c r="AC922" s="776"/>
    </row>
    <row r="923" spans="1:31">
      <c r="A923" s="834" t="s">
        <v>24</v>
      </c>
      <c r="B923" s="835">
        <v>920</v>
      </c>
      <c r="C923" s="838" t="s">
        <v>1456</v>
      </c>
      <c r="D923" s="839" t="s">
        <v>34</v>
      </c>
      <c r="E923" s="839">
        <v>45843</v>
      </c>
      <c r="F923" s="838" t="s">
        <v>202</v>
      </c>
      <c r="G923" s="838">
        <v>9</v>
      </c>
      <c r="H923" s="838" t="s">
        <v>21</v>
      </c>
      <c r="I923" s="838" t="s">
        <v>127</v>
      </c>
      <c r="J923" s="838" t="s">
        <v>871</v>
      </c>
      <c r="K923" s="838"/>
      <c r="L923" s="834"/>
      <c r="M923" s="834"/>
      <c r="N923" s="834"/>
      <c r="O923" s="848"/>
      <c r="P923" s="848" t="s">
        <v>30</v>
      </c>
      <c r="Q923" s="23">
        <v>45897</v>
      </c>
      <c r="R923" s="79" t="s">
        <v>28</v>
      </c>
      <c r="S923" s="22" t="s">
        <v>32</v>
      </c>
      <c r="T923" s="22">
        <v>9</v>
      </c>
      <c r="U923" s="24" t="s">
        <v>28</v>
      </c>
      <c r="V923" s="23">
        <v>45897</v>
      </c>
      <c r="W923" s="234" t="s">
        <v>30</v>
      </c>
      <c r="X923" s="80" t="s">
        <v>30</v>
      </c>
      <c r="Y923" s="96" t="s">
        <v>30</v>
      </c>
      <c r="Z923"/>
      <c r="AA923" s="776"/>
      <c r="AB923" s="776"/>
      <c r="AC923" s="776"/>
    </row>
    <row r="924" spans="1:31">
      <c r="A924" s="834" t="s">
        <v>24</v>
      </c>
      <c r="B924" s="835">
        <v>921</v>
      </c>
      <c r="C924" s="838" t="s">
        <v>1457</v>
      </c>
      <c r="D924" s="839" t="s">
        <v>34</v>
      </c>
      <c r="E924" s="839">
        <v>45843</v>
      </c>
      <c r="F924" s="838" t="s">
        <v>1458</v>
      </c>
      <c r="G924" s="838">
        <v>20</v>
      </c>
      <c r="H924" s="838" t="s">
        <v>1077</v>
      </c>
      <c r="I924" s="838" t="s">
        <v>1138</v>
      </c>
      <c r="J924" s="838" t="s">
        <v>871</v>
      </c>
      <c r="K924" s="838"/>
      <c r="L924" s="834"/>
      <c r="M924" s="834"/>
      <c r="N924" s="834"/>
      <c r="O924" s="848" t="s">
        <v>31</v>
      </c>
      <c r="P924" s="848" t="s">
        <v>30</v>
      </c>
      <c r="Q924" s="23">
        <v>45877</v>
      </c>
      <c r="R924" s="79" t="s">
        <v>1138</v>
      </c>
      <c r="S924" s="22" t="s">
        <v>32</v>
      </c>
      <c r="T924" s="22">
        <v>20</v>
      </c>
      <c r="U924" s="24" t="s">
        <v>1138</v>
      </c>
      <c r="V924" s="23">
        <v>45877</v>
      </c>
      <c r="W924" s="234" t="s">
        <v>30</v>
      </c>
      <c r="X924" s="80" t="s">
        <v>30</v>
      </c>
      <c r="Y924" s="80" t="s">
        <v>30</v>
      </c>
      <c r="Z924"/>
      <c r="AA924" s="776"/>
      <c r="AB924" s="776"/>
      <c r="AC924" s="776"/>
    </row>
    <row r="925" spans="1:31">
      <c r="A925" s="834" t="s">
        <v>24</v>
      </c>
      <c r="B925" s="835">
        <v>922</v>
      </c>
      <c r="C925" s="838" t="s">
        <v>1459</v>
      </c>
      <c r="D925" s="839" t="s">
        <v>34</v>
      </c>
      <c r="E925" s="839">
        <v>45843</v>
      </c>
      <c r="F925" s="838" t="s">
        <v>35</v>
      </c>
      <c r="G925" s="838">
        <v>9</v>
      </c>
      <c r="H925" s="838" t="s">
        <v>48</v>
      </c>
      <c r="I925" s="838" t="s">
        <v>47</v>
      </c>
      <c r="J925" s="838" t="s">
        <v>871</v>
      </c>
      <c r="K925" s="838"/>
      <c r="L925" s="834"/>
      <c r="M925" s="834"/>
      <c r="N925" s="834"/>
      <c r="O925" s="848"/>
      <c r="P925" s="848" t="s">
        <v>30</v>
      </c>
      <c r="Q925" s="23">
        <v>45880</v>
      </c>
      <c r="R925" s="79" t="s">
        <v>47</v>
      </c>
      <c r="S925" s="22" t="s">
        <v>32</v>
      </c>
      <c r="T925" s="22">
        <v>9</v>
      </c>
      <c r="U925" s="24" t="s">
        <v>47</v>
      </c>
      <c r="V925" s="23">
        <v>45880</v>
      </c>
      <c r="W925" s="234" t="s">
        <v>30</v>
      </c>
      <c r="X925" s="80" t="s">
        <v>30</v>
      </c>
      <c r="Y925" s="80" t="s">
        <v>30</v>
      </c>
      <c r="Z925"/>
      <c r="AA925" s="776"/>
      <c r="AB925" s="776"/>
      <c r="AC925" s="776"/>
    </row>
    <row r="926" spans="1:31">
      <c r="A926" s="834" t="s">
        <v>24</v>
      </c>
      <c r="B926" s="835">
        <v>923</v>
      </c>
      <c r="C926" s="838" t="s">
        <v>1460</v>
      </c>
      <c r="D926" s="839" t="s">
        <v>34</v>
      </c>
      <c r="E926" s="839">
        <v>45843</v>
      </c>
      <c r="F926" s="838" t="s">
        <v>368</v>
      </c>
      <c r="G926" s="838">
        <v>12</v>
      </c>
      <c r="H926" s="838" t="s">
        <v>48</v>
      </c>
      <c r="I926" s="838" t="s">
        <v>127</v>
      </c>
      <c r="J926" s="838" t="s">
        <v>871</v>
      </c>
      <c r="K926" s="89" t="s">
        <v>273</v>
      </c>
      <c r="L926" s="834"/>
      <c r="M926" s="834"/>
      <c r="N926" s="834"/>
      <c r="O926" s="848"/>
      <c r="P926" s="848" t="s">
        <v>1091</v>
      </c>
      <c r="Q926" s="23">
        <v>45896</v>
      </c>
      <c r="R926" s="79" t="s">
        <v>28</v>
      </c>
      <c r="S926" s="22" t="s">
        <v>32</v>
      </c>
      <c r="T926" s="22">
        <v>12</v>
      </c>
      <c r="U926" s="24" t="s">
        <v>28</v>
      </c>
      <c r="V926" s="23">
        <v>45896</v>
      </c>
      <c r="W926" s="83" t="s">
        <v>30</v>
      </c>
      <c r="X926" s="80" t="s">
        <v>30</v>
      </c>
      <c r="Y926" s="80" t="s">
        <v>30</v>
      </c>
      <c r="Z926"/>
      <c r="AA926"/>
    </row>
    <row r="927" spans="1:31">
      <c r="A927" s="834" t="s">
        <v>24</v>
      </c>
      <c r="B927" s="835">
        <v>924</v>
      </c>
      <c r="C927" s="838" t="s">
        <v>1461</v>
      </c>
      <c r="D927" s="839" t="s">
        <v>50</v>
      </c>
      <c r="E927" s="839">
        <v>45845</v>
      </c>
      <c r="F927" s="838" t="s">
        <v>65</v>
      </c>
      <c r="G927" s="838">
        <v>10</v>
      </c>
      <c r="H927" s="838" t="s">
        <v>1077</v>
      </c>
      <c r="I927" s="838" t="s">
        <v>1138</v>
      </c>
      <c r="J927" s="838" t="s">
        <v>871</v>
      </c>
      <c r="K927" s="838"/>
      <c r="L927" s="834"/>
      <c r="M927" s="834"/>
      <c r="N927" s="90"/>
      <c r="O927" s="848"/>
      <c r="P927" s="848" t="s">
        <v>30</v>
      </c>
      <c r="Q927" s="23">
        <v>45863</v>
      </c>
      <c r="R927" s="79" t="s">
        <v>1077</v>
      </c>
      <c r="S927" s="22" t="s">
        <v>32</v>
      </c>
      <c r="T927" s="22">
        <v>10</v>
      </c>
      <c r="U927" s="24" t="s">
        <v>1077</v>
      </c>
      <c r="V927" s="23">
        <v>45863</v>
      </c>
      <c r="W927" s="234" t="s">
        <v>30</v>
      </c>
      <c r="X927" s="80" t="s">
        <v>30</v>
      </c>
      <c r="Y927" s="80" t="s">
        <v>30</v>
      </c>
      <c r="Z927"/>
      <c r="AA927" s="776"/>
      <c r="AB927" s="776"/>
      <c r="AC927" s="776"/>
    </row>
    <row r="928" spans="1:31">
      <c r="A928" s="834" t="s">
        <v>24</v>
      </c>
      <c r="B928" s="835">
        <v>925</v>
      </c>
      <c r="C928" s="838" t="s">
        <v>1462</v>
      </c>
      <c r="D928" s="839" t="s">
        <v>1463</v>
      </c>
      <c r="E928" s="839">
        <v>45845</v>
      </c>
      <c r="F928" s="838" t="s">
        <v>395</v>
      </c>
      <c r="G928" s="838">
        <v>17</v>
      </c>
      <c r="H928" s="838" t="s">
        <v>21</v>
      </c>
      <c r="I928" s="838" t="s">
        <v>127</v>
      </c>
      <c r="J928" s="838" t="s">
        <v>871</v>
      </c>
      <c r="K928" s="89" t="s">
        <v>1076</v>
      </c>
      <c r="L928" s="834"/>
      <c r="M928" s="834"/>
      <c r="N928" s="848"/>
      <c r="O928" s="848" t="s">
        <v>31</v>
      </c>
      <c r="P928" s="848"/>
      <c r="Q928" s="23"/>
      <c r="R928" s="79" t="s">
        <v>127</v>
      </c>
      <c r="S928" s="22"/>
      <c r="T928" s="22"/>
      <c r="U928" s="22"/>
      <c r="V928" s="23"/>
      <c r="W928" s="91" t="s">
        <v>32</v>
      </c>
      <c r="X928" s="228" t="s">
        <v>32</v>
      </c>
      <c r="Y928" s="228" t="s">
        <v>32</v>
      </c>
      <c r="Z928"/>
      <c r="AA928" s="776"/>
      <c r="AB928" s="776"/>
      <c r="AC928" s="776"/>
    </row>
    <row r="929" spans="1:29">
      <c r="A929" s="834" t="s">
        <v>24</v>
      </c>
      <c r="B929" s="835">
        <v>926</v>
      </c>
      <c r="C929" s="838" t="s">
        <v>1464</v>
      </c>
      <c r="D929" s="839" t="s">
        <v>34</v>
      </c>
      <c r="E929" s="839">
        <v>45850</v>
      </c>
      <c r="F929" s="838" t="s">
        <v>324</v>
      </c>
      <c r="G929" s="838">
        <v>10</v>
      </c>
      <c r="H929" s="838" t="s">
        <v>48</v>
      </c>
      <c r="I929" s="838" t="s">
        <v>47</v>
      </c>
      <c r="J929" s="838" t="s">
        <v>871</v>
      </c>
      <c r="K929" s="89" t="s">
        <v>325</v>
      </c>
      <c r="L929" s="834"/>
      <c r="M929" s="834"/>
      <c r="N929" s="848"/>
      <c r="O929" s="848"/>
      <c r="P929" s="848" t="s">
        <v>1091</v>
      </c>
      <c r="Q929" s="23">
        <v>45895</v>
      </c>
      <c r="R929" s="79" t="s">
        <v>47</v>
      </c>
      <c r="S929" s="22" t="s">
        <v>32</v>
      </c>
      <c r="T929" s="22">
        <v>10</v>
      </c>
      <c r="U929" s="22" t="s">
        <v>28</v>
      </c>
      <c r="V929" s="23">
        <v>45895</v>
      </c>
      <c r="W929" s="234" t="s">
        <v>30</v>
      </c>
      <c r="X929" s="96" t="s">
        <v>30</v>
      </c>
      <c r="Y929" s="80" t="s">
        <v>30</v>
      </c>
      <c r="Z929"/>
      <c r="AA929" s="776"/>
      <c r="AB929" s="776"/>
      <c r="AC929" s="776"/>
    </row>
    <row r="930" spans="1:29">
      <c r="A930" s="834" t="s">
        <v>24</v>
      </c>
      <c r="B930" s="835">
        <v>927</v>
      </c>
      <c r="C930" s="838" t="s">
        <v>1465</v>
      </c>
      <c r="D930" s="839" t="s">
        <v>34</v>
      </c>
      <c r="E930" s="839">
        <v>45850</v>
      </c>
      <c r="F930" s="838" t="s">
        <v>194</v>
      </c>
      <c r="G930" s="838">
        <v>14</v>
      </c>
      <c r="H930" s="838" t="s">
        <v>48</v>
      </c>
      <c r="I930" s="838" t="s">
        <v>47</v>
      </c>
      <c r="J930" s="838" t="s">
        <v>871</v>
      </c>
      <c r="K930" s="89" t="s">
        <v>273</v>
      </c>
      <c r="L930" s="834"/>
      <c r="M930" s="834"/>
      <c r="N930" s="848"/>
      <c r="O930" s="848"/>
      <c r="P930" s="848" t="s">
        <v>30</v>
      </c>
      <c r="Q930" s="23">
        <v>45896</v>
      </c>
      <c r="R930" s="79" t="s">
        <v>28</v>
      </c>
      <c r="S930" s="22" t="s">
        <v>32</v>
      </c>
      <c r="T930" s="22">
        <v>14</v>
      </c>
      <c r="U930" s="24" t="s">
        <v>28</v>
      </c>
      <c r="V930" s="23">
        <v>45896</v>
      </c>
      <c r="W930" s="83" t="s">
        <v>30</v>
      </c>
      <c r="X930" s="80" t="s">
        <v>30</v>
      </c>
      <c r="Y930" s="80" t="s">
        <v>30</v>
      </c>
      <c r="Z930"/>
      <c r="AA930" s="776"/>
      <c r="AB930" s="776"/>
      <c r="AC930" s="776"/>
    </row>
    <row r="931" spans="1:29">
      <c r="A931" s="834" t="s">
        <v>24</v>
      </c>
      <c r="B931" s="835">
        <v>928</v>
      </c>
      <c r="C931" s="838" t="s">
        <v>1466</v>
      </c>
      <c r="D931" s="839" t="s">
        <v>102</v>
      </c>
      <c r="E931" s="839">
        <v>45850</v>
      </c>
      <c r="F931" s="838" t="s">
        <v>653</v>
      </c>
      <c r="G931" s="838">
        <v>7</v>
      </c>
      <c r="H931" s="838" t="s">
        <v>48</v>
      </c>
      <c r="I931" s="838" t="s">
        <v>47</v>
      </c>
      <c r="J931" s="838" t="s">
        <v>871</v>
      </c>
      <c r="K931" s="838"/>
      <c r="L931" s="834"/>
      <c r="M931" s="834"/>
      <c r="N931" s="848"/>
      <c r="O931" s="848"/>
      <c r="P931" s="848" t="s">
        <v>30</v>
      </c>
      <c r="Q931" s="23">
        <v>45880</v>
      </c>
      <c r="R931" s="79" t="s">
        <v>47</v>
      </c>
      <c r="S931" s="22" t="s">
        <v>32</v>
      </c>
      <c r="T931" s="22">
        <v>7</v>
      </c>
      <c r="U931" s="24" t="s">
        <v>47</v>
      </c>
      <c r="V931" s="23">
        <v>45880</v>
      </c>
      <c r="W931" s="234" t="s">
        <v>30</v>
      </c>
      <c r="X931" s="80" t="s">
        <v>30</v>
      </c>
      <c r="Y931" s="80" t="s">
        <v>30</v>
      </c>
      <c r="Z931"/>
      <c r="AA931" s="776"/>
      <c r="AB931" s="776"/>
      <c r="AC931" s="776"/>
    </row>
    <row r="932" spans="1:29">
      <c r="A932" s="834" t="s">
        <v>24</v>
      </c>
      <c r="B932" s="835">
        <v>929</v>
      </c>
      <c r="C932" s="838" t="s">
        <v>1467</v>
      </c>
      <c r="D932" s="839" t="s">
        <v>446</v>
      </c>
      <c r="E932" s="839">
        <v>45850</v>
      </c>
      <c r="F932" s="838" t="s">
        <v>653</v>
      </c>
      <c r="G932" s="838">
        <v>7</v>
      </c>
      <c r="H932" s="838" t="s">
        <v>48</v>
      </c>
      <c r="I932" s="838" t="s">
        <v>47</v>
      </c>
      <c r="J932" s="838" t="s">
        <v>871</v>
      </c>
      <c r="K932" s="89"/>
      <c r="L932" s="834"/>
      <c r="M932" s="834"/>
      <c r="N932" s="90"/>
      <c r="O932" s="848"/>
      <c r="P932" s="848" t="s">
        <v>30</v>
      </c>
      <c r="Q932" s="23">
        <v>45877</v>
      </c>
      <c r="R932" s="79" t="s">
        <v>47</v>
      </c>
      <c r="S932" s="22" t="s">
        <v>32</v>
      </c>
      <c r="T932" s="22">
        <v>6</v>
      </c>
      <c r="U932" s="24" t="s">
        <v>47</v>
      </c>
      <c r="V932" s="23">
        <v>45877</v>
      </c>
      <c r="W932" s="234" t="s">
        <v>30</v>
      </c>
      <c r="X932" s="80" t="s">
        <v>30</v>
      </c>
      <c r="Y932" s="80" t="s">
        <v>30</v>
      </c>
      <c r="Z932"/>
      <c r="AA932"/>
    </row>
    <row r="933" spans="1:29">
      <c r="A933" s="834" t="s">
        <v>24</v>
      </c>
      <c r="B933" s="835">
        <v>930</v>
      </c>
      <c r="C933" s="838" t="s">
        <v>1468</v>
      </c>
      <c r="D933" s="839" t="s">
        <v>34</v>
      </c>
      <c r="E933" s="839">
        <v>45850</v>
      </c>
      <c r="F933" s="838" t="s">
        <v>117</v>
      </c>
      <c r="G933" s="838">
        <v>11</v>
      </c>
      <c r="H933" s="838" t="s">
        <v>21</v>
      </c>
      <c r="I933" s="838" t="s">
        <v>127</v>
      </c>
      <c r="J933" s="838" t="s">
        <v>871</v>
      </c>
      <c r="K933" s="89" t="s">
        <v>283</v>
      </c>
      <c r="L933" s="834"/>
      <c r="M933" s="834"/>
      <c r="N933" s="90"/>
      <c r="O933" s="848"/>
      <c r="P933" s="23" t="s">
        <v>30</v>
      </c>
      <c r="Q933" s="23">
        <v>45897</v>
      </c>
      <c r="R933" s="79" t="s">
        <v>28</v>
      </c>
      <c r="S933" s="22" t="s">
        <v>32</v>
      </c>
      <c r="T933" s="22">
        <v>11</v>
      </c>
      <c r="U933" s="22" t="s">
        <v>28</v>
      </c>
      <c r="V933" s="23">
        <v>45897</v>
      </c>
      <c r="W933" s="234" t="s">
        <v>30</v>
      </c>
      <c r="X933" s="96" t="s">
        <v>30</v>
      </c>
      <c r="Y933" s="96" t="s">
        <v>30</v>
      </c>
      <c r="Z933"/>
      <c r="AA933"/>
    </row>
    <row r="934" spans="1:29">
      <c r="A934" s="834" t="s">
        <v>24</v>
      </c>
      <c r="B934" s="835">
        <v>931</v>
      </c>
      <c r="C934" s="838" t="s">
        <v>1469</v>
      </c>
      <c r="D934" s="839" t="s">
        <v>26</v>
      </c>
      <c r="E934" s="839">
        <v>45852</v>
      </c>
      <c r="F934" s="838" t="s">
        <v>1470</v>
      </c>
      <c r="G934" s="838">
        <v>12</v>
      </c>
      <c r="H934" s="838" t="s">
        <v>48</v>
      </c>
      <c r="I934" s="838" t="s">
        <v>47</v>
      </c>
      <c r="J934" s="838" t="s">
        <v>871</v>
      </c>
      <c r="K934" s="21"/>
      <c r="L934" s="834"/>
      <c r="M934" s="834"/>
      <c r="N934" s="848"/>
      <c r="O934" s="848"/>
      <c r="P934" s="848" t="s">
        <v>30</v>
      </c>
      <c r="Q934" s="23">
        <v>45881</v>
      </c>
      <c r="R934" s="79" t="s">
        <v>47</v>
      </c>
      <c r="S934" s="22" t="s">
        <v>32</v>
      </c>
      <c r="T934" s="22">
        <v>12</v>
      </c>
      <c r="U934" s="24" t="s">
        <v>47</v>
      </c>
      <c r="V934" s="23">
        <v>45881</v>
      </c>
      <c r="W934" s="234" t="s">
        <v>30</v>
      </c>
      <c r="X934" s="80" t="s">
        <v>30</v>
      </c>
      <c r="Y934" s="80" t="s">
        <v>30</v>
      </c>
      <c r="Z934"/>
      <c r="AA934"/>
    </row>
    <row r="935" spans="1:29">
      <c r="A935" s="834" t="s">
        <v>24</v>
      </c>
      <c r="B935" s="835">
        <v>932</v>
      </c>
      <c r="C935" s="838" t="s">
        <v>1471</v>
      </c>
      <c r="D935" s="839" t="s">
        <v>57</v>
      </c>
      <c r="E935" s="839">
        <v>45855</v>
      </c>
      <c r="F935" s="838" t="s">
        <v>1470</v>
      </c>
      <c r="G935" s="838">
        <v>15</v>
      </c>
      <c r="H935" s="838" t="s">
        <v>48</v>
      </c>
      <c r="I935" s="838" t="s">
        <v>47</v>
      </c>
      <c r="J935" s="838" t="s">
        <v>871</v>
      </c>
      <c r="K935" s="215" t="s">
        <v>1472</v>
      </c>
      <c r="L935" s="834"/>
      <c r="M935" s="834"/>
      <c r="N935" s="90"/>
      <c r="O935" s="848" t="s">
        <v>31</v>
      </c>
      <c r="P935" s="848" t="s">
        <v>32</v>
      </c>
      <c r="Q935" s="23"/>
      <c r="R935" s="79" t="s">
        <v>28</v>
      </c>
      <c r="S935" s="22" t="s">
        <v>32</v>
      </c>
      <c r="T935" s="22">
        <v>15</v>
      </c>
      <c r="U935" s="24" t="s">
        <v>28</v>
      </c>
      <c r="V935" s="23"/>
      <c r="W935" s="234" t="s">
        <v>30</v>
      </c>
      <c r="X935" s="80" t="s">
        <v>30</v>
      </c>
      <c r="Y935" s="96" t="s">
        <v>30</v>
      </c>
      <c r="Z935"/>
      <c r="AA935"/>
    </row>
    <row r="936" spans="1:29">
      <c r="A936" s="834" t="s">
        <v>24</v>
      </c>
      <c r="B936" s="835">
        <v>933</v>
      </c>
      <c r="C936" s="851" t="s">
        <v>1473</v>
      </c>
      <c r="D936" s="851" t="s">
        <v>716</v>
      </c>
      <c r="E936" s="839">
        <v>45855</v>
      </c>
      <c r="F936" s="851" t="s">
        <v>1474</v>
      </c>
      <c r="G936" s="851">
        <v>15</v>
      </c>
      <c r="H936" s="851" t="s">
        <v>1077</v>
      </c>
      <c r="I936" s="851" t="s">
        <v>1138</v>
      </c>
      <c r="J936" s="838" t="s">
        <v>871</v>
      </c>
      <c r="K936" s="838"/>
      <c r="L936" s="834"/>
      <c r="M936" s="834"/>
      <c r="N936" s="848"/>
      <c r="O936" s="848" t="s">
        <v>31</v>
      </c>
      <c r="P936" s="848" t="s">
        <v>30</v>
      </c>
      <c r="Q936" s="23">
        <v>45890</v>
      </c>
      <c r="R936" s="79" t="s">
        <v>1077</v>
      </c>
      <c r="S936" s="22" t="s">
        <v>32</v>
      </c>
      <c r="T936" s="22">
        <v>14</v>
      </c>
      <c r="U936" s="24" t="s">
        <v>1077</v>
      </c>
      <c r="V936" s="23">
        <v>45890</v>
      </c>
      <c r="W936" s="234" t="s">
        <v>30</v>
      </c>
      <c r="X936" s="80" t="s">
        <v>30</v>
      </c>
      <c r="Y936" s="80" t="s">
        <v>30</v>
      </c>
      <c r="Z936"/>
      <c r="AA936"/>
    </row>
    <row r="937" spans="1:29">
      <c r="A937" s="834" t="s">
        <v>24</v>
      </c>
      <c r="B937" s="835">
        <v>934</v>
      </c>
      <c r="C937" s="838" t="s">
        <v>1475</v>
      </c>
      <c r="D937" s="838" t="s">
        <v>50</v>
      </c>
      <c r="E937" s="839">
        <v>45856</v>
      </c>
      <c r="F937" s="838" t="s">
        <v>106</v>
      </c>
      <c r="G937" s="838">
        <v>12</v>
      </c>
      <c r="H937" s="838" t="s">
        <v>21</v>
      </c>
      <c r="I937" s="838" t="s">
        <v>127</v>
      </c>
      <c r="J937" s="838" t="s">
        <v>871</v>
      </c>
      <c r="K937" s="834" t="s">
        <v>1069</v>
      </c>
      <c r="L937" s="834"/>
      <c r="M937" s="834"/>
      <c r="N937" s="90"/>
      <c r="O937" s="848" t="s">
        <v>66</v>
      </c>
      <c r="P937" s="848" t="s">
        <v>30</v>
      </c>
      <c r="Q937" s="23">
        <v>45896</v>
      </c>
      <c r="R937" s="79" t="s">
        <v>28</v>
      </c>
      <c r="S937" s="22" t="s">
        <v>32</v>
      </c>
      <c r="T937" s="22">
        <v>12</v>
      </c>
      <c r="U937" s="24" t="s">
        <v>28</v>
      </c>
      <c r="V937" s="23">
        <v>45896</v>
      </c>
      <c r="W937" s="234" t="s">
        <v>30</v>
      </c>
      <c r="X937" s="80" t="s">
        <v>30</v>
      </c>
      <c r="Y937" s="80" t="s">
        <v>30</v>
      </c>
      <c r="Z937"/>
      <c r="AA937"/>
    </row>
    <row r="938" spans="1:29">
      <c r="A938" s="834" t="s">
        <v>24</v>
      </c>
      <c r="B938" s="835">
        <v>935</v>
      </c>
      <c r="C938" s="838" t="s">
        <v>1476</v>
      </c>
      <c r="D938" s="838" t="s">
        <v>64</v>
      </c>
      <c r="E938" s="839">
        <v>45856</v>
      </c>
      <c r="F938" s="838" t="s">
        <v>106</v>
      </c>
      <c r="G938" s="838">
        <v>12</v>
      </c>
      <c r="H938" s="838" t="s">
        <v>21</v>
      </c>
      <c r="I938" s="838" t="s">
        <v>127</v>
      </c>
      <c r="J938" s="838" t="s">
        <v>871</v>
      </c>
      <c r="K938" s="834" t="s">
        <v>1069</v>
      </c>
      <c r="L938" s="834"/>
      <c r="M938" s="834"/>
      <c r="N938" s="848"/>
      <c r="O938" s="848"/>
      <c r="P938" s="848" t="s">
        <v>30</v>
      </c>
      <c r="Q938" s="23">
        <v>45896</v>
      </c>
      <c r="R938" s="79" t="s">
        <v>28</v>
      </c>
      <c r="S938" s="22" t="s">
        <v>32</v>
      </c>
      <c r="T938" s="22">
        <v>12</v>
      </c>
      <c r="U938" s="24" t="s">
        <v>28</v>
      </c>
      <c r="V938" s="23">
        <v>45896</v>
      </c>
      <c r="W938" s="234" t="s">
        <v>30</v>
      </c>
      <c r="X938" s="80" t="s">
        <v>30</v>
      </c>
      <c r="Y938" s="80" t="s">
        <v>30</v>
      </c>
      <c r="Z938"/>
      <c r="AA938"/>
    </row>
    <row r="939" spans="1:29">
      <c r="A939" s="834" t="s">
        <v>24</v>
      </c>
      <c r="B939" s="835">
        <v>936</v>
      </c>
      <c r="C939" s="838" t="s">
        <v>1477</v>
      </c>
      <c r="D939" s="838" t="s">
        <v>26</v>
      </c>
      <c r="E939" s="839">
        <v>45856</v>
      </c>
      <c r="F939" s="838" t="s">
        <v>1478</v>
      </c>
      <c r="G939" s="838">
        <v>10</v>
      </c>
      <c r="H939" s="838" t="s">
        <v>48</v>
      </c>
      <c r="I939" s="838" t="s">
        <v>47</v>
      </c>
      <c r="J939" s="838" t="s">
        <v>871</v>
      </c>
      <c r="K939" s="21"/>
      <c r="L939" s="834"/>
      <c r="M939" s="22"/>
      <c r="N939" s="23"/>
      <c r="O939" s="848"/>
      <c r="P939" s="848" t="s">
        <v>30</v>
      </c>
      <c r="Q939" s="23">
        <v>45888</v>
      </c>
      <c r="R939" s="79" t="s">
        <v>28</v>
      </c>
      <c r="S939" s="22" t="s">
        <v>32</v>
      </c>
      <c r="T939" s="22">
        <v>9</v>
      </c>
      <c r="U939" s="24" t="s">
        <v>28</v>
      </c>
      <c r="V939" s="23">
        <v>45888</v>
      </c>
      <c r="W939" s="234" t="s">
        <v>30</v>
      </c>
      <c r="X939" s="80" t="s">
        <v>30</v>
      </c>
      <c r="Y939" s="96" t="s">
        <v>30</v>
      </c>
      <c r="Z939"/>
      <c r="AA939"/>
    </row>
    <row r="940" spans="1:29">
      <c r="A940" s="834" t="s">
        <v>24</v>
      </c>
      <c r="B940" s="835">
        <v>937</v>
      </c>
      <c r="C940" s="838" t="s">
        <v>1479</v>
      </c>
      <c r="D940" s="838" t="s">
        <v>446</v>
      </c>
      <c r="E940" s="839">
        <v>45857</v>
      </c>
      <c r="F940" s="838" t="s">
        <v>653</v>
      </c>
      <c r="G940" s="838">
        <v>7</v>
      </c>
      <c r="H940" s="838" t="s">
        <v>48</v>
      </c>
      <c r="I940" s="838" t="s">
        <v>47</v>
      </c>
      <c r="J940" s="838" t="s">
        <v>871</v>
      </c>
      <c r="K940" s="89" t="s">
        <v>1125</v>
      </c>
      <c r="L940" s="834"/>
      <c r="M940" s="22"/>
      <c r="N940" s="23"/>
      <c r="O940" s="848"/>
      <c r="P940" s="848"/>
      <c r="Q940" s="23"/>
      <c r="R940" s="79" t="s">
        <v>28</v>
      </c>
      <c r="S940" s="22"/>
      <c r="T940" s="22"/>
      <c r="U940" s="24"/>
      <c r="V940" s="23"/>
      <c r="W940" s="91" t="s">
        <v>32</v>
      </c>
      <c r="X940" s="228" t="s">
        <v>32</v>
      </c>
      <c r="Y940" s="228" t="s">
        <v>32</v>
      </c>
      <c r="Z940"/>
      <c r="AA940" s="776"/>
      <c r="AB940" s="776"/>
      <c r="AC940" s="776"/>
    </row>
    <row r="941" spans="1:29">
      <c r="A941" s="834" t="s">
        <v>24</v>
      </c>
      <c r="B941" s="835">
        <v>938</v>
      </c>
      <c r="C941" s="838" t="s">
        <v>1480</v>
      </c>
      <c r="D941" s="838" t="s">
        <v>102</v>
      </c>
      <c r="E941" s="839">
        <v>45857</v>
      </c>
      <c r="F941" s="838" t="s">
        <v>653</v>
      </c>
      <c r="G941" s="838">
        <v>7</v>
      </c>
      <c r="H941" s="838" t="s">
        <v>48</v>
      </c>
      <c r="I941" s="838" t="s">
        <v>47</v>
      </c>
      <c r="J941" s="838" t="s">
        <v>871</v>
      </c>
      <c r="K941" s="89" t="s">
        <v>1481</v>
      </c>
      <c r="L941" s="834"/>
      <c r="M941" s="22"/>
      <c r="N941" s="23"/>
      <c r="O941" s="848"/>
      <c r="P941" s="23" t="s">
        <v>30</v>
      </c>
      <c r="Q941" s="23">
        <v>45874</v>
      </c>
      <c r="R941" s="79" t="s">
        <v>67</v>
      </c>
      <c r="S941" s="22" t="s">
        <v>32</v>
      </c>
      <c r="T941" s="22">
        <v>4</v>
      </c>
      <c r="U941" s="22" t="s">
        <v>67</v>
      </c>
      <c r="V941" s="23">
        <v>45874</v>
      </c>
      <c r="W941" s="80" t="s">
        <v>30</v>
      </c>
      <c r="X941" s="99" t="s">
        <v>30</v>
      </c>
      <c r="Y941" s="83" t="s">
        <v>30</v>
      </c>
      <c r="Z941"/>
      <c r="AA941" s="776"/>
      <c r="AB941" s="776"/>
      <c r="AC941" s="776"/>
    </row>
    <row r="942" spans="1:29">
      <c r="A942" s="834" t="s">
        <v>24</v>
      </c>
      <c r="B942" s="835">
        <v>939</v>
      </c>
      <c r="C942" s="838" t="s">
        <v>1482</v>
      </c>
      <c r="D942" s="838" t="s">
        <v>34</v>
      </c>
      <c r="E942" s="839">
        <v>45857</v>
      </c>
      <c r="F942" s="838" t="s">
        <v>688</v>
      </c>
      <c r="G942" s="838">
        <v>8</v>
      </c>
      <c r="H942" s="838" t="s">
        <v>48</v>
      </c>
      <c r="I942" s="838" t="s">
        <v>47</v>
      </c>
      <c r="J942" s="838" t="s">
        <v>871</v>
      </c>
      <c r="K942" s="89" t="s">
        <v>273</v>
      </c>
      <c r="L942" s="834"/>
      <c r="M942" s="22"/>
      <c r="N942" s="23"/>
      <c r="O942" s="848"/>
      <c r="P942" s="23" t="s">
        <v>32</v>
      </c>
      <c r="Q942" s="23"/>
      <c r="R942" s="79" t="s">
        <v>28</v>
      </c>
      <c r="S942" s="22" t="s">
        <v>30</v>
      </c>
      <c r="T942" s="22">
        <v>7</v>
      </c>
      <c r="U942" s="22" t="s">
        <v>28</v>
      </c>
      <c r="V942" s="23">
        <v>45896</v>
      </c>
      <c r="W942" s="83" t="s">
        <v>30</v>
      </c>
      <c r="X942" s="80" t="s">
        <v>30</v>
      </c>
      <c r="Y942" s="80" t="s">
        <v>30</v>
      </c>
      <c r="Z942"/>
      <c r="AA942" s="776"/>
      <c r="AB942" s="776"/>
      <c r="AC942" s="776"/>
    </row>
    <row r="943" spans="1:29">
      <c r="A943" s="834" t="s">
        <v>24</v>
      </c>
      <c r="B943" s="835">
        <v>940</v>
      </c>
      <c r="C943" s="838" t="s">
        <v>1483</v>
      </c>
      <c r="D943" s="838" t="s">
        <v>34</v>
      </c>
      <c r="E943" s="839">
        <v>45857</v>
      </c>
      <c r="F943" s="838" t="s">
        <v>1484</v>
      </c>
      <c r="G943" s="838">
        <v>15</v>
      </c>
      <c r="H943" s="838" t="s">
        <v>48</v>
      </c>
      <c r="I943" s="838" t="s">
        <v>47</v>
      </c>
      <c r="J943" s="838" t="s">
        <v>871</v>
      </c>
      <c r="K943" s="89" t="s">
        <v>325</v>
      </c>
      <c r="L943" s="89"/>
      <c r="M943" s="22"/>
      <c r="N943" s="23"/>
      <c r="O943" s="848" t="s">
        <v>31</v>
      </c>
      <c r="P943" s="23" t="s">
        <v>32</v>
      </c>
      <c r="Q943" s="23"/>
      <c r="R943" s="79" t="s">
        <v>28</v>
      </c>
      <c r="S943" s="22" t="s">
        <v>30</v>
      </c>
      <c r="T943" s="22">
        <v>15</v>
      </c>
      <c r="U943" s="24" t="s">
        <v>28</v>
      </c>
      <c r="V943" s="23">
        <v>45895</v>
      </c>
      <c r="W943" s="234" t="s">
        <v>30</v>
      </c>
      <c r="X943" s="96" t="s">
        <v>30</v>
      </c>
      <c r="Y943" s="80" t="s">
        <v>30</v>
      </c>
      <c r="Z943"/>
      <c r="AA943"/>
    </row>
    <row r="944" spans="1:29">
      <c r="A944" s="834" t="s">
        <v>24</v>
      </c>
      <c r="B944" s="835">
        <v>941</v>
      </c>
      <c r="C944" s="838" t="s">
        <v>1485</v>
      </c>
      <c r="D944" s="838" t="s">
        <v>34</v>
      </c>
      <c r="E944" s="839">
        <v>45857</v>
      </c>
      <c r="F944" s="838" t="s">
        <v>674</v>
      </c>
      <c r="G944" s="838">
        <v>10</v>
      </c>
      <c r="H944" s="838" t="s">
        <v>48</v>
      </c>
      <c r="I944" s="838" t="s">
        <v>47</v>
      </c>
      <c r="J944" s="838" t="s">
        <v>871</v>
      </c>
      <c r="K944" s="215" t="s">
        <v>1486</v>
      </c>
      <c r="L944" s="89"/>
      <c r="M944" s="22"/>
      <c r="N944" s="23"/>
      <c r="O944" s="848"/>
      <c r="P944" s="23" t="s">
        <v>32</v>
      </c>
      <c r="Q944" s="23"/>
      <c r="R944" s="79" t="s">
        <v>28</v>
      </c>
      <c r="S944" s="22" t="s">
        <v>32</v>
      </c>
      <c r="T944" s="22">
        <v>10</v>
      </c>
      <c r="U944" s="22" t="s">
        <v>28</v>
      </c>
      <c r="V944" s="23">
        <v>45888</v>
      </c>
      <c r="W944" s="83" t="s">
        <v>30</v>
      </c>
      <c r="X944" s="80" t="s">
        <v>30</v>
      </c>
      <c r="Y944" s="80" t="s">
        <v>30</v>
      </c>
      <c r="Z944"/>
      <c r="AA944"/>
    </row>
    <row r="945" spans="1:29">
      <c r="A945" s="834" t="s">
        <v>24</v>
      </c>
      <c r="B945" s="835">
        <v>942</v>
      </c>
      <c r="C945" s="838" t="s">
        <v>1487</v>
      </c>
      <c r="D945" s="838" t="s">
        <v>34</v>
      </c>
      <c r="E945" s="839">
        <v>45857</v>
      </c>
      <c r="F945" s="838" t="s">
        <v>65</v>
      </c>
      <c r="G945" s="838">
        <v>13</v>
      </c>
      <c r="H945" s="838" t="s">
        <v>1077</v>
      </c>
      <c r="I945" s="838" t="s">
        <v>1138</v>
      </c>
      <c r="J945" s="838" t="s">
        <v>871</v>
      </c>
      <c r="K945" s="217"/>
      <c r="L945" s="838"/>
      <c r="M945" s="838"/>
      <c r="N945" s="838"/>
      <c r="O945" s="838"/>
      <c r="P945" s="848" t="s">
        <v>30</v>
      </c>
      <c r="Q945" s="23">
        <v>45876</v>
      </c>
      <c r="R945" s="79" t="s">
        <v>1138</v>
      </c>
      <c r="S945" s="22" t="s">
        <v>32</v>
      </c>
      <c r="T945" s="22">
        <v>13</v>
      </c>
      <c r="U945" s="24" t="s">
        <v>1138</v>
      </c>
      <c r="V945" s="23">
        <v>45876</v>
      </c>
      <c r="W945" s="234" t="s">
        <v>30</v>
      </c>
      <c r="X945" s="80" t="s">
        <v>30</v>
      </c>
      <c r="Y945" s="80" t="s">
        <v>30</v>
      </c>
      <c r="Z945"/>
      <c r="AA945"/>
    </row>
    <row r="946" spans="1:29">
      <c r="A946" s="834" t="s">
        <v>24</v>
      </c>
      <c r="B946" s="835">
        <v>943</v>
      </c>
      <c r="C946" s="838" t="s">
        <v>1488</v>
      </c>
      <c r="D946" s="838" t="s">
        <v>34</v>
      </c>
      <c r="E946" s="839">
        <v>45857</v>
      </c>
      <c r="F946" s="838" t="s">
        <v>65</v>
      </c>
      <c r="G946" s="838">
        <v>14</v>
      </c>
      <c r="H946" s="838" t="s">
        <v>1077</v>
      </c>
      <c r="I946" s="838" t="s">
        <v>1138</v>
      </c>
      <c r="J946" s="838" t="s">
        <v>871</v>
      </c>
      <c r="K946" s="215" t="s">
        <v>1489</v>
      </c>
      <c r="L946" s="89"/>
      <c r="M946" s="22"/>
      <c r="N946" s="23"/>
      <c r="O946" s="848"/>
      <c r="P946" s="23" t="s">
        <v>32</v>
      </c>
      <c r="Q946" s="23"/>
      <c r="R946" s="79" t="s">
        <v>1138</v>
      </c>
      <c r="S946" s="22" t="s">
        <v>32</v>
      </c>
      <c r="T946" s="22">
        <v>14</v>
      </c>
      <c r="U946" s="24" t="s">
        <v>1138</v>
      </c>
      <c r="V946" s="23">
        <v>45874</v>
      </c>
      <c r="W946" s="234" t="s">
        <v>30</v>
      </c>
      <c r="X946" s="80" t="s">
        <v>30</v>
      </c>
      <c r="Y946" s="80" t="s">
        <v>30</v>
      </c>
      <c r="Z946"/>
      <c r="AA946"/>
    </row>
    <row r="947" spans="1:29">
      <c r="A947" s="834" t="s">
        <v>24</v>
      </c>
      <c r="B947" s="835">
        <v>944</v>
      </c>
      <c r="C947" s="838" t="s">
        <v>1490</v>
      </c>
      <c r="D947" s="838" t="s">
        <v>1491</v>
      </c>
      <c r="E947" s="839">
        <v>45861</v>
      </c>
      <c r="F947" s="838" t="s">
        <v>1492</v>
      </c>
      <c r="G947" s="838">
        <v>18</v>
      </c>
      <c r="H947" s="838" t="s">
        <v>48</v>
      </c>
      <c r="I947" s="838" t="s">
        <v>47</v>
      </c>
      <c r="J947" s="838" t="s">
        <v>871</v>
      </c>
      <c r="K947" s="89" t="s">
        <v>1493</v>
      </c>
      <c r="L947" s="834"/>
      <c r="M947" s="22"/>
      <c r="N947" s="23"/>
      <c r="O947" s="848" t="s">
        <v>31</v>
      </c>
      <c r="P947" s="23" t="s">
        <v>30</v>
      </c>
      <c r="Q947" s="23">
        <v>45874</v>
      </c>
      <c r="R947" s="79" t="s">
        <v>67</v>
      </c>
      <c r="S947" s="22" t="s">
        <v>32</v>
      </c>
      <c r="T947" s="22">
        <v>18</v>
      </c>
      <c r="U947" s="24" t="s">
        <v>67</v>
      </c>
      <c r="V947" s="23">
        <v>45874</v>
      </c>
      <c r="W947" s="91" t="s">
        <v>32</v>
      </c>
      <c r="X947" s="99" t="s">
        <v>30</v>
      </c>
      <c r="Y947" s="99" t="s">
        <v>32</v>
      </c>
      <c r="Z947"/>
      <c r="AA947"/>
    </row>
    <row r="948" spans="1:29">
      <c r="A948" s="834" t="s">
        <v>24</v>
      </c>
      <c r="B948" s="835">
        <v>945</v>
      </c>
      <c r="C948" s="838" t="s">
        <v>1494</v>
      </c>
      <c r="D948" s="838" t="s">
        <v>43</v>
      </c>
      <c r="E948" s="839">
        <v>45862</v>
      </c>
      <c r="F948" s="838" t="s">
        <v>1495</v>
      </c>
      <c r="G948" s="838">
        <v>14</v>
      </c>
      <c r="H948" s="838" t="s">
        <v>1077</v>
      </c>
      <c r="I948" s="838" t="s">
        <v>1138</v>
      </c>
      <c r="J948" s="838" t="s">
        <v>871</v>
      </c>
      <c r="K948" s="217"/>
      <c r="L948" s="838"/>
      <c r="M948" s="22"/>
      <c r="N948" s="23"/>
      <c r="O948" s="848"/>
      <c r="P948" s="848" t="s">
        <v>30</v>
      </c>
      <c r="Q948" s="23">
        <v>45873</v>
      </c>
      <c r="R948" s="79" t="s">
        <v>1138</v>
      </c>
      <c r="S948" s="22" t="s">
        <v>32</v>
      </c>
      <c r="T948" s="22">
        <v>14</v>
      </c>
      <c r="U948" s="24" t="s">
        <v>1138</v>
      </c>
      <c r="V948" s="23">
        <v>45873</v>
      </c>
      <c r="W948" s="234" t="s">
        <v>30</v>
      </c>
      <c r="X948" s="80" t="s">
        <v>30</v>
      </c>
      <c r="Y948" s="80" t="s">
        <v>30</v>
      </c>
      <c r="Z948"/>
      <c r="AA948"/>
    </row>
    <row r="949" spans="1:29">
      <c r="A949" s="834" t="s">
        <v>24</v>
      </c>
      <c r="B949" s="835">
        <v>946</v>
      </c>
      <c r="C949" s="838" t="s">
        <v>1496</v>
      </c>
      <c r="D949" s="838" t="s">
        <v>50</v>
      </c>
      <c r="E949" s="839">
        <v>45863</v>
      </c>
      <c r="F949" s="838" t="s">
        <v>1495</v>
      </c>
      <c r="G949" s="838">
        <v>14</v>
      </c>
      <c r="H949" s="838" t="s">
        <v>1077</v>
      </c>
      <c r="I949" s="838" t="s">
        <v>1138</v>
      </c>
      <c r="J949" s="838" t="s">
        <v>871</v>
      </c>
      <c r="K949" s="838"/>
      <c r="L949" s="21"/>
      <c r="M949" s="22"/>
      <c r="N949" s="23"/>
      <c r="O949" s="848"/>
      <c r="P949" s="848" t="s">
        <v>30</v>
      </c>
      <c r="Q949" s="23">
        <v>45875</v>
      </c>
      <c r="R949" s="79" t="s">
        <v>1138</v>
      </c>
      <c r="S949" s="22" t="s">
        <v>32</v>
      </c>
      <c r="T949" s="22">
        <v>14</v>
      </c>
      <c r="U949" s="24" t="s">
        <v>1138</v>
      </c>
      <c r="V949" s="23">
        <v>45875</v>
      </c>
      <c r="W949" s="234" t="s">
        <v>30</v>
      </c>
      <c r="X949" s="80" t="s">
        <v>30</v>
      </c>
      <c r="Y949" s="80" t="s">
        <v>30</v>
      </c>
      <c r="Z949"/>
      <c r="AA949"/>
    </row>
    <row r="950" spans="1:29">
      <c r="A950" s="834" t="s">
        <v>24</v>
      </c>
      <c r="B950" s="835">
        <v>947</v>
      </c>
      <c r="C950" s="838" t="s">
        <v>1497</v>
      </c>
      <c r="D950" s="838" t="s">
        <v>50</v>
      </c>
      <c r="E950" s="839">
        <v>45863</v>
      </c>
      <c r="F950" s="838" t="s">
        <v>106</v>
      </c>
      <c r="G950" s="838">
        <v>11</v>
      </c>
      <c r="H950" s="838" t="s">
        <v>21</v>
      </c>
      <c r="I950" s="838" t="s">
        <v>127</v>
      </c>
      <c r="J950" s="838" t="s">
        <v>871</v>
      </c>
      <c r="K950" s="834" t="s">
        <v>1069</v>
      </c>
      <c r="L950" s="834"/>
      <c r="M950" s="22"/>
      <c r="N950" s="23"/>
      <c r="O950" s="848" t="s">
        <v>66</v>
      </c>
      <c r="P950" s="848" t="s">
        <v>30</v>
      </c>
      <c r="Q950" s="23">
        <v>45897</v>
      </c>
      <c r="R950" s="79" t="s">
        <v>28</v>
      </c>
      <c r="S950" s="22" t="s">
        <v>32</v>
      </c>
      <c r="T950" s="22">
        <v>11</v>
      </c>
      <c r="U950" s="24" t="s">
        <v>28</v>
      </c>
      <c r="V950" s="23">
        <v>45897</v>
      </c>
      <c r="W950" s="234" t="s">
        <v>30</v>
      </c>
      <c r="X950" s="80" t="s">
        <v>30</v>
      </c>
      <c r="Y950" s="80" t="s">
        <v>30</v>
      </c>
      <c r="Z950"/>
      <c r="AA950"/>
    </row>
    <row r="951" spans="1:29">
      <c r="A951" s="834" t="s">
        <v>24</v>
      </c>
      <c r="B951" s="835">
        <v>948</v>
      </c>
      <c r="C951" s="838" t="s">
        <v>1498</v>
      </c>
      <c r="D951" s="838" t="s">
        <v>64</v>
      </c>
      <c r="E951" s="839">
        <v>45863</v>
      </c>
      <c r="F951" s="838" t="s">
        <v>106</v>
      </c>
      <c r="G951" s="838">
        <v>11</v>
      </c>
      <c r="H951" s="838" t="s">
        <v>21</v>
      </c>
      <c r="I951" s="838" t="s">
        <v>127</v>
      </c>
      <c r="J951" s="838" t="s">
        <v>871</v>
      </c>
      <c r="K951" s="834" t="s">
        <v>1069</v>
      </c>
      <c r="L951" s="21"/>
      <c r="M951" s="22"/>
      <c r="N951" s="23"/>
      <c r="O951" s="848"/>
      <c r="P951" s="848" t="s">
        <v>30</v>
      </c>
      <c r="Q951" s="23">
        <v>45898</v>
      </c>
      <c r="R951" s="79" t="s">
        <v>28</v>
      </c>
      <c r="S951" s="22" t="s">
        <v>32</v>
      </c>
      <c r="T951" s="22">
        <v>11</v>
      </c>
      <c r="U951" s="24" t="s">
        <v>28</v>
      </c>
      <c r="V951" s="23">
        <v>45898</v>
      </c>
      <c r="W951" s="234" t="s">
        <v>30</v>
      </c>
      <c r="X951" s="80" t="s">
        <v>30</v>
      </c>
      <c r="Y951" s="80" t="s">
        <v>30</v>
      </c>
      <c r="Z951"/>
      <c r="AA951"/>
    </row>
    <row r="952" spans="1:29">
      <c r="A952" s="834" t="s">
        <v>24</v>
      </c>
      <c r="B952" s="835">
        <v>949</v>
      </c>
      <c r="C952" s="838" t="s">
        <v>1499</v>
      </c>
      <c r="D952" s="838" t="s">
        <v>64</v>
      </c>
      <c r="E952" s="839">
        <v>45863</v>
      </c>
      <c r="F952" s="838" t="s">
        <v>729</v>
      </c>
      <c r="G952" s="838">
        <v>11</v>
      </c>
      <c r="H952" s="838" t="s">
        <v>48</v>
      </c>
      <c r="I952" s="838" t="s">
        <v>47</v>
      </c>
      <c r="J952" s="838" t="s">
        <v>871</v>
      </c>
      <c r="K952" s="21"/>
      <c r="L952" s="838"/>
      <c r="M952" s="22"/>
      <c r="N952" s="23"/>
      <c r="O952" s="848"/>
      <c r="P952" s="23" t="s">
        <v>30</v>
      </c>
      <c r="Q952" s="23">
        <v>45894</v>
      </c>
      <c r="R952" s="79" t="s">
        <v>48</v>
      </c>
      <c r="S952" s="22" t="s">
        <v>32</v>
      </c>
      <c r="T952" s="22">
        <v>11</v>
      </c>
      <c r="U952" s="24" t="s">
        <v>48</v>
      </c>
      <c r="V952" s="23">
        <v>45894</v>
      </c>
      <c r="W952" s="234" t="s">
        <v>30</v>
      </c>
      <c r="X952" s="80" t="s">
        <v>30</v>
      </c>
      <c r="Y952" s="96" t="s">
        <v>30</v>
      </c>
      <c r="Z952"/>
      <c r="AA952" s="776"/>
      <c r="AB952" s="776"/>
      <c r="AC952" s="776"/>
    </row>
    <row r="953" spans="1:29">
      <c r="A953" s="834" t="s">
        <v>24</v>
      </c>
      <c r="B953" s="835">
        <v>950</v>
      </c>
      <c r="C953" s="838" t="s">
        <v>1500</v>
      </c>
      <c r="D953" s="838" t="s">
        <v>34</v>
      </c>
      <c r="E953" s="839">
        <v>45864</v>
      </c>
      <c r="F953" s="838" t="s">
        <v>1501</v>
      </c>
      <c r="G953" s="838">
        <v>15</v>
      </c>
      <c r="H953" s="838" t="s">
        <v>48</v>
      </c>
      <c r="I953" s="838" t="s">
        <v>47</v>
      </c>
      <c r="J953" s="838" t="s">
        <v>871</v>
      </c>
      <c r="K953" s="89" t="s">
        <v>273</v>
      </c>
      <c r="L953" s="21"/>
      <c r="M953" s="22"/>
      <c r="N953" s="23"/>
      <c r="O953" s="848" t="s">
        <v>31</v>
      </c>
      <c r="P953" s="23" t="s">
        <v>1091</v>
      </c>
      <c r="Q953" s="23">
        <v>45897</v>
      </c>
      <c r="R953" s="79" t="s">
        <v>28</v>
      </c>
      <c r="S953" s="22" t="s">
        <v>1140</v>
      </c>
      <c r="T953" s="22">
        <v>14</v>
      </c>
      <c r="U953" s="24" t="s">
        <v>28</v>
      </c>
      <c r="V953" s="23">
        <v>45897</v>
      </c>
      <c r="W953" s="83" t="s">
        <v>30</v>
      </c>
      <c r="X953" s="80" t="s">
        <v>30</v>
      </c>
      <c r="Y953" s="80" t="s">
        <v>30</v>
      </c>
      <c r="Z953"/>
      <c r="AA953" s="776"/>
      <c r="AB953" s="776"/>
      <c r="AC953" s="776"/>
    </row>
    <row r="954" spans="1:29">
      <c r="A954" s="834" t="s">
        <v>24</v>
      </c>
      <c r="B954" s="835">
        <v>951</v>
      </c>
      <c r="C954" s="838" t="s">
        <v>1502</v>
      </c>
      <c r="D954" s="838" t="s">
        <v>34</v>
      </c>
      <c r="E954" s="839">
        <v>45864</v>
      </c>
      <c r="F954" s="838" t="s">
        <v>324</v>
      </c>
      <c r="G954" s="838">
        <v>13</v>
      </c>
      <c r="H954" s="838" t="s">
        <v>48</v>
      </c>
      <c r="I954" s="838" t="s">
        <v>47</v>
      </c>
      <c r="J954" s="838" t="s">
        <v>871</v>
      </c>
      <c r="K954" s="89" t="s">
        <v>1096</v>
      </c>
      <c r="L954" s="21"/>
      <c r="M954" s="22"/>
      <c r="N954" s="23"/>
      <c r="O954" s="848"/>
      <c r="P954" s="23" t="s">
        <v>30</v>
      </c>
      <c r="Q954" s="23">
        <v>45874</v>
      </c>
      <c r="R954" s="79" t="s">
        <v>67</v>
      </c>
      <c r="S954" s="22" t="s">
        <v>32</v>
      </c>
      <c r="T954" s="22">
        <v>8</v>
      </c>
      <c r="U954" s="24" t="s">
        <v>67</v>
      </c>
      <c r="V954" s="23">
        <v>45874</v>
      </c>
      <c r="W954" s="96" t="s">
        <v>30</v>
      </c>
      <c r="X954" s="99" t="s">
        <v>30</v>
      </c>
      <c r="Y954" s="99" t="s">
        <v>30</v>
      </c>
      <c r="Z954"/>
      <c r="AA954" s="776"/>
      <c r="AB954" s="776"/>
      <c r="AC954" s="776"/>
    </row>
    <row r="955" spans="1:29">
      <c r="A955" s="834" t="s">
        <v>24</v>
      </c>
      <c r="B955" s="835">
        <v>952</v>
      </c>
      <c r="C955" s="838" t="s">
        <v>1503</v>
      </c>
      <c r="D955" s="838" t="s">
        <v>34</v>
      </c>
      <c r="E955" s="839">
        <v>45864</v>
      </c>
      <c r="F955" s="838" t="s">
        <v>272</v>
      </c>
      <c r="G955" s="838">
        <v>12</v>
      </c>
      <c r="H955" s="838" t="s">
        <v>48</v>
      </c>
      <c r="I955" s="838" t="s">
        <v>47</v>
      </c>
      <c r="J955" s="838" t="s">
        <v>871</v>
      </c>
      <c r="K955" s="838"/>
      <c r="L955" s="21"/>
      <c r="M955" s="22"/>
      <c r="N955" s="23"/>
      <c r="O955" s="848"/>
      <c r="P955" s="23" t="s">
        <v>30</v>
      </c>
      <c r="Q955" s="23">
        <v>45895</v>
      </c>
      <c r="R955" s="79" t="s">
        <v>48</v>
      </c>
      <c r="S955" s="22" t="s">
        <v>32</v>
      </c>
      <c r="T955" s="22">
        <v>12</v>
      </c>
      <c r="U955" s="24" t="s">
        <v>48</v>
      </c>
      <c r="V955" s="23">
        <v>45895</v>
      </c>
      <c r="W955" s="234" t="s">
        <v>30</v>
      </c>
      <c r="X955" s="80" t="s">
        <v>30</v>
      </c>
      <c r="Y955" s="80" t="s">
        <v>30</v>
      </c>
      <c r="Z955"/>
      <c r="AA955" s="776"/>
      <c r="AB955" s="776"/>
      <c r="AC955" s="776"/>
    </row>
    <row r="956" spans="1:29">
      <c r="A956" s="834" t="s">
        <v>24</v>
      </c>
      <c r="B956" s="835">
        <v>953</v>
      </c>
      <c r="C956" s="838" t="s">
        <v>1504</v>
      </c>
      <c r="D956" s="838" t="s">
        <v>34</v>
      </c>
      <c r="E956" s="839">
        <v>45864</v>
      </c>
      <c r="F956" s="838" t="s">
        <v>1505</v>
      </c>
      <c r="G956" s="838">
        <v>14</v>
      </c>
      <c r="H956" s="842" t="s">
        <v>21</v>
      </c>
      <c r="I956" s="838" t="s">
        <v>127</v>
      </c>
      <c r="J956" s="838" t="s">
        <v>871</v>
      </c>
      <c r="K956" s="215" t="s">
        <v>1506</v>
      </c>
      <c r="L956" s="21"/>
      <c r="M956" s="22"/>
      <c r="N956" s="23"/>
      <c r="O956" s="848"/>
      <c r="P956" s="23" t="s">
        <v>32</v>
      </c>
      <c r="Q956" s="23"/>
      <c r="R956" s="79" t="s">
        <v>28</v>
      </c>
      <c r="S956" s="22" t="s">
        <v>30</v>
      </c>
      <c r="T956" s="22">
        <v>14</v>
      </c>
      <c r="U956" s="24" t="s">
        <v>28</v>
      </c>
      <c r="V956" s="23">
        <v>45898</v>
      </c>
      <c r="W956" s="234" t="s">
        <v>30</v>
      </c>
      <c r="X956" s="80" t="s">
        <v>30</v>
      </c>
      <c r="Y956" s="80" t="s">
        <v>30</v>
      </c>
      <c r="Z956"/>
      <c r="AA956" s="776"/>
      <c r="AB956" s="776"/>
      <c r="AC956" s="776"/>
    </row>
    <row r="957" spans="1:29">
      <c r="A957" s="834" t="s">
        <v>24</v>
      </c>
      <c r="B957" s="835">
        <v>954</v>
      </c>
      <c r="C957" s="838" t="s">
        <v>1507</v>
      </c>
      <c r="D957" s="838" t="s">
        <v>34</v>
      </c>
      <c r="E957" s="839">
        <v>45864</v>
      </c>
      <c r="F957" s="838" t="s">
        <v>97</v>
      </c>
      <c r="G957" s="838">
        <v>7</v>
      </c>
      <c r="H957" s="842" t="s">
        <v>21</v>
      </c>
      <c r="I957" s="838" t="s">
        <v>127</v>
      </c>
      <c r="J957" s="838" t="s">
        <v>871</v>
      </c>
      <c r="K957" s="21"/>
      <c r="L957" s="21"/>
      <c r="M957" s="22"/>
      <c r="N957" s="23"/>
      <c r="O957" s="848"/>
      <c r="P957" s="23" t="s">
        <v>30</v>
      </c>
      <c r="Q957" s="23">
        <v>45894</v>
      </c>
      <c r="R957" s="79" t="s">
        <v>48</v>
      </c>
      <c r="S957" s="22" t="s">
        <v>32</v>
      </c>
      <c r="T957" s="22">
        <v>7</v>
      </c>
      <c r="U957" s="24" t="s">
        <v>48</v>
      </c>
      <c r="V957" s="23">
        <v>45894</v>
      </c>
      <c r="W957" s="234" t="s">
        <v>30</v>
      </c>
      <c r="X957" s="80" t="s">
        <v>30</v>
      </c>
      <c r="Y957" s="96" t="s">
        <v>30</v>
      </c>
      <c r="Z957"/>
      <c r="AA957" s="776"/>
      <c r="AB957" s="776"/>
      <c r="AC957" s="776"/>
    </row>
    <row r="958" spans="1:29">
      <c r="A958" s="834" t="s">
        <v>24</v>
      </c>
      <c r="B958" s="835">
        <v>955</v>
      </c>
      <c r="C958" s="838" t="s">
        <v>1508</v>
      </c>
      <c r="D958" s="838" t="s">
        <v>34</v>
      </c>
      <c r="E958" s="839">
        <v>45864</v>
      </c>
      <c r="F958" s="838" t="s">
        <v>206</v>
      </c>
      <c r="G958" s="838">
        <v>20</v>
      </c>
      <c r="H958" s="838" t="s">
        <v>21</v>
      </c>
      <c r="I958" s="838" t="s">
        <v>127</v>
      </c>
      <c r="J958" s="838" t="s">
        <v>871</v>
      </c>
      <c r="K958" s="89" t="s">
        <v>283</v>
      </c>
      <c r="L958" s="89"/>
      <c r="M958" s="22"/>
      <c r="N958" s="23"/>
      <c r="O958" s="848" t="s">
        <v>31</v>
      </c>
      <c r="P958" s="23" t="s">
        <v>30</v>
      </c>
      <c r="Q958" s="23">
        <v>45889</v>
      </c>
      <c r="R958" s="79" t="s">
        <v>1138</v>
      </c>
      <c r="S958" s="22" t="s">
        <v>32</v>
      </c>
      <c r="T958" s="22">
        <v>20</v>
      </c>
      <c r="U958" s="24" t="s">
        <v>1138</v>
      </c>
      <c r="V958" s="23">
        <v>45889</v>
      </c>
      <c r="W958" s="234" t="s">
        <v>30</v>
      </c>
      <c r="X958" s="96" t="s">
        <v>30</v>
      </c>
      <c r="Y958" s="80" t="s">
        <v>30</v>
      </c>
      <c r="Z958"/>
      <c r="AA958" s="776"/>
      <c r="AB958" s="776"/>
      <c r="AC958" s="776"/>
    </row>
    <row r="959" spans="1:29">
      <c r="A959" s="834" t="s">
        <v>24</v>
      </c>
      <c r="B959" s="835">
        <v>956</v>
      </c>
      <c r="C959" s="838" t="s">
        <v>1509</v>
      </c>
      <c r="D959" s="838" t="s">
        <v>102</v>
      </c>
      <c r="E959" s="839">
        <v>45867</v>
      </c>
      <c r="F959" s="838" t="s">
        <v>97</v>
      </c>
      <c r="G959" s="838">
        <v>12</v>
      </c>
      <c r="H959" s="842" t="s">
        <v>21</v>
      </c>
      <c r="I959" s="838" t="s">
        <v>47</v>
      </c>
      <c r="J959" s="838" t="s">
        <v>871</v>
      </c>
      <c r="K959" s="834" t="s">
        <v>1069</v>
      </c>
      <c r="L959" s="21"/>
      <c r="M959" s="22"/>
      <c r="N959" s="23"/>
      <c r="O959" s="848"/>
      <c r="P959" s="23" t="s">
        <v>30</v>
      </c>
      <c r="Q959" s="23">
        <v>45897</v>
      </c>
      <c r="R959" s="79" t="s">
        <v>48</v>
      </c>
      <c r="S959" s="22" t="s">
        <v>32</v>
      </c>
      <c r="T959" s="22">
        <v>12</v>
      </c>
      <c r="U959" s="24" t="s">
        <v>48</v>
      </c>
      <c r="V959" s="23">
        <v>45897</v>
      </c>
      <c r="W959" s="234" t="s">
        <v>30</v>
      </c>
      <c r="X959" s="80" t="s">
        <v>30</v>
      </c>
      <c r="Y959" s="80" t="s">
        <v>30</v>
      </c>
      <c r="Z959"/>
      <c r="AA959"/>
    </row>
    <row r="960" spans="1:29">
      <c r="A960" s="834" t="s">
        <v>24</v>
      </c>
      <c r="B960" s="835">
        <v>957</v>
      </c>
      <c r="C960" s="838" t="s">
        <v>1510</v>
      </c>
      <c r="D960" s="838" t="s">
        <v>26</v>
      </c>
      <c r="E960" s="839">
        <v>45867</v>
      </c>
      <c r="F960" s="838" t="s">
        <v>435</v>
      </c>
      <c r="G960" s="838">
        <v>17</v>
      </c>
      <c r="H960" s="842" t="s">
        <v>48</v>
      </c>
      <c r="I960" s="838" t="s">
        <v>47</v>
      </c>
      <c r="J960" s="838" t="s">
        <v>871</v>
      </c>
      <c r="K960" s="89"/>
      <c r="L960" s="21"/>
      <c r="M960" s="22"/>
      <c r="N960" s="23"/>
      <c r="O960" s="848" t="s">
        <v>31</v>
      </c>
      <c r="P960" s="23" t="s">
        <v>30</v>
      </c>
      <c r="Q960" s="23">
        <v>45896</v>
      </c>
      <c r="R960" s="79" t="s">
        <v>1077</v>
      </c>
      <c r="S960" s="22" t="s">
        <v>32</v>
      </c>
      <c r="T960" s="22">
        <v>17</v>
      </c>
      <c r="U960" s="24" t="s">
        <v>1077</v>
      </c>
      <c r="V960" s="23">
        <v>45896</v>
      </c>
      <c r="W960" s="234" t="s">
        <v>30</v>
      </c>
      <c r="X960" s="80" t="s">
        <v>30</v>
      </c>
      <c r="Y960" s="80" t="s">
        <v>30</v>
      </c>
      <c r="Z960"/>
      <c r="AA960"/>
    </row>
    <row r="961" spans="1:32">
      <c r="A961" s="834" t="s">
        <v>24</v>
      </c>
      <c r="B961" s="835">
        <v>958</v>
      </c>
      <c r="C961" s="838" t="s">
        <v>1511</v>
      </c>
      <c r="D961" s="838" t="s">
        <v>26</v>
      </c>
      <c r="E961" s="839">
        <v>45868</v>
      </c>
      <c r="F961" s="838" t="s">
        <v>435</v>
      </c>
      <c r="G961" s="838">
        <v>16</v>
      </c>
      <c r="H961" s="842" t="s">
        <v>48</v>
      </c>
      <c r="I961" s="838" t="s">
        <v>47</v>
      </c>
      <c r="J961" s="838" t="s">
        <v>871</v>
      </c>
      <c r="K961" s="89"/>
      <c r="L961" s="21"/>
      <c r="M961" s="22"/>
      <c r="N961" s="23"/>
      <c r="O961" s="848" t="s">
        <v>31</v>
      </c>
      <c r="P961" s="848" t="s">
        <v>30</v>
      </c>
      <c r="Q961" s="23">
        <v>45883</v>
      </c>
      <c r="R961" s="79" t="s">
        <v>1138</v>
      </c>
      <c r="S961" s="22" t="s">
        <v>32</v>
      </c>
      <c r="T961" s="22">
        <v>16</v>
      </c>
      <c r="U961" s="24" t="s">
        <v>1138</v>
      </c>
      <c r="V961" s="23">
        <v>45883</v>
      </c>
      <c r="W961" s="234" t="s">
        <v>30</v>
      </c>
      <c r="X961" s="80" t="s">
        <v>30</v>
      </c>
      <c r="Y961" s="80" t="s">
        <v>30</v>
      </c>
      <c r="Z961"/>
      <c r="AA961"/>
    </row>
    <row r="962" spans="1:32">
      <c r="A962" s="834" t="s">
        <v>137</v>
      </c>
      <c r="B962" s="835">
        <v>959</v>
      </c>
      <c r="C962" s="840" t="s">
        <v>1512</v>
      </c>
      <c r="D962" s="840" t="s">
        <v>829</v>
      </c>
      <c r="E962" s="839">
        <v>45845.041666666664</v>
      </c>
      <c r="F962" s="838" t="s">
        <v>140</v>
      </c>
      <c r="G962" s="838">
        <v>11</v>
      </c>
      <c r="H962" s="838" t="s">
        <v>1513</v>
      </c>
      <c r="I962" s="838" t="s">
        <v>1514</v>
      </c>
      <c r="J962" s="838" t="s">
        <v>871</v>
      </c>
      <c r="K962" s="231"/>
      <c r="L962" s="21"/>
      <c r="M962" s="22"/>
      <c r="N962" s="23"/>
      <c r="O962" s="848"/>
      <c r="P962" s="23" t="s">
        <v>30</v>
      </c>
      <c r="Q962" s="23">
        <v>45863</v>
      </c>
      <c r="R962" s="79" t="s">
        <v>67</v>
      </c>
      <c r="S962" s="22" t="s">
        <v>32</v>
      </c>
      <c r="T962" s="22">
        <v>11</v>
      </c>
      <c r="U962" s="24" t="s">
        <v>67</v>
      </c>
      <c r="V962" s="23">
        <v>45863</v>
      </c>
      <c r="W962" s="80" t="s">
        <v>113</v>
      </c>
      <c r="X962" s="83"/>
      <c r="Y962" s="83" t="s">
        <v>113</v>
      </c>
      <c r="Z962"/>
      <c r="AA962"/>
    </row>
    <row r="963" spans="1:32">
      <c r="A963" s="834" t="s">
        <v>137</v>
      </c>
      <c r="B963" s="835">
        <v>960</v>
      </c>
      <c r="C963" s="840" t="s">
        <v>1515</v>
      </c>
      <c r="D963" s="840" t="s">
        <v>1516</v>
      </c>
      <c r="E963" s="839">
        <v>45845.125</v>
      </c>
      <c r="F963" s="838" t="s">
        <v>140</v>
      </c>
      <c r="G963" s="838">
        <v>1</v>
      </c>
      <c r="H963" s="838" t="s">
        <v>1513</v>
      </c>
      <c r="I963" s="838" t="s">
        <v>1514</v>
      </c>
      <c r="J963" s="838" t="s">
        <v>871</v>
      </c>
      <c r="K963" s="231"/>
      <c r="L963" s="834"/>
      <c r="M963" s="22"/>
      <c r="N963" s="23"/>
      <c r="O963" s="848"/>
      <c r="P963" s="23" t="s">
        <v>30</v>
      </c>
      <c r="Q963" s="23">
        <v>45863</v>
      </c>
      <c r="R963" s="79" t="s">
        <v>67</v>
      </c>
      <c r="S963" s="22" t="s">
        <v>32</v>
      </c>
      <c r="T963" s="22">
        <v>1</v>
      </c>
      <c r="U963" s="24" t="s">
        <v>67</v>
      </c>
      <c r="V963" s="23">
        <v>45863</v>
      </c>
      <c r="W963" s="80" t="s">
        <v>113</v>
      </c>
      <c r="X963" s="83"/>
      <c r="Y963" s="83" t="s">
        <v>113</v>
      </c>
      <c r="Z963"/>
      <c r="AA963"/>
    </row>
    <row r="964" spans="1:32">
      <c r="A964" s="834" t="s">
        <v>137</v>
      </c>
      <c r="B964" s="835">
        <v>961</v>
      </c>
      <c r="C964" s="840" t="s">
        <v>1517</v>
      </c>
      <c r="D964" s="840" t="s">
        <v>1184</v>
      </c>
      <c r="E964" s="839">
        <v>45845.375</v>
      </c>
      <c r="F964" s="838" t="s">
        <v>140</v>
      </c>
      <c r="G964" s="838">
        <v>4</v>
      </c>
      <c r="H964" s="838" t="s">
        <v>21</v>
      </c>
      <c r="I964" s="838" t="s">
        <v>127</v>
      </c>
      <c r="J964" s="838" t="s">
        <v>871</v>
      </c>
      <c r="K964" s="21"/>
      <c r="L964" s="834"/>
      <c r="M964" s="22"/>
      <c r="N964" s="23"/>
      <c r="O964" s="848"/>
      <c r="P964" s="23" t="s">
        <v>30</v>
      </c>
      <c r="Q964" s="23">
        <v>45863</v>
      </c>
      <c r="R964" s="79" t="s">
        <v>67</v>
      </c>
      <c r="S964" s="22" t="s">
        <v>32</v>
      </c>
      <c r="T964" s="22">
        <v>4</v>
      </c>
      <c r="U964" s="24" t="s">
        <v>67</v>
      </c>
      <c r="V964" s="23">
        <v>45863</v>
      </c>
      <c r="W964" s="80" t="s">
        <v>113</v>
      </c>
      <c r="X964" s="83"/>
      <c r="Y964" s="83" t="s">
        <v>113</v>
      </c>
      <c r="Z964"/>
      <c r="AA964"/>
    </row>
    <row r="965" spans="1:32">
      <c r="A965" s="834" t="s">
        <v>137</v>
      </c>
      <c r="B965" s="835">
        <v>962</v>
      </c>
      <c r="C965" s="840" t="s">
        <v>1518</v>
      </c>
      <c r="D965" s="840" t="s">
        <v>213</v>
      </c>
      <c r="E965" s="839">
        <v>45845.375</v>
      </c>
      <c r="F965" s="838" t="s">
        <v>140</v>
      </c>
      <c r="G965" s="838">
        <v>6</v>
      </c>
      <c r="H965" s="838" t="s">
        <v>1519</v>
      </c>
      <c r="I965" s="838" t="s">
        <v>1520</v>
      </c>
      <c r="J965" s="838" t="s">
        <v>871</v>
      </c>
      <c r="K965" s="21"/>
      <c r="L965" s="21"/>
      <c r="M965" s="22"/>
      <c r="N965" s="23"/>
      <c r="O965" s="848"/>
      <c r="P965" s="23" t="s">
        <v>30</v>
      </c>
      <c r="Q965" s="23">
        <v>45863</v>
      </c>
      <c r="R965" s="79" t="s">
        <v>67</v>
      </c>
      <c r="S965" s="22" t="s">
        <v>32</v>
      </c>
      <c r="T965" s="22">
        <v>6</v>
      </c>
      <c r="U965" s="24" t="s">
        <v>67</v>
      </c>
      <c r="V965" s="23">
        <v>45863</v>
      </c>
      <c r="W965" s="80" t="s">
        <v>113</v>
      </c>
      <c r="X965" s="83"/>
      <c r="Y965" s="83" t="s">
        <v>113</v>
      </c>
      <c r="Z965"/>
      <c r="AA965"/>
    </row>
    <row r="966" spans="1:32">
      <c r="A966" s="834" t="s">
        <v>137</v>
      </c>
      <c r="B966" s="835">
        <v>963</v>
      </c>
      <c r="C966" s="840" t="s">
        <v>1521</v>
      </c>
      <c r="D966" s="840" t="s">
        <v>221</v>
      </c>
      <c r="E966" s="839">
        <v>45845.375</v>
      </c>
      <c r="F966" s="838" t="s">
        <v>140</v>
      </c>
      <c r="G966" s="838">
        <v>27</v>
      </c>
      <c r="H966" s="838" t="s">
        <v>1513</v>
      </c>
      <c r="I966" s="838" t="s">
        <v>1514</v>
      </c>
      <c r="J966" s="838" t="s">
        <v>871</v>
      </c>
      <c r="K966" s="89"/>
      <c r="L966" s="21"/>
      <c r="M966" s="22"/>
      <c r="N966" s="23"/>
      <c r="O966" s="848" t="s">
        <v>31</v>
      </c>
      <c r="P966" s="23" t="s">
        <v>30</v>
      </c>
      <c r="Q966" s="23">
        <v>45867</v>
      </c>
      <c r="R966" s="79" t="s">
        <v>67</v>
      </c>
      <c r="S966" s="22" t="s">
        <v>32</v>
      </c>
      <c r="T966" s="22">
        <v>26</v>
      </c>
      <c r="U966" s="24" t="s">
        <v>67</v>
      </c>
      <c r="V966" s="23">
        <v>45867</v>
      </c>
      <c r="W966" s="80" t="s">
        <v>113</v>
      </c>
      <c r="X966" s="83"/>
      <c r="Y966" s="83" t="s">
        <v>113</v>
      </c>
      <c r="Z966">
        <v>1</v>
      </c>
      <c r="AA966">
        <v>26</v>
      </c>
      <c r="AB966">
        <v>0</v>
      </c>
      <c r="AC966">
        <f>SUM(Z966:AB966)</f>
        <v>27</v>
      </c>
      <c r="AD966" s="71">
        <f>+Z966/AC966*AD$1</f>
        <v>0.1111111111111111</v>
      </c>
      <c r="AE966" s="92">
        <f>+AA966/AC966*AE$1</f>
        <v>0</v>
      </c>
      <c r="AF966" s="92">
        <f>+AB966/AC966*AF$1</f>
        <v>0</v>
      </c>
    </row>
    <row r="967" spans="1:32">
      <c r="A967" s="834" t="s">
        <v>137</v>
      </c>
      <c r="B967" s="835">
        <v>964</v>
      </c>
      <c r="C967" s="840" t="s">
        <v>1522</v>
      </c>
      <c r="D967" s="840" t="s">
        <v>989</v>
      </c>
      <c r="E967" s="839">
        <v>45845.375</v>
      </c>
      <c r="F967" s="838" t="s">
        <v>140</v>
      </c>
      <c r="G967" s="838">
        <v>2</v>
      </c>
      <c r="H967" s="838" t="s">
        <v>1077</v>
      </c>
      <c r="I967" s="838" t="s">
        <v>1514</v>
      </c>
      <c r="J967" s="838" t="s">
        <v>871</v>
      </c>
      <c r="K967" s="21"/>
      <c r="L967" s="21"/>
      <c r="M967" s="22"/>
      <c r="N967" s="23"/>
      <c r="O967" s="848"/>
      <c r="P967" s="23" t="s">
        <v>30</v>
      </c>
      <c r="Q967" s="23">
        <v>45867</v>
      </c>
      <c r="R967" s="79" t="s">
        <v>67</v>
      </c>
      <c r="S967" s="22" t="s">
        <v>32</v>
      </c>
      <c r="T967" s="22">
        <v>2</v>
      </c>
      <c r="U967" s="24" t="s">
        <v>67</v>
      </c>
      <c r="V967" s="23">
        <v>45867</v>
      </c>
      <c r="W967" s="80" t="s">
        <v>113</v>
      </c>
      <c r="X967" s="83"/>
      <c r="Y967" s="83" t="s">
        <v>113</v>
      </c>
      <c r="Z967"/>
      <c r="AA967" s="776"/>
      <c r="AB967" s="776"/>
      <c r="AC967" s="776"/>
    </row>
    <row r="968" spans="1:32">
      <c r="A968" s="834" t="s">
        <v>137</v>
      </c>
      <c r="B968" s="835">
        <v>965</v>
      </c>
      <c r="C968" s="840" t="s">
        <v>1523</v>
      </c>
      <c r="D968" s="840" t="s">
        <v>1524</v>
      </c>
      <c r="E968" s="839">
        <v>45845.375</v>
      </c>
      <c r="F968" s="838" t="s">
        <v>140</v>
      </c>
      <c r="G968" s="838">
        <v>2</v>
      </c>
      <c r="H968" s="838" t="s">
        <v>21</v>
      </c>
      <c r="I968" s="838" t="s">
        <v>127</v>
      </c>
      <c r="J968" s="838" t="s">
        <v>871</v>
      </c>
      <c r="K968" s="97" t="s">
        <v>1378</v>
      </c>
      <c r="L968" s="21"/>
      <c r="M968" s="22"/>
      <c r="N968" s="23"/>
      <c r="O968" s="848"/>
      <c r="P968" s="97"/>
      <c r="Q968" s="23"/>
      <c r="R968" s="79" t="s">
        <v>67</v>
      </c>
      <c r="S968" s="22"/>
      <c r="T968" s="22"/>
      <c r="U968" s="24" t="s">
        <v>67</v>
      </c>
      <c r="V968" s="23"/>
      <c r="W968" s="80" t="s">
        <v>113</v>
      </c>
      <c r="X968" s="83"/>
      <c r="Y968" s="83" t="s">
        <v>113</v>
      </c>
      <c r="Z968"/>
      <c r="AA968"/>
    </row>
    <row r="969" spans="1:32">
      <c r="A969" s="834" t="s">
        <v>137</v>
      </c>
      <c r="B969" s="835">
        <v>966</v>
      </c>
      <c r="C969" s="840" t="s">
        <v>1525</v>
      </c>
      <c r="D969" s="840" t="s">
        <v>334</v>
      </c>
      <c r="E969" s="839">
        <v>45845.375</v>
      </c>
      <c r="F969" s="838" t="s">
        <v>140</v>
      </c>
      <c r="G969" s="838">
        <v>3</v>
      </c>
      <c r="H969" s="838" t="s">
        <v>21</v>
      </c>
      <c r="I969" s="838" t="s">
        <v>127</v>
      </c>
      <c r="J969" s="838" t="s">
        <v>871</v>
      </c>
      <c r="K969" s="838"/>
      <c r="L969" s="21"/>
      <c r="M969" s="22"/>
      <c r="N969" s="23"/>
      <c r="O969" s="23"/>
      <c r="P969" s="23" t="s">
        <v>30</v>
      </c>
      <c r="Q969" s="23">
        <v>45867</v>
      </c>
      <c r="R969" s="79" t="s">
        <v>67</v>
      </c>
      <c r="S969" s="22" t="s">
        <v>32</v>
      </c>
      <c r="T969" s="22">
        <v>3</v>
      </c>
      <c r="U969" s="24" t="s">
        <v>67</v>
      </c>
      <c r="V969" s="23">
        <v>45867</v>
      </c>
      <c r="W969" s="80" t="s">
        <v>113</v>
      </c>
      <c r="X969" s="83"/>
      <c r="Y969" s="83" t="s">
        <v>113</v>
      </c>
      <c r="Z969" s="87"/>
      <c r="AA969" s="84"/>
      <c r="AB969" s="88"/>
      <c r="AC969" s="84"/>
      <c r="AD969" s="71"/>
      <c r="AE969" s="71"/>
      <c r="AF969" s="71"/>
    </row>
    <row r="970" spans="1:32">
      <c r="A970" s="834" t="s">
        <v>137</v>
      </c>
      <c r="B970" s="835">
        <v>967</v>
      </c>
      <c r="C970" s="840" t="s">
        <v>1526</v>
      </c>
      <c r="D970" s="840" t="s">
        <v>1212</v>
      </c>
      <c r="E970" s="839">
        <v>45845</v>
      </c>
      <c r="F970" s="838" t="s">
        <v>140</v>
      </c>
      <c r="G970" s="838">
        <v>5</v>
      </c>
      <c r="H970" s="838" t="s">
        <v>21</v>
      </c>
      <c r="I970" s="838" t="s">
        <v>127</v>
      </c>
      <c r="J970" s="838" t="s">
        <v>871</v>
      </c>
      <c r="K970" s="838"/>
      <c r="L970" s="21"/>
      <c r="M970" s="22"/>
      <c r="N970" s="23"/>
      <c r="O970" s="23"/>
      <c r="P970" s="23" t="s">
        <v>30</v>
      </c>
      <c r="Q970" s="23">
        <v>45867</v>
      </c>
      <c r="R970" s="79" t="s">
        <v>67</v>
      </c>
      <c r="S970" s="22" t="s">
        <v>32</v>
      </c>
      <c r="T970" s="22">
        <v>5</v>
      </c>
      <c r="U970" s="24" t="s">
        <v>67</v>
      </c>
      <c r="V970" s="23">
        <v>45867</v>
      </c>
      <c r="W970" s="80" t="s">
        <v>113</v>
      </c>
      <c r="X970" s="83"/>
      <c r="Y970" s="83" t="s">
        <v>113</v>
      </c>
      <c r="Z970"/>
      <c r="AA970"/>
    </row>
    <row r="971" spans="1:32">
      <c r="A971" s="834" t="s">
        <v>137</v>
      </c>
      <c r="B971" s="835">
        <v>968</v>
      </c>
      <c r="C971" s="840" t="s">
        <v>1527</v>
      </c>
      <c r="D971" s="840" t="s">
        <v>779</v>
      </c>
      <c r="E971" s="839">
        <v>45845</v>
      </c>
      <c r="F971" s="838" t="s">
        <v>140</v>
      </c>
      <c r="G971" s="838">
        <v>4</v>
      </c>
      <c r="H971" s="838" t="s">
        <v>1528</v>
      </c>
      <c r="I971" s="838" t="s">
        <v>1514</v>
      </c>
      <c r="J971" s="838" t="s">
        <v>871</v>
      </c>
      <c r="K971" s="21"/>
      <c r="L971" s="21"/>
      <c r="M971" s="22"/>
      <c r="N971" s="23"/>
      <c r="O971" s="23"/>
      <c r="P971" s="23" t="s">
        <v>30</v>
      </c>
      <c r="Q971" s="23">
        <v>45867</v>
      </c>
      <c r="R971" s="79" t="s">
        <v>67</v>
      </c>
      <c r="S971" s="22" t="s">
        <v>32</v>
      </c>
      <c r="T971" s="22">
        <v>5</v>
      </c>
      <c r="U971" s="24" t="s">
        <v>67</v>
      </c>
      <c r="V971" s="23">
        <v>45867</v>
      </c>
      <c r="W971" s="80" t="s">
        <v>113</v>
      </c>
      <c r="X971" s="83"/>
      <c r="Y971" s="83" t="s">
        <v>113</v>
      </c>
      <c r="Z971"/>
      <c r="AA971"/>
      <c r="AC971" s="84"/>
      <c r="AD971" s="71"/>
      <c r="AE971" s="71"/>
      <c r="AF971" s="71"/>
    </row>
    <row r="972" spans="1:32">
      <c r="A972" s="834" t="s">
        <v>137</v>
      </c>
      <c r="B972" s="835">
        <v>969</v>
      </c>
      <c r="C972" s="840" t="s">
        <v>1529</v>
      </c>
      <c r="D972" s="840" t="s">
        <v>865</v>
      </c>
      <c r="E972" s="839">
        <v>45845.75</v>
      </c>
      <c r="F972" s="838" t="s">
        <v>140</v>
      </c>
      <c r="G972" s="838">
        <v>4</v>
      </c>
      <c r="H972" s="838" t="s">
        <v>21</v>
      </c>
      <c r="I972" s="838" t="s">
        <v>127</v>
      </c>
      <c r="J972" s="838" t="s">
        <v>871</v>
      </c>
      <c r="K972" s="21"/>
      <c r="L972" s="21"/>
      <c r="M972" s="22"/>
      <c r="N972" s="23"/>
      <c r="O972" s="848"/>
      <c r="P972" s="23" t="s">
        <v>30</v>
      </c>
      <c r="Q972" s="23">
        <v>45867</v>
      </c>
      <c r="R972" s="79" t="s">
        <v>67</v>
      </c>
      <c r="S972" s="22" t="s">
        <v>32</v>
      </c>
      <c r="T972" s="22">
        <v>6</v>
      </c>
      <c r="U972" s="24" t="s">
        <v>67</v>
      </c>
      <c r="V972" s="23">
        <v>45867</v>
      </c>
      <c r="W972" s="80" t="s">
        <v>113</v>
      </c>
      <c r="X972" s="83"/>
      <c r="Y972" s="83" t="s">
        <v>113</v>
      </c>
      <c r="Z972"/>
      <c r="AA972"/>
      <c r="AC972" s="84"/>
      <c r="AD972" s="71"/>
      <c r="AE972" s="71"/>
      <c r="AF972" s="71"/>
    </row>
    <row r="973" spans="1:32">
      <c r="A973" s="834" t="s">
        <v>137</v>
      </c>
      <c r="B973" s="835">
        <v>970</v>
      </c>
      <c r="C973" s="840" t="s">
        <v>1530</v>
      </c>
      <c r="D973" s="840" t="s">
        <v>846</v>
      </c>
      <c r="E973" s="839">
        <v>45845</v>
      </c>
      <c r="F973" s="838" t="s">
        <v>140</v>
      </c>
      <c r="G973" s="838">
        <v>1</v>
      </c>
      <c r="H973" s="838" t="s">
        <v>1077</v>
      </c>
      <c r="I973" s="838" t="s">
        <v>1138</v>
      </c>
      <c r="J973" s="838" t="s">
        <v>871</v>
      </c>
      <c r="K973" s="21"/>
      <c r="L973" s="21"/>
      <c r="M973" s="22"/>
      <c r="N973" s="23"/>
      <c r="O973" s="848"/>
      <c r="P973" s="23" t="s">
        <v>30</v>
      </c>
      <c r="Q973" s="23">
        <v>45867</v>
      </c>
      <c r="R973" s="79" t="s">
        <v>67</v>
      </c>
      <c r="S973" s="22" t="s">
        <v>32</v>
      </c>
      <c r="T973" s="22">
        <v>4</v>
      </c>
      <c r="U973" s="24" t="s">
        <v>67</v>
      </c>
      <c r="V973" s="23">
        <v>45867</v>
      </c>
      <c r="W973" s="80" t="s">
        <v>113</v>
      </c>
      <c r="X973" s="83"/>
      <c r="Y973" s="83" t="s">
        <v>113</v>
      </c>
      <c r="Z973"/>
      <c r="AA973"/>
    </row>
    <row r="974" spans="1:32">
      <c r="A974" s="834" t="s">
        <v>137</v>
      </c>
      <c r="B974" s="835">
        <v>971</v>
      </c>
      <c r="C974" s="840" t="s">
        <v>1531</v>
      </c>
      <c r="D974" s="840" t="s">
        <v>969</v>
      </c>
      <c r="E974" s="839">
        <v>45848.375</v>
      </c>
      <c r="F974" s="838" t="s">
        <v>140</v>
      </c>
      <c r="G974" s="838">
        <v>1</v>
      </c>
      <c r="H974" s="838" t="s">
        <v>1077</v>
      </c>
      <c r="I974" s="838" t="s">
        <v>1138</v>
      </c>
      <c r="J974" s="838" t="s">
        <v>871</v>
      </c>
      <c r="K974" s="21"/>
      <c r="L974" s="21"/>
      <c r="M974" s="22"/>
      <c r="N974" s="23"/>
      <c r="O974" s="23"/>
      <c r="P974" s="23" t="s">
        <v>30</v>
      </c>
      <c r="Q974" s="23">
        <v>45867</v>
      </c>
      <c r="R974" s="79" t="s">
        <v>67</v>
      </c>
      <c r="S974" s="22" t="s">
        <v>32</v>
      </c>
      <c r="T974" s="22">
        <v>1</v>
      </c>
      <c r="U974" s="24" t="s">
        <v>67</v>
      </c>
      <c r="V974" s="23">
        <v>45867</v>
      </c>
      <c r="W974" s="80" t="s">
        <v>113</v>
      </c>
      <c r="X974" s="83"/>
      <c r="Y974" s="83" t="s">
        <v>113</v>
      </c>
      <c r="Z974"/>
      <c r="AA974"/>
    </row>
    <row r="975" spans="1:32">
      <c r="A975" s="834" t="s">
        <v>137</v>
      </c>
      <c r="B975" s="835">
        <v>972</v>
      </c>
      <c r="C975" s="840" t="s">
        <v>1532</v>
      </c>
      <c r="D975" s="840" t="s">
        <v>1236</v>
      </c>
      <c r="E975" s="839">
        <v>45845</v>
      </c>
      <c r="F975" s="838" t="s">
        <v>140</v>
      </c>
      <c r="G975" s="838">
        <v>1</v>
      </c>
      <c r="H975" s="838" t="s">
        <v>21</v>
      </c>
      <c r="I975" s="838" t="s">
        <v>127</v>
      </c>
      <c r="J975" s="838" t="s">
        <v>871</v>
      </c>
      <c r="K975" s="21"/>
      <c r="L975" s="21"/>
      <c r="M975" s="22"/>
      <c r="N975" s="23"/>
      <c r="O975" s="848"/>
      <c r="P975" s="23" t="s">
        <v>30</v>
      </c>
      <c r="Q975" s="23">
        <v>45849</v>
      </c>
      <c r="R975" s="79" t="s">
        <v>67</v>
      </c>
      <c r="S975" s="22" t="s">
        <v>32</v>
      </c>
      <c r="T975" s="22">
        <v>1</v>
      </c>
      <c r="U975" s="24" t="s">
        <v>67</v>
      </c>
      <c r="V975" s="23">
        <v>45849</v>
      </c>
      <c r="W975" s="80" t="s">
        <v>113</v>
      </c>
      <c r="X975" s="83"/>
      <c r="Y975" s="83" t="s">
        <v>113</v>
      </c>
      <c r="Z975"/>
      <c r="AA975"/>
      <c r="AC975" s="84"/>
      <c r="AD975" s="71"/>
      <c r="AE975" s="71"/>
      <c r="AF975" s="71"/>
    </row>
    <row r="976" spans="1:32">
      <c r="A976" s="834" t="s">
        <v>137</v>
      </c>
      <c r="B976" s="835">
        <v>973</v>
      </c>
      <c r="C976" s="840" t="s">
        <v>1533</v>
      </c>
      <c r="D976" s="840" t="s">
        <v>937</v>
      </c>
      <c r="E976" s="839">
        <v>45852</v>
      </c>
      <c r="F976" s="838" t="s">
        <v>140</v>
      </c>
      <c r="G976" s="838">
        <v>46</v>
      </c>
      <c r="H976" s="838" t="s">
        <v>1519</v>
      </c>
      <c r="I976" s="838" t="s">
        <v>1520</v>
      </c>
      <c r="J976" s="838" t="s">
        <v>871</v>
      </c>
      <c r="K976" s="100" t="s">
        <v>1534</v>
      </c>
      <c r="L976" s="21"/>
      <c r="M976" s="22"/>
      <c r="N976" s="23"/>
      <c r="O976" s="848" t="s">
        <v>31</v>
      </c>
      <c r="P976" s="100"/>
      <c r="Q976" s="23"/>
      <c r="R976" s="79" t="s">
        <v>67</v>
      </c>
      <c r="S976" s="22"/>
      <c r="T976" s="22"/>
      <c r="U976" s="24" t="s">
        <v>67</v>
      </c>
      <c r="V976" s="23"/>
      <c r="W976" s="80" t="s">
        <v>113</v>
      </c>
      <c r="X976" s="83"/>
      <c r="Y976" s="83" t="s">
        <v>113</v>
      </c>
      <c r="Z976">
        <v>23</v>
      </c>
      <c r="AA976">
        <v>26</v>
      </c>
      <c r="AB976">
        <v>15</v>
      </c>
      <c r="AC976">
        <f>SUM(Z976:AB976)</f>
        <v>64</v>
      </c>
      <c r="AD976" s="71">
        <f>+Z976/AC976*AD$1</f>
        <v>1.078125</v>
      </c>
      <c r="AE976" s="92">
        <f>+AA976/AC976*AE$1</f>
        <v>0</v>
      </c>
      <c r="AF976" s="92">
        <f>+AB976/AC976*AF$1</f>
        <v>0</v>
      </c>
    </row>
    <row r="977" spans="1:32">
      <c r="A977" s="834" t="s">
        <v>137</v>
      </c>
      <c r="B977" s="835">
        <v>974</v>
      </c>
      <c r="C977" s="840" t="s">
        <v>1535</v>
      </c>
      <c r="D977" s="840" t="s">
        <v>145</v>
      </c>
      <c r="E977" s="839">
        <v>45852.375</v>
      </c>
      <c r="F977" s="838" t="s">
        <v>140</v>
      </c>
      <c r="G977" s="838">
        <v>6</v>
      </c>
      <c r="H977" s="838" t="s">
        <v>21</v>
      </c>
      <c r="I977" s="838" t="s">
        <v>127</v>
      </c>
      <c r="J977" s="838" t="s">
        <v>871</v>
      </c>
      <c r="K977" s="235" t="s">
        <v>1536</v>
      </c>
      <c r="L977" s="21"/>
      <c r="M977" s="22"/>
      <c r="N977" s="23"/>
      <c r="O977" s="23"/>
      <c r="P977" s="100"/>
      <c r="Q977" s="23"/>
      <c r="R977" s="79" t="s">
        <v>67</v>
      </c>
      <c r="S977" s="22"/>
      <c r="T977" s="22"/>
      <c r="U977" s="24" t="s">
        <v>67</v>
      </c>
      <c r="V977" s="23"/>
      <c r="W977" s="80" t="s">
        <v>113</v>
      </c>
      <c r="X977" s="83"/>
      <c r="Y977" s="83" t="s">
        <v>113</v>
      </c>
      <c r="Z977"/>
      <c r="AA977"/>
    </row>
    <row r="978" spans="1:32">
      <c r="A978" s="834" t="s">
        <v>137</v>
      </c>
      <c r="B978" s="835">
        <v>975</v>
      </c>
      <c r="C978" s="840" t="s">
        <v>1537</v>
      </c>
      <c r="D978" s="840" t="s">
        <v>1250</v>
      </c>
      <c r="E978" s="839">
        <v>45852</v>
      </c>
      <c r="F978" s="838" t="s">
        <v>140</v>
      </c>
      <c r="G978" s="838">
        <v>9</v>
      </c>
      <c r="H978" s="838" t="s">
        <v>21</v>
      </c>
      <c r="I978" s="838" t="s">
        <v>127</v>
      </c>
      <c r="J978" s="838" t="s">
        <v>871</v>
      </c>
      <c r="K978" s="21"/>
      <c r="L978" s="21"/>
      <c r="M978" s="22"/>
      <c r="N978" s="23"/>
      <c r="O978" s="23"/>
      <c r="P978" s="23" t="s">
        <v>30</v>
      </c>
      <c r="Q978" s="23">
        <v>45869</v>
      </c>
      <c r="R978" s="79" t="s">
        <v>67</v>
      </c>
      <c r="S978" s="22" t="s">
        <v>32</v>
      </c>
      <c r="T978" s="22">
        <v>9</v>
      </c>
      <c r="U978" s="24" t="s">
        <v>67</v>
      </c>
      <c r="V978" s="23">
        <v>45869</v>
      </c>
      <c r="W978" s="80" t="s">
        <v>113</v>
      </c>
      <c r="X978" s="83"/>
      <c r="Y978" s="83" t="s">
        <v>113</v>
      </c>
      <c r="Z978"/>
      <c r="AA978"/>
    </row>
    <row r="979" spans="1:32">
      <c r="A979" s="834" t="s">
        <v>137</v>
      </c>
      <c r="B979" s="835">
        <v>976</v>
      </c>
      <c r="C979" s="840" t="s">
        <v>1538</v>
      </c>
      <c r="D979" s="840" t="s">
        <v>1398</v>
      </c>
      <c r="E979" s="839">
        <v>45852</v>
      </c>
      <c r="F979" s="838" t="s">
        <v>140</v>
      </c>
      <c r="G979" s="838">
        <v>1</v>
      </c>
      <c r="H979" s="838" t="s">
        <v>21</v>
      </c>
      <c r="I979" s="838" t="s">
        <v>127</v>
      </c>
      <c r="J979" s="838" t="s">
        <v>871</v>
      </c>
      <c r="K979" s="21"/>
      <c r="L979" s="21"/>
      <c r="M979" s="22"/>
      <c r="N979" s="23"/>
      <c r="O979" s="848"/>
      <c r="P979" s="23" t="s">
        <v>30</v>
      </c>
      <c r="Q979" s="23">
        <v>45876</v>
      </c>
      <c r="R979" s="79" t="s">
        <v>67</v>
      </c>
      <c r="S979" s="22" t="s">
        <v>32</v>
      </c>
      <c r="T979" s="22">
        <v>1</v>
      </c>
      <c r="U979" s="24" t="s">
        <v>67</v>
      </c>
      <c r="V979" s="23">
        <v>45876</v>
      </c>
      <c r="W979" s="80" t="s">
        <v>113</v>
      </c>
      <c r="X979" s="83"/>
      <c r="Y979" s="83" t="s">
        <v>113</v>
      </c>
      <c r="Z979"/>
      <c r="AA979"/>
      <c r="AC979" s="84"/>
      <c r="AD979" s="71"/>
      <c r="AE979" s="71"/>
      <c r="AF979" s="71"/>
    </row>
    <row r="980" spans="1:32">
      <c r="A980" s="834" t="s">
        <v>137</v>
      </c>
      <c r="B980" s="835">
        <v>977</v>
      </c>
      <c r="C980" s="840" t="s">
        <v>1539</v>
      </c>
      <c r="D980" s="840" t="s">
        <v>1245</v>
      </c>
      <c r="E980" s="839">
        <v>45852.375</v>
      </c>
      <c r="F980" s="838" t="s">
        <v>140</v>
      </c>
      <c r="G980" s="838">
        <v>1</v>
      </c>
      <c r="H980" s="838" t="s">
        <v>1077</v>
      </c>
      <c r="I980" s="838" t="s">
        <v>1138</v>
      </c>
      <c r="J980" s="838" t="s">
        <v>871</v>
      </c>
      <c r="K980" s="21"/>
      <c r="L980" s="21"/>
      <c r="M980" s="22"/>
      <c r="N980" s="23"/>
      <c r="O980" s="848"/>
      <c r="P980" s="23" t="s">
        <v>30</v>
      </c>
      <c r="Q980" s="23">
        <v>45869</v>
      </c>
      <c r="R980" s="79" t="s">
        <v>67</v>
      </c>
      <c r="S980" s="22" t="s">
        <v>32</v>
      </c>
      <c r="T980" s="22">
        <v>1</v>
      </c>
      <c r="U980" s="24" t="s">
        <v>67</v>
      </c>
      <c r="V980" s="23">
        <v>45869</v>
      </c>
      <c r="W980" s="80" t="s">
        <v>113</v>
      </c>
      <c r="X980" s="83"/>
      <c r="Y980" s="83" t="s">
        <v>113</v>
      </c>
      <c r="Z980"/>
      <c r="AA980" s="776"/>
      <c r="AB980" s="776"/>
      <c r="AC980" s="776"/>
    </row>
    <row r="981" spans="1:32">
      <c r="A981" s="834" t="s">
        <v>137</v>
      </c>
      <c r="B981" s="835">
        <v>978</v>
      </c>
      <c r="C981" s="840" t="s">
        <v>1540</v>
      </c>
      <c r="D981" s="840" t="s">
        <v>969</v>
      </c>
      <c r="E981" s="839">
        <v>45852.375</v>
      </c>
      <c r="F981" s="838" t="s">
        <v>140</v>
      </c>
      <c r="G981" s="838">
        <v>1</v>
      </c>
      <c r="H981" s="838" t="s">
        <v>1077</v>
      </c>
      <c r="I981" s="838" t="s">
        <v>1138</v>
      </c>
      <c r="J981" s="838" t="s">
        <v>871</v>
      </c>
      <c r="K981" s="21"/>
      <c r="L981" s="21"/>
      <c r="M981" s="22"/>
      <c r="N981" s="23"/>
      <c r="O981" s="23"/>
      <c r="P981" s="23" t="s">
        <v>30</v>
      </c>
      <c r="Q981" s="23">
        <v>45869</v>
      </c>
      <c r="R981" s="79" t="s">
        <v>67</v>
      </c>
      <c r="S981" s="22" t="s">
        <v>32</v>
      </c>
      <c r="T981" s="22">
        <v>2</v>
      </c>
      <c r="U981" s="24" t="s">
        <v>67</v>
      </c>
      <c r="V981" s="23">
        <v>45869</v>
      </c>
      <c r="W981" s="80" t="s">
        <v>113</v>
      </c>
      <c r="X981" s="83"/>
      <c r="Y981" s="83" t="s">
        <v>113</v>
      </c>
      <c r="Z981"/>
      <c r="AA981" s="776"/>
      <c r="AB981" s="776"/>
      <c r="AC981" s="776"/>
    </row>
    <row r="982" spans="1:32">
      <c r="A982" s="834" t="s">
        <v>137</v>
      </c>
      <c r="B982" s="835">
        <v>979</v>
      </c>
      <c r="C982" s="840" t="s">
        <v>1541</v>
      </c>
      <c r="D982" s="840" t="s">
        <v>1542</v>
      </c>
      <c r="E982" s="839">
        <v>45852.041666666664</v>
      </c>
      <c r="F982" s="838" t="s">
        <v>140</v>
      </c>
      <c r="G982" s="838">
        <v>1</v>
      </c>
      <c r="H982" s="838" t="s">
        <v>48</v>
      </c>
      <c r="I982" s="838" t="s">
        <v>47</v>
      </c>
      <c r="J982" s="838" t="s">
        <v>871</v>
      </c>
      <c r="K982" s="21"/>
      <c r="L982" s="21"/>
      <c r="M982" s="22"/>
      <c r="N982" s="23"/>
      <c r="O982" s="23"/>
      <c r="P982" s="23" t="s">
        <v>30</v>
      </c>
      <c r="Q982" s="23">
        <v>45869</v>
      </c>
      <c r="R982" s="79" t="s">
        <v>67</v>
      </c>
      <c r="S982" s="22" t="s">
        <v>32</v>
      </c>
      <c r="T982" s="22">
        <v>1</v>
      </c>
      <c r="U982" s="24" t="s">
        <v>67</v>
      </c>
      <c r="V982" s="23">
        <v>45869</v>
      </c>
      <c r="W982" s="80" t="s">
        <v>113</v>
      </c>
      <c r="X982" s="83"/>
      <c r="Y982" s="83" t="s">
        <v>113</v>
      </c>
      <c r="Z982"/>
      <c r="AA982" s="776"/>
      <c r="AB982" s="776"/>
      <c r="AC982" s="776"/>
    </row>
    <row r="983" spans="1:32">
      <c r="A983" s="834" t="s">
        <v>137</v>
      </c>
      <c r="B983" s="835">
        <v>980</v>
      </c>
      <c r="C983" s="840" t="s">
        <v>1543</v>
      </c>
      <c r="D983" s="840" t="s">
        <v>1544</v>
      </c>
      <c r="E983" s="839">
        <v>45852.375</v>
      </c>
      <c r="F983" s="838" t="s">
        <v>140</v>
      </c>
      <c r="G983" s="838">
        <v>2</v>
      </c>
      <c r="H983" s="838" t="s">
        <v>21</v>
      </c>
      <c r="I983" s="838" t="s">
        <v>127</v>
      </c>
      <c r="J983" s="838" t="s">
        <v>871</v>
      </c>
      <c r="K983" s="235" t="s">
        <v>1536</v>
      </c>
      <c r="L983" s="21"/>
      <c r="M983" s="22"/>
      <c r="N983" s="23"/>
      <c r="O983" s="23"/>
      <c r="P983" s="100"/>
      <c r="Q983" s="23"/>
      <c r="R983" s="79" t="s">
        <v>67</v>
      </c>
      <c r="S983" s="22"/>
      <c r="T983" s="22"/>
      <c r="U983" s="24" t="s">
        <v>67</v>
      </c>
      <c r="V983" s="23"/>
      <c r="W983" s="80" t="s">
        <v>113</v>
      </c>
      <c r="X983" s="83"/>
      <c r="Y983" s="83" t="s">
        <v>113</v>
      </c>
      <c r="Z983"/>
      <c r="AA983" s="776"/>
      <c r="AB983" s="776"/>
      <c r="AC983" s="776"/>
    </row>
    <row r="984" spans="1:32">
      <c r="A984" s="834" t="s">
        <v>137</v>
      </c>
      <c r="B984" s="835">
        <v>981</v>
      </c>
      <c r="C984" s="840" t="s">
        <v>1545</v>
      </c>
      <c r="D984" s="840" t="s">
        <v>1403</v>
      </c>
      <c r="E984" s="839">
        <v>45852.375</v>
      </c>
      <c r="F984" s="838" t="s">
        <v>140</v>
      </c>
      <c r="G984" s="838">
        <v>8</v>
      </c>
      <c r="H984" s="838" t="s">
        <v>1513</v>
      </c>
      <c r="I984" s="838" t="s">
        <v>1546</v>
      </c>
      <c r="J984" s="838" t="s">
        <v>871</v>
      </c>
      <c r="K984" s="235" t="s">
        <v>1536</v>
      </c>
      <c r="L984" s="21"/>
      <c r="M984" s="22"/>
      <c r="N984" s="23"/>
      <c r="O984" s="23"/>
      <c r="P984" s="100"/>
      <c r="Q984" s="23"/>
      <c r="R984" s="79" t="s">
        <v>67</v>
      </c>
      <c r="S984" s="22"/>
      <c r="T984" s="22"/>
      <c r="U984" s="24" t="s">
        <v>67</v>
      </c>
      <c r="V984" s="23"/>
      <c r="W984" s="80" t="s">
        <v>113</v>
      </c>
      <c r="X984" s="83"/>
      <c r="Y984" s="83" t="s">
        <v>113</v>
      </c>
      <c r="Z984"/>
      <c r="AA984"/>
    </row>
    <row r="985" spans="1:32">
      <c r="A985" s="834" t="s">
        <v>137</v>
      </c>
      <c r="B985" s="835">
        <v>982</v>
      </c>
      <c r="C985" s="840" t="s">
        <v>1547</v>
      </c>
      <c r="D985" s="840" t="s">
        <v>960</v>
      </c>
      <c r="E985" s="839">
        <v>45852.375</v>
      </c>
      <c r="F985" s="838" t="s">
        <v>140</v>
      </c>
      <c r="G985" s="838">
        <v>4</v>
      </c>
      <c r="H985" s="838" t="s">
        <v>21</v>
      </c>
      <c r="I985" s="838" t="s">
        <v>127</v>
      </c>
      <c r="J985" s="838" t="s">
        <v>871</v>
      </c>
      <c r="K985" s="235" t="s">
        <v>1536</v>
      </c>
      <c r="L985" s="21"/>
      <c r="M985" s="22"/>
      <c r="N985" s="23"/>
      <c r="O985" s="848"/>
      <c r="P985" s="100"/>
      <c r="Q985" s="23"/>
      <c r="R985" s="79" t="s">
        <v>67</v>
      </c>
      <c r="S985" s="22"/>
      <c r="T985" s="22"/>
      <c r="U985" s="24" t="s">
        <v>67</v>
      </c>
      <c r="V985" s="23"/>
      <c r="W985" s="80" t="s">
        <v>113</v>
      </c>
      <c r="X985" s="83"/>
      <c r="Y985" s="83" t="s">
        <v>113</v>
      </c>
      <c r="Z985"/>
      <c r="AA985"/>
    </row>
    <row r="986" spans="1:32">
      <c r="A986" s="834" t="s">
        <v>137</v>
      </c>
      <c r="B986" s="835">
        <v>983</v>
      </c>
      <c r="C986" s="840" t="s">
        <v>1548</v>
      </c>
      <c r="D986" s="840" t="s">
        <v>1549</v>
      </c>
      <c r="E986" s="839">
        <v>45852.375</v>
      </c>
      <c r="F986" s="838" t="s">
        <v>140</v>
      </c>
      <c r="G986" s="838">
        <v>2</v>
      </c>
      <c r="H986" s="838" t="s">
        <v>1077</v>
      </c>
      <c r="I986" s="838" t="s">
        <v>1138</v>
      </c>
      <c r="J986" s="838" t="s">
        <v>871</v>
      </c>
      <c r="K986" s="21"/>
      <c r="L986" s="21"/>
      <c r="M986" s="22"/>
      <c r="N986" s="23"/>
      <c r="O986" s="848"/>
      <c r="P986" s="23" t="s">
        <v>30</v>
      </c>
      <c r="Q986" s="23">
        <v>45870</v>
      </c>
      <c r="R986" s="79" t="s">
        <v>67</v>
      </c>
      <c r="S986" s="22" t="s">
        <v>32</v>
      </c>
      <c r="T986" s="22">
        <v>2</v>
      </c>
      <c r="U986" s="24" t="s">
        <v>67</v>
      </c>
      <c r="V986" s="23">
        <v>45870</v>
      </c>
      <c r="W986" s="80" t="s">
        <v>113</v>
      </c>
      <c r="X986" s="83"/>
      <c r="Y986" s="83" t="s">
        <v>113</v>
      </c>
      <c r="Z986"/>
      <c r="AA986"/>
    </row>
    <row r="987" spans="1:32">
      <c r="A987" s="834" t="s">
        <v>137</v>
      </c>
      <c r="B987" s="835">
        <v>984</v>
      </c>
      <c r="C987" s="840" t="s">
        <v>1550</v>
      </c>
      <c r="D987" s="840" t="s">
        <v>1198</v>
      </c>
      <c r="E987" s="839">
        <v>45852.375</v>
      </c>
      <c r="F987" s="838" t="s">
        <v>140</v>
      </c>
      <c r="G987" s="838">
        <v>5</v>
      </c>
      <c r="H987" s="838" t="s">
        <v>48</v>
      </c>
      <c r="I987" s="838" t="s">
        <v>47</v>
      </c>
      <c r="J987" s="838" t="s">
        <v>871</v>
      </c>
      <c r="K987" s="21"/>
      <c r="L987" s="21"/>
      <c r="M987" s="22"/>
      <c r="N987" s="23"/>
      <c r="O987" s="23"/>
      <c r="P987" s="23" t="s">
        <v>30</v>
      </c>
      <c r="Q987" s="23">
        <v>45870</v>
      </c>
      <c r="R987" s="79" t="s">
        <v>67</v>
      </c>
      <c r="S987" s="22" t="s">
        <v>32</v>
      </c>
      <c r="T987" s="22">
        <v>5</v>
      </c>
      <c r="U987" s="24" t="s">
        <v>67</v>
      </c>
      <c r="V987" s="23">
        <v>45870</v>
      </c>
      <c r="W987" s="80" t="s">
        <v>113</v>
      </c>
      <c r="X987" s="83"/>
      <c r="Y987" s="83" t="s">
        <v>113</v>
      </c>
      <c r="Z987"/>
      <c r="AA987"/>
    </row>
    <row r="988" spans="1:32">
      <c r="A988" s="834" t="s">
        <v>137</v>
      </c>
      <c r="B988" s="835">
        <v>985</v>
      </c>
      <c r="C988" s="840" t="s">
        <v>1551</v>
      </c>
      <c r="D988" s="840" t="s">
        <v>1042</v>
      </c>
      <c r="E988" s="839">
        <v>45852.375</v>
      </c>
      <c r="F988" s="838" t="s">
        <v>140</v>
      </c>
      <c r="G988" s="838">
        <v>2</v>
      </c>
      <c r="H988" s="838" t="s">
        <v>1077</v>
      </c>
      <c r="I988" s="838" t="s">
        <v>1138</v>
      </c>
      <c r="J988" s="838" t="s">
        <v>871</v>
      </c>
      <c r="K988" s="97" t="s">
        <v>1552</v>
      </c>
      <c r="L988" s="21"/>
      <c r="M988" s="22"/>
      <c r="N988" s="23"/>
      <c r="O988" s="23"/>
      <c r="P988" s="23" t="s">
        <v>30</v>
      </c>
      <c r="Q988" s="23">
        <v>45876</v>
      </c>
      <c r="R988" s="79" t="s">
        <v>67</v>
      </c>
      <c r="S988" s="22" t="s">
        <v>32</v>
      </c>
      <c r="T988" s="22">
        <v>2</v>
      </c>
      <c r="U988" s="24" t="s">
        <v>67</v>
      </c>
      <c r="V988" s="23">
        <v>45876</v>
      </c>
      <c r="W988" s="80" t="s">
        <v>113</v>
      </c>
      <c r="X988" s="83"/>
      <c r="Y988" s="83" t="s">
        <v>113</v>
      </c>
      <c r="Z988"/>
      <c r="AA988"/>
    </row>
    <row r="989" spans="1:32">
      <c r="A989" s="834" t="s">
        <v>137</v>
      </c>
      <c r="B989" s="835">
        <v>986</v>
      </c>
      <c r="C989" s="840" t="s">
        <v>1553</v>
      </c>
      <c r="D989" s="840" t="s">
        <v>1554</v>
      </c>
      <c r="E989" s="839">
        <v>45859.375</v>
      </c>
      <c r="F989" s="838" t="s">
        <v>140</v>
      </c>
      <c r="G989" s="838">
        <v>1</v>
      </c>
      <c r="H989" s="838" t="s">
        <v>21</v>
      </c>
      <c r="I989" s="838" t="s">
        <v>127</v>
      </c>
      <c r="J989" s="838" t="s">
        <v>871</v>
      </c>
      <c r="K989" s="97" t="s">
        <v>1378</v>
      </c>
      <c r="L989" s="21"/>
      <c r="M989" s="22"/>
      <c r="N989" s="23"/>
      <c r="O989" s="23"/>
      <c r="P989" s="97"/>
      <c r="Q989" s="23"/>
      <c r="R989" s="79" t="s">
        <v>67</v>
      </c>
      <c r="S989" s="22"/>
      <c r="U989" s="24" t="s">
        <v>67</v>
      </c>
      <c r="V989" s="23"/>
      <c r="W989" s="80" t="s">
        <v>113</v>
      </c>
      <c r="X989" s="83"/>
      <c r="Y989" s="83" t="s">
        <v>113</v>
      </c>
      <c r="Z989"/>
      <c r="AA989"/>
    </row>
    <row r="990" spans="1:32">
      <c r="A990" s="834" t="s">
        <v>137</v>
      </c>
      <c r="B990" s="835">
        <v>987</v>
      </c>
      <c r="C990" s="840" t="s">
        <v>1555</v>
      </c>
      <c r="D990" s="840" t="s">
        <v>829</v>
      </c>
      <c r="E990" s="839">
        <v>45859.375</v>
      </c>
      <c r="F990" s="838" t="s">
        <v>140</v>
      </c>
      <c r="G990" s="838">
        <v>38</v>
      </c>
      <c r="H990" s="838" t="s">
        <v>1513</v>
      </c>
      <c r="I990" s="838" t="s">
        <v>1546</v>
      </c>
      <c r="J990" s="838" t="s">
        <v>871</v>
      </c>
      <c r="K990" s="21"/>
      <c r="L990" s="21"/>
      <c r="M990" s="22"/>
      <c r="N990" s="23"/>
      <c r="O990" s="848" t="s">
        <v>31</v>
      </c>
      <c r="P990" s="23" t="s">
        <v>30</v>
      </c>
      <c r="Q990" s="23">
        <v>45875</v>
      </c>
      <c r="R990" s="79" t="s">
        <v>67</v>
      </c>
      <c r="S990" s="22" t="s">
        <v>32</v>
      </c>
      <c r="T990" s="22">
        <v>38</v>
      </c>
      <c r="U990" s="24" t="s">
        <v>67</v>
      </c>
      <c r="V990" s="23">
        <v>45875</v>
      </c>
      <c r="W990" s="80" t="s">
        <v>113</v>
      </c>
      <c r="X990" s="83"/>
      <c r="Y990" s="83" t="s">
        <v>113</v>
      </c>
      <c r="Z990">
        <v>28</v>
      </c>
      <c r="AA990">
        <v>10</v>
      </c>
      <c r="AB990">
        <v>0</v>
      </c>
      <c r="AC990">
        <f>SUM(Z990:AB990)</f>
        <v>38</v>
      </c>
      <c r="AD990" s="71">
        <f>+Z990/AC990*AD$1</f>
        <v>2.2105263157894735</v>
      </c>
      <c r="AE990" s="92">
        <f>+AA990/AC990*AE$1</f>
        <v>0</v>
      </c>
      <c r="AF990" s="92">
        <f>+AB990/AC990*AF$1</f>
        <v>0</v>
      </c>
    </row>
    <row r="991" spans="1:32">
      <c r="A991" s="834" t="s">
        <v>137</v>
      </c>
      <c r="B991" s="835">
        <v>988</v>
      </c>
      <c r="C991" s="840" t="s">
        <v>1556</v>
      </c>
      <c r="D991" s="840" t="s">
        <v>1198</v>
      </c>
      <c r="E991" s="839">
        <v>45859</v>
      </c>
      <c r="F991" s="838" t="s">
        <v>140</v>
      </c>
      <c r="G991" s="838">
        <v>15</v>
      </c>
      <c r="H991" s="838" t="s">
        <v>1513</v>
      </c>
      <c r="I991" s="838" t="s">
        <v>1546</v>
      </c>
      <c r="J991" s="838" t="s">
        <v>871</v>
      </c>
      <c r="K991" s="21"/>
      <c r="L991" s="21"/>
      <c r="M991" s="22"/>
      <c r="N991" s="23"/>
      <c r="O991" s="848" t="s">
        <v>31</v>
      </c>
      <c r="P991" s="23" t="s">
        <v>30</v>
      </c>
      <c r="Q991" s="23">
        <v>45875</v>
      </c>
      <c r="R991" s="79" t="s">
        <v>67</v>
      </c>
      <c r="S991" s="22" t="s">
        <v>32</v>
      </c>
      <c r="T991" s="22">
        <v>15</v>
      </c>
      <c r="U991" s="24" t="s">
        <v>67</v>
      </c>
      <c r="V991" s="23">
        <v>45875</v>
      </c>
      <c r="W991" s="80" t="s">
        <v>113</v>
      </c>
      <c r="X991" s="83"/>
      <c r="Y991" s="83" t="s">
        <v>113</v>
      </c>
      <c r="Z991">
        <v>7</v>
      </c>
      <c r="AA991">
        <v>8</v>
      </c>
      <c r="AB991">
        <v>0</v>
      </c>
      <c r="AC991">
        <f>SUM(Z991:AB991)</f>
        <v>15</v>
      </c>
      <c r="AD991" s="71">
        <f>+Z991/AC991*AD$1</f>
        <v>1.4</v>
      </c>
      <c r="AE991" s="92">
        <f>+AA991/AC991*AE$1</f>
        <v>0</v>
      </c>
      <c r="AF991" s="92">
        <f>+AB991/AC991*AF$1</f>
        <v>0</v>
      </c>
    </row>
    <row r="992" spans="1:32">
      <c r="A992" s="834" t="s">
        <v>137</v>
      </c>
      <c r="B992" s="835">
        <v>989</v>
      </c>
      <c r="C992" s="840" t="s">
        <v>1557</v>
      </c>
      <c r="D992" s="840" t="s">
        <v>1250</v>
      </c>
      <c r="E992" s="839">
        <v>45859.375</v>
      </c>
      <c r="F992" s="838" t="s">
        <v>140</v>
      </c>
      <c r="G992" s="838">
        <v>1</v>
      </c>
      <c r="H992" s="838" t="s">
        <v>1077</v>
      </c>
      <c r="I992" s="838" t="s">
        <v>1138</v>
      </c>
      <c r="J992" s="838" t="s">
        <v>871</v>
      </c>
      <c r="K992" s="21"/>
      <c r="L992" s="21"/>
      <c r="M992" s="22"/>
      <c r="N992" s="23"/>
      <c r="O992" s="23"/>
      <c r="P992" s="23" t="s">
        <v>30</v>
      </c>
      <c r="Q992" s="23">
        <v>45873</v>
      </c>
      <c r="R992" s="79" t="s">
        <v>67</v>
      </c>
      <c r="S992" s="22" t="s">
        <v>32</v>
      </c>
      <c r="T992" s="22">
        <v>1</v>
      </c>
      <c r="U992" s="24" t="s">
        <v>67</v>
      </c>
      <c r="V992" s="23">
        <v>45873</v>
      </c>
      <c r="W992" s="80" t="s">
        <v>113</v>
      </c>
      <c r="X992" s="83"/>
      <c r="Y992" s="83" t="s">
        <v>113</v>
      </c>
      <c r="Z992"/>
      <c r="AA992"/>
    </row>
    <row r="993" spans="1:32">
      <c r="A993" s="834" t="s">
        <v>137</v>
      </c>
      <c r="B993" s="835">
        <v>990</v>
      </c>
      <c r="C993" s="840" t="s">
        <v>1558</v>
      </c>
      <c r="D993" s="840" t="s">
        <v>1559</v>
      </c>
      <c r="E993" s="839">
        <v>45859.041666666664</v>
      </c>
      <c r="F993" s="838" t="s">
        <v>140</v>
      </c>
      <c r="G993" s="838">
        <v>7</v>
      </c>
      <c r="H993" s="838" t="s">
        <v>1513</v>
      </c>
      <c r="I993" s="838" t="s">
        <v>1546</v>
      </c>
      <c r="J993" s="838" t="s">
        <v>871</v>
      </c>
      <c r="K993" s="21"/>
      <c r="L993" s="21"/>
      <c r="M993" s="22"/>
      <c r="N993" s="23"/>
      <c r="O993" s="61"/>
      <c r="P993" s="23" t="s">
        <v>30</v>
      </c>
      <c r="Q993" s="23">
        <v>45873</v>
      </c>
      <c r="R993" s="79" t="s">
        <v>67</v>
      </c>
      <c r="S993" s="22" t="s">
        <v>32</v>
      </c>
      <c r="T993" s="22">
        <v>7</v>
      </c>
      <c r="U993" s="24" t="s">
        <v>67</v>
      </c>
      <c r="V993" s="23">
        <v>45873</v>
      </c>
      <c r="W993" s="80" t="s">
        <v>113</v>
      </c>
      <c r="X993" s="83"/>
      <c r="Y993" s="83" t="s">
        <v>113</v>
      </c>
      <c r="Z993"/>
      <c r="AA993"/>
      <c r="AD993" s="71"/>
      <c r="AE993" s="92"/>
      <c r="AF993" s="92"/>
    </row>
    <row r="994" spans="1:32">
      <c r="A994" s="834" t="s">
        <v>137</v>
      </c>
      <c r="B994" s="835">
        <v>991</v>
      </c>
      <c r="C994" s="840" t="s">
        <v>1560</v>
      </c>
      <c r="D994" s="840" t="s">
        <v>1184</v>
      </c>
      <c r="E994" s="839">
        <v>45859.375</v>
      </c>
      <c r="F994" s="838" t="s">
        <v>140</v>
      </c>
      <c r="G994" s="838">
        <v>8</v>
      </c>
      <c r="H994" s="838" t="s">
        <v>21</v>
      </c>
      <c r="I994" s="838" t="s">
        <v>127</v>
      </c>
      <c r="J994" s="838" t="s">
        <v>871</v>
      </c>
      <c r="K994" s="21"/>
      <c r="L994" s="21"/>
      <c r="M994" s="22"/>
      <c r="N994" s="23"/>
      <c r="O994" s="61"/>
      <c r="P994" s="23" t="s">
        <v>30</v>
      </c>
      <c r="Q994" s="23">
        <v>45873</v>
      </c>
      <c r="R994" s="79" t="s">
        <v>67</v>
      </c>
      <c r="S994" s="22" t="s">
        <v>32</v>
      </c>
      <c r="T994" s="22">
        <v>7</v>
      </c>
      <c r="U994" s="24" t="s">
        <v>67</v>
      </c>
      <c r="V994" s="23">
        <v>45873</v>
      </c>
      <c r="W994" s="80" t="s">
        <v>113</v>
      </c>
      <c r="X994" s="83"/>
      <c r="Y994" s="83" t="s">
        <v>113</v>
      </c>
      <c r="Z994"/>
      <c r="AA994"/>
      <c r="AD994" s="71"/>
      <c r="AE994" s="92"/>
      <c r="AF994" s="92"/>
    </row>
    <row r="995" spans="1:32">
      <c r="A995" s="834" t="s">
        <v>137</v>
      </c>
      <c r="B995" s="835">
        <v>992</v>
      </c>
      <c r="C995" s="840" t="s">
        <v>1561</v>
      </c>
      <c r="D995" s="840" t="s">
        <v>937</v>
      </c>
      <c r="E995" s="839">
        <v>45859.083333333336</v>
      </c>
      <c r="F995" s="838" t="s">
        <v>140</v>
      </c>
      <c r="G995" s="838">
        <v>23</v>
      </c>
      <c r="H995" s="838" t="s">
        <v>1513</v>
      </c>
      <c r="I995" s="838" t="s">
        <v>1546</v>
      </c>
      <c r="J995" s="838" t="s">
        <v>871</v>
      </c>
      <c r="K995" s="21"/>
      <c r="L995" s="21"/>
      <c r="M995" s="22"/>
      <c r="N995" s="23"/>
      <c r="O995" s="848" t="s">
        <v>31</v>
      </c>
      <c r="P995" s="23" t="s">
        <v>30</v>
      </c>
      <c r="Q995" s="23">
        <v>45876</v>
      </c>
      <c r="R995" s="79" t="s">
        <v>67</v>
      </c>
      <c r="S995" s="22" t="s">
        <v>32</v>
      </c>
      <c r="T995" s="22">
        <v>18</v>
      </c>
      <c r="U995" s="24" t="s">
        <v>67</v>
      </c>
      <c r="V995" s="23">
        <v>45876</v>
      </c>
      <c r="W995" s="80" t="s">
        <v>113</v>
      </c>
      <c r="X995" s="83"/>
      <c r="Y995" s="83" t="s">
        <v>113</v>
      </c>
      <c r="Z995">
        <v>10</v>
      </c>
      <c r="AA995">
        <v>13</v>
      </c>
      <c r="AB995">
        <v>0</v>
      </c>
      <c r="AC995">
        <f>SUM(Z995:AB995)</f>
        <v>23</v>
      </c>
      <c r="AD995" s="71">
        <f>+Z995/AC995*AD$1</f>
        <v>1.3043478260869565</v>
      </c>
      <c r="AE995" s="92">
        <f>+AA995/AC995*AE$1</f>
        <v>0</v>
      </c>
      <c r="AF995" s="92">
        <f>+AB995/AC995*AF$1</f>
        <v>0</v>
      </c>
    </row>
    <row r="996" spans="1:32">
      <c r="A996" s="834" t="s">
        <v>137</v>
      </c>
      <c r="B996" s="835">
        <v>993</v>
      </c>
      <c r="C996" s="840" t="s">
        <v>1562</v>
      </c>
      <c r="D996" s="840" t="s">
        <v>1516</v>
      </c>
      <c r="E996" s="839">
        <v>45859.083333333336</v>
      </c>
      <c r="F996" s="838" t="s">
        <v>140</v>
      </c>
      <c r="G996" s="838">
        <v>6</v>
      </c>
      <c r="H996" s="838" t="s">
        <v>21</v>
      </c>
      <c r="I996" s="838" t="s">
        <v>127</v>
      </c>
      <c r="J996" s="838" t="s">
        <v>871</v>
      </c>
      <c r="K996" s="21"/>
      <c r="L996" s="21"/>
      <c r="M996" s="22"/>
      <c r="N996" s="23"/>
      <c r="O996" s="61"/>
      <c r="P996" s="23" t="s">
        <v>30</v>
      </c>
      <c r="Q996" s="23">
        <v>45875</v>
      </c>
      <c r="R996" s="79" t="s">
        <v>67</v>
      </c>
      <c r="S996" s="22" t="s">
        <v>32</v>
      </c>
      <c r="T996" s="22">
        <v>6</v>
      </c>
      <c r="U996" s="24" t="s">
        <v>67</v>
      </c>
      <c r="V996" s="23">
        <v>45875</v>
      </c>
      <c r="W996" s="80" t="s">
        <v>113</v>
      </c>
      <c r="X996" s="83"/>
      <c r="Y996" s="83" t="s">
        <v>113</v>
      </c>
      <c r="Z996"/>
      <c r="AA996"/>
      <c r="AD996" s="92"/>
      <c r="AE996" s="92"/>
      <c r="AF996" s="92"/>
    </row>
    <row r="997" spans="1:32">
      <c r="A997" s="834" t="s">
        <v>137</v>
      </c>
      <c r="B997" s="835">
        <v>994</v>
      </c>
      <c r="C997" s="840" t="s">
        <v>1563</v>
      </c>
      <c r="D997" s="840" t="s">
        <v>1245</v>
      </c>
      <c r="E997" s="839">
        <v>45859.375</v>
      </c>
      <c r="F997" s="838" t="s">
        <v>140</v>
      </c>
      <c r="G997" s="838">
        <v>1</v>
      </c>
      <c r="H997" s="838" t="s">
        <v>21</v>
      </c>
      <c r="I997" s="838" t="s">
        <v>127</v>
      </c>
      <c r="J997" s="838" t="s">
        <v>871</v>
      </c>
      <c r="K997" s="235" t="s">
        <v>1536</v>
      </c>
      <c r="L997" s="21"/>
      <c r="M997" s="22"/>
      <c r="N997" s="23"/>
      <c r="O997" s="61"/>
      <c r="P997" s="100"/>
      <c r="Q997" s="23"/>
      <c r="R997" s="79" t="s">
        <v>67</v>
      </c>
      <c r="S997" s="22"/>
      <c r="T997" s="22"/>
      <c r="U997" s="24" t="s">
        <v>67</v>
      </c>
      <c r="V997" s="23"/>
      <c r="W997" s="80" t="s">
        <v>113</v>
      </c>
      <c r="X997" s="83"/>
      <c r="Y997" s="83" t="s">
        <v>113</v>
      </c>
      <c r="Z997"/>
      <c r="AA997"/>
      <c r="AD997" s="92"/>
      <c r="AE997" s="92"/>
      <c r="AF997" s="92"/>
    </row>
    <row r="998" spans="1:32">
      <c r="A998" s="834" t="s">
        <v>137</v>
      </c>
      <c r="B998" s="835">
        <v>995</v>
      </c>
      <c r="C998" s="840" t="s">
        <v>1564</v>
      </c>
      <c r="D998" s="840" t="s">
        <v>1565</v>
      </c>
      <c r="E998" s="839">
        <v>45859.375</v>
      </c>
      <c r="F998" s="838" t="s">
        <v>140</v>
      </c>
      <c r="G998" s="838">
        <v>8</v>
      </c>
      <c r="H998" s="838" t="s">
        <v>21</v>
      </c>
      <c r="I998" s="838" t="s">
        <v>127</v>
      </c>
      <c r="J998" s="838" t="s">
        <v>871</v>
      </c>
      <c r="K998" s="235" t="s">
        <v>1536</v>
      </c>
      <c r="L998" s="21"/>
      <c r="M998" s="22"/>
      <c r="N998" s="23"/>
      <c r="O998" s="23"/>
      <c r="P998" s="100"/>
      <c r="Q998" s="23"/>
      <c r="R998" s="79" t="s">
        <v>67</v>
      </c>
      <c r="S998" s="22"/>
      <c r="T998" s="22"/>
      <c r="U998" s="24" t="s">
        <v>67</v>
      </c>
      <c r="V998" s="23"/>
      <c r="W998" s="80" t="s">
        <v>113</v>
      </c>
      <c r="X998" s="83"/>
      <c r="Y998" s="83" t="s">
        <v>113</v>
      </c>
      <c r="Z998"/>
      <c r="AA998" s="85"/>
      <c r="AB998" s="85"/>
      <c r="AC998" s="84"/>
      <c r="AD998" s="92"/>
      <c r="AE998" s="92"/>
      <c r="AF998" s="92"/>
    </row>
    <row r="999" spans="1:32">
      <c r="A999" s="834" t="s">
        <v>137</v>
      </c>
      <c r="B999" s="835">
        <v>996</v>
      </c>
      <c r="C999" s="840" t="s">
        <v>1566</v>
      </c>
      <c r="D999" s="840" t="s">
        <v>1567</v>
      </c>
      <c r="E999" s="839">
        <v>45859.375</v>
      </c>
      <c r="F999" s="838" t="s">
        <v>140</v>
      </c>
      <c r="G999" s="838">
        <v>1</v>
      </c>
      <c r="H999" s="838" t="s">
        <v>21</v>
      </c>
      <c r="I999" s="838" t="s">
        <v>127</v>
      </c>
      <c r="J999" s="838" t="s">
        <v>871</v>
      </c>
      <c r="K999" s="235" t="s">
        <v>1536</v>
      </c>
      <c r="L999" s="21"/>
      <c r="M999" s="22"/>
      <c r="N999" s="23"/>
      <c r="O999" s="61"/>
      <c r="P999" s="100"/>
      <c r="Q999" s="61"/>
      <c r="R999" s="79" t="s">
        <v>67</v>
      </c>
      <c r="S999" s="22"/>
      <c r="T999" s="22"/>
      <c r="U999" s="24" t="s">
        <v>67</v>
      </c>
      <c r="V999" s="23"/>
      <c r="W999" s="80" t="s">
        <v>113</v>
      </c>
      <c r="X999" s="83"/>
      <c r="Y999" s="83" t="s">
        <v>113</v>
      </c>
      <c r="Z999" s="85"/>
      <c r="AA999" s="86"/>
      <c r="AB999" s="86"/>
      <c r="AD999" s="71"/>
      <c r="AE999" s="92"/>
      <c r="AF999" s="92"/>
    </row>
    <row r="1000" spans="1:32">
      <c r="A1000" s="834" t="s">
        <v>137</v>
      </c>
      <c r="B1000" s="835">
        <v>997</v>
      </c>
      <c r="C1000" s="840" t="s">
        <v>1568</v>
      </c>
      <c r="D1000" s="840" t="s">
        <v>818</v>
      </c>
      <c r="E1000" s="839">
        <v>45859.375</v>
      </c>
      <c r="F1000" s="838" t="s">
        <v>140</v>
      </c>
      <c r="G1000" s="838">
        <v>5</v>
      </c>
      <c r="H1000" s="838" t="s">
        <v>21</v>
      </c>
      <c r="I1000" s="838" t="s">
        <v>127</v>
      </c>
      <c r="J1000" s="838" t="s">
        <v>871</v>
      </c>
      <c r="K1000" s="235" t="s">
        <v>1536</v>
      </c>
      <c r="L1000" s="21"/>
      <c r="M1000" s="22"/>
      <c r="N1000" s="23"/>
      <c r="O1000" s="23"/>
      <c r="P1000" s="100"/>
      <c r="Q1000" s="23"/>
      <c r="R1000" s="79" t="s">
        <v>67</v>
      </c>
      <c r="S1000" s="22"/>
      <c r="T1000" s="22"/>
      <c r="U1000" s="24" t="s">
        <v>67</v>
      </c>
      <c r="V1000" s="23"/>
      <c r="W1000" s="80" t="s">
        <v>113</v>
      </c>
      <c r="X1000" s="83"/>
      <c r="Y1000" s="83" t="s">
        <v>113</v>
      </c>
      <c r="Z1000" s="85"/>
      <c r="AA1000" s="86"/>
      <c r="AB1000" s="86"/>
      <c r="AC1000" s="84"/>
      <c r="AD1000" s="92"/>
      <c r="AE1000" s="92"/>
      <c r="AF1000" s="92"/>
    </row>
    <row r="1001" spans="1:32">
      <c r="A1001" s="834" t="s">
        <v>137</v>
      </c>
      <c r="B1001" s="835">
        <v>998</v>
      </c>
      <c r="C1001" s="840" t="s">
        <v>1569</v>
      </c>
      <c r="D1001" s="840" t="s">
        <v>846</v>
      </c>
      <c r="E1001" s="839">
        <v>45859.375</v>
      </c>
      <c r="F1001" s="838" t="s">
        <v>140</v>
      </c>
      <c r="G1001" s="838">
        <v>2</v>
      </c>
      <c r="H1001" s="838" t="s">
        <v>1513</v>
      </c>
      <c r="I1001" s="838" t="s">
        <v>1546</v>
      </c>
      <c r="J1001" s="838" t="s">
        <v>871</v>
      </c>
      <c r="K1001" s="235" t="s">
        <v>1536</v>
      </c>
      <c r="L1001" s="21"/>
      <c r="M1001" s="22"/>
      <c r="N1001" s="23"/>
      <c r="O1001" s="61"/>
      <c r="P1001" s="100"/>
      <c r="Q1001" s="23"/>
      <c r="R1001" s="79" t="s">
        <v>67</v>
      </c>
      <c r="S1001" s="22"/>
      <c r="T1001" s="22"/>
      <c r="U1001" s="24" t="s">
        <v>67</v>
      </c>
      <c r="V1001" s="23"/>
      <c r="W1001" s="80" t="s">
        <v>113</v>
      </c>
      <c r="X1001" s="83"/>
      <c r="Y1001" s="83" t="s">
        <v>113</v>
      </c>
      <c r="Z1001" s="85"/>
      <c r="AA1001" s="86"/>
      <c r="AB1001" s="86"/>
      <c r="AD1001" s="71"/>
      <c r="AE1001" s="92"/>
      <c r="AF1001" s="92"/>
    </row>
    <row r="1002" spans="1:32">
      <c r="A1002" s="834" t="s">
        <v>137</v>
      </c>
      <c r="B1002" s="835">
        <v>999</v>
      </c>
      <c r="C1002" s="840" t="s">
        <v>1570</v>
      </c>
      <c r="D1002" s="840" t="s">
        <v>519</v>
      </c>
      <c r="E1002" s="839">
        <v>45866.375</v>
      </c>
      <c r="F1002" s="838" t="s">
        <v>140</v>
      </c>
      <c r="G1002" s="838">
        <v>7</v>
      </c>
      <c r="H1002" s="838" t="s">
        <v>1571</v>
      </c>
      <c r="I1002" s="838" t="s">
        <v>760</v>
      </c>
      <c r="J1002" s="838" t="s">
        <v>871</v>
      </c>
      <c r="K1002" s="21"/>
      <c r="L1002" s="21"/>
      <c r="M1002" s="22"/>
      <c r="N1002" s="23"/>
      <c r="O1002" s="23"/>
      <c r="P1002" s="23" t="s">
        <v>30</v>
      </c>
      <c r="Q1002" s="23">
        <v>45876</v>
      </c>
      <c r="R1002" s="79" t="s">
        <v>67</v>
      </c>
      <c r="S1002" s="22" t="s">
        <v>32</v>
      </c>
      <c r="T1002" s="22">
        <v>7</v>
      </c>
      <c r="U1002" s="24" t="s">
        <v>67</v>
      </c>
      <c r="V1002" s="23">
        <v>45876</v>
      </c>
      <c r="W1002" s="80" t="s">
        <v>113</v>
      </c>
      <c r="X1002" s="83"/>
      <c r="Y1002" s="83" t="s">
        <v>113</v>
      </c>
      <c r="Z1002" s="85"/>
      <c r="AA1002" s="86"/>
      <c r="AB1002" s="86"/>
      <c r="AC1002" s="776"/>
      <c r="AD1002" s="92"/>
      <c r="AE1002" s="92"/>
      <c r="AF1002" s="92"/>
    </row>
    <row r="1003" spans="1:32">
      <c r="A1003" s="834" t="s">
        <v>137</v>
      </c>
      <c r="B1003" s="835">
        <v>1000</v>
      </c>
      <c r="C1003" s="840" t="s">
        <v>1572</v>
      </c>
      <c r="D1003" s="840" t="s">
        <v>1250</v>
      </c>
      <c r="E1003" s="839">
        <v>45866.375</v>
      </c>
      <c r="F1003" s="838" t="s">
        <v>140</v>
      </c>
      <c r="G1003" s="838">
        <v>7</v>
      </c>
      <c r="H1003" s="838" t="s">
        <v>21</v>
      </c>
      <c r="I1003" s="838" t="s">
        <v>127</v>
      </c>
      <c r="J1003" s="838" t="s">
        <v>871</v>
      </c>
      <c r="K1003" s="235" t="s">
        <v>1536</v>
      </c>
      <c r="L1003" s="21"/>
      <c r="M1003" s="22"/>
      <c r="N1003" s="23"/>
      <c r="O1003" s="23"/>
      <c r="P1003" s="100"/>
      <c r="Q1003" s="23"/>
      <c r="R1003" s="79" t="s">
        <v>67</v>
      </c>
      <c r="S1003" s="22"/>
      <c r="T1003" s="22"/>
      <c r="U1003" s="24" t="s">
        <v>67</v>
      </c>
      <c r="V1003" s="23"/>
      <c r="W1003" s="80" t="s">
        <v>113</v>
      </c>
      <c r="X1003" s="83"/>
      <c r="Y1003" s="83" t="s">
        <v>113</v>
      </c>
      <c r="Z1003" s="85"/>
      <c r="AA1003" s="86"/>
      <c r="AB1003" s="86"/>
      <c r="AC1003" s="776"/>
      <c r="AD1003" s="92"/>
      <c r="AE1003" s="92"/>
      <c r="AF1003" s="92"/>
    </row>
    <row r="1004" spans="1:32">
      <c r="A1004" s="834" t="s">
        <v>137</v>
      </c>
      <c r="B1004" s="835">
        <v>1001</v>
      </c>
      <c r="C1004" s="840" t="s">
        <v>1573</v>
      </c>
      <c r="D1004" s="840" t="s">
        <v>1574</v>
      </c>
      <c r="E1004" s="839">
        <v>45866.375</v>
      </c>
      <c r="F1004" s="838" t="s">
        <v>140</v>
      </c>
      <c r="G1004" s="838">
        <v>5</v>
      </c>
      <c r="H1004" s="838" t="s">
        <v>21</v>
      </c>
      <c r="I1004" s="838" t="s">
        <v>127</v>
      </c>
      <c r="J1004" s="838" t="s">
        <v>871</v>
      </c>
      <c r="K1004" s="21"/>
      <c r="L1004" s="21"/>
      <c r="M1004" s="22"/>
      <c r="N1004" s="23"/>
      <c r="O1004" s="23"/>
      <c r="P1004" s="23" t="s">
        <v>30</v>
      </c>
      <c r="Q1004" s="23">
        <v>45875</v>
      </c>
      <c r="R1004" s="79" t="s">
        <v>67</v>
      </c>
      <c r="S1004" s="22" t="s">
        <v>32</v>
      </c>
      <c r="T1004" s="22">
        <v>5</v>
      </c>
      <c r="U1004" s="24" t="s">
        <v>67</v>
      </c>
      <c r="V1004" s="23">
        <v>45875</v>
      </c>
      <c r="W1004" s="80" t="s">
        <v>113</v>
      </c>
      <c r="X1004" s="83"/>
      <c r="Y1004" s="83" t="s">
        <v>113</v>
      </c>
      <c r="Z1004" s="85"/>
      <c r="AA1004" s="86"/>
      <c r="AB1004" s="86"/>
      <c r="AC1004" s="776"/>
      <c r="AD1004" s="92"/>
      <c r="AE1004" s="92"/>
      <c r="AF1004" s="92"/>
    </row>
    <row r="1005" spans="1:32">
      <c r="A1005" s="834" t="s">
        <v>137</v>
      </c>
      <c r="B1005" s="835">
        <v>1002</v>
      </c>
      <c r="C1005" s="840" t="s">
        <v>1575</v>
      </c>
      <c r="D1005" s="840" t="s">
        <v>969</v>
      </c>
      <c r="E1005" s="839">
        <v>45866.375</v>
      </c>
      <c r="F1005" s="838" t="s">
        <v>140</v>
      </c>
      <c r="G1005" s="838">
        <v>2</v>
      </c>
      <c r="H1005" s="838" t="s">
        <v>1077</v>
      </c>
      <c r="I1005" s="838" t="s">
        <v>1138</v>
      </c>
      <c r="J1005" s="838" t="s">
        <v>871</v>
      </c>
      <c r="K1005" s="21"/>
      <c r="L1005" s="21"/>
      <c r="M1005" s="22"/>
      <c r="N1005" s="23"/>
      <c r="O1005" s="23"/>
      <c r="P1005" s="23" t="s">
        <v>30</v>
      </c>
      <c r="Q1005" s="23">
        <v>45873</v>
      </c>
      <c r="R1005" s="79" t="s">
        <v>67</v>
      </c>
      <c r="S1005" s="22" t="s">
        <v>32</v>
      </c>
      <c r="T1005" s="22">
        <v>2</v>
      </c>
      <c r="U1005" s="24" t="s">
        <v>67</v>
      </c>
      <c r="V1005" s="23">
        <v>45873</v>
      </c>
      <c r="W1005" s="80" t="s">
        <v>113</v>
      </c>
      <c r="X1005" s="83"/>
      <c r="Y1005" s="83" t="s">
        <v>113</v>
      </c>
      <c r="Z1005" s="85"/>
      <c r="AA1005" s="86"/>
      <c r="AB1005" s="86"/>
      <c r="AC1005" s="776"/>
      <c r="AD1005" s="92"/>
      <c r="AE1005" s="92"/>
      <c r="AF1005" s="92"/>
    </row>
    <row r="1006" spans="1:32">
      <c r="A1006" s="834" t="s">
        <v>137</v>
      </c>
      <c r="B1006" s="835">
        <v>1003</v>
      </c>
      <c r="C1006" s="840" t="s">
        <v>1576</v>
      </c>
      <c r="D1006" s="840" t="s">
        <v>1184</v>
      </c>
      <c r="E1006" s="839">
        <v>45866.375</v>
      </c>
      <c r="F1006" s="838" t="s">
        <v>140</v>
      </c>
      <c r="G1006" s="838">
        <v>16</v>
      </c>
      <c r="H1006" s="838" t="s">
        <v>21</v>
      </c>
      <c r="I1006" s="838" t="s">
        <v>127</v>
      </c>
      <c r="J1006" s="838" t="s">
        <v>871</v>
      </c>
      <c r="K1006" s="21"/>
      <c r="L1006" s="21"/>
      <c r="M1006" s="22"/>
      <c r="N1006" s="23"/>
      <c r="O1006" s="848" t="s">
        <v>31</v>
      </c>
      <c r="P1006" s="23" t="s">
        <v>30</v>
      </c>
      <c r="Q1006" s="23">
        <v>45882</v>
      </c>
      <c r="R1006" s="79" t="s">
        <v>67</v>
      </c>
      <c r="S1006" s="22" t="s">
        <v>32</v>
      </c>
      <c r="T1006" s="22">
        <v>16</v>
      </c>
      <c r="U1006" s="24" t="s">
        <v>67</v>
      </c>
      <c r="V1006" s="23">
        <v>45882</v>
      </c>
      <c r="W1006" s="80" t="s">
        <v>113</v>
      </c>
      <c r="X1006" s="83"/>
      <c r="Y1006" s="83" t="s">
        <v>113</v>
      </c>
      <c r="Z1006">
        <v>16</v>
      </c>
      <c r="AA1006">
        <v>0</v>
      </c>
      <c r="AB1006">
        <v>0</v>
      </c>
      <c r="AC1006">
        <f>SUM(Z1006:AB1006)</f>
        <v>16</v>
      </c>
      <c r="AD1006" s="71">
        <f>+Z1006/AC1006*AD$1</f>
        <v>3</v>
      </c>
      <c r="AE1006" s="92">
        <f>+AA1006/AC1006*AE$1</f>
        <v>0</v>
      </c>
      <c r="AF1006" s="92">
        <f>+AB1006/AC1006*AF$1</f>
        <v>0</v>
      </c>
    </row>
    <row r="1007" spans="1:32">
      <c r="A1007" s="834" t="s">
        <v>137</v>
      </c>
      <c r="B1007" s="835">
        <v>1004</v>
      </c>
      <c r="C1007" s="840" t="s">
        <v>1577</v>
      </c>
      <c r="D1007" s="840" t="s">
        <v>1578</v>
      </c>
      <c r="E1007" s="839">
        <v>45866.375</v>
      </c>
      <c r="F1007" s="838" t="s">
        <v>140</v>
      </c>
      <c r="G1007" s="838">
        <v>13</v>
      </c>
      <c r="H1007" s="838" t="s">
        <v>1519</v>
      </c>
      <c r="I1007" s="838" t="s">
        <v>1520</v>
      </c>
      <c r="J1007" s="838" t="s">
        <v>871</v>
      </c>
      <c r="K1007" s="21"/>
      <c r="L1007" s="21"/>
      <c r="M1007" s="22"/>
      <c r="N1007" s="23"/>
      <c r="O1007" s="61"/>
      <c r="P1007" s="23" t="s">
        <v>30</v>
      </c>
      <c r="Q1007" s="23">
        <v>45873</v>
      </c>
      <c r="R1007" s="79" t="s">
        <v>67</v>
      </c>
      <c r="S1007" s="22" t="s">
        <v>32</v>
      </c>
      <c r="T1007" s="22">
        <v>13</v>
      </c>
      <c r="U1007" s="24" t="s">
        <v>67</v>
      </c>
      <c r="V1007" s="23">
        <v>45873</v>
      </c>
      <c r="W1007" s="80" t="s">
        <v>113</v>
      </c>
      <c r="X1007" s="83"/>
      <c r="Y1007" s="83" t="s">
        <v>113</v>
      </c>
      <c r="Z1007" s="85"/>
      <c r="AA1007" s="85"/>
      <c r="AB1007" s="85"/>
      <c r="AD1007" s="71"/>
      <c r="AE1007" s="92"/>
      <c r="AF1007" s="92"/>
    </row>
    <row r="1008" spans="1:32">
      <c r="A1008" s="834" t="s">
        <v>137</v>
      </c>
      <c r="B1008" s="835">
        <v>1005</v>
      </c>
      <c r="C1008" s="840" t="s">
        <v>1579</v>
      </c>
      <c r="D1008" s="840" t="s">
        <v>523</v>
      </c>
      <c r="E1008" s="839">
        <v>45866.375</v>
      </c>
      <c r="F1008" s="838" t="s">
        <v>140</v>
      </c>
      <c r="G1008" s="838">
        <v>11</v>
      </c>
      <c r="H1008" s="838" t="s">
        <v>1519</v>
      </c>
      <c r="I1008" s="838" t="s">
        <v>1520</v>
      </c>
      <c r="J1008" s="838" t="s">
        <v>871</v>
      </c>
      <c r="K1008" s="21"/>
      <c r="L1008" s="21"/>
      <c r="M1008" s="22"/>
      <c r="N1008" s="23"/>
      <c r="O1008" s="23"/>
      <c r="P1008" s="23" t="s">
        <v>30</v>
      </c>
      <c r="Q1008" s="23">
        <v>45875</v>
      </c>
      <c r="R1008" s="79" t="s">
        <v>67</v>
      </c>
      <c r="S1008" s="22" t="s">
        <v>32</v>
      </c>
      <c r="T1008" s="22">
        <v>11</v>
      </c>
      <c r="U1008" s="24" t="s">
        <v>67</v>
      </c>
      <c r="V1008" s="23">
        <v>45875</v>
      </c>
      <c r="W1008" s="80" t="s">
        <v>113</v>
      </c>
      <c r="X1008" s="83"/>
      <c r="Y1008" s="83" t="s">
        <v>113</v>
      </c>
      <c r="Z1008" s="85"/>
      <c r="AA1008" s="85"/>
      <c r="AB1008" s="85"/>
      <c r="AD1008" s="92"/>
      <c r="AE1008" s="92"/>
      <c r="AF1008" s="92"/>
    </row>
    <row r="1009" spans="1:32">
      <c r="A1009" s="834" t="s">
        <v>137</v>
      </c>
      <c r="B1009" s="835">
        <v>1006</v>
      </c>
      <c r="C1009" s="840" t="s">
        <v>1580</v>
      </c>
      <c r="D1009" s="840" t="s">
        <v>779</v>
      </c>
      <c r="E1009" s="839">
        <v>45866.041666666664</v>
      </c>
      <c r="F1009" s="838" t="s">
        <v>140</v>
      </c>
      <c r="G1009" s="838">
        <v>9</v>
      </c>
      <c r="H1009" s="838" t="s">
        <v>1519</v>
      </c>
      <c r="I1009" s="838" t="s">
        <v>1520</v>
      </c>
      <c r="J1009" s="838" t="s">
        <v>871</v>
      </c>
      <c r="K1009" s="21"/>
      <c r="L1009" s="21"/>
      <c r="M1009" s="22"/>
      <c r="N1009" s="23"/>
      <c r="O1009" s="23"/>
      <c r="P1009" s="23" t="s">
        <v>30</v>
      </c>
      <c r="Q1009" s="23">
        <v>45875</v>
      </c>
      <c r="R1009" s="79" t="s">
        <v>67</v>
      </c>
      <c r="S1009" s="22" t="s">
        <v>32</v>
      </c>
      <c r="T1009" s="22">
        <v>9</v>
      </c>
      <c r="U1009" s="24" t="s">
        <v>67</v>
      </c>
      <c r="V1009" s="23">
        <v>45875</v>
      </c>
      <c r="W1009" s="80" t="s">
        <v>113</v>
      </c>
      <c r="X1009" s="83"/>
      <c r="Y1009" s="83" t="s">
        <v>113</v>
      </c>
      <c r="Z1009" s="85"/>
      <c r="AA1009" s="85"/>
      <c r="AB1009" s="85"/>
      <c r="AD1009" s="92"/>
      <c r="AE1009" s="92"/>
      <c r="AF1009" s="92"/>
    </row>
    <row r="1010" spans="1:32">
      <c r="A1010" s="834" t="s">
        <v>137</v>
      </c>
      <c r="B1010" s="835">
        <v>1007</v>
      </c>
      <c r="C1010" s="840" t="s">
        <v>1581</v>
      </c>
      <c r="D1010" s="840" t="s">
        <v>865</v>
      </c>
      <c r="E1010" s="839">
        <v>45866.125</v>
      </c>
      <c r="F1010" s="838" t="s">
        <v>140</v>
      </c>
      <c r="G1010" s="838">
        <v>2</v>
      </c>
      <c r="H1010" s="838" t="s">
        <v>21</v>
      </c>
      <c r="I1010" s="838" t="s">
        <v>127</v>
      </c>
      <c r="J1010" s="838" t="s">
        <v>871</v>
      </c>
      <c r="K1010" s="21"/>
      <c r="L1010" s="21"/>
      <c r="M1010" s="22"/>
      <c r="N1010" s="23"/>
      <c r="O1010" s="23"/>
      <c r="P1010" s="23" t="s">
        <v>30</v>
      </c>
      <c r="Q1010" s="23">
        <v>45875</v>
      </c>
      <c r="R1010" s="79" t="s">
        <v>67</v>
      </c>
      <c r="S1010" s="22" t="s">
        <v>32</v>
      </c>
      <c r="T1010" s="22">
        <v>2</v>
      </c>
      <c r="U1010" s="24" t="s">
        <v>67</v>
      </c>
      <c r="V1010" s="23">
        <v>45875</v>
      </c>
      <c r="W1010" s="80" t="s">
        <v>113</v>
      </c>
      <c r="X1010" s="83"/>
      <c r="Y1010" s="83" t="s">
        <v>113</v>
      </c>
      <c r="Z1010" s="85"/>
      <c r="AA1010" s="85"/>
      <c r="AB1010" s="85"/>
      <c r="AD1010" s="92"/>
      <c r="AE1010" s="92"/>
      <c r="AF1010" s="92"/>
    </row>
    <row r="1011" spans="1:32">
      <c r="A1011" s="834" t="s">
        <v>137</v>
      </c>
      <c r="B1011" s="835">
        <v>1008</v>
      </c>
      <c r="C1011" s="840" t="s">
        <v>1582</v>
      </c>
      <c r="D1011" s="840" t="s">
        <v>1228</v>
      </c>
      <c r="E1011" s="839">
        <v>45845.375</v>
      </c>
      <c r="F1011" s="838" t="s">
        <v>140</v>
      </c>
      <c r="G1011" s="838">
        <v>8</v>
      </c>
      <c r="H1011" s="838" t="s">
        <v>1571</v>
      </c>
      <c r="I1011" s="838" t="s">
        <v>760</v>
      </c>
      <c r="J1011" s="838" t="s">
        <v>871</v>
      </c>
      <c r="K1011" s="21"/>
      <c r="L1011" s="21"/>
      <c r="M1011" s="22"/>
      <c r="N1011" s="23"/>
      <c r="O1011" s="23"/>
      <c r="P1011" s="23" t="s">
        <v>30</v>
      </c>
      <c r="Q1011" s="23">
        <v>45867</v>
      </c>
      <c r="R1011" s="79" t="s">
        <v>67</v>
      </c>
      <c r="S1011" s="22" t="s">
        <v>32</v>
      </c>
      <c r="T1011" s="22">
        <v>8</v>
      </c>
      <c r="U1011" s="24" t="s">
        <v>67</v>
      </c>
      <c r="V1011" s="23">
        <v>45867</v>
      </c>
      <c r="W1011" s="80" t="s">
        <v>113</v>
      </c>
      <c r="X1011" s="83"/>
      <c r="Y1011" s="83" t="s">
        <v>113</v>
      </c>
      <c r="Z1011" s="85"/>
      <c r="AA1011" s="85"/>
      <c r="AB1011" s="85"/>
      <c r="AD1011" s="92"/>
      <c r="AE1011" s="92"/>
      <c r="AF1011" s="92"/>
    </row>
    <row r="1012" spans="1:32">
      <c r="A1012" s="834" t="s">
        <v>137</v>
      </c>
      <c r="B1012" s="835">
        <v>1009</v>
      </c>
      <c r="C1012" s="840" t="s">
        <v>1583</v>
      </c>
      <c r="D1012" s="840" t="s">
        <v>1584</v>
      </c>
      <c r="E1012" s="839">
        <v>45845.375</v>
      </c>
      <c r="F1012" s="838" t="s">
        <v>140</v>
      </c>
      <c r="G1012" s="838">
        <v>2</v>
      </c>
      <c r="H1012" s="838" t="s">
        <v>21</v>
      </c>
      <c r="I1012" s="838" t="s">
        <v>127</v>
      </c>
      <c r="J1012" s="838" t="s">
        <v>871</v>
      </c>
      <c r="K1012" s="21"/>
      <c r="L1012" s="21"/>
      <c r="M1012" s="22"/>
      <c r="N1012" s="23"/>
      <c r="O1012" s="61"/>
      <c r="P1012" s="23" t="s">
        <v>30</v>
      </c>
      <c r="Q1012" s="23">
        <v>45867</v>
      </c>
      <c r="R1012" s="79" t="s">
        <v>67</v>
      </c>
      <c r="S1012" s="22" t="s">
        <v>32</v>
      </c>
      <c r="T1012" s="22">
        <v>2</v>
      </c>
      <c r="U1012" s="24" t="s">
        <v>67</v>
      </c>
      <c r="V1012" s="23">
        <v>45867</v>
      </c>
      <c r="W1012" s="80" t="s">
        <v>113</v>
      </c>
      <c r="X1012" s="83"/>
      <c r="Y1012" s="83" t="s">
        <v>113</v>
      </c>
      <c r="Z1012" s="85"/>
      <c r="AA1012" s="86"/>
      <c r="AB1012" s="86"/>
      <c r="AC1012" s="776"/>
      <c r="AD1012" s="92"/>
      <c r="AE1012" s="92"/>
      <c r="AF1012" s="92"/>
    </row>
    <row r="1013" spans="1:32">
      <c r="A1013" s="834" t="s">
        <v>137</v>
      </c>
      <c r="B1013" s="835">
        <v>1010</v>
      </c>
      <c r="C1013" s="840" t="s">
        <v>1585</v>
      </c>
      <c r="D1013" s="840" t="s">
        <v>1184</v>
      </c>
      <c r="E1013" s="839">
        <v>45845.041666666664</v>
      </c>
      <c r="F1013" s="838" t="s">
        <v>140</v>
      </c>
      <c r="G1013" s="838">
        <v>1</v>
      </c>
      <c r="H1013" s="838" t="s">
        <v>48</v>
      </c>
      <c r="I1013" s="838" t="s">
        <v>47</v>
      </c>
      <c r="J1013" s="838" t="s">
        <v>871</v>
      </c>
      <c r="K1013" s="21"/>
      <c r="L1013" s="21"/>
      <c r="M1013" s="22"/>
      <c r="N1013" s="23"/>
      <c r="O1013" s="23"/>
      <c r="P1013" s="23" t="s">
        <v>30</v>
      </c>
      <c r="Q1013" s="23">
        <v>45867</v>
      </c>
      <c r="R1013" s="79" t="s">
        <v>67</v>
      </c>
      <c r="S1013" s="22" t="s">
        <v>32</v>
      </c>
      <c r="T1013" s="22">
        <v>1</v>
      </c>
      <c r="U1013" s="24" t="s">
        <v>67</v>
      </c>
      <c r="V1013" s="23">
        <v>45867</v>
      </c>
      <c r="W1013" s="80" t="s">
        <v>113</v>
      </c>
      <c r="X1013" s="83"/>
      <c r="Y1013" s="83" t="s">
        <v>113</v>
      </c>
      <c r="Z1013" s="85"/>
      <c r="AA1013" s="86"/>
      <c r="AB1013" s="86"/>
      <c r="AC1013" s="84"/>
      <c r="AD1013" s="92"/>
      <c r="AE1013" s="92"/>
      <c r="AF1013" s="92"/>
    </row>
    <row r="1014" spans="1:32">
      <c r="A1014" s="834" t="s">
        <v>137</v>
      </c>
      <c r="B1014" s="835">
        <v>1011</v>
      </c>
      <c r="C1014" s="840" t="s">
        <v>1586</v>
      </c>
      <c r="D1014" s="840" t="s">
        <v>779</v>
      </c>
      <c r="E1014" s="839">
        <v>45845.375</v>
      </c>
      <c r="F1014" s="838" t="s">
        <v>140</v>
      </c>
      <c r="G1014" s="838">
        <v>4</v>
      </c>
      <c r="H1014" s="838" t="s">
        <v>21</v>
      </c>
      <c r="I1014" s="838" t="s">
        <v>127</v>
      </c>
      <c r="J1014" s="838" t="s">
        <v>871</v>
      </c>
      <c r="K1014" s="21"/>
      <c r="L1014" s="21"/>
      <c r="M1014" s="22"/>
      <c r="N1014" s="23"/>
      <c r="O1014" s="23"/>
      <c r="P1014" s="23" t="s">
        <v>30</v>
      </c>
      <c r="Q1014" s="23">
        <v>45867</v>
      </c>
      <c r="R1014" s="79" t="s">
        <v>67</v>
      </c>
      <c r="S1014" s="22" t="s">
        <v>32</v>
      </c>
      <c r="T1014" s="22">
        <v>4</v>
      </c>
      <c r="U1014" s="24" t="s">
        <v>67</v>
      </c>
      <c r="V1014" s="23">
        <v>45867</v>
      </c>
      <c r="W1014" s="80" t="s">
        <v>113</v>
      </c>
      <c r="X1014" s="83"/>
      <c r="Y1014" s="83" t="s">
        <v>113</v>
      </c>
      <c r="Z1014" s="85"/>
      <c r="AA1014" s="85"/>
      <c r="AB1014" s="85"/>
      <c r="AD1014" s="92"/>
      <c r="AE1014" s="92"/>
      <c r="AF1014" s="92"/>
    </row>
    <row r="1015" spans="1:32">
      <c r="A1015" s="834" t="s">
        <v>137</v>
      </c>
      <c r="B1015" s="835">
        <v>1012</v>
      </c>
      <c r="C1015" s="840" t="s">
        <v>1587</v>
      </c>
      <c r="D1015" s="840" t="s">
        <v>1588</v>
      </c>
      <c r="E1015" s="839">
        <v>45845.375</v>
      </c>
      <c r="F1015" s="838" t="s">
        <v>140</v>
      </c>
      <c r="G1015" s="838">
        <v>33</v>
      </c>
      <c r="H1015" s="838" t="s">
        <v>21</v>
      </c>
      <c r="I1015" s="838" t="s">
        <v>127</v>
      </c>
      <c r="J1015" s="838" t="s">
        <v>871</v>
      </c>
      <c r="K1015" s="21"/>
      <c r="L1015" s="21"/>
      <c r="M1015" s="22"/>
      <c r="N1015" s="23"/>
      <c r="O1015" s="848" t="s">
        <v>31</v>
      </c>
      <c r="P1015" s="23" t="s">
        <v>30</v>
      </c>
      <c r="Q1015" s="23">
        <v>45868</v>
      </c>
      <c r="R1015" s="79" t="s">
        <v>67</v>
      </c>
      <c r="S1015" s="22" t="s">
        <v>32</v>
      </c>
      <c r="T1015" s="22">
        <v>33</v>
      </c>
      <c r="U1015" s="24" t="s">
        <v>67</v>
      </c>
      <c r="V1015" s="23">
        <v>45868</v>
      </c>
      <c r="W1015" s="80" t="s">
        <v>113</v>
      </c>
      <c r="X1015" s="83"/>
      <c r="Y1015" s="83" t="s">
        <v>113</v>
      </c>
      <c r="Z1015">
        <v>33</v>
      </c>
      <c r="AA1015">
        <v>0</v>
      </c>
      <c r="AB1015">
        <v>0</v>
      </c>
      <c r="AC1015">
        <f>SUM(Z1015:AB1015)</f>
        <v>33</v>
      </c>
      <c r="AD1015" s="71">
        <f>+Z1015/AC1015*AD$1</f>
        <v>3</v>
      </c>
      <c r="AE1015" s="92">
        <f>+AA1015/AC1015*AE$1</f>
        <v>0</v>
      </c>
      <c r="AF1015" s="92">
        <f>+AB1015/AC1015*AF$1</f>
        <v>0</v>
      </c>
    </row>
    <row r="1016" spans="1:32">
      <c r="A1016" s="834" t="s">
        <v>137</v>
      </c>
      <c r="B1016" s="835">
        <v>1013</v>
      </c>
      <c r="C1016" s="840" t="s">
        <v>1589</v>
      </c>
      <c r="D1016" s="840" t="s">
        <v>846</v>
      </c>
      <c r="E1016" s="839">
        <v>45845.375</v>
      </c>
      <c r="F1016" s="838" t="s">
        <v>140</v>
      </c>
      <c r="G1016" s="838">
        <v>1</v>
      </c>
      <c r="H1016" s="838" t="s">
        <v>48</v>
      </c>
      <c r="I1016" s="838" t="s">
        <v>47</v>
      </c>
      <c r="J1016" s="838" t="s">
        <v>871</v>
      </c>
      <c r="K1016" s="21"/>
      <c r="L1016" s="21"/>
      <c r="M1016" s="22"/>
      <c r="N1016" s="23"/>
      <c r="O1016" s="23"/>
      <c r="P1016" s="23" t="s">
        <v>30</v>
      </c>
      <c r="Q1016" s="23">
        <v>45868</v>
      </c>
      <c r="R1016" s="79" t="s">
        <v>67</v>
      </c>
      <c r="S1016" s="22" t="s">
        <v>32</v>
      </c>
      <c r="T1016" s="22">
        <v>1</v>
      </c>
      <c r="U1016" s="24" t="s">
        <v>67</v>
      </c>
      <c r="V1016" s="23">
        <v>45868</v>
      </c>
      <c r="W1016" s="80" t="s">
        <v>113</v>
      </c>
      <c r="X1016" s="83"/>
      <c r="Y1016" s="83" t="s">
        <v>113</v>
      </c>
      <c r="Z1016" s="85"/>
      <c r="AA1016" s="85"/>
      <c r="AB1016" s="85"/>
      <c r="AD1016" s="92"/>
      <c r="AE1016" s="92"/>
      <c r="AF1016" s="92"/>
    </row>
    <row r="1017" spans="1:32">
      <c r="A1017" s="834" t="s">
        <v>137</v>
      </c>
      <c r="B1017" s="835">
        <v>1014</v>
      </c>
      <c r="C1017" s="840" t="s">
        <v>1590</v>
      </c>
      <c r="D1017" s="840" t="s">
        <v>1591</v>
      </c>
      <c r="E1017" s="839">
        <v>45852.375</v>
      </c>
      <c r="F1017" s="838" t="s">
        <v>140</v>
      </c>
      <c r="G1017" s="838">
        <v>8</v>
      </c>
      <c r="H1017" s="838" t="s">
        <v>48</v>
      </c>
      <c r="I1017" s="838" t="s">
        <v>47</v>
      </c>
      <c r="J1017" s="838" t="s">
        <v>871</v>
      </c>
      <c r="K1017" s="97" t="s">
        <v>1592</v>
      </c>
      <c r="L1017" s="21"/>
      <c r="M1017" s="22"/>
      <c r="N1017" s="23"/>
      <c r="O1017" s="61"/>
      <c r="P1017" s="97"/>
      <c r="Q1017" s="23"/>
      <c r="R1017" s="79" t="s">
        <v>67</v>
      </c>
      <c r="S1017" s="22"/>
      <c r="T1017" s="22"/>
      <c r="U1017" s="24" t="s">
        <v>67</v>
      </c>
      <c r="V1017" s="23"/>
      <c r="W1017" s="80" t="s">
        <v>113</v>
      </c>
      <c r="X1017" s="83"/>
      <c r="Y1017" s="83" t="s">
        <v>113</v>
      </c>
      <c r="Z1017" s="85"/>
      <c r="AA1017" s="85"/>
      <c r="AB1017" s="85"/>
      <c r="AD1017" s="92"/>
      <c r="AE1017" s="92"/>
      <c r="AF1017" s="92"/>
    </row>
    <row r="1018" spans="1:32">
      <c r="A1018" s="834" t="s">
        <v>137</v>
      </c>
      <c r="B1018" s="835">
        <v>1015</v>
      </c>
      <c r="C1018" s="840" t="s">
        <v>1593</v>
      </c>
      <c r="D1018" s="840" t="s">
        <v>1594</v>
      </c>
      <c r="E1018" s="839">
        <v>45852.375</v>
      </c>
      <c r="F1018" s="838" t="s">
        <v>140</v>
      </c>
      <c r="G1018" s="838">
        <v>11</v>
      </c>
      <c r="H1018" s="838" t="s">
        <v>1571</v>
      </c>
      <c r="I1018" s="838" t="s">
        <v>760</v>
      </c>
      <c r="J1018" s="838" t="s">
        <v>871</v>
      </c>
      <c r="K1018" s="97" t="s">
        <v>1595</v>
      </c>
      <c r="L1018" s="21"/>
      <c r="M1018" s="22"/>
      <c r="N1018" s="23"/>
      <c r="O1018" s="61"/>
      <c r="P1018" s="97"/>
      <c r="Q1018" s="23"/>
      <c r="R1018" s="79" t="s">
        <v>67</v>
      </c>
      <c r="S1018" s="22"/>
      <c r="T1018" s="22"/>
      <c r="U1018" s="24" t="s">
        <v>67</v>
      </c>
      <c r="V1018" s="23"/>
      <c r="W1018" s="80" t="s">
        <v>113</v>
      </c>
      <c r="X1018" s="83"/>
      <c r="Y1018" s="83" t="s">
        <v>113</v>
      </c>
      <c r="Z1018" s="85"/>
      <c r="AA1018" s="85"/>
      <c r="AB1018" s="85"/>
      <c r="AD1018" s="92"/>
      <c r="AE1018" s="92"/>
      <c r="AF1018" s="92"/>
    </row>
    <row r="1019" spans="1:32">
      <c r="A1019" s="834" t="s">
        <v>137</v>
      </c>
      <c r="B1019" s="835">
        <v>1016</v>
      </c>
      <c r="C1019" s="840" t="s">
        <v>1596</v>
      </c>
      <c r="D1019" s="840" t="s">
        <v>779</v>
      </c>
      <c r="E1019" s="839">
        <v>45852.041666666664</v>
      </c>
      <c r="F1019" s="838" t="s">
        <v>140</v>
      </c>
      <c r="G1019" s="838">
        <v>1</v>
      </c>
      <c r="H1019" s="838" t="s">
        <v>1077</v>
      </c>
      <c r="I1019" s="838" t="s">
        <v>1138</v>
      </c>
      <c r="J1019" s="838" t="s">
        <v>871</v>
      </c>
      <c r="K1019" s="21"/>
      <c r="L1019" s="21"/>
      <c r="M1019" s="22"/>
      <c r="N1019" s="23"/>
      <c r="O1019" s="61"/>
      <c r="P1019" s="23" t="s">
        <v>30</v>
      </c>
      <c r="Q1019" s="23">
        <v>45870</v>
      </c>
      <c r="R1019" s="79" t="s">
        <v>67</v>
      </c>
      <c r="S1019" s="22" t="s">
        <v>32</v>
      </c>
      <c r="T1019" s="22">
        <v>1</v>
      </c>
      <c r="U1019" s="24" t="s">
        <v>67</v>
      </c>
      <c r="V1019" s="23">
        <v>45870</v>
      </c>
      <c r="W1019" s="80" t="s">
        <v>113</v>
      </c>
      <c r="X1019" s="83"/>
      <c r="Y1019" s="83" t="s">
        <v>113</v>
      </c>
      <c r="Z1019" s="85"/>
      <c r="AA1019" s="85"/>
      <c r="AB1019" s="85"/>
      <c r="AD1019" s="92"/>
      <c r="AE1019" s="92"/>
      <c r="AF1019" s="92"/>
    </row>
    <row r="1020" spans="1:32">
      <c r="A1020" s="834" t="s">
        <v>137</v>
      </c>
      <c r="B1020" s="835">
        <v>1017</v>
      </c>
      <c r="C1020" s="840" t="s">
        <v>1597</v>
      </c>
      <c r="D1020" s="840" t="s">
        <v>1598</v>
      </c>
      <c r="E1020" s="839">
        <v>45859.375</v>
      </c>
      <c r="F1020" s="838" t="s">
        <v>140</v>
      </c>
      <c r="G1020" s="838">
        <v>1</v>
      </c>
      <c r="H1020" s="838" t="s">
        <v>21</v>
      </c>
      <c r="I1020" s="838" t="s">
        <v>127</v>
      </c>
      <c r="J1020" s="838" t="s">
        <v>871</v>
      </c>
      <c r="K1020" s="21"/>
      <c r="L1020" s="21"/>
      <c r="M1020" s="22"/>
      <c r="N1020" s="23"/>
      <c r="O1020" s="61"/>
      <c r="P1020" s="23" t="s">
        <v>30</v>
      </c>
      <c r="Q1020" s="23">
        <v>45873</v>
      </c>
      <c r="R1020" s="79" t="s">
        <v>67</v>
      </c>
      <c r="S1020" s="22" t="s">
        <v>32</v>
      </c>
      <c r="T1020" s="22">
        <v>1</v>
      </c>
      <c r="U1020" s="24" t="s">
        <v>67</v>
      </c>
      <c r="V1020" s="23">
        <v>45873</v>
      </c>
      <c r="W1020" s="80" t="s">
        <v>113</v>
      </c>
      <c r="X1020" s="83"/>
      <c r="Y1020" s="83" t="s">
        <v>113</v>
      </c>
      <c r="Z1020" s="85"/>
      <c r="AA1020" s="85"/>
      <c r="AB1020" s="85"/>
      <c r="AD1020" s="92"/>
      <c r="AE1020" s="92"/>
      <c r="AF1020" s="92"/>
    </row>
    <row r="1021" spans="1:32">
      <c r="A1021" s="834" t="s">
        <v>137</v>
      </c>
      <c r="B1021" s="835">
        <v>1018</v>
      </c>
      <c r="C1021" s="840" t="s">
        <v>1599</v>
      </c>
      <c r="D1021" s="840" t="s">
        <v>937</v>
      </c>
      <c r="E1021" s="839">
        <v>45859.375</v>
      </c>
      <c r="F1021" s="838" t="s">
        <v>140</v>
      </c>
      <c r="G1021" s="838">
        <v>10</v>
      </c>
      <c r="H1021" s="838" t="s">
        <v>1571</v>
      </c>
      <c r="I1021" s="838" t="s">
        <v>760</v>
      </c>
      <c r="J1021" s="838" t="s">
        <v>871</v>
      </c>
      <c r="K1021" s="21"/>
      <c r="L1021" s="21"/>
      <c r="M1021" s="22"/>
      <c r="N1021" s="23"/>
      <c r="O1021" s="61"/>
      <c r="P1021" s="23" t="s">
        <v>30</v>
      </c>
      <c r="Q1021" s="23">
        <v>45873</v>
      </c>
      <c r="R1021" s="79" t="s">
        <v>67</v>
      </c>
      <c r="S1021" s="22" t="s">
        <v>32</v>
      </c>
      <c r="T1021" s="22">
        <v>10</v>
      </c>
      <c r="U1021" s="24" t="s">
        <v>67</v>
      </c>
      <c r="V1021" s="23">
        <v>45873</v>
      </c>
      <c r="W1021" s="80" t="s">
        <v>113</v>
      </c>
      <c r="X1021" s="83"/>
      <c r="Y1021" s="83" t="s">
        <v>113</v>
      </c>
      <c r="Z1021" s="85"/>
      <c r="AA1021" s="86"/>
      <c r="AB1021" s="86"/>
      <c r="AC1021" s="776"/>
      <c r="AD1021" s="92"/>
      <c r="AE1021" s="92"/>
      <c r="AF1021" s="92"/>
    </row>
    <row r="1022" spans="1:32">
      <c r="A1022" s="834" t="s">
        <v>137</v>
      </c>
      <c r="B1022" s="835">
        <v>1019</v>
      </c>
      <c r="C1022" s="840" t="s">
        <v>1600</v>
      </c>
      <c r="D1022" s="840" t="s">
        <v>1601</v>
      </c>
      <c r="E1022" s="839">
        <v>45866.375</v>
      </c>
      <c r="F1022" s="838" t="s">
        <v>140</v>
      </c>
      <c r="G1022" s="838">
        <v>15</v>
      </c>
      <c r="H1022" s="838" t="s">
        <v>48</v>
      </c>
      <c r="I1022" s="838" t="s">
        <v>47</v>
      </c>
      <c r="J1022" s="838" t="s">
        <v>871</v>
      </c>
      <c r="K1022" s="21"/>
      <c r="L1022" s="21"/>
      <c r="M1022" s="22"/>
      <c r="N1022" s="23"/>
      <c r="O1022" s="848" t="s">
        <v>31</v>
      </c>
      <c r="P1022" s="23" t="s">
        <v>30</v>
      </c>
      <c r="Q1022" s="23">
        <v>45876</v>
      </c>
      <c r="R1022" s="79" t="s">
        <v>67</v>
      </c>
      <c r="S1022" s="22" t="s">
        <v>32</v>
      </c>
      <c r="T1022" s="22">
        <v>15</v>
      </c>
      <c r="U1022" s="24" t="s">
        <v>67</v>
      </c>
      <c r="V1022" s="23">
        <v>45876</v>
      </c>
      <c r="W1022" s="80" t="s">
        <v>113</v>
      </c>
      <c r="X1022" s="83"/>
      <c r="Y1022" s="83" t="s">
        <v>113</v>
      </c>
      <c r="Z1022">
        <v>0</v>
      </c>
      <c r="AA1022">
        <v>0</v>
      </c>
      <c r="AB1022">
        <v>15</v>
      </c>
      <c r="AC1022">
        <f>SUM(Z1022:AB1022)</f>
        <v>15</v>
      </c>
      <c r="AD1022" s="71">
        <f>+Z1022/AC1022*AD$1</f>
        <v>0</v>
      </c>
      <c r="AE1022" s="92">
        <f>+AA1022/AC1022*AE$1</f>
        <v>0</v>
      </c>
      <c r="AF1022" s="92">
        <f>+AB1022/AC1022*AF$1</f>
        <v>0</v>
      </c>
    </row>
    <row r="1023" spans="1:32">
      <c r="A1023" s="834" t="s">
        <v>137</v>
      </c>
      <c r="B1023" s="835">
        <v>1020</v>
      </c>
      <c r="C1023" s="840" t="s">
        <v>1602</v>
      </c>
      <c r="D1023" s="840" t="s">
        <v>1603</v>
      </c>
      <c r="E1023" s="839">
        <v>45866.375</v>
      </c>
      <c r="F1023" s="838" t="s">
        <v>140</v>
      </c>
      <c r="G1023" s="838">
        <v>6</v>
      </c>
      <c r="H1023" s="838" t="s">
        <v>48</v>
      </c>
      <c r="I1023" s="838" t="s">
        <v>47</v>
      </c>
      <c r="J1023" s="838" t="s">
        <v>871</v>
      </c>
      <c r="K1023" s="21"/>
      <c r="L1023" s="21"/>
      <c r="M1023" s="22"/>
      <c r="N1023" s="23"/>
      <c r="O1023" s="61"/>
      <c r="P1023" s="23" t="s">
        <v>30</v>
      </c>
      <c r="Q1023" s="23">
        <v>45876</v>
      </c>
      <c r="R1023" s="79" t="s">
        <v>67</v>
      </c>
      <c r="S1023" s="22" t="s">
        <v>32</v>
      </c>
      <c r="T1023" s="22">
        <v>6</v>
      </c>
      <c r="U1023" s="24" t="s">
        <v>67</v>
      </c>
      <c r="V1023" s="23">
        <v>45876</v>
      </c>
      <c r="W1023" s="80" t="s">
        <v>113</v>
      </c>
      <c r="X1023" s="83"/>
      <c r="Y1023" s="83" t="s">
        <v>113</v>
      </c>
      <c r="Z1023">
        <v>21</v>
      </c>
      <c r="AA1023">
        <v>34</v>
      </c>
      <c r="AB1023">
        <v>0</v>
      </c>
      <c r="AC1023">
        <f>SUM(Z1023:AB1023)</f>
        <v>55</v>
      </c>
      <c r="AD1023" s="71">
        <f>+Z1023/AC1023*AD$1</f>
        <v>1.1454545454545455</v>
      </c>
      <c r="AE1023" s="92">
        <f>+AA1023/AC1023*AE$1</f>
        <v>0</v>
      </c>
      <c r="AF1023" s="92">
        <f>+AB1023/AC1023*AF$1</f>
        <v>0</v>
      </c>
    </row>
    <row r="1024" spans="1:32">
      <c r="A1024" s="834" t="s">
        <v>137</v>
      </c>
      <c r="B1024" s="835">
        <v>1021</v>
      </c>
      <c r="C1024" s="840" t="s">
        <v>1604</v>
      </c>
      <c r="D1024" s="840" t="s">
        <v>1605</v>
      </c>
      <c r="E1024" s="839">
        <v>45866.375</v>
      </c>
      <c r="F1024" s="838" t="s">
        <v>140</v>
      </c>
      <c r="G1024" s="838">
        <v>2</v>
      </c>
      <c r="H1024" s="838" t="s">
        <v>21</v>
      </c>
      <c r="I1024" s="838" t="s">
        <v>47</v>
      </c>
      <c r="J1024" s="838" t="s">
        <v>871</v>
      </c>
      <c r="K1024" s="21"/>
      <c r="L1024" s="21"/>
      <c r="M1024" s="22"/>
      <c r="N1024" s="23"/>
      <c r="O1024" s="23"/>
      <c r="P1024" s="23" t="s">
        <v>30</v>
      </c>
      <c r="Q1024" s="23">
        <v>45876</v>
      </c>
      <c r="R1024" s="79" t="s">
        <v>67</v>
      </c>
      <c r="S1024" s="22" t="s">
        <v>32</v>
      </c>
      <c r="T1024" s="22">
        <v>2</v>
      </c>
      <c r="U1024" s="24" t="s">
        <v>67</v>
      </c>
      <c r="V1024" s="23">
        <v>45876</v>
      </c>
      <c r="W1024" s="80" t="s">
        <v>113</v>
      </c>
      <c r="X1024" s="83"/>
      <c r="Y1024" s="83" t="s">
        <v>113</v>
      </c>
      <c r="Z1024" s="85"/>
      <c r="AA1024" s="85"/>
      <c r="AB1024" s="85"/>
      <c r="AD1024" s="92"/>
      <c r="AE1024" s="92"/>
      <c r="AF1024" s="92"/>
    </row>
    <row r="1025" spans="1:32">
      <c r="A1025" s="834" t="s">
        <v>137</v>
      </c>
      <c r="B1025" s="835">
        <v>1022</v>
      </c>
      <c r="C1025" s="840" t="s">
        <v>1606</v>
      </c>
      <c r="D1025" s="840" t="s">
        <v>779</v>
      </c>
      <c r="E1025" s="839">
        <v>45866.041666666664</v>
      </c>
      <c r="F1025" s="838" t="s">
        <v>140</v>
      </c>
      <c r="G1025" s="838">
        <v>1</v>
      </c>
      <c r="H1025" s="838" t="s">
        <v>1077</v>
      </c>
      <c r="I1025" s="838" t="s">
        <v>1138</v>
      </c>
      <c r="J1025" s="838" t="s">
        <v>871</v>
      </c>
      <c r="K1025" s="21"/>
      <c r="L1025" s="21"/>
      <c r="M1025" s="22"/>
      <c r="N1025" s="23"/>
      <c r="O1025" s="61"/>
      <c r="P1025" s="23" t="s">
        <v>30</v>
      </c>
      <c r="Q1025" s="23">
        <v>45876</v>
      </c>
      <c r="R1025" s="79" t="s">
        <v>67</v>
      </c>
      <c r="S1025" s="22" t="s">
        <v>32</v>
      </c>
      <c r="T1025" s="22">
        <v>1</v>
      </c>
      <c r="U1025" s="24" t="s">
        <v>67</v>
      </c>
      <c r="V1025" s="23">
        <v>45876</v>
      </c>
      <c r="W1025" s="80" t="s">
        <v>113</v>
      </c>
      <c r="X1025" s="83"/>
      <c r="Y1025" s="83" t="s">
        <v>113</v>
      </c>
      <c r="Z1025"/>
      <c r="AA1025"/>
      <c r="AD1025" s="92"/>
      <c r="AE1025" s="92"/>
      <c r="AF1025" s="92"/>
    </row>
    <row r="1026" spans="1:32">
      <c r="A1026" s="834" t="s">
        <v>24</v>
      </c>
      <c r="B1026" s="835">
        <v>1023</v>
      </c>
      <c r="C1026" s="838" t="s">
        <v>1607</v>
      </c>
      <c r="D1026" s="839" t="s">
        <v>34</v>
      </c>
      <c r="E1026" s="839">
        <v>45871</v>
      </c>
      <c r="F1026" s="838" t="s">
        <v>1608</v>
      </c>
      <c r="G1026" s="838">
        <v>15</v>
      </c>
      <c r="H1026" s="838" t="s">
        <v>48</v>
      </c>
      <c r="I1026" s="838" t="s">
        <v>47</v>
      </c>
      <c r="J1026" s="838" t="s">
        <v>871</v>
      </c>
      <c r="K1026" s="838"/>
      <c r="L1026" s="834"/>
      <c r="M1026" s="834"/>
      <c r="N1026" s="834"/>
      <c r="O1026" s="848" t="s">
        <v>31</v>
      </c>
      <c r="P1026" s="848" t="s">
        <v>30</v>
      </c>
      <c r="Q1026" s="23">
        <v>45903</v>
      </c>
      <c r="R1026" s="79" t="s">
        <v>28</v>
      </c>
      <c r="S1026" s="22" t="s">
        <v>32</v>
      </c>
      <c r="T1026" s="22">
        <v>15</v>
      </c>
      <c r="U1026" s="24" t="s">
        <v>28</v>
      </c>
      <c r="V1026" s="23">
        <v>45903</v>
      </c>
      <c r="W1026" s="96" t="s">
        <v>30</v>
      </c>
      <c r="X1026" s="80" t="s">
        <v>30</v>
      </c>
      <c r="Y1026" s="96" t="s">
        <v>30</v>
      </c>
      <c r="Z1026"/>
      <c r="AA1026" s="776"/>
      <c r="AB1026" s="776"/>
      <c r="AC1026" s="776"/>
    </row>
    <row r="1027" spans="1:32">
      <c r="A1027" s="834" t="s">
        <v>24</v>
      </c>
      <c r="B1027" s="835">
        <v>1024</v>
      </c>
      <c r="C1027" s="838" t="s">
        <v>1609</v>
      </c>
      <c r="D1027" s="839" t="s">
        <v>1610</v>
      </c>
      <c r="E1027" s="839">
        <v>45871</v>
      </c>
      <c r="F1027" s="838" t="s">
        <v>1611</v>
      </c>
      <c r="G1027" s="838">
        <v>35</v>
      </c>
      <c r="H1027" s="838" t="s">
        <v>48</v>
      </c>
      <c r="I1027" s="838" t="s">
        <v>47</v>
      </c>
      <c r="J1027" s="838" t="s">
        <v>871</v>
      </c>
      <c r="K1027" s="838"/>
      <c r="L1027" s="834"/>
      <c r="M1027" s="834"/>
      <c r="N1027" s="834"/>
      <c r="O1027" s="848" t="s">
        <v>31</v>
      </c>
      <c r="P1027" s="848" t="s">
        <v>30</v>
      </c>
      <c r="Q1027" s="23">
        <v>45923</v>
      </c>
      <c r="R1027" s="79" t="s">
        <v>67</v>
      </c>
      <c r="S1027" s="22" t="s">
        <v>32</v>
      </c>
      <c r="T1027" s="22">
        <v>35</v>
      </c>
      <c r="U1027" s="24" t="s">
        <v>67</v>
      </c>
      <c r="V1027" s="23">
        <v>45923</v>
      </c>
      <c r="W1027" s="80" t="s">
        <v>30</v>
      </c>
      <c r="X1027" s="80" t="s">
        <v>30</v>
      </c>
      <c r="Y1027" s="96" t="s">
        <v>30</v>
      </c>
      <c r="Z1027"/>
      <c r="AA1027" s="776"/>
      <c r="AB1027" s="776"/>
      <c r="AC1027" s="776"/>
    </row>
    <row r="1028" spans="1:32">
      <c r="A1028" s="834" t="s">
        <v>24</v>
      </c>
      <c r="B1028" s="835">
        <v>1025</v>
      </c>
      <c r="C1028" s="838" t="s">
        <v>1612</v>
      </c>
      <c r="D1028" s="839" t="s">
        <v>1613</v>
      </c>
      <c r="E1028" s="839">
        <v>45871</v>
      </c>
      <c r="F1028" s="838" t="s">
        <v>401</v>
      </c>
      <c r="G1028" s="838">
        <v>35</v>
      </c>
      <c r="H1028" s="838" t="s">
        <v>48</v>
      </c>
      <c r="I1028" s="838" t="s">
        <v>47</v>
      </c>
      <c r="J1028" s="838" t="s">
        <v>871</v>
      </c>
      <c r="K1028" s="838"/>
      <c r="L1028" s="834"/>
      <c r="M1028" s="834"/>
      <c r="N1028" s="834"/>
      <c r="O1028" s="848" t="s">
        <v>31</v>
      </c>
      <c r="P1028" s="848" t="s">
        <v>30</v>
      </c>
      <c r="Q1028" s="23">
        <v>45918</v>
      </c>
      <c r="R1028" s="79" t="s">
        <v>67</v>
      </c>
      <c r="S1028" s="22" t="s">
        <v>32</v>
      </c>
      <c r="T1028" s="22">
        <v>35</v>
      </c>
      <c r="U1028" s="24" t="s">
        <v>67</v>
      </c>
      <c r="V1028" s="23">
        <v>45918</v>
      </c>
      <c r="W1028" s="80" t="s">
        <v>30</v>
      </c>
      <c r="X1028" s="80" t="s">
        <v>30</v>
      </c>
      <c r="Y1028" s="96" t="s">
        <v>30</v>
      </c>
      <c r="Z1028"/>
      <c r="AA1028" s="776"/>
      <c r="AB1028" s="776"/>
      <c r="AC1028" s="776"/>
    </row>
    <row r="1029" spans="1:32">
      <c r="A1029" s="834" t="s">
        <v>24</v>
      </c>
      <c r="B1029" s="835">
        <v>1026</v>
      </c>
      <c r="C1029" s="838" t="s">
        <v>1614</v>
      </c>
      <c r="D1029" s="839" t="s">
        <v>34</v>
      </c>
      <c r="E1029" s="839">
        <v>45871</v>
      </c>
      <c r="F1029" s="838" t="s">
        <v>35</v>
      </c>
      <c r="G1029" s="838">
        <v>12</v>
      </c>
      <c r="H1029" s="838" t="s">
        <v>48</v>
      </c>
      <c r="I1029" s="838" t="s">
        <v>47</v>
      </c>
      <c r="J1029" s="838" t="s">
        <v>871</v>
      </c>
      <c r="K1029" s="838"/>
      <c r="L1029" s="834"/>
      <c r="M1029" s="834"/>
      <c r="N1029" s="834"/>
      <c r="O1029" s="848"/>
      <c r="P1029" s="848" t="s">
        <v>30</v>
      </c>
      <c r="Q1029" s="23">
        <v>45918</v>
      </c>
      <c r="R1029" s="79" t="s">
        <v>67</v>
      </c>
      <c r="S1029" s="22" t="s">
        <v>32</v>
      </c>
      <c r="T1029" s="22">
        <v>13</v>
      </c>
      <c r="U1029" s="24" t="s">
        <v>67</v>
      </c>
      <c r="V1029" s="23">
        <v>45918</v>
      </c>
      <c r="W1029" s="80" t="s">
        <v>30</v>
      </c>
      <c r="X1029" s="96" t="s">
        <v>30</v>
      </c>
      <c r="Y1029" s="96" t="s">
        <v>30</v>
      </c>
      <c r="Z1029"/>
      <c r="AA1029" s="776"/>
      <c r="AB1029" s="776"/>
      <c r="AC1029" s="776"/>
    </row>
    <row r="1030" spans="1:32">
      <c r="A1030" s="834" t="s">
        <v>24</v>
      </c>
      <c r="B1030" s="835">
        <v>1027</v>
      </c>
      <c r="C1030" s="838" t="s">
        <v>1615</v>
      </c>
      <c r="D1030" s="839" t="s">
        <v>34</v>
      </c>
      <c r="E1030" s="839">
        <v>45871</v>
      </c>
      <c r="F1030" s="838" t="s">
        <v>187</v>
      </c>
      <c r="G1030" s="838">
        <v>7</v>
      </c>
      <c r="H1030" s="838" t="s">
        <v>48</v>
      </c>
      <c r="I1030" s="838" t="s">
        <v>47</v>
      </c>
      <c r="J1030" s="838" t="s">
        <v>871</v>
      </c>
      <c r="K1030" s="89"/>
      <c r="L1030" s="834"/>
      <c r="M1030" s="834"/>
      <c r="N1030" s="834"/>
      <c r="O1030" s="848"/>
      <c r="P1030" s="848" t="s">
        <v>30</v>
      </c>
      <c r="Q1030" s="23">
        <v>45903</v>
      </c>
      <c r="R1030" s="79" t="s">
        <v>28</v>
      </c>
      <c r="S1030" s="22" t="s">
        <v>32</v>
      </c>
      <c r="T1030" s="22">
        <v>5</v>
      </c>
      <c r="U1030" s="24" t="s">
        <v>28</v>
      </c>
      <c r="V1030" s="23">
        <v>45903</v>
      </c>
      <c r="W1030" s="80" t="s">
        <v>30</v>
      </c>
      <c r="X1030" s="80" t="s">
        <v>30</v>
      </c>
      <c r="Y1030" s="96" t="s">
        <v>30</v>
      </c>
      <c r="Z1030"/>
      <c r="AA1030"/>
    </row>
    <row r="1031" spans="1:32">
      <c r="A1031" s="834" t="s">
        <v>24</v>
      </c>
      <c r="B1031" s="835">
        <v>1028</v>
      </c>
      <c r="C1031" s="216" t="s">
        <v>1616</v>
      </c>
      <c r="D1031" s="236" t="s">
        <v>1617</v>
      </c>
      <c r="E1031" s="236">
        <v>45871</v>
      </c>
      <c r="F1031" s="216" t="s">
        <v>1618</v>
      </c>
      <c r="G1031" s="216">
        <v>15</v>
      </c>
      <c r="H1031" s="216" t="s">
        <v>1077</v>
      </c>
      <c r="I1031" s="216" t="s">
        <v>1138</v>
      </c>
      <c r="J1031" s="216" t="s">
        <v>871</v>
      </c>
      <c r="K1031" s="215" t="s">
        <v>1619</v>
      </c>
      <c r="L1031" s="215"/>
      <c r="M1031" s="215"/>
      <c r="N1031" s="103"/>
      <c r="O1031" s="103" t="s">
        <v>31</v>
      </c>
      <c r="P1031" s="103"/>
      <c r="Q1031" s="237"/>
      <c r="R1031" s="238" t="s">
        <v>28</v>
      </c>
      <c r="S1031" s="235"/>
      <c r="T1031" s="235"/>
      <c r="U1031" s="238"/>
      <c r="V1031" s="237"/>
      <c r="W1031" s="96" t="s">
        <v>30</v>
      </c>
      <c r="X1031" s="96" t="s">
        <v>30</v>
      </c>
      <c r="Y1031" s="96" t="s">
        <v>30</v>
      </c>
      <c r="Z1031"/>
      <c r="AA1031" s="776"/>
      <c r="AB1031" s="776"/>
      <c r="AC1031" s="776"/>
    </row>
    <row r="1032" spans="1:32">
      <c r="A1032" s="834" t="s">
        <v>24</v>
      </c>
      <c r="B1032" s="835">
        <v>1029</v>
      </c>
      <c r="C1032" s="838" t="s">
        <v>1620</v>
      </c>
      <c r="D1032" s="839" t="s">
        <v>34</v>
      </c>
      <c r="E1032" s="839">
        <v>45871</v>
      </c>
      <c r="F1032" s="838" t="s">
        <v>1621</v>
      </c>
      <c r="G1032" s="838">
        <v>10</v>
      </c>
      <c r="H1032" s="838" t="s">
        <v>21</v>
      </c>
      <c r="I1032" s="838" t="s">
        <v>127</v>
      </c>
      <c r="J1032" s="838" t="s">
        <v>871</v>
      </c>
      <c r="K1032" s="89" t="s">
        <v>1622</v>
      </c>
      <c r="L1032" s="834"/>
      <c r="M1032" s="834"/>
      <c r="N1032" s="848"/>
      <c r="O1032" s="848"/>
      <c r="P1032" s="848" t="s">
        <v>30</v>
      </c>
      <c r="Q1032" s="23">
        <v>45930</v>
      </c>
      <c r="R1032" s="79" t="s">
        <v>67</v>
      </c>
      <c r="S1032" s="22" t="s">
        <v>32</v>
      </c>
      <c r="T1032" s="22">
        <v>10</v>
      </c>
      <c r="U1032" s="22" t="s">
        <v>67</v>
      </c>
      <c r="V1032" s="23">
        <v>45930</v>
      </c>
      <c r="W1032" s="91" t="s">
        <v>32</v>
      </c>
      <c r="X1032" s="96" t="s">
        <v>30</v>
      </c>
      <c r="Y1032" s="96" t="s">
        <v>32</v>
      </c>
      <c r="Z1032"/>
      <c r="AA1032" s="776"/>
      <c r="AB1032" s="776"/>
      <c r="AC1032" s="776"/>
    </row>
    <row r="1033" spans="1:32">
      <c r="A1033" s="834" t="s">
        <v>24</v>
      </c>
      <c r="B1033" s="835">
        <v>1030</v>
      </c>
      <c r="C1033" s="838" t="s">
        <v>1623</v>
      </c>
      <c r="D1033" s="839" t="s">
        <v>1463</v>
      </c>
      <c r="E1033" s="839">
        <v>45874</v>
      </c>
      <c r="F1033" s="838" t="s">
        <v>1624</v>
      </c>
      <c r="G1033" s="838">
        <v>13</v>
      </c>
      <c r="H1033" s="838" t="s">
        <v>21</v>
      </c>
      <c r="I1033" s="838" t="s">
        <v>127</v>
      </c>
      <c r="J1033" s="838" t="s">
        <v>871</v>
      </c>
      <c r="K1033" s="89"/>
      <c r="L1033" s="834"/>
      <c r="M1033" s="834"/>
      <c r="N1033" s="848"/>
      <c r="O1033" s="848"/>
      <c r="P1033" s="848" t="s">
        <v>30</v>
      </c>
      <c r="Q1033" s="23">
        <v>45922</v>
      </c>
      <c r="R1033" s="79" t="s">
        <v>127</v>
      </c>
      <c r="S1033" s="22" t="s">
        <v>32</v>
      </c>
      <c r="T1033" s="22">
        <v>13</v>
      </c>
      <c r="U1033" s="22" t="s">
        <v>127</v>
      </c>
      <c r="V1033" s="23">
        <v>45922</v>
      </c>
      <c r="W1033" s="80" t="s">
        <v>30</v>
      </c>
      <c r="X1033" s="96" t="s">
        <v>30</v>
      </c>
      <c r="Y1033" s="96" t="s">
        <v>30</v>
      </c>
      <c r="Z1033"/>
      <c r="AA1033" s="776"/>
      <c r="AB1033" s="776"/>
      <c r="AC1033" s="776"/>
    </row>
    <row r="1034" spans="1:32">
      <c r="A1034" s="834" t="s">
        <v>24</v>
      </c>
      <c r="B1034" s="835">
        <v>1031</v>
      </c>
      <c r="C1034" s="838" t="s">
        <v>1625</v>
      </c>
      <c r="D1034" s="839" t="s">
        <v>34</v>
      </c>
      <c r="E1034" s="839">
        <v>45874</v>
      </c>
      <c r="F1034" s="838" t="s">
        <v>1626</v>
      </c>
      <c r="G1034" s="838">
        <v>26</v>
      </c>
      <c r="H1034" s="838" t="s">
        <v>1077</v>
      </c>
      <c r="I1034" s="838" t="s">
        <v>1138</v>
      </c>
      <c r="J1034" s="838" t="s">
        <v>871</v>
      </c>
      <c r="K1034" s="89"/>
      <c r="L1034" s="834"/>
      <c r="M1034" s="834"/>
      <c r="N1034" s="848"/>
      <c r="O1034" s="848" t="s">
        <v>31</v>
      </c>
      <c r="P1034" s="848" t="s">
        <v>30</v>
      </c>
      <c r="Q1034" s="23">
        <v>45930</v>
      </c>
      <c r="R1034" s="79" t="s">
        <v>48</v>
      </c>
      <c r="S1034" s="22" t="s">
        <v>32</v>
      </c>
      <c r="T1034" s="22">
        <v>26</v>
      </c>
      <c r="U1034" s="24" t="s">
        <v>48</v>
      </c>
      <c r="V1034" s="23">
        <v>45930</v>
      </c>
      <c r="W1034" s="96" t="s">
        <v>30</v>
      </c>
      <c r="X1034" s="80" t="s">
        <v>30</v>
      </c>
      <c r="Y1034" s="96" t="s">
        <v>30</v>
      </c>
      <c r="Z1034"/>
      <c r="AA1034" s="776"/>
      <c r="AB1034" s="776"/>
      <c r="AC1034" s="776"/>
    </row>
    <row r="1035" spans="1:32">
      <c r="A1035" s="834" t="s">
        <v>24</v>
      </c>
      <c r="B1035" s="835">
        <v>1032</v>
      </c>
      <c r="C1035" s="838" t="s">
        <v>1627</v>
      </c>
      <c r="D1035" s="839" t="s">
        <v>64</v>
      </c>
      <c r="E1035" s="839">
        <v>45876</v>
      </c>
      <c r="F1035" s="838" t="s">
        <v>909</v>
      </c>
      <c r="G1035" s="838">
        <v>15</v>
      </c>
      <c r="H1035" s="838" t="s">
        <v>21</v>
      </c>
      <c r="I1035" s="838" t="s">
        <v>127</v>
      </c>
      <c r="J1035" s="838" t="s">
        <v>871</v>
      </c>
      <c r="K1035" s="838"/>
      <c r="L1035" s="834"/>
      <c r="M1035" s="834"/>
      <c r="N1035" s="848"/>
      <c r="O1035" s="848" t="s">
        <v>31</v>
      </c>
      <c r="P1035" s="848" t="s">
        <v>30</v>
      </c>
      <c r="Q1035" s="23">
        <v>45930</v>
      </c>
      <c r="R1035" s="79" t="s">
        <v>67</v>
      </c>
      <c r="S1035" s="22" t="s">
        <v>32</v>
      </c>
      <c r="T1035" s="22">
        <v>15</v>
      </c>
      <c r="U1035" s="24" t="s">
        <v>67</v>
      </c>
      <c r="V1035" s="23">
        <v>45930</v>
      </c>
      <c r="W1035" s="80" t="s">
        <v>30</v>
      </c>
      <c r="X1035" s="80" t="s">
        <v>30</v>
      </c>
      <c r="Y1035" s="96" t="s">
        <v>30</v>
      </c>
      <c r="Z1035"/>
      <c r="AA1035" s="776"/>
      <c r="AB1035" s="776"/>
      <c r="AC1035" s="776"/>
    </row>
    <row r="1036" spans="1:32">
      <c r="A1036" s="834" t="s">
        <v>24</v>
      </c>
      <c r="B1036" s="835">
        <v>1033</v>
      </c>
      <c r="C1036" s="838" t="s">
        <v>1628</v>
      </c>
      <c r="D1036" s="839" t="s">
        <v>102</v>
      </c>
      <c r="E1036" s="839">
        <v>45876</v>
      </c>
      <c r="F1036" s="838" t="s">
        <v>1342</v>
      </c>
      <c r="G1036" s="838">
        <v>9</v>
      </c>
      <c r="H1036" s="838" t="s">
        <v>48</v>
      </c>
      <c r="I1036" s="838" t="s">
        <v>47</v>
      </c>
      <c r="J1036" s="838" t="s">
        <v>871</v>
      </c>
      <c r="K1036" s="89"/>
      <c r="L1036" s="834"/>
      <c r="M1036" s="834"/>
      <c r="N1036" s="90"/>
      <c r="O1036" s="848"/>
      <c r="P1036" s="848" t="s">
        <v>30</v>
      </c>
      <c r="Q1036" s="23">
        <v>45916</v>
      </c>
      <c r="R1036" s="79" t="s">
        <v>67</v>
      </c>
      <c r="S1036" s="22" t="s">
        <v>32</v>
      </c>
      <c r="T1036" s="22">
        <v>9</v>
      </c>
      <c r="U1036" s="24" t="s">
        <v>67</v>
      </c>
      <c r="V1036" s="23">
        <v>45916</v>
      </c>
      <c r="W1036" s="80" t="s">
        <v>30</v>
      </c>
      <c r="X1036" s="80" t="s">
        <v>30</v>
      </c>
      <c r="Y1036" s="96" t="s">
        <v>30</v>
      </c>
      <c r="Z1036"/>
      <c r="AA1036"/>
    </row>
    <row r="1037" spans="1:32">
      <c r="A1037" s="834" t="s">
        <v>24</v>
      </c>
      <c r="B1037" s="835">
        <v>1034</v>
      </c>
      <c r="C1037" s="838" t="s">
        <v>1629</v>
      </c>
      <c r="D1037" s="839" t="s">
        <v>64</v>
      </c>
      <c r="E1037" s="839">
        <v>45878</v>
      </c>
      <c r="F1037" s="838" t="s">
        <v>65</v>
      </c>
      <c r="G1037" s="838">
        <v>8</v>
      </c>
      <c r="H1037" s="838" t="s">
        <v>1077</v>
      </c>
      <c r="I1037" s="838" t="s">
        <v>1138</v>
      </c>
      <c r="J1037" s="838" t="s">
        <v>871</v>
      </c>
      <c r="K1037" s="89"/>
      <c r="L1037" s="834"/>
      <c r="M1037" s="834"/>
      <c r="N1037" s="90"/>
      <c r="O1037" s="848" t="s">
        <v>66</v>
      </c>
      <c r="P1037" s="23" t="s">
        <v>30</v>
      </c>
      <c r="Q1037" s="23">
        <v>45912</v>
      </c>
      <c r="R1037" s="79" t="s">
        <v>67</v>
      </c>
      <c r="S1037" s="22" t="s">
        <v>32</v>
      </c>
      <c r="T1037" s="22">
        <v>4</v>
      </c>
      <c r="U1037" s="22" t="s">
        <v>1077</v>
      </c>
      <c r="V1037" s="23">
        <v>45912</v>
      </c>
      <c r="W1037" s="80" t="s">
        <v>30</v>
      </c>
      <c r="X1037" s="96" t="s">
        <v>30</v>
      </c>
      <c r="Y1037" s="96" t="s">
        <v>30</v>
      </c>
      <c r="Z1037"/>
      <c r="AA1037"/>
    </row>
    <row r="1038" spans="1:32">
      <c r="A1038" s="834" t="s">
        <v>24</v>
      </c>
      <c r="B1038" s="835">
        <v>1035</v>
      </c>
      <c r="C1038" s="838" t="s">
        <v>1630</v>
      </c>
      <c r="D1038" s="839" t="s">
        <v>43</v>
      </c>
      <c r="E1038" s="839">
        <v>45878</v>
      </c>
      <c r="F1038" s="838" t="s">
        <v>65</v>
      </c>
      <c r="G1038" s="838">
        <v>8</v>
      </c>
      <c r="H1038" s="838" t="s">
        <v>1077</v>
      </c>
      <c r="I1038" s="838" t="s">
        <v>1138</v>
      </c>
      <c r="J1038" s="838" t="s">
        <v>871</v>
      </c>
      <c r="K1038" s="21"/>
      <c r="L1038" s="834"/>
      <c r="M1038" s="834"/>
      <c r="N1038" s="848"/>
      <c r="O1038" s="848" t="s">
        <v>66</v>
      </c>
      <c r="P1038" s="23" t="s">
        <v>30</v>
      </c>
      <c r="Q1038" s="23">
        <v>45912</v>
      </c>
      <c r="R1038" s="79" t="s">
        <v>67</v>
      </c>
      <c r="S1038" s="22" t="s">
        <v>32</v>
      </c>
      <c r="T1038" s="22">
        <v>4</v>
      </c>
      <c r="U1038" s="22" t="s">
        <v>1077</v>
      </c>
      <c r="V1038" s="23">
        <v>45912</v>
      </c>
      <c r="W1038" s="80" t="s">
        <v>30</v>
      </c>
      <c r="X1038" s="80" t="s">
        <v>30</v>
      </c>
      <c r="Y1038" s="96" t="s">
        <v>30</v>
      </c>
      <c r="Z1038"/>
      <c r="AA1038"/>
    </row>
    <row r="1039" spans="1:32">
      <c r="A1039" s="834" t="s">
        <v>24</v>
      </c>
      <c r="B1039" s="835">
        <v>1036</v>
      </c>
      <c r="C1039" s="838" t="s">
        <v>1631</v>
      </c>
      <c r="D1039" s="839" t="s">
        <v>50</v>
      </c>
      <c r="E1039" s="839">
        <v>45878</v>
      </c>
      <c r="F1039" s="838" t="s">
        <v>65</v>
      </c>
      <c r="G1039" s="838">
        <v>8</v>
      </c>
      <c r="H1039" s="838" t="s">
        <v>1077</v>
      </c>
      <c r="I1039" s="838" t="s">
        <v>1138</v>
      </c>
      <c r="J1039" s="838" t="s">
        <v>871</v>
      </c>
      <c r="K1039" s="98"/>
      <c r="L1039" s="834"/>
      <c r="M1039" s="834"/>
      <c r="N1039" s="90"/>
      <c r="O1039" s="848" t="s">
        <v>66</v>
      </c>
      <c r="P1039" s="23" t="s">
        <v>30</v>
      </c>
      <c r="Q1039" s="23">
        <v>45912</v>
      </c>
      <c r="R1039" s="79" t="s">
        <v>67</v>
      </c>
      <c r="S1039" s="22" t="s">
        <v>32</v>
      </c>
      <c r="T1039" s="22">
        <v>4</v>
      </c>
      <c r="U1039" s="22" t="s">
        <v>1077</v>
      </c>
      <c r="V1039" s="23">
        <v>45912</v>
      </c>
      <c r="W1039" s="80" t="s">
        <v>30</v>
      </c>
      <c r="X1039" s="80" t="s">
        <v>30</v>
      </c>
      <c r="Y1039" s="96" t="s">
        <v>30</v>
      </c>
      <c r="Z1039"/>
      <c r="AA1039"/>
    </row>
    <row r="1040" spans="1:32">
      <c r="A1040" s="834" t="s">
        <v>24</v>
      </c>
      <c r="B1040" s="835">
        <v>1037</v>
      </c>
      <c r="C1040" s="851" t="s">
        <v>1632</v>
      </c>
      <c r="D1040" s="851" t="s">
        <v>34</v>
      </c>
      <c r="E1040" s="839">
        <v>45878</v>
      </c>
      <c r="F1040" s="851" t="s">
        <v>1626</v>
      </c>
      <c r="G1040" s="851">
        <v>25</v>
      </c>
      <c r="H1040" s="851" t="s">
        <v>1077</v>
      </c>
      <c r="I1040" s="851" t="s">
        <v>1138</v>
      </c>
      <c r="J1040" s="838" t="s">
        <v>871</v>
      </c>
      <c r="K1040" s="89" t="s">
        <v>1633</v>
      </c>
      <c r="L1040" s="834"/>
      <c r="M1040" s="834"/>
      <c r="N1040" s="848"/>
      <c r="O1040" s="848" t="s">
        <v>31</v>
      </c>
      <c r="P1040" s="23" t="s">
        <v>30</v>
      </c>
      <c r="Q1040" s="23">
        <v>45930</v>
      </c>
      <c r="R1040" s="79" t="s">
        <v>67</v>
      </c>
      <c r="S1040" s="22" t="s">
        <v>32</v>
      </c>
      <c r="T1040" s="22">
        <v>25</v>
      </c>
      <c r="U1040" s="24" t="s">
        <v>67</v>
      </c>
      <c r="V1040" s="23">
        <v>45930</v>
      </c>
      <c r="W1040" s="80" t="s">
        <v>30</v>
      </c>
      <c r="X1040" s="80" t="s">
        <v>30</v>
      </c>
      <c r="Y1040" s="96" t="s">
        <v>30</v>
      </c>
      <c r="Z1040"/>
      <c r="AA1040"/>
    </row>
    <row r="1041" spans="1:29">
      <c r="A1041" s="834" t="s">
        <v>24</v>
      </c>
      <c r="B1041" s="835">
        <v>1038</v>
      </c>
      <c r="C1041" s="216" t="s">
        <v>1634</v>
      </c>
      <c r="D1041" s="216" t="s">
        <v>34</v>
      </c>
      <c r="E1041" s="236">
        <v>45878</v>
      </c>
      <c r="F1041" s="216" t="s">
        <v>695</v>
      </c>
      <c r="G1041" s="216">
        <v>13</v>
      </c>
      <c r="H1041" s="216" t="s">
        <v>48</v>
      </c>
      <c r="I1041" s="216" t="s">
        <v>47</v>
      </c>
      <c r="J1041" s="216" t="s">
        <v>871</v>
      </c>
      <c r="K1041" s="215" t="s">
        <v>1635</v>
      </c>
      <c r="L1041" s="215"/>
      <c r="M1041" s="215"/>
      <c r="N1041" s="103"/>
      <c r="O1041" s="103"/>
      <c r="P1041" s="103"/>
      <c r="Q1041" s="23">
        <v>45918</v>
      </c>
      <c r="R1041" s="79" t="s">
        <v>28</v>
      </c>
      <c r="S1041" s="22" t="s">
        <v>29</v>
      </c>
      <c r="T1041" s="22">
        <v>7</v>
      </c>
      <c r="U1041" s="24" t="s">
        <v>28</v>
      </c>
      <c r="V1041" s="23">
        <v>45918</v>
      </c>
      <c r="W1041" s="80" t="s">
        <v>32</v>
      </c>
      <c r="X1041" s="96" t="s">
        <v>30</v>
      </c>
      <c r="Y1041" s="96" t="s">
        <v>32</v>
      </c>
      <c r="Z1041"/>
      <c r="AA1041"/>
    </row>
    <row r="1042" spans="1:29">
      <c r="A1042" s="834" t="s">
        <v>24</v>
      </c>
      <c r="B1042" s="835">
        <v>1039</v>
      </c>
      <c r="C1042" s="838" t="s">
        <v>1636</v>
      </c>
      <c r="D1042" s="838" t="s">
        <v>193</v>
      </c>
      <c r="E1042" s="839">
        <v>45878</v>
      </c>
      <c r="F1042" s="838" t="s">
        <v>1637</v>
      </c>
      <c r="G1042" s="838">
        <v>15</v>
      </c>
      <c r="H1042" s="838" t="s">
        <v>48</v>
      </c>
      <c r="I1042" s="838" t="s">
        <v>47</v>
      </c>
      <c r="J1042" s="838" t="s">
        <v>871</v>
      </c>
      <c r="K1042" s="834"/>
      <c r="L1042" s="834"/>
      <c r="M1042" s="834"/>
      <c r="N1042" s="848"/>
      <c r="O1042" s="848" t="s">
        <v>31</v>
      </c>
      <c r="P1042" s="848" t="s">
        <v>30</v>
      </c>
      <c r="Q1042" s="23">
        <v>45902</v>
      </c>
      <c r="R1042" s="79" t="s">
        <v>1638</v>
      </c>
      <c r="S1042" s="22" t="s">
        <v>32</v>
      </c>
      <c r="T1042" s="22">
        <v>8</v>
      </c>
      <c r="U1042" s="24" t="s">
        <v>1638</v>
      </c>
      <c r="V1042" s="23">
        <v>45902</v>
      </c>
      <c r="W1042" s="80" t="s">
        <v>30</v>
      </c>
      <c r="X1042" s="96" t="s">
        <v>30</v>
      </c>
      <c r="Y1042" s="96" t="s">
        <v>30</v>
      </c>
      <c r="Z1042"/>
      <c r="AA1042"/>
    </row>
    <row r="1043" spans="1:29">
      <c r="A1043" s="834" t="s">
        <v>24</v>
      </c>
      <c r="B1043" s="835">
        <v>1040</v>
      </c>
      <c r="C1043" s="838" t="s">
        <v>1639</v>
      </c>
      <c r="D1043" s="838" t="s">
        <v>34</v>
      </c>
      <c r="E1043" s="839">
        <v>45878</v>
      </c>
      <c r="F1043" s="838" t="s">
        <v>439</v>
      </c>
      <c r="G1043" s="838">
        <v>23</v>
      </c>
      <c r="H1043" s="838" t="s">
        <v>21</v>
      </c>
      <c r="I1043" s="838" t="s">
        <v>127</v>
      </c>
      <c r="J1043" s="838" t="s">
        <v>871</v>
      </c>
      <c r="K1043" s="21"/>
      <c r="L1043" s="834"/>
      <c r="M1043" s="22"/>
      <c r="N1043" s="23"/>
      <c r="O1043" s="848" t="s">
        <v>31</v>
      </c>
      <c r="P1043" s="848" t="s">
        <v>30</v>
      </c>
      <c r="Q1043" s="23">
        <v>45919</v>
      </c>
      <c r="R1043" s="79" t="s">
        <v>28</v>
      </c>
      <c r="S1043" s="22" t="s">
        <v>32</v>
      </c>
      <c r="T1043" s="22">
        <v>22</v>
      </c>
      <c r="U1043" s="24" t="s">
        <v>28</v>
      </c>
      <c r="V1043" s="23">
        <v>45919</v>
      </c>
      <c r="W1043" s="80" t="s">
        <v>30</v>
      </c>
      <c r="X1043" s="80" t="s">
        <v>30</v>
      </c>
      <c r="Y1043" s="96" t="s">
        <v>30</v>
      </c>
      <c r="Z1043"/>
      <c r="AA1043"/>
    </row>
    <row r="1044" spans="1:29">
      <c r="A1044" s="834" t="s">
        <v>24</v>
      </c>
      <c r="B1044" s="835">
        <v>1041</v>
      </c>
      <c r="C1044" s="838" t="s">
        <v>1640</v>
      </c>
      <c r="D1044" s="838" t="s">
        <v>1641</v>
      </c>
      <c r="E1044" s="839">
        <v>45882</v>
      </c>
      <c r="F1044" s="838" t="s">
        <v>1642</v>
      </c>
      <c r="G1044" s="838">
        <v>12</v>
      </c>
      <c r="H1044" s="838" t="s">
        <v>48</v>
      </c>
      <c r="I1044" s="838" t="s">
        <v>47</v>
      </c>
      <c r="J1044" s="838" t="s">
        <v>871</v>
      </c>
      <c r="K1044" s="89"/>
      <c r="L1044" s="834"/>
      <c r="M1044" s="22"/>
      <c r="N1044" s="23"/>
      <c r="O1044" s="848"/>
      <c r="P1044" s="848" t="s">
        <v>30</v>
      </c>
      <c r="Q1044" s="23">
        <v>45916</v>
      </c>
      <c r="R1044" s="79" t="s">
        <v>67</v>
      </c>
      <c r="S1044" s="22" t="s">
        <v>32</v>
      </c>
      <c r="T1044" s="22">
        <v>12</v>
      </c>
      <c r="U1044" s="24" t="s">
        <v>67</v>
      </c>
      <c r="V1044" s="23">
        <v>45916</v>
      </c>
      <c r="W1044" s="96" t="s">
        <v>30</v>
      </c>
      <c r="X1044" s="80" t="s">
        <v>30</v>
      </c>
      <c r="Y1044" s="96" t="s">
        <v>30</v>
      </c>
      <c r="Z1044"/>
      <c r="AA1044" s="776"/>
      <c r="AB1044" s="776"/>
      <c r="AC1044" s="776"/>
    </row>
    <row r="1045" spans="1:29">
      <c r="A1045" s="834" t="s">
        <v>24</v>
      </c>
      <c r="B1045" s="835">
        <v>1042</v>
      </c>
      <c r="C1045" s="838" t="s">
        <v>1643</v>
      </c>
      <c r="D1045" s="838" t="s">
        <v>34</v>
      </c>
      <c r="E1045" s="839">
        <v>45890</v>
      </c>
      <c r="F1045" s="838" t="s">
        <v>1342</v>
      </c>
      <c r="G1045" s="838">
        <v>7</v>
      </c>
      <c r="H1045" s="838" t="s">
        <v>1077</v>
      </c>
      <c r="I1045" s="838" t="s">
        <v>1138</v>
      </c>
      <c r="J1045" s="838" t="s">
        <v>871</v>
      </c>
      <c r="K1045" s="89"/>
      <c r="L1045" s="834"/>
      <c r="M1045" s="22"/>
      <c r="N1045" s="23"/>
      <c r="O1045" s="848"/>
      <c r="P1045" s="23" t="s">
        <v>30</v>
      </c>
      <c r="Q1045" s="23">
        <v>45918</v>
      </c>
      <c r="R1045" s="79" t="s">
        <v>28</v>
      </c>
      <c r="S1045" s="22" t="s">
        <v>32</v>
      </c>
      <c r="T1045" s="22">
        <v>6</v>
      </c>
      <c r="U1045" s="22" t="s">
        <v>28</v>
      </c>
      <c r="V1045" s="23">
        <v>45918</v>
      </c>
      <c r="W1045" s="80" t="s">
        <v>30</v>
      </c>
      <c r="X1045" s="96" t="s">
        <v>30</v>
      </c>
      <c r="Y1045" s="96" t="s">
        <v>30</v>
      </c>
      <c r="Z1045"/>
      <c r="AA1045" s="776"/>
      <c r="AB1045" s="776"/>
      <c r="AC1045" s="776"/>
    </row>
    <row r="1046" spans="1:29">
      <c r="A1046" s="834" t="s">
        <v>24</v>
      </c>
      <c r="B1046" s="835">
        <v>1043</v>
      </c>
      <c r="C1046" s="838" t="s">
        <v>1644</v>
      </c>
      <c r="D1046" s="838" t="s">
        <v>446</v>
      </c>
      <c r="E1046" s="839">
        <v>45894</v>
      </c>
      <c r="F1046" s="838" t="s">
        <v>737</v>
      </c>
      <c r="G1046" s="838">
        <v>10</v>
      </c>
      <c r="H1046" s="838" t="s">
        <v>21</v>
      </c>
      <c r="I1046" s="838" t="s">
        <v>127</v>
      </c>
      <c r="J1046" s="838" t="s">
        <v>871</v>
      </c>
      <c r="K1046" s="89"/>
      <c r="L1046" s="834"/>
      <c r="M1046" s="22"/>
      <c r="N1046" s="23"/>
      <c r="O1046" s="848"/>
      <c r="P1046" s="23" t="s">
        <v>30</v>
      </c>
      <c r="Q1046" s="23">
        <v>45917</v>
      </c>
      <c r="R1046" s="79" t="s">
        <v>67</v>
      </c>
      <c r="S1046" s="22" t="s">
        <v>32</v>
      </c>
      <c r="T1046" s="22">
        <v>10</v>
      </c>
      <c r="U1046" s="22" t="s">
        <v>67</v>
      </c>
      <c r="V1046" s="23">
        <v>45917</v>
      </c>
      <c r="W1046" s="80" t="s">
        <v>30</v>
      </c>
      <c r="X1046" s="80" t="s">
        <v>30</v>
      </c>
      <c r="Y1046" s="96" t="s">
        <v>30</v>
      </c>
      <c r="Z1046"/>
      <c r="AA1046" s="776"/>
      <c r="AB1046" s="776"/>
      <c r="AC1046" s="776"/>
    </row>
    <row r="1047" spans="1:29">
      <c r="A1047" s="834" t="s">
        <v>24</v>
      </c>
      <c r="B1047" s="835">
        <v>1044</v>
      </c>
      <c r="C1047" s="838" t="s">
        <v>1645</v>
      </c>
      <c r="D1047" s="838" t="s">
        <v>469</v>
      </c>
      <c r="E1047" s="839">
        <v>45894</v>
      </c>
      <c r="F1047" s="838" t="s">
        <v>1646</v>
      </c>
      <c r="G1047" s="838">
        <v>14</v>
      </c>
      <c r="H1047" s="838" t="s">
        <v>48</v>
      </c>
      <c r="I1047" s="838" t="s">
        <v>47</v>
      </c>
      <c r="J1047" s="838" t="s">
        <v>871</v>
      </c>
      <c r="K1047" s="89" t="s">
        <v>1647</v>
      </c>
      <c r="L1047" s="89"/>
      <c r="M1047" s="22"/>
      <c r="N1047" s="23"/>
      <c r="O1047" s="848"/>
      <c r="P1047" s="23" t="s">
        <v>30</v>
      </c>
      <c r="Q1047" s="23">
        <v>45919</v>
      </c>
      <c r="R1047" s="79" t="s">
        <v>28</v>
      </c>
      <c r="S1047" s="22" t="s">
        <v>32</v>
      </c>
      <c r="T1047" s="22">
        <v>14</v>
      </c>
      <c r="U1047" s="24" t="s">
        <v>28</v>
      </c>
      <c r="V1047" s="23">
        <v>45919</v>
      </c>
      <c r="W1047" s="91" t="s">
        <v>32</v>
      </c>
      <c r="X1047" s="96" t="s">
        <v>30</v>
      </c>
      <c r="Y1047" s="96" t="s">
        <v>32</v>
      </c>
      <c r="Z1047"/>
      <c r="AA1047"/>
    </row>
    <row r="1048" spans="1:29">
      <c r="A1048" s="834" t="s">
        <v>24</v>
      </c>
      <c r="B1048" s="835">
        <v>1045</v>
      </c>
      <c r="C1048" s="838" t="s">
        <v>1648</v>
      </c>
      <c r="D1048" s="838" t="s">
        <v>374</v>
      </c>
      <c r="E1048" s="839">
        <v>45894</v>
      </c>
      <c r="F1048" s="838" t="s">
        <v>1649</v>
      </c>
      <c r="G1048" s="838">
        <v>11</v>
      </c>
      <c r="H1048" s="838" t="s">
        <v>1077</v>
      </c>
      <c r="I1048" s="838" t="s">
        <v>1138</v>
      </c>
      <c r="J1048" s="838" t="s">
        <v>871</v>
      </c>
      <c r="K1048" s="89" t="s">
        <v>1650</v>
      </c>
      <c r="L1048" s="89"/>
      <c r="M1048" s="22"/>
      <c r="N1048" s="23"/>
      <c r="O1048" s="848"/>
      <c r="P1048" s="23" t="s">
        <v>32</v>
      </c>
      <c r="Q1048" s="23">
        <v>45897</v>
      </c>
      <c r="R1048" s="79" t="s">
        <v>1138</v>
      </c>
      <c r="S1048" s="22" t="s">
        <v>32</v>
      </c>
      <c r="T1048" s="22">
        <v>11</v>
      </c>
      <c r="U1048" s="22" t="s">
        <v>1138</v>
      </c>
      <c r="V1048" s="23">
        <v>45897</v>
      </c>
      <c r="W1048" s="91" t="s">
        <v>32</v>
      </c>
      <c r="X1048" s="80" t="s">
        <v>30</v>
      </c>
      <c r="Y1048" s="96" t="s">
        <v>32</v>
      </c>
      <c r="Z1048"/>
      <c r="AA1048"/>
    </row>
    <row r="1049" spans="1:29">
      <c r="A1049" s="834" t="s">
        <v>24</v>
      </c>
      <c r="B1049" s="835">
        <v>1046</v>
      </c>
      <c r="C1049" s="838" t="s">
        <v>1651</v>
      </c>
      <c r="D1049" s="838" t="s">
        <v>102</v>
      </c>
      <c r="E1049" s="839">
        <v>45895</v>
      </c>
      <c r="F1049" s="838" t="s">
        <v>737</v>
      </c>
      <c r="G1049" s="838">
        <v>10</v>
      </c>
      <c r="H1049" s="838" t="s">
        <v>21</v>
      </c>
      <c r="I1049" s="838" t="s">
        <v>127</v>
      </c>
      <c r="J1049" s="838" t="s">
        <v>871</v>
      </c>
      <c r="K1049" s="217"/>
      <c r="L1049" s="838"/>
      <c r="M1049" s="838"/>
      <c r="N1049" s="838"/>
      <c r="O1049" s="838"/>
      <c r="P1049" s="848" t="s">
        <v>30</v>
      </c>
      <c r="Q1049" s="23">
        <v>45917</v>
      </c>
      <c r="R1049" s="79" t="s">
        <v>67</v>
      </c>
      <c r="S1049" s="22" t="s">
        <v>32</v>
      </c>
      <c r="T1049" s="22">
        <v>10</v>
      </c>
      <c r="U1049" s="22" t="s">
        <v>67</v>
      </c>
      <c r="V1049" s="23">
        <v>45917</v>
      </c>
      <c r="W1049" s="80" t="s">
        <v>30</v>
      </c>
      <c r="X1049" s="80" t="s">
        <v>30</v>
      </c>
      <c r="Y1049" s="96" t="s">
        <v>30</v>
      </c>
      <c r="Z1049"/>
      <c r="AA1049"/>
    </row>
    <row r="1050" spans="1:29">
      <c r="A1050" s="834" t="s">
        <v>24</v>
      </c>
      <c r="B1050" s="835">
        <v>1047</v>
      </c>
      <c r="C1050" s="838" t="s">
        <v>1652</v>
      </c>
      <c r="D1050" s="838" t="s">
        <v>102</v>
      </c>
      <c r="E1050" s="839">
        <v>45895</v>
      </c>
      <c r="F1050" s="838" t="s">
        <v>430</v>
      </c>
      <c r="G1050" s="838">
        <v>16</v>
      </c>
      <c r="H1050" s="838" t="s">
        <v>1077</v>
      </c>
      <c r="I1050" s="838" t="s">
        <v>1138</v>
      </c>
      <c r="J1050" s="838" t="s">
        <v>871</v>
      </c>
      <c r="K1050" s="98"/>
      <c r="L1050" s="89"/>
      <c r="M1050" s="22"/>
      <c r="N1050" s="23"/>
      <c r="O1050" s="848" t="s">
        <v>31</v>
      </c>
      <c r="P1050" s="23" t="s">
        <v>30</v>
      </c>
      <c r="Q1050" s="23">
        <v>45904</v>
      </c>
      <c r="R1050" s="79" t="s">
        <v>1138</v>
      </c>
      <c r="S1050" s="22" t="s">
        <v>32</v>
      </c>
      <c r="T1050" s="22">
        <v>16</v>
      </c>
      <c r="U1050" s="24" t="s">
        <v>1138</v>
      </c>
      <c r="V1050" s="23">
        <v>45904</v>
      </c>
      <c r="W1050" s="80" t="s">
        <v>30</v>
      </c>
      <c r="X1050" s="80" t="s">
        <v>30</v>
      </c>
      <c r="Y1050" s="96" t="s">
        <v>30</v>
      </c>
      <c r="Z1050"/>
      <c r="AA1050"/>
    </row>
    <row r="1051" spans="1:29">
      <c r="A1051" s="834" t="s">
        <v>24</v>
      </c>
      <c r="B1051" s="835">
        <v>1048</v>
      </c>
      <c r="C1051" s="838" t="s">
        <v>1653</v>
      </c>
      <c r="D1051" s="838" t="s">
        <v>477</v>
      </c>
      <c r="E1051" s="839">
        <v>45895</v>
      </c>
      <c r="F1051" s="838" t="s">
        <v>27</v>
      </c>
      <c r="G1051" s="838">
        <v>17</v>
      </c>
      <c r="H1051" s="838" t="s">
        <v>48</v>
      </c>
      <c r="I1051" s="838" t="s">
        <v>47</v>
      </c>
      <c r="J1051" s="838" t="s">
        <v>871</v>
      </c>
      <c r="K1051" s="89"/>
      <c r="L1051" s="834"/>
      <c r="M1051" s="22"/>
      <c r="N1051" s="23"/>
      <c r="O1051" s="848" t="s">
        <v>31</v>
      </c>
      <c r="P1051" s="23" t="s">
        <v>32</v>
      </c>
      <c r="Q1051" s="23">
        <v>45909</v>
      </c>
      <c r="R1051" s="79" t="s">
        <v>67</v>
      </c>
      <c r="S1051" s="22" t="s">
        <v>32</v>
      </c>
      <c r="T1051" s="22">
        <v>17</v>
      </c>
      <c r="U1051" s="24" t="s">
        <v>67</v>
      </c>
      <c r="V1051" s="23">
        <v>45909</v>
      </c>
      <c r="W1051" s="80" t="s">
        <v>30</v>
      </c>
      <c r="X1051" s="96" t="s">
        <v>30</v>
      </c>
      <c r="Y1051" s="96" t="s">
        <v>30</v>
      </c>
      <c r="Z1051"/>
      <c r="AA1051"/>
    </row>
    <row r="1052" spans="1:29">
      <c r="A1052" s="834" t="s">
        <v>24</v>
      </c>
      <c r="B1052" s="835">
        <v>1049</v>
      </c>
      <c r="C1052" s="838" t="s">
        <v>1654</v>
      </c>
      <c r="D1052" s="838" t="s">
        <v>26</v>
      </c>
      <c r="E1052" s="839">
        <v>45896</v>
      </c>
      <c r="F1052" s="838" t="s">
        <v>435</v>
      </c>
      <c r="G1052" s="838">
        <v>17</v>
      </c>
      <c r="H1052" s="838" t="s">
        <v>48</v>
      </c>
      <c r="I1052" s="838" t="s">
        <v>47</v>
      </c>
      <c r="J1052" s="838" t="s">
        <v>871</v>
      </c>
      <c r="K1052" s="217"/>
      <c r="L1052" s="838"/>
      <c r="M1052" s="22"/>
      <c r="N1052" s="23"/>
      <c r="O1052" s="848" t="s">
        <v>31</v>
      </c>
      <c r="P1052" s="848" t="s">
        <v>30</v>
      </c>
      <c r="Q1052" s="23">
        <v>45912</v>
      </c>
      <c r="R1052" s="79" t="s">
        <v>67</v>
      </c>
      <c r="S1052" s="22" t="s">
        <v>32</v>
      </c>
      <c r="T1052" s="22">
        <v>17</v>
      </c>
      <c r="U1052" s="24" t="s">
        <v>67</v>
      </c>
      <c r="V1052" s="23">
        <v>45912</v>
      </c>
      <c r="W1052" s="80" t="s">
        <v>30</v>
      </c>
      <c r="X1052" s="80" t="s">
        <v>30</v>
      </c>
      <c r="Y1052" s="96" t="s">
        <v>30</v>
      </c>
      <c r="Z1052"/>
      <c r="AA1052"/>
    </row>
    <row r="1053" spans="1:29">
      <c r="A1053" s="834" t="s">
        <v>24</v>
      </c>
      <c r="B1053" s="835">
        <v>1050</v>
      </c>
      <c r="C1053" s="838" t="s">
        <v>1655</v>
      </c>
      <c r="D1053" s="838" t="s">
        <v>26</v>
      </c>
      <c r="E1053" s="839">
        <v>45897</v>
      </c>
      <c r="F1053" s="838" t="s">
        <v>435</v>
      </c>
      <c r="G1053" s="838">
        <v>17</v>
      </c>
      <c r="H1053" s="838" t="s">
        <v>48</v>
      </c>
      <c r="I1053" s="838" t="s">
        <v>47</v>
      </c>
      <c r="J1053" s="838" t="s">
        <v>871</v>
      </c>
      <c r="K1053" s="838"/>
      <c r="L1053" s="21"/>
      <c r="M1053" s="22"/>
      <c r="N1053" s="23"/>
      <c r="O1053" s="848" t="s">
        <v>31</v>
      </c>
      <c r="P1053" s="848" t="s">
        <v>30</v>
      </c>
      <c r="Q1053" s="23">
        <v>45912</v>
      </c>
      <c r="R1053" s="79" t="s">
        <v>67</v>
      </c>
      <c r="S1053" s="22" t="s">
        <v>32</v>
      </c>
      <c r="T1053" s="22">
        <v>17</v>
      </c>
      <c r="U1053" s="24" t="s">
        <v>67</v>
      </c>
      <c r="V1053" s="23">
        <v>45912</v>
      </c>
      <c r="W1053" s="80" t="s">
        <v>30</v>
      </c>
      <c r="X1053" s="80" t="s">
        <v>30</v>
      </c>
      <c r="Y1053" s="96" t="s">
        <v>30</v>
      </c>
      <c r="Z1053"/>
      <c r="AA1053"/>
    </row>
    <row r="1054" spans="1:29">
      <c r="A1054" s="834" t="s">
        <v>24</v>
      </c>
      <c r="B1054" s="835">
        <v>1051</v>
      </c>
      <c r="C1054" s="838" t="s">
        <v>1656</v>
      </c>
      <c r="D1054" s="838" t="s">
        <v>50</v>
      </c>
      <c r="E1054" s="839">
        <v>45897</v>
      </c>
      <c r="F1054" s="838" t="s">
        <v>27</v>
      </c>
      <c r="G1054" s="838">
        <v>15</v>
      </c>
      <c r="H1054" s="838" t="s">
        <v>48</v>
      </c>
      <c r="I1054" s="838" t="s">
        <v>47</v>
      </c>
      <c r="J1054" s="838" t="s">
        <v>871</v>
      </c>
      <c r="K1054" s="89" t="s">
        <v>1657</v>
      </c>
      <c r="L1054" s="834"/>
      <c r="M1054" s="22"/>
      <c r="N1054" s="23"/>
      <c r="O1054" s="848" t="s">
        <v>31</v>
      </c>
      <c r="P1054" s="23" t="s">
        <v>30</v>
      </c>
      <c r="Q1054" s="23">
        <v>45917</v>
      </c>
      <c r="R1054" s="79" t="s">
        <v>47</v>
      </c>
      <c r="S1054" s="22" t="s">
        <v>32</v>
      </c>
      <c r="T1054" s="22">
        <v>13</v>
      </c>
      <c r="U1054" s="24" t="s">
        <v>47</v>
      </c>
      <c r="V1054" s="23">
        <v>45917</v>
      </c>
      <c r="W1054" s="91" t="s">
        <v>32</v>
      </c>
      <c r="X1054" s="80" t="s">
        <v>30</v>
      </c>
      <c r="Y1054" s="96" t="s">
        <v>32</v>
      </c>
      <c r="Z1054"/>
      <c r="AA1054"/>
    </row>
    <row r="1055" spans="1:29">
      <c r="A1055" s="834" t="s">
        <v>24</v>
      </c>
      <c r="B1055" s="835">
        <v>1052</v>
      </c>
      <c r="C1055" s="838" t="s">
        <v>1658</v>
      </c>
      <c r="D1055" s="838" t="s">
        <v>178</v>
      </c>
      <c r="E1055" s="839">
        <v>45899</v>
      </c>
      <c r="F1055" s="838" t="s">
        <v>931</v>
      </c>
      <c r="G1055" s="838">
        <v>8</v>
      </c>
      <c r="H1055" s="838" t="s">
        <v>1077</v>
      </c>
      <c r="I1055" s="838" t="s">
        <v>1138</v>
      </c>
      <c r="J1055" s="838" t="s">
        <v>871</v>
      </c>
      <c r="K1055" s="834"/>
      <c r="L1055" s="21"/>
      <c r="M1055" s="22"/>
      <c r="N1055" s="23"/>
      <c r="O1055" s="848"/>
      <c r="P1055" s="848" t="s">
        <v>30</v>
      </c>
      <c r="Q1055" s="23">
        <v>45908</v>
      </c>
      <c r="R1055" s="79" t="s">
        <v>1138</v>
      </c>
      <c r="S1055" s="22" t="s">
        <v>32</v>
      </c>
      <c r="T1055" s="22">
        <v>8</v>
      </c>
      <c r="U1055" s="24" t="s">
        <v>1138</v>
      </c>
      <c r="V1055" s="23">
        <v>45908</v>
      </c>
      <c r="W1055" s="80" t="s">
        <v>30</v>
      </c>
      <c r="X1055" s="80" t="s">
        <v>30</v>
      </c>
      <c r="Y1055" s="96" t="s">
        <v>30</v>
      </c>
      <c r="Z1055"/>
      <c r="AA1055"/>
    </row>
    <row r="1056" spans="1:29">
      <c r="A1056" s="834" t="s">
        <v>137</v>
      </c>
      <c r="B1056" s="835">
        <v>1053</v>
      </c>
      <c r="C1056" s="840" t="s">
        <v>1659</v>
      </c>
      <c r="D1056" s="840" t="s">
        <v>937</v>
      </c>
      <c r="E1056" s="839">
        <v>45873</v>
      </c>
      <c r="F1056" s="838" t="s">
        <v>140</v>
      </c>
      <c r="G1056" s="838">
        <v>9</v>
      </c>
      <c r="H1056" s="838" t="s">
        <v>1513</v>
      </c>
      <c r="I1056" s="838" t="s">
        <v>1546</v>
      </c>
      <c r="J1056" s="838" t="s">
        <v>871</v>
      </c>
      <c r="K1056" s="21"/>
      <c r="L1056" s="838"/>
      <c r="M1056" s="22"/>
      <c r="N1056" s="23"/>
      <c r="O1056" s="848"/>
      <c r="P1056" s="23"/>
      <c r="Q1056" s="23"/>
      <c r="R1056" s="79" t="s">
        <v>67</v>
      </c>
      <c r="S1056" s="22"/>
      <c r="T1056" s="22">
        <v>9</v>
      </c>
      <c r="U1056" s="24"/>
      <c r="V1056" s="23">
        <v>45880</v>
      </c>
      <c r="W1056" s="239" t="s">
        <v>113</v>
      </c>
      <c r="X1056" s="83"/>
      <c r="Y1056" s="99" t="s">
        <v>113</v>
      </c>
      <c r="Z1056"/>
      <c r="AA1056" s="776"/>
      <c r="AB1056" s="776"/>
      <c r="AC1056" s="776"/>
    </row>
    <row r="1057" spans="1:32">
      <c r="A1057" s="834" t="s">
        <v>137</v>
      </c>
      <c r="B1057" s="835">
        <v>1054</v>
      </c>
      <c r="C1057" s="840" t="s">
        <v>1660</v>
      </c>
      <c r="D1057" s="840" t="s">
        <v>779</v>
      </c>
      <c r="E1057" s="839">
        <v>45873.375</v>
      </c>
      <c r="F1057" s="838" t="s">
        <v>140</v>
      </c>
      <c r="G1057" s="838">
        <v>4</v>
      </c>
      <c r="H1057" s="838" t="s">
        <v>1513</v>
      </c>
      <c r="I1057" s="838" t="s">
        <v>1546</v>
      </c>
      <c r="J1057" s="838" t="s">
        <v>871</v>
      </c>
      <c r="K1057" s="89"/>
      <c r="L1057" s="21"/>
      <c r="M1057" s="22"/>
      <c r="N1057" s="23"/>
      <c r="O1057" s="848"/>
      <c r="P1057" s="23"/>
      <c r="Q1057" s="23"/>
      <c r="R1057" s="79" t="s">
        <v>67</v>
      </c>
      <c r="S1057" s="22"/>
      <c r="T1057" s="22">
        <v>4</v>
      </c>
      <c r="U1057" s="24"/>
      <c r="V1057" s="23">
        <v>45880</v>
      </c>
      <c r="W1057" s="80" t="s">
        <v>113</v>
      </c>
      <c r="X1057" s="80"/>
      <c r="Y1057" s="96" t="s">
        <v>113</v>
      </c>
      <c r="Z1057"/>
      <c r="AA1057" s="776"/>
      <c r="AB1057" s="776"/>
      <c r="AC1057" s="776"/>
    </row>
    <row r="1058" spans="1:32">
      <c r="A1058" s="834" t="s">
        <v>137</v>
      </c>
      <c r="B1058" s="835">
        <v>1055</v>
      </c>
      <c r="C1058" s="840" t="s">
        <v>1661</v>
      </c>
      <c r="D1058" s="840" t="s">
        <v>213</v>
      </c>
      <c r="E1058" s="839">
        <v>45873.375</v>
      </c>
      <c r="F1058" s="838" t="s">
        <v>140</v>
      </c>
      <c r="G1058" s="838">
        <v>11</v>
      </c>
      <c r="H1058" s="838" t="s">
        <v>1513</v>
      </c>
      <c r="I1058" s="838" t="s">
        <v>1546</v>
      </c>
      <c r="J1058" s="838" t="s">
        <v>871</v>
      </c>
      <c r="K1058" s="89"/>
      <c r="L1058" s="21"/>
      <c r="M1058" s="22"/>
      <c r="N1058" s="23"/>
      <c r="O1058" s="848"/>
      <c r="P1058" s="23"/>
      <c r="Q1058" s="23"/>
      <c r="R1058" s="79" t="s">
        <v>67</v>
      </c>
      <c r="S1058" s="22"/>
      <c r="T1058" s="22">
        <v>11</v>
      </c>
      <c r="U1058" s="24"/>
      <c r="V1058" s="23">
        <v>45880</v>
      </c>
      <c r="W1058" s="80" t="s">
        <v>113</v>
      </c>
      <c r="X1058" s="80"/>
      <c r="Y1058" s="96" t="s">
        <v>113</v>
      </c>
      <c r="Z1058"/>
      <c r="AA1058" s="776"/>
      <c r="AB1058" s="776"/>
      <c r="AC1058" s="776"/>
    </row>
    <row r="1059" spans="1:32">
      <c r="A1059" s="834" t="s">
        <v>137</v>
      </c>
      <c r="B1059" s="835">
        <v>1056</v>
      </c>
      <c r="C1059" s="840" t="s">
        <v>1662</v>
      </c>
      <c r="D1059" s="840" t="s">
        <v>1208</v>
      </c>
      <c r="E1059" s="839">
        <v>45873.125</v>
      </c>
      <c r="F1059" s="838" t="s">
        <v>140</v>
      </c>
      <c r="G1059" s="838">
        <v>4</v>
      </c>
      <c r="H1059" s="838" t="s">
        <v>1077</v>
      </c>
      <c r="I1059" s="838" t="s">
        <v>1138</v>
      </c>
      <c r="J1059" s="838" t="s">
        <v>871</v>
      </c>
      <c r="K1059" s="838"/>
      <c r="L1059" s="21"/>
      <c r="M1059" s="22"/>
      <c r="N1059" s="23"/>
      <c r="O1059" s="848"/>
      <c r="P1059" s="23"/>
      <c r="Q1059" s="23"/>
      <c r="R1059" s="79" t="s">
        <v>67</v>
      </c>
      <c r="S1059" s="22"/>
      <c r="T1059" s="22">
        <v>4</v>
      </c>
      <c r="U1059" s="24"/>
      <c r="V1059" s="23">
        <v>45882</v>
      </c>
      <c r="W1059" s="80" t="s">
        <v>113</v>
      </c>
      <c r="X1059" s="80"/>
      <c r="Y1059" s="96" t="s">
        <v>113</v>
      </c>
      <c r="Z1059"/>
      <c r="AA1059" s="776"/>
      <c r="AB1059" s="776"/>
      <c r="AC1059" s="776"/>
    </row>
    <row r="1060" spans="1:32">
      <c r="A1060" s="834" t="s">
        <v>137</v>
      </c>
      <c r="B1060" s="835">
        <v>1057</v>
      </c>
      <c r="C1060" s="840" t="s">
        <v>1663</v>
      </c>
      <c r="D1060" s="840" t="s">
        <v>1403</v>
      </c>
      <c r="E1060" s="839">
        <v>45873.375</v>
      </c>
      <c r="F1060" s="838" t="s">
        <v>140</v>
      </c>
      <c r="G1060" s="838">
        <v>22</v>
      </c>
      <c r="H1060" s="838" t="s">
        <v>1664</v>
      </c>
      <c r="I1060" s="838" t="s">
        <v>1665</v>
      </c>
      <c r="J1060" s="838" t="s">
        <v>871</v>
      </c>
      <c r="K1060" s="98"/>
      <c r="L1060" s="21"/>
      <c r="M1060" s="22"/>
      <c r="N1060" s="23"/>
      <c r="O1060" s="848" t="s">
        <v>31</v>
      </c>
      <c r="P1060" s="23"/>
      <c r="Q1060" s="23"/>
      <c r="R1060" s="79" t="s">
        <v>67</v>
      </c>
      <c r="S1060" s="22"/>
      <c r="T1060" s="22">
        <v>21</v>
      </c>
      <c r="U1060" s="24"/>
      <c r="V1060" s="23">
        <v>45880</v>
      </c>
      <c r="W1060" s="80" t="s">
        <v>113</v>
      </c>
      <c r="X1060" s="80"/>
      <c r="Y1060" s="96" t="s">
        <v>113</v>
      </c>
      <c r="Z1060">
        <v>7</v>
      </c>
      <c r="AA1060">
        <v>3</v>
      </c>
      <c r="AB1060">
        <v>12</v>
      </c>
      <c r="AC1060">
        <f>SUM(Z1060:AB1060)</f>
        <v>22</v>
      </c>
      <c r="AD1060" s="71">
        <f>+Z1060/AC1060*AD$1</f>
        <v>0.95454545454545459</v>
      </c>
      <c r="AE1060" s="92">
        <f>+AA1060/AC1060*AE$1</f>
        <v>0</v>
      </c>
      <c r="AF1060" s="92">
        <f>+AB1060/AC1060*AF$1</f>
        <v>0</v>
      </c>
    </row>
    <row r="1061" spans="1:32">
      <c r="A1061" s="834" t="s">
        <v>137</v>
      </c>
      <c r="B1061" s="835">
        <v>1058</v>
      </c>
      <c r="C1061" s="840" t="s">
        <v>1666</v>
      </c>
      <c r="D1061" s="840" t="s">
        <v>1184</v>
      </c>
      <c r="E1061" s="839">
        <v>45873.041666666664</v>
      </c>
      <c r="F1061" s="838" t="s">
        <v>140</v>
      </c>
      <c r="G1061" s="838">
        <v>7</v>
      </c>
      <c r="H1061" s="838" t="s">
        <v>21</v>
      </c>
      <c r="I1061" s="838" t="s">
        <v>127</v>
      </c>
      <c r="J1061" s="838" t="s">
        <v>871</v>
      </c>
      <c r="K1061" s="21"/>
      <c r="L1061" s="21"/>
      <c r="M1061" s="22"/>
      <c r="N1061" s="23"/>
      <c r="O1061" s="848"/>
      <c r="P1061" s="23"/>
      <c r="Q1061" s="23"/>
      <c r="R1061" s="79" t="s">
        <v>67</v>
      </c>
      <c r="S1061" s="22"/>
      <c r="T1061" s="22">
        <v>7</v>
      </c>
      <c r="U1061" s="24"/>
      <c r="V1061" s="23">
        <v>45880</v>
      </c>
      <c r="W1061" s="80" t="s">
        <v>113</v>
      </c>
      <c r="X1061" s="80"/>
      <c r="Y1061" s="96" t="s">
        <v>113</v>
      </c>
      <c r="Z1061"/>
      <c r="AA1061" s="776"/>
      <c r="AB1061" s="776"/>
      <c r="AC1061" s="776"/>
    </row>
    <row r="1062" spans="1:32">
      <c r="A1062" s="834" t="s">
        <v>137</v>
      </c>
      <c r="B1062" s="835">
        <v>1059</v>
      </c>
      <c r="C1062" s="840" t="s">
        <v>1667</v>
      </c>
      <c r="D1062" s="840" t="s">
        <v>1230</v>
      </c>
      <c r="E1062" s="839">
        <v>45873</v>
      </c>
      <c r="F1062" s="838" t="s">
        <v>140</v>
      </c>
      <c r="G1062" s="838">
        <v>3</v>
      </c>
      <c r="H1062" s="838" t="s">
        <v>1077</v>
      </c>
      <c r="I1062" s="838" t="s">
        <v>1138</v>
      </c>
      <c r="J1062" s="838" t="s">
        <v>871</v>
      </c>
      <c r="K1062" s="89"/>
      <c r="L1062" s="89"/>
      <c r="M1062" s="22"/>
      <c r="N1062" s="23"/>
      <c r="O1062" s="848"/>
      <c r="P1062" s="23"/>
      <c r="Q1062" s="23"/>
      <c r="R1062" s="79" t="s">
        <v>67</v>
      </c>
      <c r="S1062" s="22"/>
      <c r="T1062" s="22">
        <v>3</v>
      </c>
      <c r="U1062" s="24"/>
      <c r="V1062" s="23">
        <v>45880</v>
      </c>
      <c r="W1062" s="80" t="s">
        <v>113</v>
      </c>
      <c r="X1062" s="80"/>
      <c r="Y1062" s="96" t="s">
        <v>113</v>
      </c>
      <c r="Z1062"/>
      <c r="AA1062" s="776"/>
      <c r="AB1062" s="776"/>
      <c r="AC1062" s="776"/>
    </row>
    <row r="1063" spans="1:32">
      <c r="A1063" s="834" t="s">
        <v>137</v>
      </c>
      <c r="B1063" s="835">
        <v>1060</v>
      </c>
      <c r="C1063" s="840" t="s">
        <v>1668</v>
      </c>
      <c r="D1063" s="840" t="s">
        <v>1250</v>
      </c>
      <c r="E1063" s="839">
        <v>45873.375</v>
      </c>
      <c r="F1063" s="838" t="s">
        <v>140</v>
      </c>
      <c r="G1063" s="838">
        <v>4</v>
      </c>
      <c r="H1063" s="838" t="s">
        <v>1669</v>
      </c>
      <c r="I1063" s="838" t="s">
        <v>1670</v>
      </c>
      <c r="J1063" s="838" t="s">
        <v>871</v>
      </c>
      <c r="K1063" s="834"/>
      <c r="L1063" s="21"/>
      <c r="M1063" s="22"/>
      <c r="N1063" s="23"/>
      <c r="O1063" s="848"/>
      <c r="P1063" s="23"/>
      <c r="Q1063" s="23"/>
      <c r="R1063" s="79" t="s">
        <v>67</v>
      </c>
      <c r="S1063" s="22"/>
      <c r="T1063" s="22">
        <v>4</v>
      </c>
      <c r="U1063" s="24"/>
      <c r="V1063" s="23">
        <v>45882</v>
      </c>
      <c r="W1063" s="80" t="s">
        <v>113</v>
      </c>
      <c r="X1063" s="80"/>
      <c r="Y1063" s="96" t="s">
        <v>113</v>
      </c>
      <c r="Z1063"/>
      <c r="AA1063"/>
    </row>
    <row r="1064" spans="1:32">
      <c r="A1064" s="834" t="s">
        <v>137</v>
      </c>
      <c r="B1064" s="835">
        <v>1061</v>
      </c>
      <c r="C1064" s="840" t="s">
        <v>1671</v>
      </c>
      <c r="D1064" s="840" t="s">
        <v>1257</v>
      </c>
      <c r="E1064" s="839">
        <v>45873</v>
      </c>
      <c r="F1064" s="838" t="s">
        <v>140</v>
      </c>
      <c r="G1064" s="838">
        <v>2</v>
      </c>
      <c r="H1064" s="838" t="s">
        <v>1077</v>
      </c>
      <c r="I1064" s="838" t="s">
        <v>1138</v>
      </c>
      <c r="J1064" s="838" t="s">
        <v>871</v>
      </c>
      <c r="K1064" s="89"/>
      <c r="L1064" s="21"/>
      <c r="M1064" s="22"/>
      <c r="N1064" s="23"/>
      <c r="O1064" s="848"/>
      <c r="P1064" s="23"/>
      <c r="Q1064" s="23"/>
      <c r="R1064" s="79" t="s">
        <v>67</v>
      </c>
      <c r="S1064" s="22"/>
      <c r="T1064" s="22">
        <v>2</v>
      </c>
      <c r="U1064" s="24"/>
      <c r="V1064" s="23">
        <v>45877</v>
      </c>
      <c r="W1064" s="80" t="s">
        <v>113</v>
      </c>
      <c r="X1064" s="80"/>
      <c r="Y1064" s="96" t="s">
        <v>113</v>
      </c>
      <c r="Z1064"/>
      <c r="AA1064"/>
    </row>
    <row r="1065" spans="1:32">
      <c r="A1065" s="834" t="s">
        <v>137</v>
      </c>
      <c r="B1065" s="835">
        <v>1062</v>
      </c>
      <c r="C1065" s="840" t="s">
        <v>1672</v>
      </c>
      <c r="D1065" s="840" t="s">
        <v>1250</v>
      </c>
      <c r="E1065" s="839">
        <v>45880.375</v>
      </c>
      <c r="F1065" s="838" t="s">
        <v>140</v>
      </c>
      <c r="G1065" s="838">
        <v>3</v>
      </c>
      <c r="H1065" s="838" t="s">
        <v>1077</v>
      </c>
      <c r="I1065" s="838" t="s">
        <v>1138</v>
      </c>
      <c r="J1065" s="838" t="s">
        <v>871</v>
      </c>
      <c r="K1065" s="89"/>
      <c r="L1065" s="21"/>
      <c r="M1065" s="22"/>
      <c r="N1065" s="23"/>
      <c r="O1065" s="848"/>
      <c r="P1065" s="848"/>
      <c r="Q1065" s="23"/>
      <c r="R1065" s="79" t="s">
        <v>67</v>
      </c>
      <c r="S1065" s="22"/>
      <c r="T1065" s="22">
        <v>3</v>
      </c>
      <c r="U1065" s="24"/>
      <c r="V1065" s="23">
        <v>45880</v>
      </c>
      <c r="W1065" s="80" t="s">
        <v>113</v>
      </c>
      <c r="X1065" s="80"/>
      <c r="Y1065" s="96" t="s">
        <v>113</v>
      </c>
      <c r="Z1065"/>
      <c r="AA1065"/>
    </row>
    <row r="1066" spans="1:32">
      <c r="A1066" s="834" t="s">
        <v>137</v>
      </c>
      <c r="B1066" s="835">
        <v>1063</v>
      </c>
      <c r="C1066" s="840" t="s">
        <v>1673</v>
      </c>
      <c r="D1066" s="840" t="s">
        <v>1198</v>
      </c>
      <c r="E1066" s="839">
        <v>45880.083333333336</v>
      </c>
      <c r="F1066" s="838" t="s">
        <v>140</v>
      </c>
      <c r="G1066" s="838">
        <v>9</v>
      </c>
      <c r="H1066" s="838" t="s">
        <v>1513</v>
      </c>
      <c r="I1066" s="838" t="s">
        <v>1546</v>
      </c>
      <c r="J1066" s="838" t="s">
        <v>871</v>
      </c>
      <c r="K1066" s="231"/>
      <c r="L1066" s="21"/>
      <c r="M1066" s="22"/>
      <c r="N1066" s="23"/>
      <c r="O1066" s="848"/>
      <c r="P1066" s="23"/>
      <c r="Q1066" s="23"/>
      <c r="R1066" s="79" t="s">
        <v>67</v>
      </c>
      <c r="S1066" s="22"/>
      <c r="T1066" s="22">
        <v>9</v>
      </c>
      <c r="U1066" s="24"/>
      <c r="V1066" s="23">
        <v>45901</v>
      </c>
      <c r="W1066" s="80" t="s">
        <v>113</v>
      </c>
      <c r="X1066" s="80"/>
      <c r="Y1066" s="96" t="s">
        <v>113</v>
      </c>
      <c r="Z1066"/>
      <c r="AA1066"/>
    </row>
    <row r="1067" spans="1:32">
      <c r="A1067" s="834" t="s">
        <v>137</v>
      </c>
      <c r="B1067" s="835">
        <v>1064</v>
      </c>
      <c r="C1067" s="840" t="s">
        <v>1674</v>
      </c>
      <c r="D1067" s="840" t="s">
        <v>829</v>
      </c>
      <c r="E1067" s="839">
        <v>45880.083333333336</v>
      </c>
      <c r="F1067" s="838" t="s">
        <v>140</v>
      </c>
      <c r="G1067" s="838">
        <v>1</v>
      </c>
      <c r="H1067" s="838" t="s">
        <v>21</v>
      </c>
      <c r="I1067" s="838" t="s">
        <v>127</v>
      </c>
      <c r="J1067" s="838" t="s">
        <v>871</v>
      </c>
      <c r="K1067" s="231"/>
      <c r="L1067" s="834"/>
      <c r="M1067" s="22"/>
      <c r="N1067" s="23"/>
      <c r="O1067" s="848"/>
      <c r="P1067" s="23"/>
      <c r="Q1067" s="23"/>
      <c r="R1067" s="79" t="s">
        <v>67</v>
      </c>
      <c r="S1067" s="22"/>
      <c r="T1067" s="22">
        <v>1</v>
      </c>
      <c r="U1067" s="24"/>
      <c r="V1067" s="23">
        <v>45901</v>
      </c>
      <c r="W1067" s="80" t="s">
        <v>113</v>
      </c>
      <c r="X1067" s="80"/>
      <c r="Y1067" s="96" t="s">
        <v>113</v>
      </c>
      <c r="Z1067"/>
      <c r="AA1067"/>
    </row>
    <row r="1068" spans="1:32">
      <c r="A1068" s="834" t="s">
        <v>137</v>
      </c>
      <c r="B1068" s="835">
        <v>1065</v>
      </c>
      <c r="C1068" s="840" t="s">
        <v>1675</v>
      </c>
      <c r="D1068" s="840" t="s">
        <v>937</v>
      </c>
      <c r="E1068" s="839">
        <v>45880.375</v>
      </c>
      <c r="F1068" s="838" t="s">
        <v>140</v>
      </c>
      <c r="G1068" s="838">
        <v>3</v>
      </c>
      <c r="H1068" s="838" t="s">
        <v>21</v>
      </c>
      <c r="I1068" s="838" t="s">
        <v>127</v>
      </c>
      <c r="J1068" s="838" t="s">
        <v>871</v>
      </c>
      <c r="K1068" s="21"/>
      <c r="L1068" s="834"/>
      <c r="M1068" s="22"/>
      <c r="N1068" s="23"/>
      <c r="O1068" s="848"/>
      <c r="P1068" s="23"/>
      <c r="Q1068" s="23"/>
      <c r="R1068" s="79" t="s">
        <v>67</v>
      </c>
      <c r="S1068" s="22"/>
      <c r="T1068" s="22">
        <v>3</v>
      </c>
      <c r="U1068" s="24"/>
      <c r="V1068" s="23">
        <v>45901</v>
      </c>
      <c r="W1068" s="80" t="s">
        <v>113</v>
      </c>
      <c r="X1068" s="80"/>
      <c r="Y1068" s="96" t="s">
        <v>113</v>
      </c>
      <c r="Z1068"/>
      <c r="AA1068"/>
    </row>
    <row r="1069" spans="1:32">
      <c r="A1069" s="834" t="s">
        <v>137</v>
      </c>
      <c r="B1069" s="835">
        <v>1066</v>
      </c>
      <c r="C1069" s="840" t="s">
        <v>1676</v>
      </c>
      <c r="D1069" s="840" t="s">
        <v>1184</v>
      </c>
      <c r="E1069" s="839">
        <v>45880.375</v>
      </c>
      <c r="F1069" s="838" t="s">
        <v>140</v>
      </c>
      <c r="G1069" s="838">
        <v>1</v>
      </c>
      <c r="H1069" s="838" t="s">
        <v>1077</v>
      </c>
      <c r="I1069" s="838" t="s">
        <v>1138</v>
      </c>
      <c r="J1069" s="838" t="s">
        <v>871</v>
      </c>
      <c r="K1069" s="21"/>
      <c r="L1069" s="21"/>
      <c r="M1069" s="22"/>
      <c r="N1069" s="23"/>
      <c r="O1069" s="848"/>
      <c r="P1069" s="23"/>
      <c r="Q1069" s="23"/>
      <c r="R1069" s="79" t="s">
        <v>67</v>
      </c>
      <c r="S1069" s="22"/>
      <c r="T1069" s="22">
        <v>1</v>
      </c>
      <c r="U1069" s="24"/>
      <c r="V1069" s="23">
        <v>45901</v>
      </c>
      <c r="W1069" s="80" t="s">
        <v>113</v>
      </c>
      <c r="X1069" s="80"/>
      <c r="Y1069" s="96" t="s">
        <v>113</v>
      </c>
      <c r="Z1069"/>
      <c r="AA1069"/>
    </row>
    <row r="1070" spans="1:32">
      <c r="A1070" s="834" t="s">
        <v>137</v>
      </c>
      <c r="B1070" s="835">
        <v>1067</v>
      </c>
      <c r="C1070" s="840" t="s">
        <v>1677</v>
      </c>
      <c r="D1070" s="840" t="s">
        <v>1257</v>
      </c>
      <c r="E1070" s="839">
        <v>45880</v>
      </c>
      <c r="F1070" s="838" t="s">
        <v>140</v>
      </c>
      <c r="G1070" s="838">
        <v>1</v>
      </c>
      <c r="H1070" s="838" t="s">
        <v>1077</v>
      </c>
      <c r="I1070" s="838" t="s">
        <v>1138</v>
      </c>
      <c r="J1070" s="838" t="s">
        <v>871</v>
      </c>
      <c r="K1070" s="89"/>
      <c r="L1070" s="21"/>
      <c r="M1070" s="22"/>
      <c r="N1070" s="23"/>
      <c r="O1070" s="848"/>
      <c r="P1070" s="23"/>
      <c r="Q1070" s="23"/>
      <c r="R1070" s="79" t="s">
        <v>67</v>
      </c>
      <c r="S1070" s="22"/>
      <c r="T1070" s="22">
        <v>1</v>
      </c>
      <c r="U1070" s="24"/>
      <c r="V1070" s="23">
        <v>45882</v>
      </c>
      <c r="W1070" s="80" t="s">
        <v>113</v>
      </c>
      <c r="X1070" s="80"/>
      <c r="Y1070" s="96" t="s">
        <v>113</v>
      </c>
      <c r="Z1070"/>
      <c r="AA1070"/>
      <c r="AD1070" s="71"/>
      <c r="AE1070" s="92"/>
      <c r="AF1070" s="92"/>
    </row>
    <row r="1071" spans="1:32">
      <c r="A1071" s="834" t="s">
        <v>137</v>
      </c>
      <c r="B1071" s="835">
        <v>1068</v>
      </c>
      <c r="C1071" s="840" t="s">
        <v>1678</v>
      </c>
      <c r="D1071" s="840" t="s">
        <v>1198</v>
      </c>
      <c r="E1071" s="839">
        <v>45887.083333333336</v>
      </c>
      <c r="F1071" s="838" t="s">
        <v>140</v>
      </c>
      <c r="G1071" s="838">
        <v>4</v>
      </c>
      <c r="H1071" s="838" t="s">
        <v>1669</v>
      </c>
      <c r="I1071" s="838" t="s">
        <v>1670</v>
      </c>
      <c r="J1071" s="838" t="s">
        <v>871</v>
      </c>
      <c r="K1071" s="21"/>
      <c r="L1071" s="21"/>
      <c r="M1071" s="22"/>
      <c r="N1071" s="23"/>
      <c r="O1071" s="848"/>
      <c r="P1071" s="23"/>
      <c r="Q1071" s="23"/>
      <c r="R1071" s="79" t="s">
        <v>67</v>
      </c>
      <c r="S1071" s="22"/>
      <c r="T1071" s="22">
        <v>4</v>
      </c>
      <c r="U1071" s="24"/>
      <c r="V1071" s="23">
        <v>45901</v>
      </c>
      <c r="W1071" s="80" t="s">
        <v>113</v>
      </c>
      <c r="X1071" s="80"/>
      <c r="Y1071" s="96" t="s">
        <v>113</v>
      </c>
      <c r="Z1071"/>
      <c r="AA1071" s="776"/>
      <c r="AB1071" s="776"/>
      <c r="AC1071" s="776"/>
    </row>
    <row r="1072" spans="1:32">
      <c r="A1072" s="834" t="s">
        <v>137</v>
      </c>
      <c r="B1072" s="835">
        <v>1069</v>
      </c>
      <c r="C1072" s="840" t="s">
        <v>1679</v>
      </c>
      <c r="D1072" s="840" t="s">
        <v>829</v>
      </c>
      <c r="E1072" s="839">
        <v>45887</v>
      </c>
      <c r="F1072" s="838" t="s">
        <v>140</v>
      </c>
      <c r="G1072" s="838">
        <v>3</v>
      </c>
      <c r="H1072" s="838" t="s">
        <v>21</v>
      </c>
      <c r="I1072" s="838" t="s">
        <v>127</v>
      </c>
      <c r="J1072" s="838" t="s">
        <v>871</v>
      </c>
      <c r="K1072" s="97"/>
      <c r="L1072" s="21"/>
      <c r="M1072" s="22"/>
      <c r="N1072" s="23"/>
      <c r="O1072" s="848"/>
      <c r="P1072" s="97"/>
      <c r="Q1072" s="23"/>
      <c r="R1072" s="79" t="s">
        <v>67</v>
      </c>
      <c r="S1072" s="22"/>
      <c r="T1072" s="22">
        <v>3</v>
      </c>
      <c r="U1072" s="24"/>
      <c r="V1072" s="23">
        <v>45901</v>
      </c>
      <c r="W1072" s="80" t="s">
        <v>113</v>
      </c>
      <c r="X1072" s="80"/>
      <c r="Y1072" s="96" t="s">
        <v>113</v>
      </c>
      <c r="Z1072"/>
      <c r="AA1072"/>
    </row>
    <row r="1073" spans="1:32">
      <c r="A1073" s="834" t="s">
        <v>137</v>
      </c>
      <c r="B1073" s="835">
        <v>1070</v>
      </c>
      <c r="C1073" s="840" t="s">
        <v>1680</v>
      </c>
      <c r="D1073" s="840" t="s">
        <v>1681</v>
      </c>
      <c r="E1073" s="839">
        <v>45887.375</v>
      </c>
      <c r="F1073" s="838" t="s">
        <v>140</v>
      </c>
      <c r="G1073" s="838">
        <v>23</v>
      </c>
      <c r="H1073" s="838" t="s">
        <v>1077</v>
      </c>
      <c r="I1073" s="838" t="s">
        <v>1138</v>
      </c>
      <c r="J1073" s="838" t="s">
        <v>871</v>
      </c>
      <c r="K1073" s="838"/>
      <c r="L1073" s="21"/>
      <c r="M1073" s="22"/>
      <c r="N1073" s="23"/>
      <c r="O1073" s="848" t="s">
        <v>31</v>
      </c>
      <c r="P1073" s="23"/>
      <c r="Q1073" s="23"/>
      <c r="R1073" s="79" t="s">
        <v>67</v>
      </c>
      <c r="S1073" s="22"/>
      <c r="T1073" s="22">
        <v>23</v>
      </c>
      <c r="U1073" s="24"/>
      <c r="V1073" s="23">
        <v>45903</v>
      </c>
      <c r="W1073" s="80" t="s">
        <v>113</v>
      </c>
      <c r="X1073" s="80"/>
      <c r="Y1073" s="96" t="s">
        <v>113</v>
      </c>
      <c r="Z1073">
        <v>0</v>
      </c>
      <c r="AA1073">
        <v>23</v>
      </c>
      <c r="AB1073">
        <v>0</v>
      </c>
      <c r="AC1073">
        <f>SUM(Z1073:AB1073)</f>
        <v>23</v>
      </c>
      <c r="AD1073" s="71">
        <f>+Z1073/AC1073*AD$1</f>
        <v>0</v>
      </c>
      <c r="AE1073" s="92">
        <f>+AA1073/AC1073*AE$1</f>
        <v>0</v>
      </c>
      <c r="AF1073" s="92">
        <f>+AB1073/AC1073*AF$1</f>
        <v>0</v>
      </c>
    </row>
    <row r="1074" spans="1:32">
      <c r="A1074" s="834" t="s">
        <v>137</v>
      </c>
      <c r="B1074" s="835">
        <v>1071</v>
      </c>
      <c r="C1074" s="840" t="s">
        <v>1682</v>
      </c>
      <c r="D1074" s="840" t="s">
        <v>1683</v>
      </c>
      <c r="E1074" s="839">
        <v>45887.375</v>
      </c>
      <c r="F1074" s="838" t="s">
        <v>140</v>
      </c>
      <c r="G1074" s="838">
        <v>1</v>
      </c>
      <c r="H1074" s="838" t="s">
        <v>21</v>
      </c>
      <c r="I1074" s="838" t="s">
        <v>127</v>
      </c>
      <c r="J1074" s="838" t="s">
        <v>871</v>
      </c>
      <c r="K1074" s="838"/>
      <c r="L1074" s="21"/>
      <c r="M1074" s="22"/>
      <c r="N1074" s="23"/>
      <c r="O1074" s="23"/>
      <c r="P1074" s="23"/>
      <c r="Q1074" s="23"/>
      <c r="R1074" s="79" t="s">
        <v>67</v>
      </c>
      <c r="S1074" s="22"/>
      <c r="T1074" s="22">
        <v>1</v>
      </c>
      <c r="U1074" s="24"/>
      <c r="V1074" s="23">
        <v>45901</v>
      </c>
      <c r="W1074" s="80" t="s">
        <v>113</v>
      </c>
      <c r="X1074" s="80"/>
      <c r="Y1074" s="96" t="s">
        <v>113</v>
      </c>
      <c r="Z1074"/>
      <c r="AA1074"/>
    </row>
    <row r="1075" spans="1:32">
      <c r="A1075" s="834" t="s">
        <v>137</v>
      </c>
      <c r="B1075" s="835">
        <v>1072</v>
      </c>
      <c r="C1075" s="840" t="s">
        <v>1684</v>
      </c>
      <c r="D1075" s="840" t="s">
        <v>1250</v>
      </c>
      <c r="E1075" s="839">
        <v>45887.375</v>
      </c>
      <c r="F1075" s="838" t="s">
        <v>140</v>
      </c>
      <c r="G1075" s="838">
        <v>21</v>
      </c>
      <c r="H1075" s="838" t="s">
        <v>1664</v>
      </c>
      <c r="I1075" s="838" t="s">
        <v>1665</v>
      </c>
      <c r="J1075" s="838" t="s">
        <v>871</v>
      </c>
      <c r="K1075" s="21"/>
      <c r="L1075" s="21"/>
      <c r="M1075" s="22"/>
      <c r="N1075" s="23"/>
      <c r="O1075" s="848" t="s">
        <v>31</v>
      </c>
      <c r="P1075" s="23"/>
      <c r="Q1075" s="23"/>
      <c r="R1075" s="79" t="s">
        <v>67</v>
      </c>
      <c r="S1075" s="22"/>
      <c r="T1075" s="22">
        <v>21</v>
      </c>
      <c r="U1075" s="24"/>
      <c r="V1075" s="23">
        <v>45904</v>
      </c>
      <c r="W1075" s="80" t="s">
        <v>113</v>
      </c>
      <c r="X1075" s="80"/>
      <c r="Y1075" s="96" t="s">
        <v>113</v>
      </c>
      <c r="Z1075">
        <v>1</v>
      </c>
      <c r="AA1075">
        <v>19</v>
      </c>
      <c r="AB1075">
        <v>1</v>
      </c>
      <c r="AC1075">
        <f>SUM(Z1075:AB1075)</f>
        <v>21</v>
      </c>
      <c r="AD1075" s="71">
        <f>+Z1075/AC1075*AD$1</f>
        <v>0.14285714285714285</v>
      </c>
      <c r="AE1075" s="92">
        <f>+AA1075/AC1075*AE$1</f>
        <v>0</v>
      </c>
      <c r="AF1075" s="92">
        <f>+AB1075/AC1075*AF$1</f>
        <v>0</v>
      </c>
    </row>
    <row r="1076" spans="1:32">
      <c r="A1076" s="834" t="s">
        <v>137</v>
      </c>
      <c r="B1076" s="835">
        <v>1073</v>
      </c>
      <c r="C1076" s="840" t="s">
        <v>1685</v>
      </c>
      <c r="D1076" s="840" t="s">
        <v>1029</v>
      </c>
      <c r="E1076" s="839">
        <v>45887.375</v>
      </c>
      <c r="F1076" s="838" t="s">
        <v>140</v>
      </c>
      <c r="G1076" s="838">
        <v>1</v>
      </c>
      <c r="H1076" s="838" t="s">
        <v>1077</v>
      </c>
      <c r="I1076" s="838" t="s">
        <v>1138</v>
      </c>
      <c r="J1076" s="838" t="s">
        <v>871</v>
      </c>
      <c r="K1076" s="21"/>
      <c r="L1076" s="21"/>
      <c r="M1076" s="22"/>
      <c r="N1076" s="23"/>
      <c r="O1076" s="848"/>
      <c r="P1076" s="23"/>
      <c r="Q1076" s="23"/>
      <c r="R1076" s="79" t="s">
        <v>67</v>
      </c>
      <c r="S1076" s="22"/>
      <c r="T1076" s="22">
        <v>1</v>
      </c>
      <c r="U1076" s="24"/>
      <c r="V1076" s="23">
        <v>45901</v>
      </c>
      <c r="W1076" s="80" t="s">
        <v>113</v>
      </c>
      <c r="X1076" s="80"/>
      <c r="Y1076" s="96" t="s">
        <v>113</v>
      </c>
      <c r="Z1076"/>
      <c r="AA1076"/>
      <c r="AC1076" s="84"/>
      <c r="AD1076" s="71"/>
      <c r="AE1076" s="71"/>
      <c r="AF1076" s="71"/>
    </row>
    <row r="1077" spans="1:32">
      <c r="A1077" s="834" t="s">
        <v>137</v>
      </c>
      <c r="B1077" s="835">
        <v>1074</v>
      </c>
      <c r="C1077" s="840" t="s">
        <v>1686</v>
      </c>
      <c r="D1077" s="840" t="s">
        <v>1184</v>
      </c>
      <c r="E1077" s="839">
        <v>45887.041666666664</v>
      </c>
      <c r="F1077" s="838" t="s">
        <v>140</v>
      </c>
      <c r="G1077" s="838">
        <v>1</v>
      </c>
      <c r="H1077" s="838" t="s">
        <v>21</v>
      </c>
      <c r="I1077" s="838" t="s">
        <v>127</v>
      </c>
      <c r="J1077" s="838" t="s">
        <v>871</v>
      </c>
      <c r="K1077" s="21"/>
      <c r="L1077" s="21"/>
      <c r="M1077" s="22"/>
      <c r="N1077" s="23"/>
      <c r="O1077" s="848"/>
      <c r="P1077" s="23"/>
      <c r="Q1077" s="23"/>
      <c r="R1077" s="79" t="s">
        <v>67</v>
      </c>
      <c r="S1077" s="22"/>
      <c r="T1077" s="22">
        <v>1</v>
      </c>
      <c r="U1077" s="24"/>
      <c r="V1077" s="23">
        <v>45901</v>
      </c>
      <c r="W1077" s="80" t="s">
        <v>113</v>
      </c>
      <c r="X1077" s="80"/>
      <c r="Y1077" s="96" t="s">
        <v>113</v>
      </c>
      <c r="Z1077"/>
      <c r="AA1077"/>
    </row>
    <row r="1078" spans="1:32">
      <c r="A1078" s="834" t="s">
        <v>137</v>
      </c>
      <c r="B1078" s="835">
        <v>1075</v>
      </c>
      <c r="C1078" s="840" t="s">
        <v>1687</v>
      </c>
      <c r="D1078" s="840" t="s">
        <v>352</v>
      </c>
      <c r="E1078" s="839">
        <v>45887.375</v>
      </c>
      <c r="F1078" s="838" t="s">
        <v>140</v>
      </c>
      <c r="G1078" s="838">
        <v>13</v>
      </c>
      <c r="H1078" s="838" t="s">
        <v>1077</v>
      </c>
      <c r="I1078" s="838" t="s">
        <v>1138</v>
      </c>
      <c r="J1078" s="838" t="s">
        <v>871</v>
      </c>
      <c r="K1078" s="21"/>
      <c r="L1078" s="21"/>
      <c r="M1078" s="22"/>
      <c r="N1078" s="23"/>
      <c r="O1078" s="23"/>
      <c r="P1078" s="23"/>
      <c r="Q1078" s="23"/>
      <c r="R1078" s="79" t="s">
        <v>67</v>
      </c>
      <c r="S1078" s="22"/>
      <c r="T1078" s="22">
        <v>13</v>
      </c>
      <c r="U1078" s="24"/>
      <c r="V1078" s="23">
        <v>45904</v>
      </c>
      <c r="W1078" s="80" t="s">
        <v>113</v>
      </c>
      <c r="X1078" s="80"/>
      <c r="Y1078" s="96" t="s">
        <v>113</v>
      </c>
      <c r="Z1078"/>
      <c r="AA1078"/>
    </row>
    <row r="1079" spans="1:32">
      <c r="A1079" s="834" t="s">
        <v>137</v>
      </c>
      <c r="B1079" s="835">
        <v>1076</v>
      </c>
      <c r="C1079" s="840" t="s">
        <v>1688</v>
      </c>
      <c r="D1079" s="840" t="s">
        <v>1689</v>
      </c>
      <c r="E1079" s="839">
        <v>45887.083333333336</v>
      </c>
      <c r="F1079" s="838" t="s">
        <v>140</v>
      </c>
      <c r="G1079" s="838">
        <v>1</v>
      </c>
      <c r="H1079" s="838" t="s">
        <v>1077</v>
      </c>
      <c r="I1079" s="838" t="s">
        <v>1138</v>
      </c>
      <c r="J1079" s="838" t="s">
        <v>871</v>
      </c>
      <c r="K1079" s="21"/>
      <c r="L1079" s="21"/>
      <c r="M1079" s="22"/>
      <c r="N1079" s="23"/>
      <c r="O1079" s="848"/>
      <c r="P1079" s="23"/>
      <c r="Q1079" s="23"/>
      <c r="R1079" s="79" t="s">
        <v>67</v>
      </c>
      <c r="S1079" s="22"/>
      <c r="T1079" s="22">
        <v>1</v>
      </c>
      <c r="U1079" s="24"/>
      <c r="V1079" s="23">
        <v>45901</v>
      </c>
      <c r="W1079" s="80" t="s">
        <v>113</v>
      </c>
      <c r="X1079" s="80"/>
      <c r="Y1079" s="96" t="s">
        <v>113</v>
      </c>
      <c r="Z1079"/>
      <c r="AA1079"/>
      <c r="AC1079" s="84"/>
      <c r="AD1079" s="71"/>
      <c r="AE1079" s="71"/>
      <c r="AF1079" s="71"/>
    </row>
    <row r="1080" spans="1:32">
      <c r="A1080" s="834" t="s">
        <v>137</v>
      </c>
      <c r="B1080" s="835">
        <v>1077</v>
      </c>
      <c r="C1080" s="840" t="s">
        <v>1690</v>
      </c>
      <c r="D1080" s="840" t="s">
        <v>1184</v>
      </c>
      <c r="E1080" s="839">
        <v>45894</v>
      </c>
      <c r="F1080" s="838" t="s">
        <v>140</v>
      </c>
      <c r="G1080" s="838">
        <v>1</v>
      </c>
      <c r="H1080" s="838" t="s">
        <v>1513</v>
      </c>
      <c r="I1080" s="838" t="s">
        <v>1546</v>
      </c>
      <c r="J1080" s="838" t="s">
        <v>871</v>
      </c>
      <c r="K1080" s="100"/>
      <c r="L1080" s="21"/>
      <c r="M1080" s="22"/>
      <c r="N1080" s="23"/>
      <c r="O1080" s="848"/>
      <c r="P1080" s="100"/>
      <c r="Q1080" s="23"/>
      <c r="R1080" s="79" t="s">
        <v>67</v>
      </c>
      <c r="S1080" s="22"/>
      <c r="T1080" s="22">
        <v>1</v>
      </c>
      <c r="U1080" s="24"/>
      <c r="V1080" s="23"/>
      <c r="W1080" s="80" t="s">
        <v>113</v>
      </c>
      <c r="X1080" s="80"/>
      <c r="Y1080" s="96" t="s">
        <v>113</v>
      </c>
      <c r="Z1080"/>
      <c r="AA1080"/>
      <c r="AD1080" s="71"/>
      <c r="AE1080" s="92"/>
      <c r="AF1080" s="92"/>
    </row>
    <row r="1081" spans="1:32">
      <c r="A1081" s="834" t="s">
        <v>137</v>
      </c>
      <c r="B1081" s="835">
        <v>1078</v>
      </c>
      <c r="C1081" s="840" t="s">
        <v>1691</v>
      </c>
      <c r="D1081" s="840" t="s">
        <v>1212</v>
      </c>
      <c r="E1081" s="839">
        <v>45894.083333333336</v>
      </c>
      <c r="F1081" s="838" t="s">
        <v>140</v>
      </c>
      <c r="G1081" s="838">
        <v>6</v>
      </c>
      <c r="H1081" s="838" t="s">
        <v>1513</v>
      </c>
      <c r="I1081" s="838" t="s">
        <v>1546</v>
      </c>
      <c r="J1081" s="838" t="s">
        <v>871</v>
      </c>
      <c r="K1081" s="100"/>
      <c r="L1081" s="21"/>
      <c r="M1081" s="22"/>
      <c r="N1081" s="23"/>
      <c r="O1081" s="23"/>
      <c r="P1081" s="100"/>
      <c r="Q1081" s="23"/>
      <c r="R1081" s="79" t="s">
        <v>67</v>
      </c>
      <c r="S1081" s="22"/>
      <c r="T1081" s="22">
        <v>6</v>
      </c>
      <c r="U1081" s="24"/>
      <c r="V1081" s="23">
        <v>45902</v>
      </c>
      <c r="W1081" s="80" t="s">
        <v>113</v>
      </c>
      <c r="X1081" s="80"/>
      <c r="Y1081" s="96" t="s">
        <v>113</v>
      </c>
      <c r="Z1081"/>
      <c r="AA1081"/>
    </row>
    <row r="1082" spans="1:32">
      <c r="A1082" s="834" t="s">
        <v>137</v>
      </c>
      <c r="B1082" s="835">
        <v>1079</v>
      </c>
      <c r="C1082" s="840" t="s">
        <v>1692</v>
      </c>
      <c r="D1082" s="840" t="s">
        <v>829</v>
      </c>
      <c r="E1082" s="839">
        <v>45894.375</v>
      </c>
      <c r="F1082" s="838" t="s">
        <v>140</v>
      </c>
      <c r="G1082" s="838">
        <v>3</v>
      </c>
      <c r="H1082" s="838" t="s">
        <v>1513</v>
      </c>
      <c r="I1082" s="838" t="s">
        <v>1546</v>
      </c>
      <c r="J1082" s="838" t="s">
        <v>871</v>
      </c>
      <c r="K1082" s="21"/>
      <c r="L1082" s="21"/>
      <c r="M1082" s="22"/>
      <c r="N1082" s="23"/>
      <c r="O1082" s="23"/>
      <c r="P1082" s="23"/>
      <c r="Q1082" s="23"/>
      <c r="R1082" s="79" t="s">
        <v>67</v>
      </c>
      <c r="S1082" s="22"/>
      <c r="T1082" s="22">
        <v>2</v>
      </c>
      <c r="U1082" s="24"/>
      <c r="V1082" s="23">
        <v>45903</v>
      </c>
      <c r="W1082" s="80" t="s">
        <v>113</v>
      </c>
      <c r="X1082" s="80"/>
      <c r="Y1082" s="96" t="s">
        <v>113</v>
      </c>
      <c r="Z1082"/>
      <c r="AA1082"/>
    </row>
    <row r="1083" spans="1:32">
      <c r="A1083" s="834" t="s">
        <v>137</v>
      </c>
      <c r="B1083" s="835">
        <v>1080</v>
      </c>
      <c r="C1083" s="840" t="s">
        <v>1693</v>
      </c>
      <c r="D1083" s="840" t="s">
        <v>1047</v>
      </c>
      <c r="E1083" s="839">
        <v>45894.375</v>
      </c>
      <c r="F1083" s="838" t="s">
        <v>140</v>
      </c>
      <c r="G1083" s="838">
        <v>1</v>
      </c>
      <c r="H1083" s="838" t="s">
        <v>21</v>
      </c>
      <c r="I1083" s="838" t="s">
        <v>127</v>
      </c>
      <c r="J1083" s="838" t="s">
        <v>871</v>
      </c>
      <c r="K1083" s="21"/>
      <c r="L1083" s="21"/>
      <c r="M1083" s="22"/>
      <c r="N1083" s="23"/>
      <c r="O1083" s="848"/>
      <c r="P1083" s="23"/>
      <c r="Q1083" s="23"/>
      <c r="R1083" s="79" t="s">
        <v>67</v>
      </c>
      <c r="S1083" s="22"/>
      <c r="T1083" s="22">
        <v>1</v>
      </c>
      <c r="U1083" s="24"/>
      <c r="V1083" s="23">
        <v>45901</v>
      </c>
      <c r="W1083" s="80" t="s">
        <v>113</v>
      </c>
      <c r="X1083" s="80"/>
      <c r="Y1083" s="96" t="s">
        <v>113</v>
      </c>
      <c r="Z1083"/>
      <c r="AA1083"/>
      <c r="AC1083" s="84"/>
      <c r="AD1083" s="71"/>
      <c r="AE1083" s="71"/>
      <c r="AF1083" s="71"/>
    </row>
    <row r="1084" spans="1:32">
      <c r="A1084" s="834" t="s">
        <v>137</v>
      </c>
      <c r="B1084" s="835">
        <v>1081</v>
      </c>
      <c r="C1084" s="840" t="s">
        <v>1694</v>
      </c>
      <c r="D1084" s="840" t="s">
        <v>1198</v>
      </c>
      <c r="E1084" s="839">
        <v>45894.375</v>
      </c>
      <c r="F1084" s="838" t="s">
        <v>140</v>
      </c>
      <c r="G1084" s="838">
        <v>3</v>
      </c>
      <c r="H1084" s="838" t="s">
        <v>1513</v>
      </c>
      <c r="I1084" s="838" t="s">
        <v>1546</v>
      </c>
      <c r="J1084" s="838" t="s">
        <v>871</v>
      </c>
      <c r="K1084" s="21"/>
      <c r="L1084" s="21"/>
      <c r="M1084" s="22"/>
      <c r="N1084" s="23"/>
      <c r="O1084" s="848"/>
      <c r="P1084" s="23"/>
      <c r="Q1084" s="23"/>
      <c r="R1084" s="79" t="s">
        <v>67</v>
      </c>
      <c r="S1084" s="22"/>
      <c r="T1084" s="22">
        <v>3</v>
      </c>
      <c r="U1084" s="24"/>
      <c r="V1084" s="23">
        <v>45901</v>
      </c>
      <c r="W1084" s="80" t="s">
        <v>113</v>
      </c>
      <c r="X1084" s="80"/>
      <c r="Y1084" s="96" t="s">
        <v>113</v>
      </c>
      <c r="Z1084"/>
      <c r="AA1084" s="776"/>
      <c r="AB1084" s="776"/>
      <c r="AC1084" s="776"/>
    </row>
    <row r="1085" spans="1:32">
      <c r="A1085" s="834" t="s">
        <v>137</v>
      </c>
      <c r="B1085" s="835">
        <v>1082</v>
      </c>
      <c r="C1085" s="840" t="s">
        <v>1695</v>
      </c>
      <c r="D1085" s="840" t="s">
        <v>937</v>
      </c>
      <c r="E1085" s="839">
        <v>45894.083333333336</v>
      </c>
      <c r="F1085" s="838" t="s">
        <v>140</v>
      </c>
      <c r="G1085" s="838">
        <v>14</v>
      </c>
      <c r="H1085" s="838" t="s">
        <v>1513</v>
      </c>
      <c r="I1085" s="838" t="s">
        <v>1546</v>
      </c>
      <c r="J1085" s="838" t="s">
        <v>871</v>
      </c>
      <c r="K1085" s="21"/>
      <c r="L1085" s="21"/>
      <c r="M1085" s="22"/>
      <c r="N1085" s="23"/>
      <c r="O1085" s="848" t="s">
        <v>31</v>
      </c>
      <c r="P1085" s="23"/>
      <c r="Q1085" s="23"/>
      <c r="R1085" s="79" t="s">
        <v>67</v>
      </c>
      <c r="S1085" s="22"/>
      <c r="T1085" s="22">
        <v>14</v>
      </c>
      <c r="U1085" s="24"/>
      <c r="V1085" s="23">
        <v>45903</v>
      </c>
      <c r="W1085" s="80" t="s">
        <v>113</v>
      </c>
      <c r="X1085" s="80"/>
      <c r="Y1085" s="96" t="s">
        <v>113</v>
      </c>
      <c r="Z1085">
        <v>1</v>
      </c>
      <c r="AA1085">
        <v>13</v>
      </c>
      <c r="AB1085">
        <v>0</v>
      </c>
      <c r="AC1085">
        <f>SUM(Z1085:AB1085)</f>
        <v>14</v>
      </c>
      <c r="AD1085" s="71">
        <f>+Z1085/AC1085*AD$1</f>
        <v>0.21428571428571427</v>
      </c>
      <c r="AE1085" s="92">
        <f>+AA1085/AC1085*AE$1</f>
        <v>0</v>
      </c>
      <c r="AF1085" s="92">
        <f>+AB1085/AC1085*AF$1</f>
        <v>0</v>
      </c>
    </row>
    <row r="1086" spans="1:32">
      <c r="A1086" s="834" t="s">
        <v>137</v>
      </c>
      <c r="B1086" s="835">
        <v>1083</v>
      </c>
      <c r="C1086" s="840" t="s">
        <v>1696</v>
      </c>
      <c r="D1086" s="840" t="s">
        <v>1230</v>
      </c>
      <c r="E1086" s="839">
        <v>45894.375</v>
      </c>
      <c r="F1086" s="838" t="s">
        <v>140</v>
      </c>
      <c r="G1086" s="838">
        <v>1</v>
      </c>
      <c r="H1086" s="838" t="s">
        <v>21</v>
      </c>
      <c r="I1086" s="838" t="s">
        <v>127</v>
      </c>
      <c r="J1086" s="838" t="s">
        <v>871</v>
      </c>
      <c r="K1086" s="21"/>
      <c r="L1086" s="21"/>
      <c r="M1086" s="22"/>
      <c r="N1086" s="23"/>
      <c r="O1086" s="23"/>
      <c r="P1086" s="23"/>
      <c r="Q1086" s="23"/>
      <c r="R1086" s="79" t="s">
        <v>67</v>
      </c>
      <c r="S1086" s="22"/>
      <c r="T1086" s="22">
        <v>1</v>
      </c>
      <c r="U1086" s="24"/>
      <c r="V1086" s="23">
        <v>45902</v>
      </c>
      <c r="W1086" s="80" t="s">
        <v>113</v>
      </c>
      <c r="X1086" s="80"/>
      <c r="Y1086" s="96" t="s">
        <v>113</v>
      </c>
      <c r="Z1086"/>
      <c r="AA1086" s="776"/>
      <c r="AB1086" s="776"/>
      <c r="AC1086" s="776"/>
    </row>
    <row r="1087" spans="1:32">
      <c r="A1087" s="834" t="s">
        <v>137</v>
      </c>
      <c r="B1087" s="835">
        <v>1084</v>
      </c>
      <c r="C1087" s="840" t="s">
        <v>1697</v>
      </c>
      <c r="D1087" s="840" t="s">
        <v>818</v>
      </c>
      <c r="E1087" s="839">
        <v>45894.041666666664</v>
      </c>
      <c r="F1087" s="838" t="s">
        <v>140</v>
      </c>
      <c r="G1087" s="838">
        <v>3</v>
      </c>
      <c r="H1087" s="838" t="s">
        <v>21</v>
      </c>
      <c r="I1087" s="838" t="s">
        <v>127</v>
      </c>
      <c r="J1087" s="838" t="s">
        <v>871</v>
      </c>
      <c r="K1087" s="100"/>
      <c r="L1087" s="21"/>
      <c r="M1087" s="22"/>
      <c r="N1087" s="23"/>
      <c r="O1087" s="23"/>
      <c r="P1087" s="100"/>
      <c r="Q1087" s="23"/>
      <c r="R1087" s="79" t="s">
        <v>67</v>
      </c>
      <c r="S1087" s="22"/>
      <c r="T1087" s="22">
        <v>1</v>
      </c>
      <c r="U1087" s="24"/>
      <c r="V1087" s="23"/>
      <c r="W1087" s="80" t="s">
        <v>113</v>
      </c>
      <c r="X1087" s="80"/>
      <c r="Y1087" s="96" t="s">
        <v>113</v>
      </c>
      <c r="Z1087"/>
      <c r="AA1087" s="776"/>
      <c r="AB1087" s="776"/>
      <c r="AC1087" s="776"/>
    </row>
    <row r="1088" spans="1:32">
      <c r="A1088" s="834" t="s">
        <v>137</v>
      </c>
      <c r="B1088" s="835">
        <v>1085</v>
      </c>
      <c r="C1088" s="840" t="s">
        <v>1698</v>
      </c>
      <c r="D1088" s="840" t="s">
        <v>1699</v>
      </c>
      <c r="E1088" s="839">
        <v>45894.375</v>
      </c>
      <c r="F1088" s="838" t="s">
        <v>140</v>
      </c>
      <c r="G1088" s="838">
        <v>1</v>
      </c>
      <c r="H1088" s="838" t="s">
        <v>21</v>
      </c>
      <c r="I1088" s="838" t="s">
        <v>127</v>
      </c>
      <c r="J1088" s="838" t="s">
        <v>871</v>
      </c>
      <c r="K1088" s="100"/>
      <c r="L1088" s="21"/>
      <c r="M1088" s="22"/>
      <c r="N1088" s="23"/>
      <c r="O1088" s="23"/>
      <c r="P1088" s="100"/>
      <c r="Q1088" s="23"/>
      <c r="R1088" s="79" t="s">
        <v>67</v>
      </c>
      <c r="S1088" s="22"/>
      <c r="T1088" s="22">
        <v>1</v>
      </c>
      <c r="U1088" s="24"/>
      <c r="V1088" s="23">
        <v>45911</v>
      </c>
      <c r="W1088" s="80" t="s">
        <v>113</v>
      </c>
      <c r="X1088" s="80"/>
      <c r="Y1088" s="96" t="s">
        <v>113</v>
      </c>
      <c r="Z1088"/>
      <c r="AA1088"/>
    </row>
    <row r="1089" spans="1:32">
      <c r="A1089" s="834" t="s">
        <v>137</v>
      </c>
      <c r="B1089" s="835">
        <v>1086</v>
      </c>
      <c r="C1089" s="840" t="s">
        <v>1700</v>
      </c>
      <c r="D1089" s="840" t="s">
        <v>1701</v>
      </c>
      <c r="E1089" s="839">
        <v>45894.375</v>
      </c>
      <c r="F1089" s="838" t="s">
        <v>140</v>
      </c>
      <c r="G1089" s="838">
        <v>2</v>
      </c>
      <c r="H1089" s="838" t="s">
        <v>21</v>
      </c>
      <c r="I1089" s="838" t="s">
        <v>127</v>
      </c>
      <c r="J1089" s="838" t="s">
        <v>871</v>
      </c>
      <c r="K1089" s="100"/>
      <c r="L1089" s="21"/>
      <c r="M1089" s="22"/>
      <c r="N1089" s="23"/>
      <c r="O1089" s="848"/>
      <c r="P1089" s="100"/>
      <c r="Q1089" s="23"/>
      <c r="R1089" s="79" t="s">
        <v>67</v>
      </c>
      <c r="S1089" s="22"/>
      <c r="T1089" s="22">
        <v>2</v>
      </c>
      <c r="U1089" s="24"/>
      <c r="V1089" s="23"/>
      <c r="W1089" s="80" t="s">
        <v>113</v>
      </c>
      <c r="X1089" s="80"/>
      <c r="Y1089" s="96" t="s">
        <v>113</v>
      </c>
      <c r="Z1089"/>
      <c r="AA1089"/>
    </row>
    <row r="1090" spans="1:32">
      <c r="A1090" s="834" t="s">
        <v>137</v>
      </c>
      <c r="B1090" s="835">
        <v>1087</v>
      </c>
      <c r="C1090" s="840" t="s">
        <v>1702</v>
      </c>
      <c r="D1090" s="840" t="s">
        <v>1689</v>
      </c>
      <c r="E1090" s="839">
        <v>45894.083333333336</v>
      </c>
      <c r="F1090" s="838" t="s">
        <v>140</v>
      </c>
      <c r="G1090" s="838">
        <v>1</v>
      </c>
      <c r="H1090" s="838" t="s">
        <v>1077</v>
      </c>
      <c r="I1090" s="838" t="s">
        <v>1138</v>
      </c>
      <c r="J1090" s="838" t="s">
        <v>871</v>
      </c>
      <c r="K1090" s="21"/>
      <c r="L1090" s="21"/>
      <c r="M1090" s="22"/>
      <c r="N1090" s="23"/>
      <c r="O1090" s="848"/>
      <c r="P1090" s="23"/>
      <c r="Q1090" s="23"/>
      <c r="R1090" s="79" t="s">
        <v>67</v>
      </c>
      <c r="S1090" s="22"/>
      <c r="T1090" s="22">
        <v>1</v>
      </c>
      <c r="U1090" s="24"/>
      <c r="V1090" s="23">
        <v>45902</v>
      </c>
      <c r="W1090" s="80" t="s">
        <v>113</v>
      </c>
      <c r="X1090" s="80"/>
      <c r="Y1090" s="96" t="s">
        <v>113</v>
      </c>
      <c r="Z1090"/>
      <c r="AA1090"/>
    </row>
    <row r="1091" spans="1:32">
      <c r="A1091" s="834" t="s">
        <v>137</v>
      </c>
      <c r="B1091" s="835">
        <v>1088</v>
      </c>
      <c r="C1091" s="840" t="s">
        <v>1703</v>
      </c>
      <c r="D1091" s="840" t="s">
        <v>1704</v>
      </c>
      <c r="E1091" s="839">
        <v>45894.375</v>
      </c>
      <c r="F1091" s="838" t="s">
        <v>140</v>
      </c>
      <c r="G1091" s="838">
        <v>1</v>
      </c>
      <c r="H1091" s="838" t="s">
        <v>21</v>
      </c>
      <c r="I1091" s="838" t="s">
        <v>127</v>
      </c>
      <c r="J1091" s="838" t="s">
        <v>871</v>
      </c>
      <c r="K1091" s="21"/>
      <c r="L1091" s="21"/>
      <c r="M1091" s="22"/>
      <c r="N1091" s="23"/>
      <c r="O1091" s="23"/>
      <c r="P1091" s="97"/>
      <c r="Q1091" s="23"/>
      <c r="R1091" s="79" t="s">
        <v>67</v>
      </c>
      <c r="S1091" s="22"/>
      <c r="T1091" s="22">
        <v>1</v>
      </c>
      <c r="U1091" s="24"/>
      <c r="V1091" s="23"/>
      <c r="W1091" s="80" t="s">
        <v>113</v>
      </c>
      <c r="X1091" s="80"/>
      <c r="Y1091" s="96" t="s">
        <v>113</v>
      </c>
      <c r="Z1091"/>
      <c r="AA1091"/>
    </row>
    <row r="1092" spans="1:32">
      <c r="A1092" s="834" t="s">
        <v>137</v>
      </c>
      <c r="B1092" s="835">
        <v>1089</v>
      </c>
      <c r="C1092" s="840" t="s">
        <v>1705</v>
      </c>
      <c r="D1092" s="840" t="s">
        <v>147</v>
      </c>
      <c r="E1092" s="839">
        <v>45873.375</v>
      </c>
      <c r="F1092" s="838" t="s">
        <v>140</v>
      </c>
      <c r="G1092" s="838">
        <v>15</v>
      </c>
      <c r="H1092" s="838" t="s">
        <v>48</v>
      </c>
      <c r="I1092" s="838" t="s">
        <v>47</v>
      </c>
      <c r="J1092" s="838" t="s">
        <v>871</v>
      </c>
      <c r="K1092" s="97"/>
      <c r="L1092" s="21"/>
      <c r="M1092" s="22"/>
      <c r="N1092" s="23"/>
      <c r="O1092" s="848" t="s">
        <v>31</v>
      </c>
      <c r="P1092" s="97"/>
      <c r="Q1092" s="23"/>
      <c r="R1092" s="79" t="s">
        <v>67</v>
      </c>
      <c r="S1092" s="22"/>
      <c r="T1092" s="22">
        <v>15</v>
      </c>
      <c r="U1092" s="24"/>
      <c r="V1092" s="23">
        <v>45880</v>
      </c>
      <c r="W1092" s="80" t="s">
        <v>113</v>
      </c>
      <c r="X1092" s="80"/>
      <c r="Y1092" s="96" t="s">
        <v>113</v>
      </c>
      <c r="Z1092" s="87">
        <v>0</v>
      </c>
      <c r="AA1092" s="87">
        <v>0</v>
      </c>
      <c r="AB1092">
        <v>15</v>
      </c>
      <c r="AC1092">
        <f>SUM(Z1092:AB1092)</f>
        <v>15</v>
      </c>
      <c r="AD1092" s="71">
        <f>+Z1092/AC1092*AD$1</f>
        <v>0</v>
      </c>
      <c r="AE1092" s="92">
        <f>+AA1092/AC1092*AE$1</f>
        <v>0</v>
      </c>
      <c r="AF1092" s="92">
        <f>+AB1092/AC1092*AF$1</f>
        <v>0</v>
      </c>
    </row>
    <row r="1093" spans="1:32">
      <c r="A1093" s="834" t="s">
        <v>137</v>
      </c>
      <c r="B1093" s="835">
        <v>1090</v>
      </c>
      <c r="C1093" s="840" t="s">
        <v>1706</v>
      </c>
      <c r="D1093" s="840" t="s">
        <v>1184</v>
      </c>
      <c r="E1093" s="839">
        <v>45873</v>
      </c>
      <c r="F1093" s="838" t="s">
        <v>140</v>
      </c>
      <c r="G1093" s="838">
        <v>8</v>
      </c>
      <c r="H1093" s="838" t="s">
        <v>48</v>
      </c>
      <c r="I1093" s="838" t="s">
        <v>47</v>
      </c>
      <c r="J1093" s="838" t="s">
        <v>871</v>
      </c>
      <c r="K1093" s="97"/>
      <c r="L1093" s="21"/>
      <c r="M1093" s="22"/>
      <c r="N1093" s="23"/>
      <c r="O1093" s="23"/>
      <c r="P1093" s="97"/>
      <c r="Q1093" s="23"/>
      <c r="R1093" s="79" t="s">
        <v>67</v>
      </c>
      <c r="S1093" s="22"/>
      <c r="T1093" s="7">
        <v>8</v>
      </c>
      <c r="U1093" s="24"/>
      <c r="V1093" s="23">
        <v>45880</v>
      </c>
      <c r="W1093" s="80" t="s">
        <v>113</v>
      </c>
      <c r="X1093" s="80"/>
      <c r="Y1093" s="96" t="s">
        <v>113</v>
      </c>
      <c r="Z1093"/>
      <c r="AA1093"/>
      <c r="AD1093" s="71"/>
      <c r="AE1093" s="92"/>
      <c r="AF1093" s="92"/>
    </row>
    <row r="1094" spans="1:32">
      <c r="A1094" s="834" t="s">
        <v>137</v>
      </c>
      <c r="B1094" s="835">
        <v>1091</v>
      </c>
      <c r="C1094" s="840" t="s">
        <v>1707</v>
      </c>
      <c r="D1094" s="840" t="s">
        <v>149</v>
      </c>
      <c r="E1094" s="839">
        <v>45880.375</v>
      </c>
      <c r="F1094" s="838" t="s">
        <v>140</v>
      </c>
      <c r="G1094" s="838">
        <v>15</v>
      </c>
      <c r="H1094" s="838" t="s">
        <v>48</v>
      </c>
      <c r="I1094" s="838" t="s">
        <v>47</v>
      </c>
      <c r="J1094" s="838" t="s">
        <v>871</v>
      </c>
      <c r="K1094" s="21"/>
      <c r="L1094" s="21"/>
      <c r="M1094" s="22"/>
      <c r="N1094" s="23"/>
      <c r="O1094" s="848" t="s">
        <v>31</v>
      </c>
      <c r="P1094" s="23"/>
      <c r="Q1094" s="23"/>
      <c r="R1094" s="79" t="s">
        <v>67</v>
      </c>
      <c r="S1094" s="22"/>
      <c r="T1094" s="22">
        <v>15</v>
      </c>
      <c r="U1094" s="24"/>
      <c r="V1094" s="23">
        <v>45880</v>
      </c>
      <c r="W1094" s="80" t="s">
        <v>113</v>
      </c>
      <c r="X1094" s="80"/>
      <c r="Y1094" s="96" t="s">
        <v>113</v>
      </c>
      <c r="Z1094" s="87">
        <v>0</v>
      </c>
      <c r="AA1094" s="87">
        <v>0</v>
      </c>
      <c r="AB1094">
        <v>15</v>
      </c>
      <c r="AC1094">
        <f>SUM(Z1094:AB1094)</f>
        <v>15</v>
      </c>
      <c r="AD1094" s="71">
        <f>+Z1094/AC1094*AD$1</f>
        <v>0</v>
      </c>
      <c r="AE1094" s="92">
        <f>+AA1094/AC1094*AE$1</f>
        <v>0</v>
      </c>
      <c r="AF1094" s="92">
        <f>+AB1094/AC1094*AF$1</f>
        <v>0</v>
      </c>
    </row>
    <row r="1095" spans="1:32">
      <c r="A1095" s="834" t="s">
        <v>137</v>
      </c>
      <c r="B1095" s="835">
        <v>1092</v>
      </c>
      <c r="C1095" s="840" t="s">
        <v>1708</v>
      </c>
      <c r="D1095" s="840" t="s">
        <v>779</v>
      </c>
      <c r="E1095" s="839">
        <v>45880</v>
      </c>
      <c r="F1095" s="838" t="s">
        <v>140</v>
      </c>
      <c r="G1095" s="838">
        <v>2</v>
      </c>
      <c r="H1095" s="838" t="s">
        <v>48</v>
      </c>
      <c r="I1095" s="838" t="s">
        <v>47</v>
      </c>
      <c r="J1095" s="838" t="s">
        <v>871</v>
      </c>
      <c r="K1095" s="21"/>
      <c r="L1095" s="21"/>
      <c r="M1095" s="22"/>
      <c r="N1095" s="23"/>
      <c r="O1095" s="848"/>
      <c r="P1095" s="23"/>
      <c r="Q1095" s="23"/>
      <c r="R1095" s="79" t="s">
        <v>67</v>
      </c>
      <c r="S1095" s="22"/>
      <c r="T1095" s="22">
        <v>2</v>
      </c>
      <c r="U1095" s="24"/>
      <c r="V1095" s="23">
        <v>45901</v>
      </c>
      <c r="W1095" s="80" t="s">
        <v>113</v>
      </c>
      <c r="X1095" s="80"/>
      <c r="Y1095" s="96" t="s">
        <v>113</v>
      </c>
      <c r="Z1095"/>
      <c r="AA1095"/>
      <c r="AD1095" s="71"/>
      <c r="AE1095" s="92"/>
      <c r="AF1095" s="92"/>
    </row>
    <row r="1096" spans="1:32">
      <c r="A1096" s="834" t="s">
        <v>137</v>
      </c>
      <c r="B1096" s="835">
        <v>1093</v>
      </c>
      <c r="C1096" s="840" t="s">
        <v>1709</v>
      </c>
      <c r="D1096" s="840" t="s">
        <v>1184</v>
      </c>
      <c r="E1096" s="839">
        <v>45880.041666666664</v>
      </c>
      <c r="F1096" s="838" t="s">
        <v>140</v>
      </c>
      <c r="G1096" s="838">
        <v>2</v>
      </c>
      <c r="H1096" s="838" t="s">
        <v>48</v>
      </c>
      <c r="I1096" s="838" t="s">
        <v>47</v>
      </c>
      <c r="J1096" s="838" t="s">
        <v>871</v>
      </c>
      <c r="K1096" s="21"/>
      <c r="L1096" s="21"/>
      <c r="M1096" s="22"/>
      <c r="N1096" s="23"/>
      <c r="O1096" s="23"/>
      <c r="P1096" s="97"/>
      <c r="Q1096" s="23"/>
      <c r="R1096" s="79" t="s">
        <v>67</v>
      </c>
      <c r="S1096" s="22"/>
      <c r="T1096" s="22">
        <v>2</v>
      </c>
      <c r="U1096" s="24"/>
      <c r="V1096" s="23"/>
      <c r="W1096" s="80" t="s">
        <v>113</v>
      </c>
      <c r="X1096" s="80"/>
      <c r="Y1096" s="96" t="s">
        <v>113</v>
      </c>
      <c r="Z1096"/>
      <c r="AA1096"/>
    </row>
    <row r="1097" spans="1:32">
      <c r="A1097" s="834" t="s">
        <v>137</v>
      </c>
      <c r="B1097" s="835">
        <v>1094</v>
      </c>
      <c r="C1097" s="840" t="s">
        <v>1710</v>
      </c>
      <c r="D1097" s="840" t="s">
        <v>1250</v>
      </c>
      <c r="E1097" s="839">
        <v>45887</v>
      </c>
      <c r="F1097" s="838" t="s">
        <v>140</v>
      </c>
      <c r="G1097" s="838">
        <v>4</v>
      </c>
      <c r="H1097" s="838" t="s">
        <v>48</v>
      </c>
      <c r="I1097" s="838" t="s">
        <v>47</v>
      </c>
      <c r="J1097" s="838" t="s">
        <v>871</v>
      </c>
      <c r="K1097" s="21"/>
      <c r="L1097" s="21"/>
      <c r="M1097" s="22"/>
      <c r="N1097" s="23"/>
      <c r="O1097" s="61"/>
      <c r="P1097" s="23"/>
      <c r="Q1097" s="23"/>
      <c r="R1097" s="79" t="s">
        <v>67</v>
      </c>
      <c r="S1097" s="22"/>
      <c r="T1097" s="22">
        <v>4</v>
      </c>
      <c r="U1097" s="24"/>
      <c r="V1097" s="23">
        <v>45901</v>
      </c>
      <c r="W1097" s="80" t="s">
        <v>113</v>
      </c>
      <c r="X1097" s="80"/>
      <c r="Y1097" s="96" t="s">
        <v>113</v>
      </c>
      <c r="Z1097"/>
      <c r="AA1097"/>
      <c r="AD1097" s="71"/>
      <c r="AE1097" s="92"/>
      <c r="AF1097" s="92"/>
    </row>
    <row r="1098" spans="1:32">
      <c r="A1098" s="834" t="s">
        <v>137</v>
      </c>
      <c r="B1098" s="835">
        <v>1095</v>
      </c>
      <c r="C1098" s="840" t="s">
        <v>1711</v>
      </c>
      <c r="D1098" s="840" t="s">
        <v>1712</v>
      </c>
      <c r="E1098" s="839">
        <v>45887.041666666664</v>
      </c>
      <c r="F1098" s="838" t="s">
        <v>140</v>
      </c>
      <c r="G1098" s="838">
        <v>1</v>
      </c>
      <c r="H1098" s="838" t="s">
        <v>21</v>
      </c>
      <c r="I1098" s="838" t="s">
        <v>127</v>
      </c>
      <c r="J1098" s="838" t="s">
        <v>871</v>
      </c>
      <c r="K1098" s="21"/>
      <c r="L1098" s="21"/>
      <c r="M1098" s="22"/>
      <c r="N1098" s="23"/>
      <c r="O1098" s="61"/>
      <c r="P1098" s="23"/>
      <c r="Q1098" s="23"/>
      <c r="R1098" s="79" t="s">
        <v>67</v>
      </c>
      <c r="S1098" s="22"/>
      <c r="T1098" s="22">
        <v>1</v>
      </c>
      <c r="U1098" s="24"/>
      <c r="V1098" s="23">
        <v>45901</v>
      </c>
      <c r="W1098" s="80" t="s">
        <v>113</v>
      </c>
      <c r="X1098" s="80"/>
      <c r="Y1098" s="96" t="s">
        <v>113</v>
      </c>
      <c r="Z1098"/>
      <c r="AA1098"/>
      <c r="AD1098" s="71"/>
      <c r="AE1098" s="92"/>
      <c r="AF1098" s="92"/>
    </row>
    <row r="1099" spans="1:32">
      <c r="A1099" s="834" t="s">
        <v>137</v>
      </c>
      <c r="B1099" s="835">
        <v>1096</v>
      </c>
      <c r="C1099" s="840" t="s">
        <v>1713</v>
      </c>
      <c r="D1099" s="840" t="s">
        <v>1184</v>
      </c>
      <c r="E1099" s="839">
        <v>45887.208333333336</v>
      </c>
      <c r="F1099" s="838" t="s">
        <v>140</v>
      </c>
      <c r="G1099" s="838">
        <v>3</v>
      </c>
      <c r="H1099" s="838" t="s">
        <v>48</v>
      </c>
      <c r="I1099" s="838" t="s">
        <v>47</v>
      </c>
      <c r="J1099" s="838" t="s">
        <v>871</v>
      </c>
      <c r="K1099" s="21"/>
      <c r="L1099" s="21"/>
      <c r="M1099" s="22"/>
      <c r="N1099" s="23"/>
      <c r="O1099" s="848"/>
      <c r="P1099" s="23"/>
      <c r="Q1099" s="23"/>
      <c r="R1099" s="79" t="s">
        <v>67</v>
      </c>
      <c r="S1099" s="22"/>
      <c r="T1099" s="22">
        <v>3</v>
      </c>
      <c r="U1099" s="24"/>
      <c r="V1099" s="23">
        <v>45901</v>
      </c>
      <c r="W1099" s="80" t="s">
        <v>113</v>
      </c>
      <c r="X1099" s="80"/>
      <c r="Y1099" s="96" t="s">
        <v>113</v>
      </c>
      <c r="Z1099"/>
      <c r="AA1099"/>
      <c r="AD1099" s="71"/>
      <c r="AE1099" s="92"/>
      <c r="AF1099" s="92"/>
    </row>
    <row r="1100" spans="1:32">
      <c r="A1100" s="834" t="s">
        <v>137</v>
      </c>
      <c r="B1100" s="835">
        <v>1097</v>
      </c>
      <c r="C1100" s="840" t="s">
        <v>1714</v>
      </c>
      <c r="D1100" s="840" t="s">
        <v>779</v>
      </c>
      <c r="E1100" s="839">
        <v>45887.375</v>
      </c>
      <c r="F1100" s="838" t="s">
        <v>140</v>
      </c>
      <c r="G1100" s="838">
        <v>4</v>
      </c>
      <c r="H1100" s="838" t="s">
        <v>21</v>
      </c>
      <c r="I1100" s="838" t="s">
        <v>127</v>
      </c>
      <c r="J1100" s="838" t="s">
        <v>871</v>
      </c>
      <c r="K1100" s="21"/>
      <c r="L1100" s="21"/>
      <c r="M1100" s="22"/>
      <c r="N1100" s="23"/>
      <c r="O1100" s="61"/>
      <c r="P1100" s="23"/>
      <c r="Q1100" s="23"/>
      <c r="R1100" s="79" t="s">
        <v>67</v>
      </c>
      <c r="S1100" s="22"/>
      <c r="T1100" s="22">
        <v>4</v>
      </c>
      <c r="U1100" s="24"/>
      <c r="V1100" s="23">
        <v>45901</v>
      </c>
      <c r="W1100" s="80" t="s">
        <v>113</v>
      </c>
      <c r="X1100" s="80"/>
      <c r="Y1100" s="96" t="s">
        <v>113</v>
      </c>
      <c r="Z1100"/>
      <c r="AA1100"/>
      <c r="AD1100" s="92"/>
      <c r="AE1100" s="92"/>
      <c r="AF1100" s="92"/>
    </row>
    <row r="1101" spans="1:32">
      <c r="A1101" s="834" t="s">
        <v>137</v>
      </c>
      <c r="B1101" s="835">
        <v>1098</v>
      </c>
      <c r="C1101" s="840" t="s">
        <v>1715</v>
      </c>
      <c r="D1101" s="840" t="s">
        <v>1257</v>
      </c>
      <c r="E1101" s="839">
        <v>45894</v>
      </c>
      <c r="F1101" s="838" t="s">
        <v>140</v>
      </c>
      <c r="G1101" s="838">
        <v>1</v>
      </c>
      <c r="H1101" s="838" t="s">
        <v>48</v>
      </c>
      <c r="I1101" s="838" t="s">
        <v>47</v>
      </c>
      <c r="J1101" s="838" t="s">
        <v>871</v>
      </c>
      <c r="K1101" s="100"/>
      <c r="L1101" s="21"/>
      <c r="M1101" s="22"/>
      <c r="N1101" s="23"/>
      <c r="O1101" s="61"/>
      <c r="P1101" s="100" t="s">
        <v>1716</v>
      </c>
      <c r="Q1101" s="23"/>
      <c r="R1101" s="79" t="s">
        <v>67</v>
      </c>
      <c r="S1101" s="22"/>
      <c r="T1101" s="22"/>
      <c r="U1101" s="24"/>
      <c r="V1101" s="23"/>
      <c r="W1101" s="80" t="s">
        <v>113</v>
      </c>
      <c r="X1101" s="80"/>
      <c r="Y1101" s="96" t="s">
        <v>113</v>
      </c>
      <c r="Z1101"/>
      <c r="AA1101"/>
      <c r="AD1101" s="92"/>
      <c r="AE1101" s="92"/>
      <c r="AF1101" s="92"/>
    </row>
    <row r="1102" spans="1:32">
      <c r="A1102" s="834" t="s">
        <v>137</v>
      </c>
      <c r="B1102" s="835">
        <v>1099</v>
      </c>
      <c r="C1102" s="840" t="s">
        <v>1717</v>
      </c>
      <c r="D1102" s="840" t="s">
        <v>1718</v>
      </c>
      <c r="E1102" s="839">
        <v>45894.041666666664</v>
      </c>
      <c r="F1102" s="838" t="s">
        <v>140</v>
      </c>
      <c r="G1102" s="838">
        <v>2</v>
      </c>
      <c r="H1102" s="838" t="s">
        <v>21</v>
      </c>
      <c r="I1102" s="838" t="s">
        <v>127</v>
      </c>
      <c r="J1102" s="838" t="s">
        <v>871</v>
      </c>
      <c r="K1102" s="100"/>
      <c r="L1102" s="21"/>
      <c r="M1102" s="22"/>
      <c r="N1102" s="23"/>
      <c r="O1102" s="23"/>
      <c r="P1102" s="100"/>
      <c r="Q1102" s="23"/>
      <c r="R1102" s="79" t="s">
        <v>67</v>
      </c>
      <c r="S1102" s="22"/>
      <c r="T1102" s="22">
        <v>2</v>
      </c>
      <c r="U1102" s="24"/>
      <c r="V1102" s="23">
        <v>45903</v>
      </c>
      <c r="W1102" s="80" t="s">
        <v>113</v>
      </c>
      <c r="X1102" s="80"/>
      <c r="Y1102" s="96" t="s">
        <v>113</v>
      </c>
      <c r="Z1102"/>
      <c r="AA1102" s="85"/>
      <c r="AB1102" s="85"/>
      <c r="AC1102" s="84"/>
      <c r="AD1102" s="92"/>
      <c r="AE1102" s="92"/>
      <c r="AF1102" s="92"/>
    </row>
    <row r="1103" spans="1:32">
      <c r="A1103" s="834" t="s">
        <v>24</v>
      </c>
      <c r="B1103" s="835">
        <v>1100</v>
      </c>
      <c r="C1103" s="838" t="s">
        <v>1630</v>
      </c>
      <c r="D1103" s="839" t="s">
        <v>34</v>
      </c>
      <c r="E1103" s="839">
        <v>45901</v>
      </c>
      <c r="F1103" s="838" t="s">
        <v>100</v>
      </c>
      <c r="G1103" s="838">
        <v>11</v>
      </c>
      <c r="H1103" s="838" t="s">
        <v>1077</v>
      </c>
      <c r="I1103" s="838" t="s">
        <v>1138</v>
      </c>
      <c r="J1103" s="838" t="s">
        <v>871</v>
      </c>
      <c r="K1103" s="839"/>
      <c r="L1103" s="834"/>
      <c r="M1103" s="834"/>
      <c r="N1103" s="834"/>
      <c r="O1103" s="848"/>
      <c r="P1103" s="23" t="s">
        <v>30</v>
      </c>
      <c r="Q1103" s="23">
        <v>45918</v>
      </c>
      <c r="R1103" s="79" t="s">
        <v>1138</v>
      </c>
      <c r="S1103" s="22" t="s">
        <v>32</v>
      </c>
      <c r="T1103" s="22">
        <v>11</v>
      </c>
      <c r="U1103" s="24" t="s">
        <v>1138</v>
      </c>
      <c r="V1103" s="23">
        <v>45918</v>
      </c>
      <c r="W1103" s="96" t="s">
        <v>30</v>
      </c>
      <c r="X1103" s="96" t="s">
        <v>30</v>
      </c>
      <c r="Y1103" s="96" t="s">
        <v>30</v>
      </c>
      <c r="Z1103" s="96" t="s">
        <v>30</v>
      </c>
      <c r="AA1103"/>
      <c r="AB1103" s="776"/>
      <c r="AC1103" s="776"/>
      <c r="AD1103" s="776"/>
      <c r="AE1103" s="776"/>
    </row>
    <row r="1104" spans="1:32">
      <c r="A1104" s="834" t="s">
        <v>24</v>
      </c>
      <c r="B1104" s="835">
        <v>1101</v>
      </c>
      <c r="C1104" s="838" t="s">
        <v>1719</v>
      </c>
      <c r="D1104" s="839" t="s">
        <v>34</v>
      </c>
      <c r="E1104" s="839">
        <v>45901</v>
      </c>
      <c r="F1104" s="838" t="s">
        <v>65</v>
      </c>
      <c r="G1104" s="838">
        <v>10</v>
      </c>
      <c r="H1104" s="838" t="s">
        <v>1077</v>
      </c>
      <c r="I1104" s="838" t="s">
        <v>1138</v>
      </c>
      <c r="J1104" s="838" t="s">
        <v>871</v>
      </c>
      <c r="K1104" s="839"/>
      <c r="L1104" s="834"/>
      <c r="M1104" s="834"/>
      <c r="N1104" s="834"/>
      <c r="O1104" s="848"/>
      <c r="P1104" s="23" t="s">
        <v>30</v>
      </c>
      <c r="Q1104" s="23">
        <v>45919</v>
      </c>
      <c r="R1104" s="79" t="s">
        <v>1138</v>
      </c>
      <c r="S1104" s="22" t="s">
        <v>32</v>
      </c>
      <c r="T1104" s="22">
        <v>10</v>
      </c>
      <c r="U1104" s="24" t="s">
        <v>1138</v>
      </c>
      <c r="V1104" s="23">
        <v>45919</v>
      </c>
      <c r="W1104" s="96" t="s">
        <v>30</v>
      </c>
      <c r="X1104" s="96" t="s">
        <v>30</v>
      </c>
      <c r="Y1104" s="96" t="s">
        <v>30</v>
      </c>
      <c r="Z1104" s="96" t="s">
        <v>30</v>
      </c>
      <c r="AA1104"/>
      <c r="AB1104" s="776"/>
      <c r="AC1104" s="776"/>
      <c r="AD1104" s="776"/>
      <c r="AE1104" s="776"/>
    </row>
    <row r="1105" spans="1:31">
      <c r="A1105" s="834" t="s">
        <v>24</v>
      </c>
      <c r="B1105" s="835">
        <v>1102</v>
      </c>
      <c r="C1105" s="838" t="s">
        <v>1720</v>
      </c>
      <c r="D1105" s="839" t="s">
        <v>102</v>
      </c>
      <c r="E1105" s="839">
        <v>45901</v>
      </c>
      <c r="F1105" s="838" t="s">
        <v>885</v>
      </c>
      <c r="G1105" s="838">
        <v>7</v>
      </c>
      <c r="H1105" s="838" t="s">
        <v>1721</v>
      </c>
      <c r="I1105" s="838" t="s">
        <v>1638</v>
      </c>
      <c r="J1105" s="838" t="s">
        <v>871</v>
      </c>
      <c r="K1105" s="839"/>
      <c r="L1105" s="834"/>
      <c r="M1105" s="834"/>
      <c r="N1105" s="834"/>
      <c r="O1105" s="848"/>
      <c r="P1105" s="23" t="s">
        <v>30</v>
      </c>
      <c r="Q1105" s="23">
        <v>45918</v>
      </c>
      <c r="R1105" s="79" t="s">
        <v>1638</v>
      </c>
      <c r="S1105" s="22" t="s">
        <v>32</v>
      </c>
      <c r="T1105" s="22">
        <v>7</v>
      </c>
      <c r="U1105" s="24" t="s">
        <v>1638</v>
      </c>
      <c r="V1105" s="23">
        <v>45918</v>
      </c>
      <c r="W1105" s="80" t="s">
        <v>30</v>
      </c>
      <c r="X1105" s="96" t="s">
        <v>30</v>
      </c>
      <c r="Y1105" s="96" t="s">
        <v>30</v>
      </c>
      <c r="Z1105" s="80" t="s">
        <v>30</v>
      </c>
      <c r="AA1105"/>
      <c r="AB1105" s="776"/>
      <c r="AC1105" s="776"/>
      <c r="AD1105" s="776"/>
      <c r="AE1105" s="776"/>
    </row>
    <row r="1106" spans="1:31">
      <c r="A1106" s="834" t="s">
        <v>24</v>
      </c>
      <c r="B1106" s="835">
        <v>1103</v>
      </c>
      <c r="C1106" s="838" t="s">
        <v>1722</v>
      </c>
      <c r="D1106" s="839" t="s">
        <v>384</v>
      </c>
      <c r="E1106" s="839">
        <v>45902</v>
      </c>
      <c r="F1106" s="838" t="s">
        <v>885</v>
      </c>
      <c r="G1106" s="838">
        <v>7</v>
      </c>
      <c r="H1106" s="838" t="s">
        <v>1721</v>
      </c>
      <c r="I1106" s="838" t="s">
        <v>1638</v>
      </c>
      <c r="J1106" s="838" t="s">
        <v>871</v>
      </c>
      <c r="K1106" s="839"/>
      <c r="L1106" s="834"/>
      <c r="M1106" s="834"/>
      <c r="N1106" s="834"/>
      <c r="O1106" s="848"/>
      <c r="P1106" s="23" t="s">
        <v>30</v>
      </c>
      <c r="Q1106" s="23">
        <v>45918</v>
      </c>
      <c r="R1106" s="79" t="s">
        <v>1638</v>
      </c>
      <c r="S1106" s="22" t="s">
        <v>32</v>
      </c>
      <c r="T1106" s="22">
        <v>7</v>
      </c>
      <c r="U1106" s="24" t="s">
        <v>1638</v>
      </c>
      <c r="V1106" s="23">
        <v>45918</v>
      </c>
      <c r="W1106" s="80" t="s">
        <v>30</v>
      </c>
      <c r="X1106" s="96" t="s">
        <v>30</v>
      </c>
      <c r="Y1106" s="96" t="s">
        <v>30</v>
      </c>
      <c r="Z1106" s="80" t="s">
        <v>30</v>
      </c>
      <c r="AA1106"/>
      <c r="AB1106" s="776"/>
      <c r="AC1106" s="776"/>
      <c r="AD1106" s="776"/>
      <c r="AE1106" s="776"/>
    </row>
    <row r="1107" spans="1:31">
      <c r="A1107" s="834" t="s">
        <v>24</v>
      </c>
      <c r="B1107" s="835">
        <v>1104</v>
      </c>
      <c r="C1107" s="838" t="s">
        <v>1723</v>
      </c>
      <c r="D1107" s="839" t="s">
        <v>43</v>
      </c>
      <c r="E1107" s="839">
        <v>45904</v>
      </c>
      <c r="F1107" s="838" t="s">
        <v>644</v>
      </c>
      <c r="G1107" s="838">
        <v>23</v>
      </c>
      <c r="H1107" s="838" t="s">
        <v>127</v>
      </c>
      <c r="I1107" s="838" t="s">
        <v>36</v>
      </c>
      <c r="J1107" s="838" t="s">
        <v>871</v>
      </c>
      <c r="K1107" s="839"/>
      <c r="L1107" s="215"/>
      <c r="M1107" s="834"/>
      <c r="N1107" s="834"/>
      <c r="O1107" s="240" t="s">
        <v>31</v>
      </c>
      <c r="P1107" s="23" t="s">
        <v>30</v>
      </c>
      <c r="Q1107" s="23">
        <v>45945</v>
      </c>
      <c r="R1107" s="79" t="s">
        <v>28</v>
      </c>
      <c r="S1107" s="22" t="s">
        <v>32</v>
      </c>
      <c r="T1107" s="22">
        <v>24</v>
      </c>
      <c r="U1107" s="24" t="s">
        <v>28</v>
      </c>
      <c r="V1107" s="23">
        <v>45945</v>
      </c>
      <c r="W1107" s="80" t="s">
        <v>30</v>
      </c>
      <c r="X1107" s="96" t="s">
        <v>30</v>
      </c>
      <c r="Y1107" s="96" t="s">
        <v>30</v>
      </c>
      <c r="Z1107" s="96" t="s">
        <v>30</v>
      </c>
      <c r="AA1107"/>
    </row>
    <row r="1108" spans="1:31">
      <c r="A1108" s="834" t="s">
        <v>24</v>
      </c>
      <c r="B1108" s="835">
        <v>1105</v>
      </c>
      <c r="C1108" s="838" t="s">
        <v>1724</v>
      </c>
      <c r="D1108" s="839" t="s">
        <v>193</v>
      </c>
      <c r="E1108" s="839">
        <v>45905</v>
      </c>
      <c r="F1108" s="838" t="s">
        <v>161</v>
      </c>
      <c r="G1108" s="838">
        <v>12</v>
      </c>
      <c r="H1108" s="838" t="s">
        <v>1725</v>
      </c>
      <c r="I1108" s="838" t="s">
        <v>47</v>
      </c>
      <c r="J1108" s="838" t="s">
        <v>871</v>
      </c>
      <c r="K1108" s="839"/>
      <c r="L1108" s="834"/>
      <c r="M1108" s="834"/>
      <c r="N1108" s="90"/>
      <c r="O1108" s="848"/>
      <c r="P1108" s="23" t="s">
        <v>30</v>
      </c>
      <c r="Q1108" s="23">
        <v>45919</v>
      </c>
      <c r="R1108" s="79" t="s">
        <v>47</v>
      </c>
      <c r="S1108" s="22" t="s">
        <v>32</v>
      </c>
      <c r="T1108" s="22">
        <v>9</v>
      </c>
      <c r="U1108" s="24" t="s">
        <v>47</v>
      </c>
      <c r="V1108" s="23">
        <v>45919</v>
      </c>
      <c r="W1108" s="96" t="s">
        <v>30</v>
      </c>
      <c r="X1108" s="96" t="s">
        <v>30</v>
      </c>
      <c r="Y1108" s="96" t="s">
        <v>30</v>
      </c>
      <c r="Z1108" s="80" t="s">
        <v>30</v>
      </c>
      <c r="AA1108"/>
      <c r="AB1108" s="776"/>
      <c r="AC1108" s="776"/>
      <c r="AD1108" s="776"/>
      <c r="AE1108" s="776"/>
    </row>
    <row r="1109" spans="1:31">
      <c r="A1109" s="834" t="s">
        <v>24</v>
      </c>
      <c r="B1109" s="835">
        <v>1106</v>
      </c>
      <c r="C1109" s="838" t="s">
        <v>1726</v>
      </c>
      <c r="D1109" s="839" t="s">
        <v>34</v>
      </c>
      <c r="E1109" s="839">
        <v>45906</v>
      </c>
      <c r="F1109" s="838" t="s">
        <v>743</v>
      </c>
      <c r="G1109" s="838">
        <v>12</v>
      </c>
      <c r="H1109" s="838" t="s">
        <v>1725</v>
      </c>
      <c r="I1109" s="838" t="s">
        <v>47</v>
      </c>
      <c r="J1109" s="838" t="s">
        <v>871</v>
      </c>
      <c r="K1109" s="839"/>
      <c r="L1109" s="834"/>
      <c r="M1109" s="834"/>
      <c r="N1109" s="848"/>
      <c r="O1109" s="848"/>
      <c r="P1109" s="23" t="s">
        <v>30</v>
      </c>
      <c r="Q1109" s="23">
        <v>45931</v>
      </c>
      <c r="R1109" s="79" t="s">
        <v>47</v>
      </c>
      <c r="S1109" s="22" t="s">
        <v>32</v>
      </c>
      <c r="T1109" s="22">
        <v>11</v>
      </c>
      <c r="U1109" s="22" t="s">
        <v>47</v>
      </c>
      <c r="V1109" s="23">
        <v>45931</v>
      </c>
      <c r="W1109" s="96" t="s">
        <v>30</v>
      </c>
      <c r="X1109" s="96" t="s">
        <v>30</v>
      </c>
      <c r="Y1109" s="96" t="s">
        <v>30</v>
      </c>
      <c r="Z1109" s="106" t="s">
        <v>1091</v>
      </c>
      <c r="AA1109"/>
      <c r="AB1109" s="776"/>
      <c r="AC1109" s="776"/>
      <c r="AD1109" s="776"/>
      <c r="AE1109" s="776"/>
    </row>
    <row r="1110" spans="1:31">
      <c r="A1110" s="834" t="s">
        <v>24</v>
      </c>
      <c r="B1110" s="835">
        <v>1107</v>
      </c>
      <c r="C1110" s="838" t="s">
        <v>1727</v>
      </c>
      <c r="D1110" s="839" t="s">
        <v>34</v>
      </c>
      <c r="E1110" s="839">
        <v>45906</v>
      </c>
      <c r="F1110" s="838" t="s">
        <v>35</v>
      </c>
      <c r="G1110" s="838">
        <v>15</v>
      </c>
      <c r="H1110" s="838" t="s">
        <v>1721</v>
      </c>
      <c r="I1110" s="838" t="s">
        <v>1638</v>
      </c>
      <c r="J1110" s="838" t="s">
        <v>871</v>
      </c>
      <c r="K1110" s="839"/>
      <c r="L1110" s="834"/>
      <c r="M1110" s="834"/>
      <c r="N1110" s="848"/>
      <c r="O1110" s="240" t="s">
        <v>31</v>
      </c>
      <c r="P1110" s="23" t="s">
        <v>30</v>
      </c>
      <c r="Q1110" s="23">
        <v>45923</v>
      </c>
      <c r="R1110" s="79" t="s">
        <v>1638</v>
      </c>
      <c r="S1110" s="22" t="s">
        <v>32</v>
      </c>
      <c r="T1110" s="22">
        <v>15</v>
      </c>
      <c r="U1110" s="22" t="s">
        <v>1638</v>
      </c>
      <c r="V1110" s="23">
        <v>45923</v>
      </c>
      <c r="W1110" s="80" t="s">
        <v>30</v>
      </c>
      <c r="X1110" s="96" t="s">
        <v>30</v>
      </c>
      <c r="Y1110" s="96" t="s">
        <v>30</v>
      </c>
      <c r="Z1110" s="80" t="s">
        <v>30</v>
      </c>
      <c r="AA1110"/>
      <c r="AB1110" s="776"/>
      <c r="AC1110" s="776"/>
      <c r="AD1110" s="776"/>
      <c r="AE1110" s="776"/>
    </row>
    <row r="1111" spans="1:31">
      <c r="A1111" s="834" t="s">
        <v>24</v>
      </c>
      <c r="B1111" s="835">
        <v>1108</v>
      </c>
      <c r="C1111" s="838" t="s">
        <v>1728</v>
      </c>
      <c r="D1111" s="839" t="s">
        <v>34</v>
      </c>
      <c r="E1111" s="839">
        <v>45906</v>
      </c>
      <c r="F1111" s="838" t="s">
        <v>1124</v>
      </c>
      <c r="G1111" s="838">
        <v>9</v>
      </c>
      <c r="H1111" s="838" t="s">
        <v>1077</v>
      </c>
      <c r="I1111" s="838" t="s">
        <v>1138</v>
      </c>
      <c r="J1111" s="838" t="s">
        <v>871</v>
      </c>
      <c r="K1111" s="839"/>
      <c r="L1111" s="834"/>
      <c r="M1111" s="834"/>
      <c r="N1111" s="848"/>
      <c r="O1111" s="848"/>
      <c r="P1111" s="23" t="s">
        <v>30</v>
      </c>
      <c r="Q1111" s="23">
        <v>45922</v>
      </c>
      <c r="R1111" s="79" t="s">
        <v>1138</v>
      </c>
      <c r="S1111" s="22" t="s">
        <v>32</v>
      </c>
      <c r="T1111" s="22">
        <v>9</v>
      </c>
      <c r="U1111" s="24" t="s">
        <v>1138</v>
      </c>
      <c r="V1111" s="23">
        <v>45922</v>
      </c>
      <c r="W1111" s="96" t="s">
        <v>30</v>
      </c>
      <c r="X1111" s="96" t="s">
        <v>30</v>
      </c>
      <c r="Y1111" s="96" t="s">
        <v>30</v>
      </c>
      <c r="Z1111" s="96" t="s">
        <v>30</v>
      </c>
      <c r="AA1111"/>
      <c r="AB1111" s="776"/>
      <c r="AC1111" s="776"/>
      <c r="AD1111" s="776"/>
      <c r="AE1111" s="776"/>
    </row>
    <row r="1112" spans="1:31">
      <c r="A1112" s="834" t="s">
        <v>24</v>
      </c>
      <c r="B1112" s="835">
        <v>1109</v>
      </c>
      <c r="C1112" s="838" t="s">
        <v>1729</v>
      </c>
      <c r="D1112" s="839" t="s">
        <v>34</v>
      </c>
      <c r="E1112" s="839">
        <v>45906</v>
      </c>
      <c r="F1112" s="838" t="s">
        <v>206</v>
      </c>
      <c r="G1112" s="838">
        <v>12</v>
      </c>
      <c r="H1112" s="838" t="s">
        <v>1721</v>
      </c>
      <c r="I1112" s="838" t="s">
        <v>1638</v>
      </c>
      <c r="J1112" s="838" t="s">
        <v>871</v>
      </c>
      <c r="K1112" s="839"/>
      <c r="L1112" s="834"/>
      <c r="M1112" s="834"/>
      <c r="N1112" s="848"/>
      <c r="O1112" s="848"/>
      <c r="P1112" s="23" t="s">
        <v>30</v>
      </c>
      <c r="Q1112" s="23">
        <v>45924</v>
      </c>
      <c r="R1112" s="79" t="s">
        <v>1638</v>
      </c>
      <c r="S1112" s="22" t="s">
        <v>1140</v>
      </c>
      <c r="T1112" s="22">
        <v>12</v>
      </c>
      <c r="U1112" s="24" t="s">
        <v>1638</v>
      </c>
      <c r="V1112" s="23">
        <v>45924</v>
      </c>
      <c r="W1112" s="80" t="s">
        <v>30</v>
      </c>
      <c r="X1112" s="96" t="s">
        <v>30</v>
      </c>
      <c r="Y1112" s="96" t="s">
        <v>30</v>
      </c>
      <c r="Z1112" s="80" t="s">
        <v>30</v>
      </c>
      <c r="AA1112"/>
      <c r="AB1112" s="776"/>
      <c r="AC1112" s="776"/>
      <c r="AD1112" s="776"/>
      <c r="AE1112" s="776"/>
    </row>
    <row r="1113" spans="1:31">
      <c r="A1113" s="834" t="s">
        <v>24</v>
      </c>
      <c r="B1113" s="835">
        <v>1110</v>
      </c>
      <c r="C1113" s="838" t="s">
        <v>1730</v>
      </c>
      <c r="D1113" s="839" t="s">
        <v>34</v>
      </c>
      <c r="E1113" s="839">
        <v>45911</v>
      </c>
      <c r="F1113" s="838" t="s">
        <v>1124</v>
      </c>
      <c r="G1113" s="838">
        <v>15</v>
      </c>
      <c r="H1113" s="838" t="s">
        <v>1077</v>
      </c>
      <c r="I1113" s="838" t="s">
        <v>1138</v>
      </c>
      <c r="J1113" s="838" t="s">
        <v>871</v>
      </c>
      <c r="K1113" s="839"/>
      <c r="L1113" s="834"/>
      <c r="M1113" s="834"/>
      <c r="N1113" s="90"/>
      <c r="O1113" s="240" t="s">
        <v>31</v>
      </c>
      <c r="P1113" s="23" t="s">
        <v>30</v>
      </c>
      <c r="Q1113" s="23">
        <v>45923</v>
      </c>
      <c r="R1113" s="79" t="s">
        <v>1138</v>
      </c>
      <c r="S1113" s="22" t="s">
        <v>32</v>
      </c>
      <c r="T1113" s="22">
        <v>16</v>
      </c>
      <c r="U1113" s="24" t="s">
        <v>1138</v>
      </c>
      <c r="V1113" s="23">
        <v>45923</v>
      </c>
      <c r="W1113" s="96" t="s">
        <v>30</v>
      </c>
      <c r="X1113" s="96" t="s">
        <v>30</v>
      </c>
      <c r="Y1113" s="96" t="s">
        <v>30</v>
      </c>
      <c r="Z1113" s="96" t="s">
        <v>30</v>
      </c>
      <c r="AA1113"/>
    </row>
    <row r="1114" spans="1:31">
      <c r="A1114" s="834" t="s">
        <v>24</v>
      </c>
      <c r="B1114" s="835">
        <v>1111</v>
      </c>
      <c r="C1114" s="838" t="s">
        <v>1731</v>
      </c>
      <c r="D1114" s="839" t="s">
        <v>102</v>
      </c>
      <c r="E1114" s="839">
        <v>45911</v>
      </c>
      <c r="F1114" s="838" t="s">
        <v>653</v>
      </c>
      <c r="G1114" s="838">
        <v>14</v>
      </c>
      <c r="H1114" s="838" t="s">
        <v>1725</v>
      </c>
      <c r="I1114" s="838" t="s">
        <v>47</v>
      </c>
      <c r="J1114" s="838" t="s">
        <v>871</v>
      </c>
      <c r="K1114" s="839"/>
      <c r="L1114" s="241"/>
      <c r="M1114" s="834"/>
      <c r="N1114" s="90"/>
      <c r="O1114" s="848"/>
      <c r="P1114" s="23" t="s">
        <v>30</v>
      </c>
      <c r="Q1114" s="23">
        <v>45943</v>
      </c>
      <c r="R1114" s="79" t="s">
        <v>1138</v>
      </c>
      <c r="S1114" s="22" t="s">
        <v>32</v>
      </c>
      <c r="T1114" s="22">
        <v>14</v>
      </c>
      <c r="U1114" s="22" t="s">
        <v>1138</v>
      </c>
      <c r="V1114" s="23">
        <v>45943</v>
      </c>
      <c r="W1114" s="96" t="s">
        <v>30</v>
      </c>
      <c r="X1114" s="96" t="s">
        <v>30</v>
      </c>
      <c r="Y1114" s="96" t="s">
        <v>30</v>
      </c>
      <c r="Z1114" s="80" t="s">
        <v>30</v>
      </c>
      <c r="AA1114"/>
    </row>
    <row r="1115" spans="1:31">
      <c r="A1115" s="834" t="s">
        <v>24</v>
      </c>
      <c r="B1115" s="835">
        <v>1112</v>
      </c>
      <c r="C1115" s="838" t="s">
        <v>1732</v>
      </c>
      <c r="D1115" s="839" t="s">
        <v>34</v>
      </c>
      <c r="E1115" s="839">
        <v>45913</v>
      </c>
      <c r="F1115" s="838" t="s">
        <v>106</v>
      </c>
      <c r="G1115" s="838">
        <v>12</v>
      </c>
      <c r="H1115" s="838" t="s">
        <v>127</v>
      </c>
      <c r="I1115" s="838" t="s">
        <v>36</v>
      </c>
      <c r="J1115" s="838" t="s">
        <v>871</v>
      </c>
      <c r="K1115" s="839"/>
      <c r="L1115" s="834"/>
      <c r="M1115" s="834"/>
      <c r="N1115" s="848"/>
      <c r="O1115" s="848"/>
      <c r="P1115" s="848" t="s">
        <v>30</v>
      </c>
      <c r="Q1115" s="23">
        <v>45938</v>
      </c>
      <c r="R1115" s="79" t="s">
        <v>28</v>
      </c>
      <c r="S1115" s="22" t="s">
        <v>32</v>
      </c>
      <c r="T1115" s="22">
        <v>11</v>
      </c>
      <c r="U1115" s="24" t="s">
        <v>28</v>
      </c>
      <c r="V1115" s="23">
        <v>45938</v>
      </c>
      <c r="W1115" s="80" t="s">
        <v>30</v>
      </c>
      <c r="X1115" s="96" t="s">
        <v>30</v>
      </c>
      <c r="Y1115" s="96" t="s">
        <v>30</v>
      </c>
      <c r="Z1115" s="102" t="s">
        <v>30</v>
      </c>
      <c r="AA1115"/>
    </row>
    <row r="1116" spans="1:31">
      <c r="A1116" s="834" t="s">
        <v>24</v>
      </c>
      <c r="B1116" s="835">
        <v>1113</v>
      </c>
      <c r="C1116" s="838" t="s">
        <v>1733</v>
      </c>
      <c r="D1116" s="839" t="s">
        <v>34</v>
      </c>
      <c r="E1116" s="839">
        <v>45913</v>
      </c>
      <c r="F1116" s="838" t="s">
        <v>202</v>
      </c>
      <c r="G1116" s="838">
        <v>16</v>
      </c>
      <c r="H1116" s="838" t="s">
        <v>127</v>
      </c>
      <c r="I1116" s="838" t="s">
        <v>36</v>
      </c>
      <c r="J1116" s="838" t="s">
        <v>871</v>
      </c>
      <c r="L1116" s="242" t="s">
        <v>1734</v>
      </c>
      <c r="M1116" s="834"/>
      <c r="N1116" s="90"/>
      <c r="O1116" s="240" t="s">
        <v>31</v>
      </c>
      <c r="P1116" s="848"/>
      <c r="Q1116" s="23"/>
      <c r="R1116" s="79" t="s">
        <v>28</v>
      </c>
      <c r="S1116" s="22"/>
      <c r="T1116" s="22"/>
      <c r="U1116" s="24"/>
      <c r="V1116" s="23"/>
      <c r="W1116" s="96" t="s">
        <v>30</v>
      </c>
      <c r="X1116" s="96" t="s">
        <v>30</v>
      </c>
      <c r="Y1116" s="96" t="s">
        <v>30</v>
      </c>
      <c r="Z1116" s="102" t="s">
        <v>30</v>
      </c>
      <c r="AA1116"/>
    </row>
    <row r="1117" spans="1:31">
      <c r="A1117" s="834" t="s">
        <v>24</v>
      </c>
      <c r="B1117" s="835">
        <v>1114</v>
      </c>
      <c r="C1117" s="851" t="s">
        <v>1735</v>
      </c>
      <c r="D1117" s="851" t="s">
        <v>64</v>
      </c>
      <c r="E1117" s="839">
        <v>45913</v>
      </c>
      <c r="F1117" s="851" t="s">
        <v>1736</v>
      </c>
      <c r="G1117" s="851">
        <v>20</v>
      </c>
      <c r="H1117" s="851" t="s">
        <v>1725</v>
      </c>
      <c r="I1117" s="851" t="s">
        <v>47</v>
      </c>
      <c r="J1117" s="838" t="s">
        <v>871</v>
      </c>
      <c r="K1117" s="839"/>
      <c r="L1117" s="834"/>
      <c r="M1117" s="834"/>
      <c r="N1117" s="848"/>
      <c r="O1117" s="240" t="s">
        <v>31</v>
      </c>
      <c r="P1117" s="23" t="s">
        <v>30</v>
      </c>
      <c r="Q1117" s="23">
        <v>45923</v>
      </c>
      <c r="R1117" s="79" t="s">
        <v>47</v>
      </c>
      <c r="S1117" s="22" t="s">
        <v>32</v>
      </c>
      <c r="T1117" s="22">
        <v>20</v>
      </c>
      <c r="U1117" s="24" t="s">
        <v>47</v>
      </c>
      <c r="V1117" s="23">
        <v>45920</v>
      </c>
      <c r="W1117" s="96" t="s">
        <v>30</v>
      </c>
      <c r="X1117" s="96" t="s">
        <v>30</v>
      </c>
      <c r="Y1117" s="96" t="s">
        <v>30</v>
      </c>
      <c r="Z1117" s="96" t="s">
        <v>30</v>
      </c>
      <c r="AA1117"/>
    </row>
    <row r="1118" spans="1:31">
      <c r="A1118" s="834" t="s">
        <v>24</v>
      </c>
      <c r="B1118" s="835">
        <v>1115</v>
      </c>
      <c r="C1118" s="838" t="s">
        <v>1737</v>
      </c>
      <c r="D1118" s="838" t="s">
        <v>102</v>
      </c>
      <c r="E1118" s="839">
        <v>45913</v>
      </c>
      <c r="F1118" s="838" t="s">
        <v>1132</v>
      </c>
      <c r="G1118" s="838">
        <v>14</v>
      </c>
      <c r="H1118" s="851" t="s">
        <v>1725</v>
      </c>
      <c r="I1118" s="851" t="s">
        <v>47</v>
      </c>
      <c r="J1118" s="838" t="s">
        <v>871</v>
      </c>
      <c r="K1118" s="839"/>
      <c r="L1118" s="834"/>
      <c r="M1118" s="834"/>
      <c r="N1118" s="90"/>
      <c r="O1118" s="848"/>
      <c r="P1118" s="23" t="s">
        <v>30</v>
      </c>
      <c r="Q1118" s="23">
        <v>45925</v>
      </c>
      <c r="R1118" s="79" t="s">
        <v>47</v>
      </c>
      <c r="S1118" s="22" t="s">
        <v>32</v>
      </c>
      <c r="T1118" s="22">
        <v>14</v>
      </c>
      <c r="U1118" s="24" t="s">
        <v>47</v>
      </c>
      <c r="V1118" s="23">
        <v>45925</v>
      </c>
      <c r="W1118" s="96" t="s">
        <v>30</v>
      </c>
      <c r="X1118" s="96" t="s">
        <v>30</v>
      </c>
      <c r="Y1118" s="96" t="s">
        <v>30</v>
      </c>
      <c r="Z1118" s="80" t="s">
        <v>30</v>
      </c>
      <c r="AA1118"/>
    </row>
    <row r="1119" spans="1:31">
      <c r="A1119" s="834" t="s">
        <v>24</v>
      </c>
      <c r="B1119" s="835">
        <v>1116</v>
      </c>
      <c r="C1119" s="838" t="s">
        <v>1738</v>
      </c>
      <c r="D1119" s="838" t="s">
        <v>406</v>
      </c>
      <c r="E1119" s="839">
        <v>45913</v>
      </c>
      <c r="F1119" s="838" t="s">
        <v>272</v>
      </c>
      <c r="G1119" s="838">
        <v>15</v>
      </c>
      <c r="H1119" s="838" t="s">
        <v>1725</v>
      </c>
      <c r="I1119" s="219" t="s">
        <v>47</v>
      </c>
      <c r="J1119" s="838" t="s">
        <v>871</v>
      </c>
      <c r="K1119" s="839"/>
      <c r="L1119" s="834"/>
      <c r="M1119" s="834"/>
      <c r="N1119" s="848"/>
      <c r="O1119" s="240" t="s">
        <v>31</v>
      </c>
      <c r="P1119" s="23" t="s">
        <v>30</v>
      </c>
      <c r="Q1119" s="23">
        <v>45959</v>
      </c>
      <c r="R1119" s="79" t="s">
        <v>47</v>
      </c>
      <c r="S1119" s="22" t="s">
        <v>32</v>
      </c>
      <c r="T1119" s="22">
        <v>16</v>
      </c>
      <c r="U1119" s="24" t="s">
        <v>47</v>
      </c>
      <c r="V1119" s="23">
        <v>45959</v>
      </c>
      <c r="W1119" s="96" t="s">
        <v>30</v>
      </c>
      <c r="X1119" s="91" t="s">
        <v>32</v>
      </c>
      <c r="Y1119" s="91" t="s">
        <v>32</v>
      </c>
      <c r="Z1119" s="102" t="s">
        <v>30</v>
      </c>
      <c r="AA1119"/>
    </row>
    <row r="1120" spans="1:31">
      <c r="A1120" s="834" t="s">
        <v>24</v>
      </c>
      <c r="B1120" s="835">
        <v>1117</v>
      </c>
      <c r="C1120" s="838" t="s">
        <v>1739</v>
      </c>
      <c r="D1120" s="838" t="s">
        <v>34</v>
      </c>
      <c r="E1120" s="839">
        <v>45913</v>
      </c>
      <c r="F1120" s="838" t="s">
        <v>631</v>
      </c>
      <c r="G1120" s="838">
        <v>12</v>
      </c>
      <c r="H1120" s="838" t="s">
        <v>1725</v>
      </c>
      <c r="I1120" s="838" t="s">
        <v>47</v>
      </c>
      <c r="J1120" s="838" t="s">
        <v>871</v>
      </c>
      <c r="K1120" s="839"/>
      <c r="L1120" s="834"/>
      <c r="M1120" s="22"/>
      <c r="N1120" s="23"/>
      <c r="O1120" s="848"/>
      <c r="P1120" s="848" t="s">
        <v>30</v>
      </c>
      <c r="Q1120" s="23">
        <v>45952</v>
      </c>
      <c r="R1120" s="79" t="s">
        <v>47</v>
      </c>
      <c r="S1120" s="22" t="s">
        <v>1740</v>
      </c>
      <c r="T1120" s="22">
        <v>13</v>
      </c>
      <c r="U1120" s="24" t="s">
        <v>47</v>
      </c>
      <c r="V1120" s="23">
        <v>45952</v>
      </c>
      <c r="W1120" s="96" t="s">
        <v>30</v>
      </c>
      <c r="X1120" s="96" t="s">
        <v>30</v>
      </c>
      <c r="Y1120" s="96" t="s">
        <v>30</v>
      </c>
      <c r="Z1120" s="102" t="s">
        <v>30</v>
      </c>
      <c r="AA1120"/>
    </row>
    <row r="1121" spans="1:34">
      <c r="A1121" s="834" t="s">
        <v>24</v>
      </c>
      <c r="B1121" s="835">
        <v>1118</v>
      </c>
      <c r="C1121" s="838" t="s">
        <v>1741</v>
      </c>
      <c r="D1121" s="838" t="s">
        <v>64</v>
      </c>
      <c r="E1121" s="839">
        <v>45913</v>
      </c>
      <c r="F1121" s="838" t="s">
        <v>181</v>
      </c>
      <c r="G1121" s="838">
        <v>21</v>
      </c>
      <c r="H1121" s="838" t="s">
        <v>1077</v>
      </c>
      <c r="I1121" s="838" t="s">
        <v>1138</v>
      </c>
      <c r="J1121" s="838" t="s">
        <v>871</v>
      </c>
      <c r="K1121" s="839"/>
      <c r="L1121" s="241"/>
      <c r="M1121" s="22"/>
      <c r="N1121" s="23"/>
      <c r="O1121" s="240" t="s">
        <v>31</v>
      </c>
      <c r="P1121" s="848" t="s">
        <v>30</v>
      </c>
      <c r="Q1121" s="23">
        <v>45931</v>
      </c>
      <c r="R1121" s="79" t="s">
        <v>1138</v>
      </c>
      <c r="S1121" s="22" t="s">
        <v>32</v>
      </c>
      <c r="T1121" s="22">
        <v>21</v>
      </c>
      <c r="U1121" s="24" t="s">
        <v>1138</v>
      </c>
      <c r="V1121" s="23">
        <v>45931</v>
      </c>
      <c r="W1121" s="96" t="s">
        <v>30</v>
      </c>
      <c r="X1121" s="96" t="s">
        <v>30</v>
      </c>
      <c r="Y1121" s="96" t="s">
        <v>30</v>
      </c>
      <c r="Z1121" s="102" t="s">
        <v>30</v>
      </c>
      <c r="AA1121"/>
      <c r="AB1121" s="776"/>
      <c r="AC1121" s="776"/>
      <c r="AD1121" s="776"/>
      <c r="AE1121" s="776"/>
    </row>
    <row r="1122" spans="1:34">
      <c r="A1122" s="834" t="s">
        <v>24</v>
      </c>
      <c r="B1122" s="835">
        <v>1119</v>
      </c>
      <c r="C1122" s="838" t="s">
        <v>1742</v>
      </c>
      <c r="D1122" s="838" t="s">
        <v>34</v>
      </c>
      <c r="E1122" s="839">
        <v>45913</v>
      </c>
      <c r="F1122" s="838" t="s">
        <v>1314</v>
      </c>
      <c r="G1122" s="838">
        <v>14</v>
      </c>
      <c r="H1122" s="838" t="s">
        <v>1725</v>
      </c>
      <c r="I1122" s="838" t="s">
        <v>47</v>
      </c>
      <c r="J1122" s="838" t="s">
        <v>871</v>
      </c>
      <c r="K1122" s="839"/>
      <c r="L1122" s="834"/>
      <c r="M1122" s="22"/>
      <c r="N1122" s="23"/>
      <c r="O1122" s="848"/>
      <c r="P1122" s="23" t="s">
        <v>30</v>
      </c>
      <c r="Q1122" s="23">
        <v>45930</v>
      </c>
      <c r="R1122" s="79" t="s">
        <v>47</v>
      </c>
      <c r="S1122" s="22" t="s">
        <v>32</v>
      </c>
      <c r="T1122" s="22">
        <v>13</v>
      </c>
      <c r="U1122" s="22" t="s">
        <v>47</v>
      </c>
      <c r="V1122" s="23">
        <v>45930</v>
      </c>
      <c r="W1122" s="96" t="s">
        <v>30</v>
      </c>
      <c r="X1122" s="96" t="s">
        <v>30</v>
      </c>
      <c r="Y1122" s="96" t="s">
        <v>30</v>
      </c>
      <c r="Z1122" s="80" t="s">
        <v>30</v>
      </c>
      <c r="AA1122"/>
      <c r="AB1122" s="776"/>
      <c r="AC1122" s="776"/>
      <c r="AD1122" s="776"/>
      <c r="AE1122" s="776"/>
    </row>
    <row r="1123" spans="1:34">
      <c r="A1123" s="834" t="s">
        <v>24</v>
      </c>
      <c r="B1123" s="835">
        <v>1120</v>
      </c>
      <c r="C1123" s="838" t="s">
        <v>1743</v>
      </c>
      <c r="D1123" s="838" t="s">
        <v>34</v>
      </c>
      <c r="E1123" s="839">
        <v>45913</v>
      </c>
      <c r="F1123" s="838" t="s">
        <v>65</v>
      </c>
      <c r="G1123" s="838">
        <v>7</v>
      </c>
      <c r="H1123" s="838" t="s">
        <v>1077</v>
      </c>
      <c r="I1123" s="838" t="s">
        <v>1138</v>
      </c>
      <c r="J1123" s="838" t="s">
        <v>871</v>
      </c>
      <c r="K1123" s="839"/>
      <c r="L1123" s="834"/>
      <c r="M1123" s="22"/>
      <c r="N1123" s="23"/>
      <c r="O1123" s="848"/>
      <c r="P1123" s="23" t="s">
        <v>30</v>
      </c>
      <c r="Q1123" s="23">
        <v>45931</v>
      </c>
      <c r="R1123" s="79" t="s">
        <v>1138</v>
      </c>
      <c r="S1123" s="22" t="s">
        <v>32</v>
      </c>
      <c r="T1123" s="22">
        <v>7</v>
      </c>
      <c r="U1123" s="22" t="s">
        <v>1138</v>
      </c>
      <c r="V1123" s="23">
        <v>45931</v>
      </c>
      <c r="W1123" s="96" t="s">
        <v>30</v>
      </c>
      <c r="X1123" s="96" t="s">
        <v>30</v>
      </c>
      <c r="Y1123" s="96" t="s">
        <v>30</v>
      </c>
      <c r="Z1123" s="102" t="s">
        <v>30</v>
      </c>
      <c r="AA1123"/>
      <c r="AB1123" s="776"/>
      <c r="AC1123" s="776"/>
      <c r="AD1123" s="776"/>
      <c r="AE1123" s="776"/>
    </row>
    <row r="1124" spans="1:34">
      <c r="A1124" s="834" t="s">
        <v>24</v>
      </c>
      <c r="B1124" s="835">
        <v>1121</v>
      </c>
      <c r="C1124" s="838" t="s">
        <v>1744</v>
      </c>
      <c r="D1124" s="838" t="s">
        <v>34</v>
      </c>
      <c r="E1124" s="839">
        <v>45913</v>
      </c>
      <c r="F1124" s="838" t="s">
        <v>65</v>
      </c>
      <c r="G1124" s="838">
        <v>6</v>
      </c>
      <c r="H1124" s="838" t="s">
        <v>1077</v>
      </c>
      <c r="I1124" s="838" t="s">
        <v>1138</v>
      </c>
      <c r="J1124" s="838" t="s">
        <v>871</v>
      </c>
      <c r="K1124" s="839"/>
      <c r="L1124" s="241"/>
      <c r="M1124" s="22"/>
      <c r="N1124" s="23"/>
      <c r="O1124" s="848"/>
      <c r="P1124" s="23" t="s">
        <v>30</v>
      </c>
      <c r="Q1124" s="23">
        <v>45933</v>
      </c>
      <c r="R1124" s="79" t="s">
        <v>1138</v>
      </c>
      <c r="S1124" s="22" t="s">
        <v>32</v>
      </c>
      <c r="T1124" s="22">
        <v>6</v>
      </c>
      <c r="U1124" s="24" t="s">
        <v>1138</v>
      </c>
      <c r="V1124" s="23">
        <v>45933</v>
      </c>
      <c r="W1124" s="96" t="s">
        <v>30</v>
      </c>
      <c r="X1124" s="96" t="s">
        <v>30</v>
      </c>
      <c r="Y1124" s="96" t="s">
        <v>30</v>
      </c>
      <c r="Z1124" s="102" t="s">
        <v>30</v>
      </c>
      <c r="AA1124"/>
    </row>
    <row r="1125" spans="1:34">
      <c r="A1125" s="834" t="s">
        <v>24</v>
      </c>
      <c r="B1125" s="835">
        <v>1122</v>
      </c>
      <c r="C1125" s="838" t="s">
        <v>1745</v>
      </c>
      <c r="D1125" s="838" t="s">
        <v>1746</v>
      </c>
      <c r="E1125" s="839">
        <v>45917</v>
      </c>
      <c r="F1125" s="838" t="s">
        <v>395</v>
      </c>
      <c r="G1125" s="838">
        <v>11</v>
      </c>
      <c r="H1125" s="838" t="s">
        <v>1721</v>
      </c>
      <c r="I1125" s="838" t="s">
        <v>1638</v>
      </c>
      <c r="J1125" s="838" t="s">
        <v>237</v>
      </c>
      <c r="K1125" s="838"/>
      <c r="L1125" s="89"/>
      <c r="M1125" s="22"/>
      <c r="N1125" s="23"/>
      <c r="O1125" s="848"/>
      <c r="P1125" s="23" t="s">
        <v>30</v>
      </c>
      <c r="Q1125" s="23">
        <v>45951</v>
      </c>
      <c r="R1125" s="79" t="s">
        <v>28</v>
      </c>
      <c r="S1125" s="22" t="s">
        <v>1140</v>
      </c>
      <c r="T1125" s="22">
        <v>10</v>
      </c>
      <c r="U1125" s="22" t="s">
        <v>28</v>
      </c>
      <c r="V1125" s="23">
        <v>45951</v>
      </c>
      <c r="W1125" s="80" t="s">
        <v>30</v>
      </c>
      <c r="X1125" s="80" t="s">
        <v>30</v>
      </c>
      <c r="Y1125" s="96" t="s">
        <v>30</v>
      </c>
      <c r="Z1125" s="80" t="s">
        <v>30</v>
      </c>
      <c r="AA1125"/>
    </row>
    <row r="1126" spans="1:34">
      <c r="A1126" s="834" t="s">
        <v>24</v>
      </c>
      <c r="B1126" s="835">
        <v>1123</v>
      </c>
      <c r="C1126" s="838" t="s">
        <v>1747</v>
      </c>
      <c r="D1126" s="838" t="s">
        <v>50</v>
      </c>
      <c r="E1126" s="839">
        <v>45919</v>
      </c>
      <c r="F1126" s="838" t="s">
        <v>729</v>
      </c>
      <c r="G1126" s="838">
        <v>12</v>
      </c>
      <c r="H1126" s="838" t="s">
        <v>1721</v>
      </c>
      <c r="I1126" s="838" t="s">
        <v>1638</v>
      </c>
      <c r="J1126" s="838" t="s">
        <v>237</v>
      </c>
      <c r="K1126" s="838"/>
      <c r="L1126" s="214"/>
      <c r="M1126" s="838"/>
      <c r="N1126" s="838"/>
      <c r="O1126" s="838"/>
      <c r="P1126" s="23" t="s">
        <v>30</v>
      </c>
      <c r="Q1126" s="23">
        <v>45959</v>
      </c>
      <c r="R1126" s="79" t="s">
        <v>1638</v>
      </c>
      <c r="S1126" s="22" t="s">
        <v>32</v>
      </c>
      <c r="T1126" s="22">
        <v>11</v>
      </c>
      <c r="U1126" s="24" t="s">
        <v>1638</v>
      </c>
      <c r="V1126" s="23">
        <v>45959</v>
      </c>
      <c r="W1126" s="91" t="s">
        <v>32</v>
      </c>
      <c r="X1126" s="96" t="s">
        <v>30</v>
      </c>
      <c r="Y1126" s="96" t="s">
        <v>30</v>
      </c>
      <c r="Z1126" s="102"/>
      <c r="AA1126"/>
    </row>
    <row r="1127" spans="1:34">
      <c r="A1127" s="834" t="s">
        <v>24</v>
      </c>
      <c r="B1127" s="835">
        <v>1124</v>
      </c>
      <c r="C1127" s="838" t="s">
        <v>1748</v>
      </c>
      <c r="D1127" s="838" t="s">
        <v>83</v>
      </c>
      <c r="E1127" s="839">
        <v>45919</v>
      </c>
      <c r="F1127" s="838" t="s">
        <v>1749</v>
      </c>
      <c r="G1127" s="838">
        <v>22</v>
      </c>
      <c r="H1127" s="838" t="s">
        <v>1725</v>
      </c>
      <c r="I1127" s="838" t="s">
        <v>47</v>
      </c>
      <c r="J1127" s="838" t="s">
        <v>237</v>
      </c>
      <c r="K1127" s="838"/>
      <c r="L1127" s="241"/>
      <c r="M1127" s="22"/>
      <c r="N1127" s="23"/>
      <c r="O1127" s="240" t="s">
        <v>31</v>
      </c>
      <c r="P1127" s="23" t="s">
        <v>30</v>
      </c>
      <c r="Q1127" s="23">
        <v>45960</v>
      </c>
      <c r="R1127" s="79" t="s">
        <v>1638</v>
      </c>
      <c r="S1127" s="22" t="s">
        <v>32</v>
      </c>
      <c r="T1127" s="22">
        <v>21</v>
      </c>
      <c r="U1127" s="24" t="s">
        <v>1638</v>
      </c>
      <c r="V1127" s="23">
        <v>45960</v>
      </c>
      <c r="W1127" s="80" t="s">
        <v>30</v>
      </c>
      <c r="X1127" s="80" t="s">
        <v>30</v>
      </c>
      <c r="Y1127" s="96" t="s">
        <v>30</v>
      </c>
      <c r="Z1127" s="102" t="s">
        <v>30</v>
      </c>
      <c r="AA1127"/>
    </row>
    <row r="1128" spans="1:34">
      <c r="A1128" s="834" t="s">
        <v>24</v>
      </c>
      <c r="B1128" s="835">
        <v>1125</v>
      </c>
      <c r="C1128" s="838" t="s">
        <v>1750</v>
      </c>
      <c r="D1128" s="838" t="s">
        <v>83</v>
      </c>
      <c r="E1128" s="839">
        <v>45920</v>
      </c>
      <c r="F1128" s="838" t="s">
        <v>106</v>
      </c>
      <c r="G1128" s="838">
        <v>11</v>
      </c>
      <c r="H1128" s="838" t="s">
        <v>127</v>
      </c>
      <c r="I1128" s="838" t="s">
        <v>36</v>
      </c>
      <c r="J1128" s="838" t="s">
        <v>871</v>
      </c>
      <c r="K1128" s="838"/>
      <c r="L1128" s="834"/>
      <c r="M1128" s="22"/>
      <c r="N1128" s="23"/>
      <c r="O1128" s="848"/>
      <c r="P1128" s="23" t="s">
        <v>30</v>
      </c>
      <c r="Q1128" s="23">
        <v>45939</v>
      </c>
      <c r="R1128" s="79" t="s">
        <v>28</v>
      </c>
      <c r="S1128" s="22" t="s">
        <v>32</v>
      </c>
      <c r="T1128" s="22">
        <v>11</v>
      </c>
      <c r="U1128" s="24" t="s">
        <v>28</v>
      </c>
      <c r="V1128" s="23">
        <v>45939</v>
      </c>
      <c r="W1128" s="80" t="s">
        <v>30</v>
      </c>
      <c r="X1128" s="80" t="s">
        <v>30</v>
      </c>
      <c r="Y1128" s="80" t="s">
        <v>30</v>
      </c>
      <c r="Z1128" s="102" t="s">
        <v>30</v>
      </c>
      <c r="AA1128"/>
    </row>
    <row r="1129" spans="1:34">
      <c r="A1129" s="834" t="s">
        <v>24</v>
      </c>
      <c r="B1129" s="835">
        <v>1126</v>
      </c>
      <c r="C1129" s="838" t="s">
        <v>1751</v>
      </c>
      <c r="D1129" s="838" t="s">
        <v>34</v>
      </c>
      <c r="E1129" s="839">
        <v>45920</v>
      </c>
      <c r="F1129" s="838" t="s">
        <v>1305</v>
      </c>
      <c r="G1129" s="838">
        <v>9</v>
      </c>
      <c r="H1129" s="838" t="s">
        <v>127</v>
      </c>
      <c r="I1129" s="838" t="s">
        <v>36</v>
      </c>
      <c r="J1129" s="838" t="s">
        <v>871</v>
      </c>
      <c r="K1129" s="838"/>
      <c r="L1129" s="21"/>
      <c r="M1129" s="22"/>
      <c r="N1129" s="23"/>
      <c r="O1129" s="848"/>
      <c r="P1129" s="23" t="s">
        <v>30</v>
      </c>
      <c r="Q1129" s="23">
        <v>45939</v>
      </c>
      <c r="R1129" s="79" t="s">
        <v>28</v>
      </c>
      <c r="S1129" s="22" t="s">
        <v>32</v>
      </c>
      <c r="T1129" s="22">
        <v>9</v>
      </c>
      <c r="U1129" s="24" t="s">
        <v>28</v>
      </c>
      <c r="V1129" s="23">
        <v>45939</v>
      </c>
      <c r="W1129" s="80" t="s">
        <v>30</v>
      </c>
      <c r="X1129" s="80" t="s">
        <v>30</v>
      </c>
      <c r="Y1129" s="80" t="s">
        <v>30</v>
      </c>
      <c r="Z1129" s="80" t="s">
        <v>30</v>
      </c>
      <c r="AA1129"/>
    </row>
    <row r="1130" spans="1:34">
      <c r="A1130" s="834" t="s">
        <v>24</v>
      </c>
      <c r="B1130" s="835">
        <v>1127</v>
      </c>
      <c r="C1130" s="838" t="s">
        <v>1752</v>
      </c>
      <c r="D1130" s="838" t="s">
        <v>102</v>
      </c>
      <c r="E1130" s="839">
        <v>45920</v>
      </c>
      <c r="F1130" s="838" t="s">
        <v>927</v>
      </c>
      <c r="G1130" s="838">
        <v>13</v>
      </c>
      <c r="H1130" s="838" t="s">
        <v>1077</v>
      </c>
      <c r="I1130" s="838" t="s">
        <v>1138</v>
      </c>
      <c r="J1130" s="838" t="s">
        <v>871</v>
      </c>
      <c r="K1130" s="838"/>
      <c r="L1130" s="241"/>
      <c r="M1130" s="22"/>
      <c r="N1130" s="23"/>
      <c r="O1130" s="848"/>
      <c r="P1130" s="848" t="s">
        <v>30</v>
      </c>
      <c r="Q1130" s="23">
        <v>45932</v>
      </c>
      <c r="R1130" s="79" t="s">
        <v>1638</v>
      </c>
      <c r="S1130" s="22" t="s">
        <v>32</v>
      </c>
      <c r="T1130" s="22">
        <v>13</v>
      </c>
      <c r="U1130" s="24" t="s">
        <v>1638</v>
      </c>
      <c r="V1130" s="23">
        <v>45932</v>
      </c>
      <c r="W1130" s="96" t="s">
        <v>30</v>
      </c>
      <c r="X1130" s="96" t="s">
        <v>30</v>
      </c>
      <c r="Y1130" s="80" t="s">
        <v>30</v>
      </c>
      <c r="Z1130" s="80" t="s">
        <v>30</v>
      </c>
      <c r="AA1130"/>
    </row>
    <row r="1131" spans="1:34">
      <c r="A1131" s="834" t="s">
        <v>24</v>
      </c>
      <c r="B1131" s="835">
        <v>1128</v>
      </c>
      <c r="C1131" s="838" t="s">
        <v>1753</v>
      </c>
      <c r="D1131" s="838" t="s">
        <v>34</v>
      </c>
      <c r="E1131" s="839">
        <v>45920</v>
      </c>
      <c r="F1131" s="838" t="s">
        <v>165</v>
      </c>
      <c r="G1131" s="838">
        <v>13</v>
      </c>
      <c r="H1131" s="838" t="s">
        <v>1077</v>
      </c>
      <c r="I1131" s="838" t="s">
        <v>1138</v>
      </c>
      <c r="J1131" s="838" t="s">
        <v>871</v>
      </c>
      <c r="K1131" s="838"/>
      <c r="L1131" s="21"/>
      <c r="M1131" s="22"/>
      <c r="N1131" s="23"/>
      <c r="O1131" s="848"/>
      <c r="P1131" s="848" t="s">
        <v>30</v>
      </c>
      <c r="Q1131" s="23">
        <v>45930</v>
      </c>
      <c r="R1131" s="79" t="s">
        <v>47</v>
      </c>
      <c r="S1131" s="22" t="s">
        <v>32</v>
      </c>
      <c r="T1131" s="22">
        <v>13</v>
      </c>
      <c r="U1131" s="24" t="s">
        <v>47</v>
      </c>
      <c r="V1131" s="23">
        <v>45930</v>
      </c>
      <c r="W1131" s="80" t="s">
        <v>30</v>
      </c>
      <c r="X1131" s="80" t="s">
        <v>30</v>
      </c>
      <c r="Y1131" s="80" t="s">
        <v>30</v>
      </c>
      <c r="Z1131" s="106" t="s">
        <v>1091</v>
      </c>
      <c r="AA1131"/>
    </row>
    <row r="1132" spans="1:34">
      <c r="A1132" s="834" t="s">
        <v>24</v>
      </c>
      <c r="B1132" s="835">
        <v>1129</v>
      </c>
      <c r="C1132" s="838" t="s">
        <v>122</v>
      </c>
      <c r="D1132" s="838" t="s">
        <v>1754</v>
      </c>
      <c r="E1132" s="839">
        <v>45922</v>
      </c>
      <c r="F1132" s="838" t="s">
        <v>110</v>
      </c>
      <c r="G1132" s="838">
        <v>10</v>
      </c>
      <c r="H1132" s="838" t="s">
        <v>1755</v>
      </c>
      <c r="I1132" s="838" t="s">
        <v>1755</v>
      </c>
      <c r="J1132" s="838" t="s">
        <v>871</v>
      </c>
      <c r="K1132" s="838"/>
      <c r="L1132" s="838"/>
      <c r="M1132" s="22"/>
      <c r="N1132" s="23"/>
      <c r="O1132" s="848"/>
      <c r="P1132" s="23" t="s">
        <v>30</v>
      </c>
      <c r="Q1132" s="23">
        <v>45940</v>
      </c>
      <c r="R1132" s="79" t="s">
        <v>48</v>
      </c>
      <c r="S1132" s="22" t="s">
        <v>32</v>
      </c>
      <c r="T1132" s="22">
        <v>10</v>
      </c>
      <c r="U1132" s="24" t="s">
        <v>48</v>
      </c>
      <c r="V1132" s="23">
        <v>45940</v>
      </c>
      <c r="W1132" s="80" t="s">
        <v>113</v>
      </c>
      <c r="X1132" s="80" t="s">
        <v>113</v>
      </c>
      <c r="Y1132" s="80" t="s">
        <v>113</v>
      </c>
      <c r="Z1132" s="99"/>
      <c r="AA1132"/>
      <c r="AB1132" s="776"/>
      <c r="AC1132" s="776"/>
      <c r="AD1132" s="776"/>
      <c r="AE1132" s="776"/>
    </row>
    <row r="1133" spans="1:34">
      <c r="A1133" s="834" t="s">
        <v>24</v>
      </c>
      <c r="B1133" s="835">
        <v>1130</v>
      </c>
      <c r="C1133" s="838" t="s">
        <v>1756</v>
      </c>
      <c r="D1133" s="838" t="s">
        <v>57</v>
      </c>
      <c r="E1133" s="839">
        <v>45922</v>
      </c>
      <c r="F1133" s="838" t="s">
        <v>1757</v>
      </c>
      <c r="G1133" s="838">
        <v>12</v>
      </c>
      <c r="H1133" s="838" t="s">
        <v>1725</v>
      </c>
      <c r="I1133" s="838" t="s">
        <v>47</v>
      </c>
      <c r="J1133" s="838" t="s">
        <v>871</v>
      </c>
      <c r="K1133" s="838"/>
      <c r="L1133" s="21"/>
      <c r="M1133" s="22"/>
      <c r="N1133" s="23"/>
      <c r="O1133" s="848"/>
      <c r="P1133" s="23" t="s">
        <v>30</v>
      </c>
      <c r="Q1133" s="23">
        <v>45943</v>
      </c>
      <c r="R1133" s="79" t="s">
        <v>28</v>
      </c>
      <c r="S1133" s="22" t="s">
        <v>32</v>
      </c>
      <c r="T1133" s="22">
        <v>12</v>
      </c>
      <c r="U1133" s="24" t="s">
        <v>28</v>
      </c>
      <c r="V1133" s="23">
        <v>45943</v>
      </c>
      <c r="W1133" s="80" t="s">
        <v>30</v>
      </c>
      <c r="X1133" s="80" t="s">
        <v>30</v>
      </c>
      <c r="Y1133" s="80" t="s">
        <v>30</v>
      </c>
      <c r="Z1133" s="102" t="s">
        <v>30</v>
      </c>
      <c r="AA1133"/>
      <c r="AB1133" s="776"/>
      <c r="AC1133" s="776"/>
      <c r="AD1133" s="776"/>
      <c r="AE1133" s="776"/>
    </row>
    <row r="1134" spans="1:34">
      <c r="A1134" s="834" t="s">
        <v>24</v>
      </c>
      <c r="B1134" s="835">
        <v>1131</v>
      </c>
      <c r="C1134" s="838" t="s">
        <v>1758</v>
      </c>
      <c r="D1134" s="838" t="s">
        <v>43</v>
      </c>
      <c r="E1134" s="839">
        <v>45922</v>
      </c>
      <c r="F1134" s="838" t="s">
        <v>65</v>
      </c>
      <c r="G1134" s="838">
        <v>15</v>
      </c>
      <c r="H1134" s="838" t="s">
        <v>1077</v>
      </c>
      <c r="I1134" s="838" t="s">
        <v>1138</v>
      </c>
      <c r="J1134" s="838" t="s">
        <v>237</v>
      </c>
      <c r="K1134" s="838"/>
      <c r="L1134" s="214"/>
      <c r="M1134" s="22"/>
      <c r="N1134" s="23"/>
      <c r="O1134" s="240" t="s">
        <v>31</v>
      </c>
      <c r="P1134" s="23" t="s">
        <v>30</v>
      </c>
      <c r="Q1134" s="23">
        <v>45952</v>
      </c>
      <c r="R1134" s="79" t="s">
        <v>1138</v>
      </c>
      <c r="S1134" s="22" t="s">
        <v>1140</v>
      </c>
      <c r="T1134" s="22">
        <v>11</v>
      </c>
      <c r="U1134" s="24" t="s">
        <v>1138</v>
      </c>
      <c r="V1134" s="23">
        <v>45952</v>
      </c>
      <c r="W1134" s="80" t="s">
        <v>30</v>
      </c>
      <c r="X1134" s="91" t="s">
        <v>32</v>
      </c>
      <c r="Y1134" s="91" t="s">
        <v>32</v>
      </c>
      <c r="Z1134" s="102" t="s">
        <v>30</v>
      </c>
      <c r="AA1134"/>
      <c r="AB1134" s="776"/>
      <c r="AC1134" s="776"/>
      <c r="AD1134" s="776"/>
      <c r="AE1134" s="776"/>
    </row>
    <row r="1135" spans="1:34">
      <c r="A1135" s="834" t="s">
        <v>24</v>
      </c>
      <c r="B1135" s="835">
        <v>1132</v>
      </c>
      <c r="C1135" s="838" t="s">
        <v>1759</v>
      </c>
      <c r="D1135" s="838" t="s">
        <v>26</v>
      </c>
      <c r="E1135" s="839">
        <v>45923</v>
      </c>
      <c r="F1135" s="838" t="s">
        <v>1757</v>
      </c>
      <c r="G1135" s="838">
        <v>11</v>
      </c>
      <c r="H1135" s="838" t="s">
        <v>1725</v>
      </c>
      <c r="I1135" s="838" t="s">
        <v>47</v>
      </c>
      <c r="J1135" s="838" t="s">
        <v>871</v>
      </c>
      <c r="K1135" s="838"/>
      <c r="L1135" s="214"/>
      <c r="M1135" s="22"/>
      <c r="N1135" s="23"/>
      <c r="O1135" s="848"/>
      <c r="P1135" s="23" t="s">
        <v>30</v>
      </c>
      <c r="Q1135" s="23">
        <v>45952</v>
      </c>
      <c r="R1135" s="79" t="s">
        <v>28</v>
      </c>
      <c r="S1135" s="22" t="s">
        <v>32</v>
      </c>
      <c r="T1135" s="22">
        <v>11</v>
      </c>
      <c r="U1135" s="24" t="s">
        <v>28</v>
      </c>
      <c r="V1135" s="23">
        <v>45952</v>
      </c>
      <c r="W1135" s="80" t="s">
        <v>30</v>
      </c>
      <c r="X1135" s="80" t="s">
        <v>30</v>
      </c>
      <c r="Y1135" s="80" t="s">
        <v>30</v>
      </c>
      <c r="Z1135" s="102" t="s">
        <v>30</v>
      </c>
      <c r="AA1135"/>
      <c r="AB1135" s="776"/>
      <c r="AC1135" s="776"/>
      <c r="AD1135" s="776"/>
      <c r="AE1135" s="776"/>
    </row>
    <row r="1136" spans="1:34">
      <c r="A1136" s="834" t="s">
        <v>24</v>
      </c>
      <c r="B1136" s="835">
        <v>1133</v>
      </c>
      <c r="C1136" s="838" t="s">
        <v>1760</v>
      </c>
      <c r="D1136" s="838" t="s">
        <v>43</v>
      </c>
      <c r="E1136" s="839">
        <v>45923</v>
      </c>
      <c r="F1136" s="838" t="s">
        <v>1761</v>
      </c>
      <c r="G1136" s="838">
        <v>10</v>
      </c>
      <c r="H1136" s="838" t="s">
        <v>1077</v>
      </c>
      <c r="I1136" s="838" t="s">
        <v>1138</v>
      </c>
      <c r="J1136" s="838" t="s">
        <v>871</v>
      </c>
      <c r="K1136" s="838"/>
      <c r="L1136" s="214"/>
      <c r="M1136" s="22"/>
      <c r="N1136" s="23"/>
      <c r="O1136" s="848"/>
      <c r="P1136" s="23" t="s">
        <v>30</v>
      </c>
      <c r="Q1136" s="23">
        <v>45936</v>
      </c>
      <c r="R1136" s="79" t="s">
        <v>1138</v>
      </c>
      <c r="S1136" s="22" t="s">
        <v>32</v>
      </c>
      <c r="T1136" s="22">
        <v>10</v>
      </c>
      <c r="U1136" s="24" t="s">
        <v>1138</v>
      </c>
      <c r="V1136" s="23">
        <v>45936</v>
      </c>
      <c r="W1136" s="80" t="s">
        <v>30</v>
      </c>
      <c r="X1136" s="80" t="s">
        <v>30</v>
      </c>
      <c r="Y1136" s="80" t="s">
        <v>30</v>
      </c>
      <c r="Z1136" s="102" t="s">
        <v>30</v>
      </c>
      <c r="AA1136"/>
      <c r="AF1136" s="71"/>
      <c r="AG1136" s="92"/>
      <c r="AH1136" s="92"/>
    </row>
    <row r="1137" spans="1:34">
      <c r="A1137" s="834" t="s">
        <v>24</v>
      </c>
      <c r="B1137" s="835">
        <v>1134</v>
      </c>
      <c r="C1137" s="838" t="s">
        <v>1762</v>
      </c>
      <c r="D1137" s="838" t="s">
        <v>425</v>
      </c>
      <c r="E1137" s="839">
        <v>45924</v>
      </c>
      <c r="F1137" s="838" t="s">
        <v>464</v>
      </c>
      <c r="G1137" s="838">
        <v>12</v>
      </c>
      <c r="H1137" s="838" t="s">
        <v>1725</v>
      </c>
      <c r="I1137" s="838" t="s">
        <v>47</v>
      </c>
      <c r="J1137" s="838" t="s">
        <v>871</v>
      </c>
      <c r="K1137" s="838"/>
      <c r="L1137" s="214"/>
      <c r="M1137" s="22"/>
      <c r="N1137" s="23"/>
      <c r="O1137" s="848"/>
      <c r="P1137" s="23" t="s">
        <v>30</v>
      </c>
      <c r="Q1137" s="23">
        <v>45960</v>
      </c>
      <c r="R1137" s="79" t="s">
        <v>67</v>
      </c>
      <c r="S1137" s="22" t="s">
        <v>32</v>
      </c>
      <c r="T1137" s="22">
        <v>12</v>
      </c>
      <c r="U1137" s="24" t="s">
        <v>67</v>
      </c>
      <c r="V1137" s="23">
        <v>45960</v>
      </c>
      <c r="W1137" s="80" t="s">
        <v>30</v>
      </c>
      <c r="X1137" s="80" t="s">
        <v>30</v>
      </c>
      <c r="Y1137" s="80" t="s">
        <v>30</v>
      </c>
      <c r="Z1137" s="102" t="s">
        <v>30</v>
      </c>
      <c r="AA1137"/>
      <c r="AB1137" s="776"/>
      <c r="AC1137" s="776"/>
      <c r="AD1137" s="776"/>
      <c r="AE1137" s="776"/>
    </row>
    <row r="1138" spans="1:34">
      <c r="A1138" s="834" t="s">
        <v>24</v>
      </c>
      <c r="B1138" s="835">
        <v>1135</v>
      </c>
      <c r="C1138" s="838" t="s">
        <v>1763</v>
      </c>
      <c r="D1138" s="838" t="s">
        <v>1764</v>
      </c>
      <c r="E1138" s="839">
        <v>45924</v>
      </c>
      <c r="F1138" s="838" t="s">
        <v>439</v>
      </c>
      <c r="G1138" s="838">
        <v>18</v>
      </c>
      <c r="H1138" s="838" t="s">
        <v>127</v>
      </c>
      <c r="I1138" s="838" t="s">
        <v>36</v>
      </c>
      <c r="J1138" s="838" t="s">
        <v>871</v>
      </c>
      <c r="K1138" s="838"/>
      <c r="L1138" s="241"/>
      <c r="M1138" s="22"/>
      <c r="N1138" s="23"/>
      <c r="O1138" s="240" t="s">
        <v>31</v>
      </c>
      <c r="P1138" s="23" t="s">
        <v>30</v>
      </c>
      <c r="Q1138" s="23">
        <v>45950</v>
      </c>
      <c r="R1138" s="79" t="s">
        <v>28</v>
      </c>
      <c r="S1138" s="22" t="s">
        <v>32</v>
      </c>
      <c r="T1138" s="22">
        <v>18</v>
      </c>
      <c r="U1138" s="24" t="s">
        <v>28</v>
      </c>
      <c r="V1138" s="23">
        <v>45950</v>
      </c>
      <c r="W1138" s="91" t="s">
        <v>32</v>
      </c>
      <c r="X1138" s="80" t="s">
        <v>30</v>
      </c>
      <c r="Y1138" s="80" t="s">
        <v>30</v>
      </c>
      <c r="Z1138" s="102"/>
      <c r="AA1138"/>
      <c r="AB1138" s="776"/>
      <c r="AC1138" s="776"/>
      <c r="AD1138" s="776"/>
      <c r="AE1138" s="776"/>
    </row>
    <row r="1139" spans="1:34">
      <c r="A1139" s="834" t="s">
        <v>24</v>
      </c>
      <c r="B1139" s="835">
        <v>1136</v>
      </c>
      <c r="C1139" s="838" t="s">
        <v>1765</v>
      </c>
      <c r="D1139" s="838" t="s">
        <v>1746</v>
      </c>
      <c r="E1139" s="839">
        <v>45924</v>
      </c>
      <c r="F1139" s="838" t="s">
        <v>395</v>
      </c>
      <c r="G1139" s="838">
        <v>10</v>
      </c>
      <c r="H1139" s="838" t="s">
        <v>1721</v>
      </c>
      <c r="I1139" s="838" t="s">
        <v>36</v>
      </c>
      <c r="J1139" s="838" t="s">
        <v>237</v>
      </c>
      <c r="K1139" s="838"/>
      <c r="L1139" s="214"/>
      <c r="M1139" s="22"/>
      <c r="N1139" s="23"/>
      <c r="O1139" s="848"/>
      <c r="P1139" s="23" t="s">
        <v>30</v>
      </c>
      <c r="Q1139" s="23">
        <v>45960</v>
      </c>
      <c r="R1139" s="79" t="s">
        <v>48</v>
      </c>
      <c r="S1139" s="22" t="s">
        <v>32</v>
      </c>
      <c r="T1139" s="22">
        <v>10</v>
      </c>
      <c r="U1139" s="24" t="s">
        <v>48</v>
      </c>
      <c r="V1139" s="23">
        <v>45960</v>
      </c>
      <c r="W1139" s="96" t="s">
        <v>30</v>
      </c>
      <c r="X1139" s="96" t="s">
        <v>30</v>
      </c>
      <c r="Y1139" s="96" t="s">
        <v>30</v>
      </c>
      <c r="Z1139" s="80" t="s">
        <v>30</v>
      </c>
      <c r="AA1139"/>
    </row>
    <row r="1140" spans="1:34">
      <c r="A1140" s="834" t="s">
        <v>24</v>
      </c>
      <c r="B1140" s="835">
        <v>1137</v>
      </c>
      <c r="C1140" s="838" t="s">
        <v>1766</v>
      </c>
      <c r="D1140" s="838" t="s">
        <v>57</v>
      </c>
      <c r="E1140" s="839">
        <v>45924</v>
      </c>
      <c r="F1140" s="838" t="s">
        <v>1757</v>
      </c>
      <c r="G1140" s="838">
        <v>11</v>
      </c>
      <c r="H1140" s="838" t="s">
        <v>1725</v>
      </c>
      <c r="I1140" s="838" t="s">
        <v>47</v>
      </c>
      <c r="J1140" s="838" t="s">
        <v>871</v>
      </c>
      <c r="K1140" s="838"/>
      <c r="L1140" s="242"/>
      <c r="M1140" s="22"/>
      <c r="N1140" s="23"/>
      <c r="O1140" s="848"/>
      <c r="P1140" s="23" t="s">
        <v>30</v>
      </c>
      <c r="Q1140" s="23">
        <v>45952</v>
      </c>
      <c r="R1140" s="79" t="s">
        <v>28</v>
      </c>
      <c r="S1140" s="22" t="s">
        <v>32</v>
      </c>
      <c r="T1140" s="22">
        <v>12</v>
      </c>
      <c r="U1140" s="24" t="s">
        <v>28</v>
      </c>
      <c r="V1140" s="23">
        <v>45952</v>
      </c>
      <c r="W1140" s="80" t="s">
        <v>30</v>
      </c>
      <c r="X1140" s="80" t="s">
        <v>30</v>
      </c>
      <c r="Y1140" s="80" t="s">
        <v>30</v>
      </c>
      <c r="Z1140" s="102"/>
      <c r="AA1140"/>
    </row>
    <row r="1141" spans="1:34">
      <c r="A1141" s="834" t="s">
        <v>24</v>
      </c>
      <c r="B1141" s="835">
        <v>1138</v>
      </c>
      <c r="C1141" s="838" t="s">
        <v>1767</v>
      </c>
      <c r="D1141" s="838" t="s">
        <v>26</v>
      </c>
      <c r="E1141" s="839">
        <v>45925</v>
      </c>
      <c r="F1141" s="838" t="s">
        <v>1757</v>
      </c>
      <c r="G1141" s="838">
        <v>12</v>
      </c>
      <c r="H1141" s="838" t="s">
        <v>1725</v>
      </c>
      <c r="I1141" s="838" t="s">
        <v>47</v>
      </c>
      <c r="J1141" s="838" t="s">
        <v>871</v>
      </c>
      <c r="K1141" s="838"/>
      <c r="L1141" s="214"/>
      <c r="M1141" s="22"/>
      <c r="N1141" s="23"/>
      <c r="O1141" s="240"/>
      <c r="P1141" s="23" t="s">
        <v>30</v>
      </c>
      <c r="Q1141" s="23">
        <v>45952</v>
      </c>
      <c r="R1141" s="79" t="s">
        <v>28</v>
      </c>
      <c r="S1141" s="22" t="s">
        <v>32</v>
      </c>
      <c r="T1141" s="22">
        <v>12</v>
      </c>
      <c r="U1141" s="24" t="s">
        <v>28</v>
      </c>
      <c r="V1141" s="23">
        <v>45952</v>
      </c>
      <c r="W1141" s="80" t="s">
        <v>30</v>
      </c>
      <c r="X1141" s="80" t="s">
        <v>30</v>
      </c>
      <c r="Y1141" s="80" t="s">
        <v>30</v>
      </c>
      <c r="Z1141" s="102" t="s">
        <v>30</v>
      </c>
      <c r="AA1141"/>
    </row>
    <row r="1142" spans="1:34">
      <c r="A1142" s="834" t="s">
        <v>24</v>
      </c>
      <c r="B1142" s="835">
        <v>1139</v>
      </c>
      <c r="C1142" s="838" t="s">
        <v>1768</v>
      </c>
      <c r="D1142" s="838" t="s">
        <v>923</v>
      </c>
      <c r="E1142" s="839">
        <v>45926</v>
      </c>
      <c r="F1142" s="838" t="s">
        <v>202</v>
      </c>
      <c r="G1142" s="838">
        <v>16</v>
      </c>
      <c r="H1142" s="838" t="s">
        <v>127</v>
      </c>
      <c r="I1142" s="838" t="s">
        <v>36</v>
      </c>
      <c r="J1142" s="838" t="s">
        <v>871</v>
      </c>
      <c r="K1142" s="838"/>
      <c r="L1142" s="214"/>
      <c r="M1142" s="22"/>
      <c r="N1142" s="23"/>
      <c r="O1142" s="240" t="s">
        <v>31</v>
      </c>
      <c r="P1142" s="23" t="s">
        <v>30</v>
      </c>
      <c r="Q1142" s="23">
        <v>45961</v>
      </c>
      <c r="R1142" s="79" t="s">
        <v>1138</v>
      </c>
      <c r="S1142" s="22" t="s">
        <v>32</v>
      </c>
      <c r="T1142" s="22">
        <v>16</v>
      </c>
      <c r="U1142" s="24" t="s">
        <v>1138</v>
      </c>
      <c r="V1142" s="23">
        <v>45961</v>
      </c>
      <c r="W1142" s="80" t="s">
        <v>30</v>
      </c>
      <c r="X1142" s="80" t="s">
        <v>30</v>
      </c>
      <c r="Y1142" s="80" t="s">
        <v>30</v>
      </c>
      <c r="Z1142" s="80" t="s">
        <v>30</v>
      </c>
      <c r="AA1142"/>
    </row>
    <row r="1143" spans="1:34">
      <c r="A1143" s="834" t="s">
        <v>24</v>
      </c>
      <c r="B1143" s="835">
        <v>1140</v>
      </c>
      <c r="C1143" s="838" t="s">
        <v>1769</v>
      </c>
      <c r="D1143" s="838" t="s">
        <v>34</v>
      </c>
      <c r="E1143" s="839">
        <v>45926</v>
      </c>
      <c r="F1143" s="838" t="s">
        <v>1770</v>
      </c>
      <c r="G1143" s="838">
        <v>12</v>
      </c>
      <c r="H1143" s="838" t="s">
        <v>1725</v>
      </c>
      <c r="I1143" s="838" t="s">
        <v>47</v>
      </c>
      <c r="J1143" s="838" t="s">
        <v>871</v>
      </c>
      <c r="K1143" s="838"/>
      <c r="L1143" s="98"/>
      <c r="M1143" s="22"/>
      <c r="N1143" s="23"/>
      <c r="O1143" s="848"/>
      <c r="P1143" s="23" t="s">
        <v>30</v>
      </c>
      <c r="Q1143" s="23">
        <v>45964</v>
      </c>
      <c r="R1143" s="79" t="s">
        <v>67</v>
      </c>
      <c r="S1143" s="22" t="s">
        <v>32</v>
      </c>
      <c r="T1143" s="22">
        <v>12</v>
      </c>
      <c r="U1143" s="24" t="s">
        <v>67</v>
      </c>
      <c r="V1143" s="23">
        <v>45964</v>
      </c>
      <c r="W1143" s="80" t="s">
        <v>30</v>
      </c>
      <c r="X1143" s="80" t="s">
        <v>30</v>
      </c>
      <c r="Y1143" s="80" t="s">
        <v>30</v>
      </c>
      <c r="Z1143" s="80" t="s">
        <v>30</v>
      </c>
      <c r="AA1143"/>
    </row>
    <row r="1144" spans="1:34">
      <c r="A1144" s="834" t="s">
        <v>24</v>
      </c>
      <c r="B1144" s="835">
        <v>1141</v>
      </c>
      <c r="C1144" s="838" t="s">
        <v>1771</v>
      </c>
      <c r="D1144" s="838" t="s">
        <v>34</v>
      </c>
      <c r="E1144" s="839">
        <v>45927</v>
      </c>
      <c r="F1144" s="838" t="s">
        <v>1772</v>
      </c>
      <c r="G1144" s="838">
        <v>21</v>
      </c>
      <c r="H1144" s="838" t="s">
        <v>1725</v>
      </c>
      <c r="I1144" s="838" t="s">
        <v>47</v>
      </c>
      <c r="J1144" s="838" t="s">
        <v>871</v>
      </c>
      <c r="K1144" s="838"/>
      <c r="L1144" s="98"/>
      <c r="M1144" s="22"/>
      <c r="N1144" s="23"/>
      <c r="O1144" s="240" t="s">
        <v>31</v>
      </c>
      <c r="P1144" s="23" t="s">
        <v>30</v>
      </c>
      <c r="Q1144" s="23">
        <v>45968</v>
      </c>
      <c r="R1144" s="79" t="s">
        <v>178</v>
      </c>
      <c r="S1144" s="22" t="s">
        <v>1140</v>
      </c>
      <c r="T1144" s="22">
        <v>18</v>
      </c>
      <c r="U1144" s="24" t="s">
        <v>178</v>
      </c>
      <c r="V1144" s="23">
        <v>45968</v>
      </c>
      <c r="W1144" s="80" t="s">
        <v>30</v>
      </c>
      <c r="X1144" s="80" t="s">
        <v>30</v>
      </c>
      <c r="Y1144" s="80" t="s">
        <v>30</v>
      </c>
      <c r="Z1144" s="102" t="s">
        <v>30</v>
      </c>
      <c r="AA1144"/>
    </row>
    <row r="1145" spans="1:34">
      <c r="A1145" s="834" t="s">
        <v>24</v>
      </c>
      <c r="B1145" s="835">
        <v>1142</v>
      </c>
      <c r="C1145" s="838" t="s">
        <v>1773</v>
      </c>
      <c r="D1145" s="838" t="s">
        <v>34</v>
      </c>
      <c r="E1145" s="839">
        <v>45927</v>
      </c>
      <c r="F1145" s="838" t="s">
        <v>1061</v>
      </c>
      <c r="G1145" s="838">
        <v>7</v>
      </c>
      <c r="H1145" s="838" t="s">
        <v>1725</v>
      </c>
      <c r="I1145" s="838" t="s">
        <v>47</v>
      </c>
      <c r="J1145" s="838" t="s">
        <v>871</v>
      </c>
      <c r="K1145" s="838"/>
      <c r="L1145" s="21"/>
      <c r="M1145" s="22"/>
      <c r="N1145" s="23"/>
      <c r="O1145" s="848"/>
      <c r="P1145" s="23" t="s">
        <v>30</v>
      </c>
      <c r="Q1145" s="23">
        <v>45960</v>
      </c>
      <c r="R1145" s="79" t="s">
        <v>178</v>
      </c>
      <c r="S1145" s="22" t="s">
        <v>32</v>
      </c>
      <c r="T1145" s="22">
        <v>7</v>
      </c>
      <c r="U1145" s="24" t="s">
        <v>178</v>
      </c>
      <c r="V1145" s="24">
        <v>45960</v>
      </c>
      <c r="W1145" s="80" t="s">
        <v>30</v>
      </c>
      <c r="X1145" s="80" t="s">
        <v>30</v>
      </c>
      <c r="Y1145" s="91" t="s">
        <v>32</v>
      </c>
      <c r="Z1145" s="102" t="s">
        <v>30</v>
      </c>
      <c r="AA1145"/>
    </row>
    <row r="1146" spans="1:34">
      <c r="A1146" s="834" t="s">
        <v>24</v>
      </c>
      <c r="B1146" s="835">
        <v>1143</v>
      </c>
      <c r="C1146" s="838" t="s">
        <v>1774</v>
      </c>
      <c r="D1146" s="838" t="s">
        <v>34</v>
      </c>
      <c r="E1146" s="839">
        <v>45927</v>
      </c>
      <c r="F1146" s="838" t="s">
        <v>631</v>
      </c>
      <c r="G1146" s="838">
        <v>17</v>
      </c>
      <c r="H1146" s="838" t="s">
        <v>1725</v>
      </c>
      <c r="I1146" s="838" t="s">
        <v>47</v>
      </c>
      <c r="J1146" s="838" t="s">
        <v>871</v>
      </c>
      <c r="K1146" s="838"/>
      <c r="L1146" s="98"/>
      <c r="M1146" s="22"/>
      <c r="N1146" s="23"/>
      <c r="O1146" s="240" t="s">
        <v>31</v>
      </c>
      <c r="P1146" s="23" t="s">
        <v>30</v>
      </c>
      <c r="Q1146" s="23">
        <v>45960</v>
      </c>
      <c r="R1146" s="79" t="s">
        <v>178</v>
      </c>
      <c r="S1146" s="22" t="s">
        <v>32</v>
      </c>
      <c r="T1146" s="22">
        <v>17</v>
      </c>
      <c r="U1146" s="24" t="s">
        <v>178</v>
      </c>
      <c r="V1146" s="23">
        <v>45960</v>
      </c>
      <c r="W1146" s="80" t="s">
        <v>30</v>
      </c>
      <c r="X1146" s="80" t="s">
        <v>30</v>
      </c>
      <c r="Y1146" s="91" t="s">
        <v>32</v>
      </c>
      <c r="Z1146" s="102" t="s">
        <v>30</v>
      </c>
      <c r="AA1146"/>
      <c r="AB1146" s="776"/>
      <c r="AC1146" s="776"/>
      <c r="AD1146" s="776"/>
      <c r="AE1146" s="776"/>
    </row>
    <row r="1147" spans="1:34">
      <c r="A1147" s="834" t="s">
        <v>24</v>
      </c>
      <c r="B1147" s="835">
        <v>1144</v>
      </c>
      <c r="C1147" s="838" t="s">
        <v>1775</v>
      </c>
      <c r="D1147" s="838" t="s">
        <v>34</v>
      </c>
      <c r="E1147" s="839">
        <v>45927</v>
      </c>
      <c r="F1147" s="838" t="s">
        <v>187</v>
      </c>
      <c r="G1147" s="838">
        <v>8</v>
      </c>
      <c r="H1147" s="838" t="s">
        <v>1725</v>
      </c>
      <c r="I1147" s="838" t="s">
        <v>47</v>
      </c>
      <c r="J1147" s="838" t="s">
        <v>871</v>
      </c>
      <c r="K1147" s="838"/>
      <c r="L1147" s="21"/>
      <c r="M1147" s="22"/>
      <c r="N1147" s="23"/>
      <c r="O1147" s="848"/>
      <c r="P1147" s="23" t="s">
        <v>30</v>
      </c>
      <c r="Q1147" s="23">
        <v>45961</v>
      </c>
      <c r="R1147" s="79" t="s">
        <v>47</v>
      </c>
      <c r="S1147" s="22" t="s">
        <v>32</v>
      </c>
      <c r="T1147" s="22">
        <v>7</v>
      </c>
      <c r="U1147" s="24" t="s">
        <v>47</v>
      </c>
      <c r="V1147" s="23">
        <v>45961</v>
      </c>
      <c r="W1147" s="80" t="s">
        <v>30</v>
      </c>
      <c r="X1147" s="80" t="s">
        <v>30</v>
      </c>
      <c r="Y1147" s="91" t="s">
        <v>32</v>
      </c>
      <c r="Z1147" s="80" t="s">
        <v>30</v>
      </c>
      <c r="AA1147"/>
      <c r="AF1147" s="71"/>
      <c r="AG1147" s="92"/>
      <c r="AH1147" s="92"/>
    </row>
    <row r="1148" spans="1:34">
      <c r="A1148" s="834" t="s">
        <v>24</v>
      </c>
      <c r="B1148" s="835">
        <v>1145</v>
      </c>
      <c r="C1148" s="838" t="s">
        <v>1776</v>
      </c>
      <c r="D1148" s="838" t="s">
        <v>406</v>
      </c>
      <c r="E1148" s="839">
        <v>45927</v>
      </c>
      <c r="F1148" s="838" t="s">
        <v>272</v>
      </c>
      <c r="G1148" s="838">
        <v>16</v>
      </c>
      <c r="H1148" s="838" t="s">
        <v>1725</v>
      </c>
      <c r="I1148" s="838" t="s">
        <v>47</v>
      </c>
      <c r="J1148" s="838" t="s">
        <v>237</v>
      </c>
      <c r="K1148" s="838"/>
      <c r="L1148" s="21"/>
      <c r="M1148" s="22"/>
      <c r="N1148" s="23"/>
      <c r="O1148" s="240" t="s">
        <v>31</v>
      </c>
      <c r="P1148" s="23" t="s">
        <v>30</v>
      </c>
      <c r="Q1148" s="23">
        <v>45959</v>
      </c>
      <c r="R1148" s="79" t="s">
        <v>47</v>
      </c>
      <c r="S1148" s="22" t="s">
        <v>32</v>
      </c>
      <c r="T1148" s="22">
        <v>16</v>
      </c>
      <c r="U1148" s="24" t="s">
        <v>47</v>
      </c>
      <c r="V1148" s="23"/>
      <c r="W1148" s="96" t="s">
        <v>30</v>
      </c>
      <c r="X1148" s="91" t="s">
        <v>32</v>
      </c>
      <c r="Y1148" s="91" t="s">
        <v>32</v>
      </c>
      <c r="Z1148" s="102" t="s">
        <v>30</v>
      </c>
      <c r="AA1148"/>
    </row>
    <row r="1149" spans="1:34">
      <c r="A1149" s="834" t="s">
        <v>24</v>
      </c>
      <c r="B1149" s="835">
        <v>1146</v>
      </c>
      <c r="C1149" s="838" t="s">
        <v>1777</v>
      </c>
      <c r="D1149" s="838" t="s">
        <v>34</v>
      </c>
      <c r="E1149" s="839">
        <v>45927</v>
      </c>
      <c r="F1149" s="838" t="s">
        <v>77</v>
      </c>
      <c r="G1149" s="838">
        <v>13</v>
      </c>
      <c r="H1149" s="838" t="s">
        <v>1725</v>
      </c>
      <c r="I1149" s="838" t="s">
        <v>47</v>
      </c>
      <c r="J1149" s="838" t="s">
        <v>871</v>
      </c>
      <c r="K1149" s="838"/>
      <c r="L1149" s="21"/>
      <c r="M1149" s="22"/>
      <c r="N1149" s="23"/>
      <c r="O1149" s="23"/>
      <c r="P1149" s="23" t="s">
        <v>30</v>
      </c>
      <c r="Q1149" s="23">
        <v>45961</v>
      </c>
      <c r="R1149" s="79" t="s">
        <v>28</v>
      </c>
      <c r="S1149" s="22" t="s">
        <v>1140</v>
      </c>
      <c r="T1149" s="22">
        <v>12</v>
      </c>
      <c r="U1149" s="24" t="s">
        <v>28</v>
      </c>
      <c r="V1149" s="23">
        <v>45961</v>
      </c>
      <c r="W1149" s="96" t="s">
        <v>30</v>
      </c>
      <c r="X1149" s="80" t="s">
        <v>30</v>
      </c>
      <c r="Y1149" s="96" t="s">
        <v>30</v>
      </c>
      <c r="Z1149" s="96" t="s">
        <v>30</v>
      </c>
      <c r="AA1149"/>
    </row>
    <row r="1150" spans="1:34">
      <c r="A1150" s="834" t="s">
        <v>24</v>
      </c>
      <c r="B1150" s="835">
        <v>1147</v>
      </c>
      <c r="C1150" s="838" t="s">
        <v>1778</v>
      </c>
      <c r="D1150" s="838" t="s">
        <v>34</v>
      </c>
      <c r="E1150" s="839">
        <v>45927</v>
      </c>
      <c r="F1150" s="838" t="s">
        <v>165</v>
      </c>
      <c r="G1150" s="838">
        <v>10</v>
      </c>
      <c r="H1150" s="838" t="s">
        <v>1077</v>
      </c>
      <c r="I1150" s="838" t="s">
        <v>1138</v>
      </c>
      <c r="J1150" s="838" t="s">
        <v>871</v>
      </c>
      <c r="K1150" s="838"/>
      <c r="L1150" s="21"/>
      <c r="M1150" s="22"/>
      <c r="N1150" s="23"/>
      <c r="O1150" s="848"/>
      <c r="P1150" s="23" t="s">
        <v>30</v>
      </c>
      <c r="Q1150" s="23">
        <v>45961</v>
      </c>
      <c r="R1150" s="79" t="s">
        <v>67</v>
      </c>
      <c r="S1150" s="22" t="s">
        <v>32</v>
      </c>
      <c r="T1150" s="22">
        <v>10</v>
      </c>
      <c r="U1150" s="24" t="s">
        <v>67</v>
      </c>
      <c r="V1150" s="23">
        <v>45961</v>
      </c>
      <c r="W1150" s="80" t="s">
        <v>30</v>
      </c>
      <c r="X1150" s="80" t="s">
        <v>30</v>
      </c>
      <c r="Y1150" s="80" t="s">
        <v>30</v>
      </c>
      <c r="Z1150" s="80" t="s">
        <v>30</v>
      </c>
      <c r="AA1150"/>
      <c r="AF1150" s="71"/>
      <c r="AG1150" s="92"/>
      <c r="AH1150" s="92"/>
    </row>
    <row r="1151" spans="1:34">
      <c r="A1151" s="834" t="s">
        <v>24</v>
      </c>
      <c r="B1151" s="835">
        <v>1148</v>
      </c>
      <c r="C1151" s="838" t="s">
        <v>1779</v>
      </c>
      <c r="D1151" s="838" t="s">
        <v>34</v>
      </c>
      <c r="E1151" s="839">
        <v>45927</v>
      </c>
      <c r="F1151" s="838" t="s">
        <v>97</v>
      </c>
      <c r="G1151" s="838">
        <v>15</v>
      </c>
      <c r="H1151" s="838" t="s">
        <v>127</v>
      </c>
      <c r="I1151" s="838" t="s">
        <v>36</v>
      </c>
      <c r="J1151" s="838" t="s">
        <v>871</v>
      </c>
      <c r="K1151" s="838"/>
      <c r="L1151" s="214"/>
      <c r="M1151" s="22"/>
      <c r="N1151" s="23"/>
      <c r="O1151" s="240" t="s">
        <v>31</v>
      </c>
      <c r="P1151" s="23" t="s">
        <v>30</v>
      </c>
      <c r="Q1151" s="23">
        <v>45958</v>
      </c>
      <c r="R1151" s="79" t="s">
        <v>28</v>
      </c>
      <c r="S1151" s="22" t="s">
        <v>1140</v>
      </c>
      <c r="T1151" s="22">
        <v>14</v>
      </c>
      <c r="U1151" s="24" t="s">
        <v>28</v>
      </c>
      <c r="V1151" s="23">
        <v>45958</v>
      </c>
      <c r="W1151" s="80" t="s">
        <v>30</v>
      </c>
      <c r="X1151" s="80" t="s">
        <v>30</v>
      </c>
      <c r="Y1151" s="80" t="s">
        <v>30</v>
      </c>
      <c r="Z1151" s="102" t="s">
        <v>30</v>
      </c>
      <c r="AA1151"/>
    </row>
    <row r="1152" spans="1:34">
      <c r="A1152" s="834" t="s">
        <v>24</v>
      </c>
      <c r="B1152" s="835">
        <v>1149</v>
      </c>
      <c r="C1152" s="838" t="s">
        <v>1780</v>
      </c>
      <c r="D1152" s="838" t="s">
        <v>34</v>
      </c>
      <c r="E1152" s="839">
        <v>45927</v>
      </c>
      <c r="F1152" s="838" t="s">
        <v>701</v>
      </c>
      <c r="G1152" s="838">
        <v>14</v>
      </c>
      <c r="H1152" s="838" t="s">
        <v>127</v>
      </c>
      <c r="I1152" s="838" t="s">
        <v>36</v>
      </c>
      <c r="J1152" s="838" t="s">
        <v>871</v>
      </c>
      <c r="K1152" s="838"/>
      <c r="L1152" s="214"/>
      <c r="M1152" s="22"/>
      <c r="N1152" s="23"/>
      <c r="O1152" s="848"/>
      <c r="P1152" s="23" t="s">
        <v>30</v>
      </c>
      <c r="Q1152" s="23">
        <v>45939</v>
      </c>
      <c r="R1152" s="79" t="s">
        <v>1138</v>
      </c>
      <c r="S1152" s="22" t="s">
        <v>32</v>
      </c>
      <c r="T1152" s="22">
        <v>14</v>
      </c>
      <c r="U1152" s="24" t="s">
        <v>1138</v>
      </c>
      <c r="V1152" s="23">
        <v>45939</v>
      </c>
      <c r="W1152" s="80" t="s">
        <v>30</v>
      </c>
      <c r="X1152" s="80" t="s">
        <v>30</v>
      </c>
      <c r="Y1152" s="80" t="s">
        <v>30</v>
      </c>
      <c r="Z1152" s="80" t="s">
        <v>30</v>
      </c>
      <c r="AA1152"/>
    </row>
    <row r="1153" spans="1:34">
      <c r="A1153" s="834" t="s">
        <v>24</v>
      </c>
      <c r="B1153" s="835">
        <v>1150</v>
      </c>
      <c r="C1153" s="838" t="s">
        <v>1781</v>
      </c>
      <c r="D1153" s="838" t="s">
        <v>34</v>
      </c>
      <c r="E1153" s="839">
        <v>45929</v>
      </c>
      <c r="F1153" s="838" t="s">
        <v>668</v>
      </c>
      <c r="G1153" s="838">
        <v>11</v>
      </c>
      <c r="H1153" s="838" t="s">
        <v>1725</v>
      </c>
      <c r="I1153" s="838" t="s">
        <v>47</v>
      </c>
      <c r="J1153" s="838" t="s">
        <v>871</v>
      </c>
      <c r="K1153" s="838"/>
      <c r="L1153" s="214"/>
      <c r="M1153" s="22"/>
      <c r="N1153" s="23"/>
      <c r="O1153" s="848"/>
      <c r="P1153" s="23" t="s">
        <v>30</v>
      </c>
      <c r="Q1153" s="23">
        <v>45938</v>
      </c>
      <c r="R1153" s="79" t="s">
        <v>1138</v>
      </c>
      <c r="S1153" s="22" t="s">
        <v>32</v>
      </c>
      <c r="T1153" s="22">
        <v>11</v>
      </c>
      <c r="U1153" s="24" t="s">
        <v>1138</v>
      </c>
      <c r="V1153" s="23">
        <v>45938</v>
      </c>
      <c r="W1153" s="80" t="s">
        <v>30</v>
      </c>
      <c r="X1153" s="80" t="s">
        <v>30</v>
      </c>
      <c r="Y1153" s="96" t="s">
        <v>30</v>
      </c>
      <c r="Z1153" s="102" t="s">
        <v>30</v>
      </c>
      <c r="AA1153"/>
    </row>
    <row r="1154" spans="1:34">
      <c r="A1154" s="834" t="s">
        <v>24</v>
      </c>
      <c r="B1154" s="835">
        <v>1151</v>
      </c>
      <c r="C1154" s="838" t="s">
        <v>1782</v>
      </c>
      <c r="D1154" s="838" t="s">
        <v>102</v>
      </c>
      <c r="E1154" s="839">
        <v>45929</v>
      </c>
      <c r="F1154" s="838" t="s">
        <v>202</v>
      </c>
      <c r="G1154" s="838">
        <v>8</v>
      </c>
      <c r="H1154" s="838" t="s">
        <v>127</v>
      </c>
      <c r="I1154" s="838" t="s">
        <v>36</v>
      </c>
      <c r="J1154" s="838" t="s">
        <v>237</v>
      </c>
      <c r="K1154" s="838"/>
      <c r="L1154" s="215"/>
      <c r="M1154" s="22"/>
      <c r="N1154" s="23"/>
      <c r="O1154" s="848"/>
      <c r="P1154" s="23" t="s">
        <v>30</v>
      </c>
      <c r="Q1154" s="23">
        <v>45939</v>
      </c>
      <c r="R1154" s="79" t="s">
        <v>28</v>
      </c>
      <c r="S1154" s="22" t="s">
        <v>32</v>
      </c>
      <c r="T1154" s="22">
        <v>7</v>
      </c>
      <c r="U1154" s="24" t="s">
        <v>28</v>
      </c>
      <c r="V1154" s="23">
        <v>45939</v>
      </c>
      <c r="W1154" s="80" t="s">
        <v>30</v>
      </c>
      <c r="X1154" s="80" t="s">
        <v>30</v>
      </c>
      <c r="Y1154" s="96" t="s">
        <v>30</v>
      </c>
      <c r="Z1154" s="102" t="s">
        <v>30</v>
      </c>
      <c r="AA1154"/>
    </row>
    <row r="1155" spans="1:34">
      <c r="A1155" s="834" t="s">
        <v>24</v>
      </c>
      <c r="B1155" s="835">
        <v>1152</v>
      </c>
      <c r="C1155" s="838" t="s">
        <v>1783</v>
      </c>
      <c r="D1155" s="838" t="s">
        <v>50</v>
      </c>
      <c r="E1155" s="839">
        <v>45929</v>
      </c>
      <c r="F1155" s="838" t="s">
        <v>737</v>
      </c>
      <c r="G1155" s="838">
        <v>15</v>
      </c>
      <c r="H1155" s="838" t="s">
        <v>1721</v>
      </c>
      <c r="I1155" s="838" t="s">
        <v>1638</v>
      </c>
      <c r="J1155" s="838" t="s">
        <v>237</v>
      </c>
      <c r="K1155" s="838"/>
      <c r="L1155" s="214"/>
      <c r="M1155" s="22"/>
      <c r="N1155" s="23"/>
      <c r="O1155" s="240" t="s">
        <v>31</v>
      </c>
      <c r="P1155" s="23" t="s">
        <v>30</v>
      </c>
      <c r="Q1155" s="23">
        <v>45958</v>
      </c>
      <c r="R1155" s="79" t="s">
        <v>1638</v>
      </c>
      <c r="S1155" s="22" t="s">
        <v>32</v>
      </c>
      <c r="T1155" s="22">
        <v>17</v>
      </c>
      <c r="U1155" s="24" t="s">
        <v>1638</v>
      </c>
      <c r="V1155" s="23">
        <v>45958</v>
      </c>
      <c r="W1155" s="80" t="s">
        <v>30</v>
      </c>
      <c r="X1155" s="80" t="s">
        <v>30</v>
      </c>
      <c r="Y1155" s="80" t="s">
        <v>30</v>
      </c>
      <c r="Z1155" s="102" t="s">
        <v>30</v>
      </c>
      <c r="AA1155"/>
    </row>
    <row r="1156" spans="1:34">
      <c r="A1156" s="834" t="s">
        <v>24</v>
      </c>
      <c r="B1156" s="835">
        <v>1153</v>
      </c>
      <c r="C1156" s="838" t="s">
        <v>1784</v>
      </c>
      <c r="D1156" s="838" t="s">
        <v>64</v>
      </c>
      <c r="E1156" s="839">
        <v>45930</v>
      </c>
      <c r="F1156" s="838" t="s">
        <v>506</v>
      </c>
      <c r="G1156" s="838">
        <v>27</v>
      </c>
      <c r="H1156" s="838" t="s">
        <v>127</v>
      </c>
      <c r="I1156" s="838" t="s">
        <v>36</v>
      </c>
      <c r="J1156" s="838" t="s">
        <v>871</v>
      </c>
      <c r="K1156" s="838"/>
      <c r="L1156" s="21"/>
      <c r="M1156" s="22"/>
      <c r="N1156" s="23"/>
      <c r="O1156" s="240" t="s">
        <v>31</v>
      </c>
      <c r="P1156" s="23" t="s">
        <v>30</v>
      </c>
      <c r="Q1156" s="23">
        <v>45944</v>
      </c>
      <c r="R1156" s="79" t="s">
        <v>28</v>
      </c>
      <c r="S1156" s="22" t="s">
        <v>32</v>
      </c>
      <c r="T1156" s="22">
        <v>27</v>
      </c>
      <c r="U1156" s="24" t="s">
        <v>28</v>
      </c>
      <c r="V1156" s="23">
        <v>45944</v>
      </c>
      <c r="W1156" s="80" t="s">
        <v>30</v>
      </c>
      <c r="X1156" s="80" t="s">
        <v>30</v>
      </c>
      <c r="Y1156" s="96" t="s">
        <v>30</v>
      </c>
      <c r="Z1156" s="80" t="s">
        <v>30</v>
      </c>
      <c r="AA1156"/>
    </row>
    <row r="1157" spans="1:34">
      <c r="A1157" s="834" t="s">
        <v>137</v>
      </c>
      <c r="B1157" s="835">
        <v>1154</v>
      </c>
      <c r="C1157" s="840" t="s">
        <v>1785</v>
      </c>
      <c r="D1157" s="840" t="s">
        <v>1184</v>
      </c>
      <c r="E1157" s="839">
        <v>45901.375</v>
      </c>
      <c r="F1157" s="838" t="s">
        <v>140</v>
      </c>
      <c r="G1157" s="838">
        <v>11</v>
      </c>
      <c r="H1157" s="838" t="s">
        <v>1786</v>
      </c>
      <c r="I1157" s="838" t="s">
        <v>1787</v>
      </c>
      <c r="J1157" s="838"/>
      <c r="K1157" s="21"/>
      <c r="L1157" s="21"/>
      <c r="M1157" s="22"/>
      <c r="N1157" s="23"/>
      <c r="O1157" s="23"/>
      <c r="P1157" s="23"/>
      <c r="Q1157" s="23"/>
      <c r="R1157" s="79"/>
      <c r="S1157" s="22"/>
      <c r="T1157" s="22"/>
      <c r="U1157" s="24"/>
      <c r="V1157" s="23"/>
      <c r="W1157" s="80"/>
      <c r="X1157" s="80"/>
      <c r="Y1157" s="80"/>
      <c r="Z1157" s="96"/>
      <c r="AA1157"/>
    </row>
    <row r="1158" spans="1:34">
      <c r="A1158" s="834" t="s">
        <v>137</v>
      </c>
      <c r="B1158" s="835">
        <v>1155</v>
      </c>
      <c r="C1158" s="840" t="s">
        <v>1788</v>
      </c>
      <c r="D1158" s="840" t="s">
        <v>523</v>
      </c>
      <c r="E1158" s="839">
        <v>45901.375</v>
      </c>
      <c r="F1158" s="838" t="s">
        <v>140</v>
      </c>
      <c r="G1158" s="838">
        <v>1</v>
      </c>
      <c r="H1158" s="838" t="s">
        <v>127</v>
      </c>
      <c r="I1158" s="838" t="s">
        <v>36</v>
      </c>
      <c r="J1158" s="838"/>
      <c r="K1158" s="21"/>
      <c r="L1158" s="21"/>
      <c r="M1158" s="22"/>
      <c r="N1158" s="23"/>
      <c r="O1158" s="848"/>
      <c r="P1158" s="23"/>
      <c r="Q1158" s="23"/>
      <c r="R1158" s="79"/>
      <c r="S1158" s="22"/>
      <c r="T1158" s="22"/>
      <c r="U1158" s="24"/>
      <c r="V1158" s="23"/>
      <c r="W1158" s="80"/>
      <c r="X1158" s="80"/>
      <c r="Y1158" s="80"/>
      <c r="Z1158" s="96"/>
      <c r="AA1158"/>
      <c r="AE1158" s="84"/>
      <c r="AF1158" s="71"/>
      <c r="AG1158" s="71"/>
      <c r="AH1158" s="71"/>
    </row>
    <row r="1159" spans="1:34">
      <c r="A1159" s="834" t="s">
        <v>137</v>
      </c>
      <c r="B1159" s="835">
        <v>1156</v>
      </c>
      <c r="C1159" s="840" t="s">
        <v>1789</v>
      </c>
      <c r="D1159" s="840" t="s">
        <v>779</v>
      </c>
      <c r="E1159" s="839">
        <v>45901.208333333336</v>
      </c>
      <c r="F1159" s="838" t="s">
        <v>140</v>
      </c>
      <c r="G1159" s="838">
        <v>10</v>
      </c>
      <c r="H1159" s="838" t="s">
        <v>1790</v>
      </c>
      <c r="I1159" s="838" t="s">
        <v>1791</v>
      </c>
      <c r="J1159" s="838"/>
      <c r="K1159" s="100"/>
      <c r="L1159" s="21"/>
      <c r="M1159" s="22"/>
      <c r="N1159" s="23"/>
      <c r="O1159" s="23"/>
      <c r="P1159" s="100"/>
      <c r="Q1159" s="23"/>
      <c r="R1159" s="79"/>
      <c r="S1159" s="22"/>
      <c r="T1159" s="22"/>
      <c r="U1159" s="24"/>
      <c r="V1159" s="23"/>
      <c r="W1159" s="80"/>
      <c r="X1159" s="80"/>
      <c r="Y1159" s="80"/>
      <c r="Z1159" s="96"/>
      <c r="AA1159"/>
    </row>
    <row r="1160" spans="1:34">
      <c r="A1160" s="834" t="s">
        <v>137</v>
      </c>
      <c r="B1160" s="835">
        <v>1157</v>
      </c>
      <c r="C1160" s="840" t="s">
        <v>1792</v>
      </c>
      <c r="D1160" s="840" t="s">
        <v>1793</v>
      </c>
      <c r="E1160" s="839">
        <v>45901.375</v>
      </c>
      <c r="F1160" s="838" t="s">
        <v>140</v>
      </c>
      <c r="G1160" s="838">
        <v>6</v>
      </c>
      <c r="H1160" s="838" t="s">
        <v>1721</v>
      </c>
      <c r="I1160" s="838" t="s">
        <v>1638</v>
      </c>
      <c r="J1160" s="838"/>
      <c r="K1160" s="21"/>
      <c r="L1160" s="21"/>
      <c r="M1160" s="22"/>
      <c r="N1160" s="23"/>
      <c r="O1160" s="23"/>
      <c r="P1160" s="23"/>
      <c r="Q1160" s="23"/>
      <c r="R1160" s="79"/>
      <c r="S1160" s="22"/>
      <c r="T1160" s="22"/>
      <c r="U1160" s="24"/>
      <c r="V1160" s="23"/>
      <c r="W1160" s="80"/>
      <c r="X1160" s="80"/>
      <c r="Y1160" s="80"/>
      <c r="Z1160" s="96"/>
      <c r="AA1160"/>
    </row>
    <row r="1161" spans="1:34">
      <c r="A1161" s="834" t="s">
        <v>137</v>
      </c>
      <c r="B1161" s="835">
        <v>1158</v>
      </c>
      <c r="C1161" s="840" t="s">
        <v>1794</v>
      </c>
      <c r="D1161" s="840" t="s">
        <v>519</v>
      </c>
      <c r="E1161" s="839">
        <v>45922.375</v>
      </c>
      <c r="F1161" s="838" t="s">
        <v>140</v>
      </c>
      <c r="G1161" s="838">
        <v>7</v>
      </c>
      <c r="H1161" s="838" t="s">
        <v>1795</v>
      </c>
      <c r="I1161" s="838">
        <v>45471.477083333331</v>
      </c>
      <c r="J1161" s="838"/>
      <c r="K1161" s="21"/>
      <c r="L1161" s="21"/>
      <c r="M1161" s="22"/>
      <c r="N1161" s="23"/>
      <c r="O1161" s="848"/>
      <c r="P1161" s="23"/>
      <c r="Q1161" s="23"/>
      <c r="R1161" s="79"/>
      <c r="S1161" s="22"/>
      <c r="T1161" s="22"/>
      <c r="U1161" s="24"/>
      <c r="V1161" s="23"/>
      <c r="W1161" s="80"/>
      <c r="X1161" s="80"/>
      <c r="Y1161" s="80"/>
      <c r="Z1161" s="96"/>
      <c r="AA1161"/>
      <c r="AE1161" s="84"/>
      <c r="AF1161" s="71"/>
      <c r="AG1161" s="71"/>
      <c r="AH1161" s="71"/>
    </row>
    <row r="1162" spans="1:34">
      <c r="A1162" s="834" t="s">
        <v>137</v>
      </c>
      <c r="B1162" s="835">
        <v>1159</v>
      </c>
      <c r="C1162" s="840" t="s">
        <v>1796</v>
      </c>
      <c r="D1162" s="840" t="s">
        <v>1797</v>
      </c>
      <c r="E1162" s="839">
        <v>45901.375</v>
      </c>
      <c r="F1162" s="838" t="s">
        <v>140</v>
      </c>
      <c r="G1162" s="838">
        <v>6</v>
      </c>
      <c r="H1162" s="838" t="s">
        <v>1721</v>
      </c>
      <c r="I1162" s="838" t="s">
        <v>1638</v>
      </c>
      <c r="J1162" s="838"/>
      <c r="K1162" s="21"/>
      <c r="L1162" s="21"/>
      <c r="M1162" s="22"/>
      <c r="N1162" s="23"/>
      <c r="O1162" s="848"/>
      <c r="P1162" s="23"/>
      <c r="Q1162" s="23"/>
      <c r="R1162" s="79"/>
      <c r="S1162" s="22"/>
      <c r="T1162" s="22"/>
      <c r="U1162" s="24"/>
      <c r="V1162" s="23"/>
      <c r="W1162" s="80"/>
      <c r="X1162" s="80"/>
      <c r="Y1162" s="80"/>
      <c r="Z1162" s="96"/>
      <c r="AA1162"/>
      <c r="AB1162" s="776"/>
      <c r="AC1162" s="776"/>
      <c r="AD1162" s="776"/>
      <c r="AE1162" s="776"/>
    </row>
    <row r="1163" spans="1:34">
      <c r="A1163" s="834" t="s">
        <v>137</v>
      </c>
      <c r="B1163" s="835">
        <v>1160</v>
      </c>
      <c r="C1163" s="840" t="s">
        <v>1798</v>
      </c>
      <c r="D1163" s="840" t="s">
        <v>1017</v>
      </c>
      <c r="E1163" s="839">
        <v>45901.375</v>
      </c>
      <c r="F1163" s="838" t="s">
        <v>140</v>
      </c>
      <c r="G1163" s="838">
        <v>2</v>
      </c>
      <c r="H1163" s="838" t="s">
        <v>1799</v>
      </c>
      <c r="I1163" s="838" t="s">
        <v>1800</v>
      </c>
      <c r="J1163" s="838"/>
      <c r="K1163" s="21"/>
      <c r="L1163" s="21"/>
      <c r="M1163" s="22"/>
      <c r="N1163" s="23"/>
      <c r="O1163" s="848"/>
      <c r="P1163" s="23"/>
      <c r="Q1163" s="23"/>
      <c r="R1163" s="79"/>
      <c r="S1163" s="22"/>
      <c r="T1163" s="22"/>
      <c r="U1163" s="24"/>
      <c r="V1163" s="23"/>
      <c r="W1163" s="80"/>
      <c r="X1163" s="80"/>
      <c r="Y1163" s="80"/>
      <c r="Z1163" s="96"/>
      <c r="AA1163"/>
      <c r="AF1163" s="71"/>
      <c r="AG1163" s="92"/>
      <c r="AH1163" s="92"/>
    </row>
    <row r="1164" spans="1:34">
      <c r="A1164" s="834" t="s">
        <v>137</v>
      </c>
      <c r="B1164" s="835">
        <v>1161</v>
      </c>
      <c r="C1164" s="840" t="s">
        <v>1801</v>
      </c>
      <c r="D1164" s="840" t="s">
        <v>829</v>
      </c>
      <c r="E1164" s="839">
        <v>45901.375</v>
      </c>
      <c r="F1164" s="838" t="s">
        <v>140</v>
      </c>
      <c r="G1164" s="838">
        <v>4</v>
      </c>
      <c r="H1164" s="838" t="s">
        <v>127</v>
      </c>
      <c r="I1164" s="838" t="s">
        <v>36</v>
      </c>
      <c r="J1164" s="838"/>
      <c r="K1164" s="21"/>
      <c r="L1164" s="21"/>
      <c r="M1164" s="22"/>
      <c r="N1164" s="23"/>
      <c r="O1164" s="23"/>
      <c r="P1164" s="23"/>
      <c r="Q1164" s="23"/>
      <c r="R1164" s="79"/>
      <c r="S1164" s="22"/>
      <c r="T1164" s="22"/>
      <c r="U1164" s="24"/>
      <c r="V1164" s="23"/>
      <c r="W1164" s="80"/>
      <c r="X1164" s="80"/>
      <c r="Y1164" s="80"/>
      <c r="Z1164" s="96"/>
      <c r="AA1164"/>
      <c r="AB1164" s="776"/>
      <c r="AC1164" s="776"/>
      <c r="AD1164" s="776"/>
      <c r="AE1164" s="776"/>
    </row>
    <row r="1165" spans="1:34">
      <c r="A1165" s="834" t="s">
        <v>137</v>
      </c>
      <c r="B1165" s="835">
        <v>1162</v>
      </c>
      <c r="C1165" s="840" t="s">
        <v>1802</v>
      </c>
      <c r="D1165" s="840" t="s">
        <v>937</v>
      </c>
      <c r="E1165" s="839">
        <v>45901.375</v>
      </c>
      <c r="F1165" s="838" t="s">
        <v>140</v>
      </c>
      <c r="G1165" s="838">
        <v>4</v>
      </c>
      <c r="H1165" s="838" t="s">
        <v>127</v>
      </c>
      <c r="I1165" s="838" t="s">
        <v>36</v>
      </c>
      <c r="J1165" s="838"/>
      <c r="K1165" s="100"/>
      <c r="L1165" s="21"/>
      <c r="M1165" s="22"/>
      <c r="N1165" s="23"/>
      <c r="O1165" s="23"/>
      <c r="P1165" s="100"/>
      <c r="Q1165" s="23"/>
      <c r="R1165" s="79"/>
      <c r="S1165" s="22"/>
      <c r="T1165" s="22"/>
      <c r="U1165" s="24"/>
      <c r="V1165" s="23"/>
      <c r="W1165" s="80"/>
      <c r="X1165" s="80"/>
      <c r="Y1165" s="80"/>
      <c r="Z1165" s="96"/>
      <c r="AA1165"/>
      <c r="AB1165" s="776"/>
      <c r="AC1165" s="776"/>
      <c r="AD1165" s="776"/>
      <c r="AE1165" s="776"/>
    </row>
    <row r="1166" spans="1:34">
      <c r="A1166" s="834" t="s">
        <v>137</v>
      </c>
      <c r="B1166" s="835">
        <v>1163</v>
      </c>
      <c r="C1166" s="840" t="s">
        <v>1803</v>
      </c>
      <c r="D1166" s="840" t="s">
        <v>1804</v>
      </c>
      <c r="E1166" s="839">
        <v>45908.375</v>
      </c>
      <c r="F1166" s="838" t="s">
        <v>140</v>
      </c>
      <c r="G1166" s="838">
        <v>1</v>
      </c>
      <c r="H1166" s="838" t="s">
        <v>127</v>
      </c>
      <c r="I1166" s="838" t="s">
        <v>36</v>
      </c>
      <c r="J1166" s="838"/>
      <c r="K1166" s="100"/>
      <c r="L1166" s="21"/>
      <c r="M1166" s="22"/>
      <c r="N1166" s="23"/>
      <c r="O1166" s="23"/>
      <c r="P1166" s="100"/>
      <c r="Q1166" s="23"/>
      <c r="R1166" s="79"/>
      <c r="S1166" s="22"/>
      <c r="T1166" s="22"/>
      <c r="U1166" s="24"/>
      <c r="V1166" s="23"/>
      <c r="W1166" s="80"/>
      <c r="X1166" s="80"/>
      <c r="Y1166" s="80"/>
      <c r="Z1166" s="96"/>
      <c r="AA1166"/>
    </row>
    <row r="1167" spans="1:34">
      <c r="A1167" s="834" t="s">
        <v>137</v>
      </c>
      <c r="B1167" s="835">
        <v>1164</v>
      </c>
      <c r="C1167" s="840" t="s">
        <v>1805</v>
      </c>
      <c r="D1167" s="840" t="s">
        <v>1025</v>
      </c>
      <c r="E1167" s="839">
        <v>45908.083333333336</v>
      </c>
      <c r="F1167" s="838" t="s">
        <v>140</v>
      </c>
      <c r="G1167" s="838">
        <v>1</v>
      </c>
      <c r="H1167" s="838" t="s">
        <v>1721</v>
      </c>
      <c r="I1167" s="838" t="s">
        <v>1638</v>
      </c>
      <c r="J1167" s="838"/>
      <c r="K1167" s="100"/>
      <c r="L1167" s="21"/>
      <c r="M1167" s="22"/>
      <c r="N1167" s="23"/>
      <c r="O1167" s="848"/>
      <c r="P1167" s="100"/>
      <c r="Q1167" s="23"/>
      <c r="R1167" s="79"/>
      <c r="S1167" s="22"/>
      <c r="T1167" s="22"/>
      <c r="U1167" s="24"/>
      <c r="V1167" s="23"/>
      <c r="W1167" s="80"/>
      <c r="X1167" s="80"/>
      <c r="Y1167" s="80"/>
      <c r="Z1167" s="96"/>
      <c r="AA1167"/>
    </row>
    <row r="1168" spans="1:34">
      <c r="A1168" s="834" t="s">
        <v>137</v>
      </c>
      <c r="B1168" s="835">
        <v>1165</v>
      </c>
      <c r="C1168" s="840" t="s">
        <v>1806</v>
      </c>
      <c r="D1168" s="840" t="s">
        <v>1807</v>
      </c>
      <c r="E1168" s="839">
        <v>45922.375</v>
      </c>
      <c r="F1168" s="838" t="s">
        <v>140</v>
      </c>
      <c r="G1168" s="838">
        <v>2</v>
      </c>
      <c r="H1168" s="838" t="s">
        <v>1799</v>
      </c>
      <c r="I1168" s="838" t="s">
        <v>1800</v>
      </c>
      <c r="J1168" s="838"/>
      <c r="K1168" s="21"/>
      <c r="L1168" s="21"/>
      <c r="M1168" s="22"/>
      <c r="N1168" s="23"/>
      <c r="O1168" s="848"/>
      <c r="P1168" s="23"/>
      <c r="Q1168" s="23"/>
      <c r="R1168" s="79"/>
      <c r="S1168" s="22"/>
      <c r="T1168" s="22"/>
      <c r="U1168" s="24"/>
      <c r="V1168" s="23"/>
      <c r="W1168" s="80"/>
      <c r="X1168" s="80"/>
      <c r="Y1168" s="80"/>
      <c r="Z1168" s="96"/>
      <c r="AA1168"/>
    </row>
    <row r="1169" spans="1:34">
      <c r="A1169" s="834" t="s">
        <v>137</v>
      </c>
      <c r="B1169" s="835">
        <v>1166</v>
      </c>
      <c r="C1169" s="840" t="s">
        <v>1808</v>
      </c>
      <c r="D1169" s="840" t="s">
        <v>969</v>
      </c>
      <c r="E1169" s="839">
        <v>45908.375</v>
      </c>
      <c r="F1169" s="838" t="s">
        <v>140</v>
      </c>
      <c r="G1169" s="838">
        <v>6</v>
      </c>
      <c r="H1169" s="838" t="s">
        <v>127</v>
      </c>
      <c r="I1169" s="838" t="s">
        <v>36</v>
      </c>
      <c r="J1169" s="838"/>
      <c r="K1169" s="21"/>
      <c r="L1169" s="21"/>
      <c r="M1169" s="22"/>
      <c r="N1169" s="23"/>
      <c r="O1169" s="23"/>
      <c r="P1169" s="23"/>
      <c r="Q1169" s="23"/>
      <c r="R1169" s="79"/>
      <c r="S1169" s="22"/>
      <c r="T1169" s="22"/>
      <c r="U1169" s="24"/>
      <c r="V1169" s="23"/>
      <c r="W1169" s="80"/>
      <c r="X1169" s="80"/>
      <c r="Y1169" s="80"/>
      <c r="Z1169" s="96"/>
      <c r="AA1169"/>
    </row>
    <row r="1170" spans="1:34">
      <c r="A1170" s="834" t="s">
        <v>137</v>
      </c>
      <c r="B1170" s="835">
        <v>1167</v>
      </c>
      <c r="C1170" s="840" t="s">
        <v>1809</v>
      </c>
      <c r="D1170" s="840" t="s">
        <v>1810</v>
      </c>
      <c r="E1170" s="839">
        <v>45922.375</v>
      </c>
      <c r="F1170" s="838" t="s">
        <v>140</v>
      </c>
      <c r="G1170" s="838">
        <v>6</v>
      </c>
      <c r="H1170" s="838" t="s">
        <v>1811</v>
      </c>
      <c r="I1170" s="838" t="s">
        <v>1812</v>
      </c>
      <c r="J1170" s="838"/>
      <c r="K1170" s="97"/>
      <c r="L1170" s="21"/>
      <c r="M1170" s="22"/>
      <c r="N1170" s="23"/>
      <c r="O1170" s="848"/>
      <c r="P1170" s="97"/>
      <c r="Q1170" s="23"/>
      <c r="R1170" s="79"/>
      <c r="S1170" s="22"/>
      <c r="T1170" s="22"/>
      <c r="U1170" s="24"/>
      <c r="V1170" s="23"/>
      <c r="W1170" s="80"/>
      <c r="X1170" s="80"/>
      <c r="Y1170" s="80"/>
      <c r="Z1170" s="96"/>
      <c r="AA1170" s="87"/>
      <c r="AB1170" s="87"/>
      <c r="AF1170" s="71"/>
      <c r="AG1170" s="92"/>
      <c r="AH1170" s="92"/>
    </row>
    <row r="1171" spans="1:34">
      <c r="A1171" s="834" t="s">
        <v>137</v>
      </c>
      <c r="B1171" s="835">
        <v>1168</v>
      </c>
      <c r="C1171" s="840" t="s">
        <v>1813</v>
      </c>
      <c r="D1171" s="840" t="s">
        <v>1814</v>
      </c>
      <c r="E1171" s="839">
        <v>45922.375</v>
      </c>
      <c r="F1171" s="838" t="s">
        <v>140</v>
      </c>
      <c r="G1171" s="838">
        <v>1</v>
      </c>
      <c r="H1171" s="838" t="s">
        <v>1077</v>
      </c>
      <c r="I1171" s="838" t="s">
        <v>1138</v>
      </c>
      <c r="J1171" s="838"/>
      <c r="K1171" s="97"/>
      <c r="L1171" s="21"/>
      <c r="M1171" s="22"/>
      <c r="N1171" s="23"/>
      <c r="O1171" s="23"/>
      <c r="P1171" s="97"/>
      <c r="Q1171" s="23"/>
      <c r="R1171" s="79"/>
      <c r="S1171" s="22"/>
      <c r="U1171" s="24"/>
      <c r="V1171" s="23"/>
      <c r="W1171" s="80"/>
      <c r="X1171" s="80"/>
      <c r="Y1171" s="80"/>
      <c r="Z1171" s="96"/>
      <c r="AA1171"/>
      <c r="AF1171" s="71"/>
      <c r="AG1171" s="92"/>
      <c r="AH1171" s="92"/>
    </row>
    <row r="1172" spans="1:34">
      <c r="A1172" s="834" t="s">
        <v>137</v>
      </c>
      <c r="B1172" s="835">
        <v>1169</v>
      </c>
      <c r="C1172" s="840" t="s">
        <v>1815</v>
      </c>
      <c r="D1172" s="840" t="s">
        <v>865</v>
      </c>
      <c r="E1172" s="839">
        <v>45908.083333333336</v>
      </c>
      <c r="F1172" s="838" t="s">
        <v>140</v>
      </c>
      <c r="G1172" s="838">
        <v>5</v>
      </c>
      <c r="H1172" s="838" t="s">
        <v>1077</v>
      </c>
      <c r="I1172" s="838" t="s">
        <v>1138</v>
      </c>
      <c r="J1172" s="838"/>
      <c r="K1172" s="21"/>
      <c r="L1172" s="21"/>
      <c r="M1172" s="22"/>
      <c r="N1172" s="23"/>
      <c r="O1172" s="848"/>
      <c r="P1172" s="23"/>
      <c r="Q1172" s="23"/>
      <c r="R1172" s="79"/>
      <c r="S1172" s="22"/>
      <c r="T1172" s="22"/>
      <c r="U1172" s="24"/>
      <c r="V1172" s="23"/>
      <c r="W1172" s="80"/>
      <c r="X1172" s="80"/>
      <c r="Y1172" s="80"/>
      <c r="Z1172" s="96"/>
      <c r="AA1172" s="87"/>
      <c r="AB1172" s="87"/>
      <c r="AF1172" s="71"/>
      <c r="AG1172" s="92"/>
      <c r="AH1172" s="92"/>
    </row>
    <row r="1173" spans="1:34">
      <c r="A1173" s="834" t="s">
        <v>137</v>
      </c>
      <c r="B1173" s="835">
        <v>1170</v>
      </c>
      <c r="C1173" s="840" t="s">
        <v>1816</v>
      </c>
      <c r="D1173" s="840" t="s">
        <v>1817</v>
      </c>
      <c r="E1173" s="839">
        <v>45908.458333333336</v>
      </c>
      <c r="F1173" s="838" t="s">
        <v>140</v>
      </c>
      <c r="G1173" s="838">
        <v>9</v>
      </c>
      <c r="H1173" s="838" t="s">
        <v>1818</v>
      </c>
      <c r="I1173" s="838" t="s">
        <v>1819</v>
      </c>
      <c r="J1173" s="838"/>
      <c r="K1173" s="21"/>
      <c r="L1173" s="21"/>
      <c r="M1173" s="22"/>
      <c r="N1173" s="23"/>
      <c r="O1173" s="848"/>
      <c r="P1173" s="23"/>
      <c r="Q1173" s="23"/>
      <c r="R1173" s="79"/>
      <c r="S1173" s="22"/>
      <c r="T1173" s="22"/>
      <c r="U1173" s="24"/>
      <c r="V1173" s="23"/>
      <c r="W1173" s="80"/>
      <c r="X1173" s="80"/>
      <c r="Y1173" s="80"/>
      <c r="Z1173" s="96"/>
      <c r="AA1173"/>
      <c r="AF1173" s="71"/>
      <c r="AG1173" s="92"/>
      <c r="AH1173" s="92"/>
    </row>
    <row r="1174" spans="1:34">
      <c r="A1174" s="834" t="s">
        <v>137</v>
      </c>
      <c r="B1174" s="835">
        <v>1171</v>
      </c>
      <c r="C1174" s="840" t="s">
        <v>1820</v>
      </c>
      <c r="D1174" s="840" t="s">
        <v>1230</v>
      </c>
      <c r="E1174" s="839">
        <v>45908.375</v>
      </c>
      <c r="F1174" s="838" t="s">
        <v>140</v>
      </c>
      <c r="G1174" s="838">
        <v>1</v>
      </c>
      <c r="H1174" s="838" t="s">
        <v>1721</v>
      </c>
      <c r="I1174" s="838" t="s">
        <v>1638</v>
      </c>
      <c r="J1174" s="838"/>
      <c r="K1174" s="21"/>
      <c r="L1174" s="21"/>
      <c r="M1174" s="22"/>
      <c r="N1174" s="23"/>
      <c r="O1174" s="23"/>
      <c r="P1174" s="23"/>
      <c r="Q1174" s="23"/>
      <c r="R1174" s="79"/>
      <c r="S1174" s="22"/>
      <c r="T1174" s="22"/>
      <c r="U1174" s="24"/>
      <c r="V1174" s="23"/>
      <c r="W1174" s="80"/>
      <c r="X1174" s="80"/>
      <c r="Y1174" s="80"/>
      <c r="Z1174" s="96"/>
      <c r="AA1174"/>
    </row>
    <row r="1175" spans="1:34">
      <c r="A1175" s="834" t="s">
        <v>137</v>
      </c>
      <c r="B1175" s="835">
        <v>1172</v>
      </c>
      <c r="C1175" s="840" t="s">
        <v>1821</v>
      </c>
      <c r="D1175" s="840" t="s">
        <v>354</v>
      </c>
      <c r="E1175" s="839">
        <v>45908.375</v>
      </c>
      <c r="F1175" s="838" t="s">
        <v>140</v>
      </c>
      <c r="G1175" s="838">
        <v>1</v>
      </c>
      <c r="H1175" s="838" t="s">
        <v>1077</v>
      </c>
      <c r="I1175" s="838" t="s">
        <v>1138</v>
      </c>
      <c r="J1175" s="838"/>
      <c r="K1175" s="21"/>
      <c r="L1175" s="21"/>
      <c r="M1175" s="22"/>
      <c r="N1175" s="23"/>
      <c r="O1175" s="61"/>
      <c r="P1175" s="23"/>
      <c r="Q1175" s="23"/>
      <c r="R1175" s="79"/>
      <c r="S1175" s="22"/>
      <c r="T1175" s="22"/>
      <c r="U1175" s="24"/>
      <c r="V1175" s="23"/>
      <c r="W1175" s="80"/>
      <c r="X1175" s="80"/>
      <c r="Y1175" s="80"/>
      <c r="Z1175" s="96"/>
      <c r="AA1175"/>
      <c r="AF1175" s="71"/>
      <c r="AG1175" s="92"/>
      <c r="AH1175" s="92"/>
    </row>
    <row r="1176" spans="1:34">
      <c r="A1176" s="834" t="s">
        <v>137</v>
      </c>
      <c r="B1176" s="835">
        <v>1173</v>
      </c>
      <c r="C1176" s="840" t="s">
        <v>1822</v>
      </c>
      <c r="D1176" s="840" t="s">
        <v>1212</v>
      </c>
      <c r="E1176" s="839">
        <v>45908.375</v>
      </c>
      <c r="F1176" s="838" t="s">
        <v>140</v>
      </c>
      <c r="G1176" s="838">
        <v>1</v>
      </c>
      <c r="H1176" s="838" t="s">
        <v>1077</v>
      </c>
      <c r="I1176" s="838" t="s">
        <v>1138</v>
      </c>
      <c r="J1176" s="838"/>
      <c r="K1176" s="21"/>
      <c r="L1176" s="21"/>
      <c r="M1176" s="22"/>
      <c r="N1176" s="23"/>
      <c r="O1176" s="61"/>
      <c r="P1176" s="23"/>
      <c r="Q1176" s="23"/>
      <c r="R1176" s="79"/>
      <c r="S1176" s="22"/>
      <c r="T1176" s="22"/>
      <c r="U1176" s="24"/>
      <c r="V1176" s="23"/>
      <c r="W1176" s="80"/>
      <c r="X1176" s="80"/>
      <c r="Y1176" s="80"/>
      <c r="Z1176" s="96"/>
      <c r="AA1176"/>
      <c r="AF1176" s="71"/>
      <c r="AG1176" s="92"/>
      <c r="AH1176" s="92"/>
    </row>
    <row r="1177" spans="1:34">
      <c r="A1177" s="834" t="s">
        <v>137</v>
      </c>
      <c r="B1177" s="835">
        <v>1174</v>
      </c>
      <c r="C1177" s="840" t="s">
        <v>1823</v>
      </c>
      <c r="D1177" s="840" t="s">
        <v>937</v>
      </c>
      <c r="E1177" s="839">
        <v>45908.375</v>
      </c>
      <c r="F1177" s="838" t="s">
        <v>140</v>
      </c>
      <c r="G1177" s="838">
        <v>2</v>
      </c>
      <c r="H1177" s="838" t="s">
        <v>127</v>
      </c>
      <c r="I1177" s="838" t="s">
        <v>36</v>
      </c>
      <c r="J1177" s="838"/>
      <c r="K1177" s="21"/>
      <c r="L1177" s="21"/>
      <c r="M1177" s="22"/>
      <c r="N1177" s="23"/>
      <c r="O1177" s="848"/>
      <c r="P1177" s="23"/>
      <c r="Q1177" s="23"/>
      <c r="R1177" s="79"/>
      <c r="S1177" s="22"/>
      <c r="T1177" s="22"/>
      <c r="U1177" s="24"/>
      <c r="V1177" s="23"/>
      <c r="W1177" s="80"/>
      <c r="X1177" s="80"/>
      <c r="Y1177" s="80"/>
      <c r="Z1177" s="96"/>
      <c r="AA1177"/>
    </row>
    <row r="1178" spans="1:34">
      <c r="A1178" s="834" t="s">
        <v>137</v>
      </c>
      <c r="B1178" s="835">
        <v>1175</v>
      </c>
      <c r="C1178" s="840" t="s">
        <v>1824</v>
      </c>
      <c r="D1178" s="840" t="s">
        <v>779</v>
      </c>
      <c r="E1178" s="839">
        <v>45908</v>
      </c>
      <c r="F1178" s="838" t="s">
        <v>140</v>
      </c>
      <c r="G1178" s="838">
        <v>2</v>
      </c>
      <c r="H1178" s="838" t="s">
        <v>127</v>
      </c>
      <c r="I1178" s="838" t="s">
        <v>36</v>
      </c>
      <c r="J1178" s="838"/>
      <c r="K1178" s="21"/>
      <c r="L1178" s="21"/>
      <c r="M1178" s="22"/>
      <c r="N1178" s="23"/>
      <c r="O1178" s="23"/>
      <c r="P1178" s="23"/>
      <c r="Q1178" s="23"/>
      <c r="R1178" s="79"/>
      <c r="S1178" s="22"/>
      <c r="T1178" s="22"/>
      <c r="U1178" s="24"/>
      <c r="V1178" s="23"/>
      <c r="W1178" s="80"/>
      <c r="X1178" s="80"/>
      <c r="Y1178" s="80"/>
      <c r="Z1178" s="96"/>
      <c r="AA1178"/>
    </row>
    <row r="1179" spans="1:34">
      <c r="A1179" s="834" t="s">
        <v>137</v>
      </c>
      <c r="B1179" s="835">
        <v>1176</v>
      </c>
      <c r="C1179" s="840" t="s">
        <v>1825</v>
      </c>
      <c r="D1179" s="840" t="s">
        <v>1826</v>
      </c>
      <c r="E1179" s="839">
        <v>45908.375</v>
      </c>
      <c r="F1179" s="838" t="s">
        <v>140</v>
      </c>
      <c r="G1179" s="838">
        <v>3</v>
      </c>
      <c r="H1179" s="838" t="s">
        <v>1721</v>
      </c>
      <c r="I1179" s="838" t="s">
        <v>1638</v>
      </c>
      <c r="J1179" s="838"/>
      <c r="K1179" s="21"/>
      <c r="L1179" s="21"/>
      <c r="M1179" s="22"/>
      <c r="N1179" s="23"/>
      <c r="O1179" s="848"/>
      <c r="P1179" s="23"/>
      <c r="Q1179" s="23"/>
      <c r="R1179" s="79"/>
      <c r="S1179" s="22"/>
      <c r="T1179" s="22"/>
      <c r="U1179" s="24"/>
      <c r="V1179" s="23"/>
      <c r="W1179" s="80"/>
      <c r="X1179" s="80"/>
      <c r="Y1179" s="80"/>
      <c r="Z1179" s="96"/>
      <c r="AA1179"/>
      <c r="AE1179" s="84"/>
      <c r="AF1179" s="71"/>
      <c r="AG1179" s="71"/>
      <c r="AH1179" s="71"/>
    </row>
    <row r="1180" spans="1:34">
      <c r="A1180" s="834" t="s">
        <v>137</v>
      </c>
      <c r="B1180" s="835">
        <v>1177</v>
      </c>
      <c r="C1180" s="840" t="s">
        <v>1827</v>
      </c>
      <c r="D1180" s="840" t="s">
        <v>1184</v>
      </c>
      <c r="E1180" s="839">
        <v>45915</v>
      </c>
      <c r="F1180" s="838" t="s">
        <v>140</v>
      </c>
      <c r="G1180" s="838">
        <v>1</v>
      </c>
      <c r="H1180" s="838" t="s">
        <v>1725</v>
      </c>
      <c r="I1180" s="838" t="s">
        <v>47</v>
      </c>
      <c r="J1180" s="838"/>
      <c r="K1180" s="100"/>
      <c r="L1180" s="21"/>
      <c r="M1180" s="22"/>
      <c r="N1180" s="23"/>
      <c r="O1180" s="848"/>
      <c r="P1180" s="100"/>
      <c r="Q1180" s="23"/>
      <c r="R1180" s="79"/>
      <c r="S1180" s="22"/>
      <c r="T1180" s="22"/>
      <c r="U1180" s="24"/>
      <c r="V1180" s="23"/>
      <c r="W1180" s="80"/>
      <c r="X1180" s="80"/>
      <c r="Y1180" s="80"/>
      <c r="Z1180" s="96"/>
      <c r="AA1180"/>
      <c r="AF1180" s="71"/>
      <c r="AG1180" s="92"/>
      <c r="AH1180" s="92"/>
    </row>
    <row r="1181" spans="1:34">
      <c r="A1181" s="834" t="s">
        <v>137</v>
      </c>
      <c r="B1181" s="835">
        <v>1178</v>
      </c>
      <c r="C1181" s="840" t="s">
        <v>1828</v>
      </c>
      <c r="D1181" s="840" t="s">
        <v>1829</v>
      </c>
      <c r="E1181" s="839">
        <v>45915</v>
      </c>
      <c r="F1181" s="838" t="s">
        <v>140</v>
      </c>
      <c r="G1181" s="838">
        <v>1</v>
      </c>
      <c r="H1181" s="838" t="s">
        <v>1721</v>
      </c>
      <c r="I1181" s="838" t="s">
        <v>1638</v>
      </c>
      <c r="J1181" s="838"/>
      <c r="K1181" s="100"/>
      <c r="L1181" s="21"/>
      <c r="M1181" s="22"/>
      <c r="N1181" s="23"/>
      <c r="O1181" s="23"/>
      <c r="P1181" s="100"/>
      <c r="Q1181" s="23"/>
      <c r="R1181" s="79"/>
      <c r="S1181" s="22"/>
      <c r="T1181" s="22"/>
      <c r="U1181" s="24"/>
      <c r="V1181" s="23"/>
      <c r="W1181" s="80"/>
      <c r="X1181" s="80"/>
      <c r="Y1181" s="80"/>
      <c r="Z1181" s="96"/>
      <c r="AA1181"/>
    </row>
    <row r="1182" spans="1:34">
      <c r="A1182" s="834" t="s">
        <v>137</v>
      </c>
      <c r="B1182" s="835">
        <v>1179</v>
      </c>
      <c r="C1182" s="840" t="s">
        <v>1830</v>
      </c>
      <c r="D1182" s="840" t="s">
        <v>779</v>
      </c>
      <c r="E1182" s="839">
        <v>45915</v>
      </c>
      <c r="F1182" s="838" t="s">
        <v>140</v>
      </c>
      <c r="G1182" s="838">
        <v>3</v>
      </c>
      <c r="H1182" s="838" t="s">
        <v>1831</v>
      </c>
      <c r="I1182" s="838" t="s">
        <v>1832</v>
      </c>
      <c r="J1182" s="838"/>
      <c r="K1182" s="21"/>
      <c r="L1182" s="21"/>
      <c r="M1182" s="22"/>
      <c r="N1182" s="23"/>
      <c r="O1182" s="23"/>
      <c r="P1182" s="23"/>
      <c r="Q1182" s="23"/>
      <c r="R1182" s="79"/>
      <c r="S1182" s="22"/>
      <c r="T1182" s="22"/>
      <c r="U1182" s="24"/>
      <c r="V1182" s="23"/>
      <c r="W1182" s="80"/>
      <c r="X1182" s="80"/>
      <c r="Y1182" s="80"/>
      <c r="Z1182" s="96"/>
      <c r="AA1182"/>
    </row>
    <row r="1183" spans="1:34">
      <c r="A1183" s="834" t="s">
        <v>137</v>
      </c>
      <c r="B1183" s="835">
        <v>1180</v>
      </c>
      <c r="C1183" s="840" t="s">
        <v>1833</v>
      </c>
      <c r="D1183" s="840" t="s">
        <v>937</v>
      </c>
      <c r="E1183" s="839">
        <v>45915</v>
      </c>
      <c r="F1183" s="838" t="s">
        <v>140</v>
      </c>
      <c r="G1183" s="838">
        <v>15</v>
      </c>
      <c r="H1183" s="838" t="s">
        <v>1811</v>
      </c>
      <c r="I1183" s="838" t="s">
        <v>1812</v>
      </c>
      <c r="J1183" s="838" t="s">
        <v>1834</v>
      </c>
      <c r="K1183" s="21"/>
      <c r="L1183" s="21"/>
      <c r="M1183" s="22"/>
      <c r="N1183" s="23"/>
      <c r="O1183" s="848" t="s">
        <v>31</v>
      </c>
      <c r="P1183" s="23"/>
      <c r="Q1183" s="23"/>
      <c r="R1183" s="79"/>
      <c r="S1183" s="22"/>
      <c r="T1183" s="22"/>
      <c r="U1183" s="24"/>
      <c r="V1183" s="23"/>
      <c r="W1183" s="80"/>
      <c r="X1183" s="80"/>
      <c r="Y1183" s="80"/>
      <c r="Z1183" s="96"/>
      <c r="AA1183" s="6">
        <v>1</v>
      </c>
      <c r="AB1183" s="6">
        <v>0</v>
      </c>
      <c r="AC1183" s="6">
        <v>20</v>
      </c>
      <c r="AD1183" s="6">
        <v>1</v>
      </c>
      <c r="AE1183" s="6">
        <f>SUM(AA1183:AD1183)</f>
        <v>22</v>
      </c>
      <c r="AF1183" s="104">
        <f>+AA1183/AE1183*AF$1</f>
        <v>0</v>
      </c>
      <c r="AG1183" s="105">
        <f>+AB1183/AE1183*AG$1</f>
        <v>0</v>
      </c>
      <c r="AH1183" s="105">
        <f>+AC1183/AE1183*AH$1</f>
        <v>0</v>
      </c>
    </row>
    <row r="1184" spans="1:34">
      <c r="A1184" s="834" t="s">
        <v>137</v>
      </c>
      <c r="B1184" s="835">
        <v>1181</v>
      </c>
      <c r="C1184" s="840" t="s">
        <v>1835</v>
      </c>
      <c r="D1184" s="840" t="s">
        <v>969</v>
      </c>
      <c r="E1184" s="839">
        <v>45915</v>
      </c>
      <c r="F1184" s="838" t="s">
        <v>140</v>
      </c>
      <c r="G1184" s="838">
        <v>4</v>
      </c>
      <c r="H1184" s="838" t="s">
        <v>127</v>
      </c>
      <c r="I1184" s="838" t="s">
        <v>36</v>
      </c>
      <c r="J1184" s="838"/>
      <c r="K1184" s="21"/>
      <c r="L1184" s="21"/>
      <c r="M1184" s="22"/>
      <c r="N1184" s="23"/>
      <c r="O1184" s="848"/>
      <c r="P1184" s="23"/>
      <c r="Q1184" s="23"/>
      <c r="R1184" s="79"/>
      <c r="S1184" s="22"/>
      <c r="T1184" s="22"/>
      <c r="U1184" s="24"/>
      <c r="V1184" s="23"/>
      <c r="W1184" s="80"/>
      <c r="X1184" s="80"/>
      <c r="Y1184" s="80"/>
      <c r="Z1184" s="96"/>
      <c r="AA1184"/>
      <c r="AB1184" s="776"/>
      <c r="AC1184" s="776"/>
      <c r="AD1184" s="776"/>
      <c r="AE1184" s="776"/>
    </row>
    <row r="1185" spans="1:34">
      <c r="A1185" s="834" t="s">
        <v>137</v>
      </c>
      <c r="B1185" s="835">
        <v>1182</v>
      </c>
      <c r="C1185" s="840" t="s">
        <v>1836</v>
      </c>
      <c r="D1185" s="840" t="s">
        <v>1837</v>
      </c>
      <c r="E1185" s="839">
        <v>45915.083333333336</v>
      </c>
      <c r="F1185" s="838" t="s">
        <v>140</v>
      </c>
      <c r="G1185" s="838">
        <v>7</v>
      </c>
      <c r="H1185" s="838" t="s">
        <v>127</v>
      </c>
      <c r="I1185" s="838" t="s">
        <v>36</v>
      </c>
      <c r="J1185" s="838"/>
      <c r="K1185" s="21"/>
      <c r="L1185" s="21"/>
      <c r="M1185" s="22"/>
      <c r="N1185" s="23"/>
      <c r="O1185" s="848"/>
      <c r="P1185" s="23"/>
      <c r="Q1185" s="23"/>
      <c r="R1185" s="79"/>
      <c r="S1185" s="22"/>
      <c r="T1185" s="22"/>
      <c r="U1185" s="24"/>
      <c r="V1185" s="23"/>
      <c r="W1185" s="80"/>
      <c r="X1185" s="80"/>
      <c r="Y1185" s="80"/>
      <c r="Z1185" s="96"/>
      <c r="AA1185"/>
      <c r="AF1185" s="71"/>
      <c r="AG1185" s="92"/>
      <c r="AH1185" s="92"/>
    </row>
    <row r="1186" spans="1:34">
      <c r="A1186" s="834" t="s">
        <v>137</v>
      </c>
      <c r="B1186" s="835">
        <v>1183</v>
      </c>
      <c r="C1186" s="840" t="s">
        <v>1838</v>
      </c>
      <c r="D1186" s="840" t="s">
        <v>1839</v>
      </c>
      <c r="E1186" s="839">
        <v>45915.375</v>
      </c>
      <c r="F1186" s="838" t="s">
        <v>140</v>
      </c>
      <c r="G1186" s="838">
        <v>3</v>
      </c>
      <c r="H1186" s="838" t="s">
        <v>1077</v>
      </c>
      <c r="I1186" s="838" t="s">
        <v>1138</v>
      </c>
      <c r="J1186" s="838"/>
      <c r="K1186" s="21"/>
      <c r="L1186" s="21"/>
      <c r="M1186" s="22"/>
      <c r="N1186" s="23"/>
      <c r="O1186" s="23"/>
      <c r="P1186" s="23"/>
      <c r="Q1186" s="23"/>
      <c r="R1186" s="79"/>
      <c r="S1186" s="22"/>
      <c r="T1186" s="22"/>
      <c r="U1186" s="24"/>
      <c r="V1186" s="23"/>
      <c r="W1186" s="80"/>
      <c r="X1186" s="80"/>
      <c r="Y1186" s="80"/>
      <c r="Z1186" s="96"/>
      <c r="AA1186"/>
      <c r="AB1186" s="776"/>
      <c r="AC1186" s="776"/>
      <c r="AD1186" s="776"/>
      <c r="AE1186" s="776"/>
    </row>
    <row r="1187" spans="1:34">
      <c r="A1187" s="834" t="s">
        <v>137</v>
      </c>
      <c r="B1187" s="835">
        <v>1184</v>
      </c>
      <c r="C1187" s="840" t="s">
        <v>1840</v>
      </c>
      <c r="D1187" s="840" t="s">
        <v>1841</v>
      </c>
      <c r="E1187" s="839">
        <v>45915.375</v>
      </c>
      <c r="F1187" s="838" t="s">
        <v>140</v>
      </c>
      <c r="G1187" s="838">
        <v>1</v>
      </c>
      <c r="H1187" s="838" t="s">
        <v>127</v>
      </c>
      <c r="I1187" s="838" t="s">
        <v>36</v>
      </c>
      <c r="J1187" s="838"/>
      <c r="K1187" s="100"/>
      <c r="L1187" s="21"/>
      <c r="M1187" s="22"/>
      <c r="N1187" s="23"/>
      <c r="O1187" s="23"/>
      <c r="P1187" s="100"/>
      <c r="Q1187" s="23"/>
      <c r="R1187" s="79"/>
      <c r="S1187" s="22"/>
      <c r="T1187" s="22"/>
      <c r="U1187" s="24"/>
      <c r="V1187" s="23"/>
      <c r="W1187" s="80"/>
      <c r="X1187" s="80"/>
      <c r="Y1187" s="80"/>
      <c r="Z1187" s="96"/>
      <c r="AA1187"/>
      <c r="AB1187" s="776"/>
      <c r="AC1187" s="776"/>
      <c r="AD1187" s="776"/>
      <c r="AE1187" s="776"/>
    </row>
    <row r="1188" spans="1:34">
      <c r="A1188" s="834" t="s">
        <v>137</v>
      </c>
      <c r="B1188" s="835">
        <v>1185</v>
      </c>
      <c r="C1188" s="840" t="s">
        <v>1842</v>
      </c>
      <c r="D1188" s="840" t="s">
        <v>1198</v>
      </c>
      <c r="E1188" s="839">
        <v>45915.375</v>
      </c>
      <c r="F1188" s="838" t="s">
        <v>140</v>
      </c>
      <c r="G1188" s="838">
        <v>17</v>
      </c>
      <c r="H1188" s="838" t="s">
        <v>1843</v>
      </c>
      <c r="I1188" s="838" t="s">
        <v>1844</v>
      </c>
      <c r="J1188" s="838"/>
      <c r="K1188" s="100"/>
      <c r="L1188" s="21"/>
      <c r="M1188" s="22"/>
      <c r="N1188" s="23"/>
      <c r="O1188" s="848" t="s">
        <v>31</v>
      </c>
      <c r="P1188" s="100"/>
      <c r="Q1188" s="23"/>
      <c r="R1188" s="79"/>
      <c r="S1188" s="22"/>
      <c r="T1188" s="22"/>
      <c r="U1188" s="24"/>
      <c r="V1188" s="23"/>
      <c r="W1188" s="80"/>
      <c r="X1188" s="80"/>
      <c r="Y1188" s="80"/>
      <c r="Z1188" s="96"/>
      <c r="AA1188" s="6">
        <v>6</v>
      </c>
      <c r="AB1188" s="6">
        <v>0</v>
      </c>
      <c r="AC1188" s="6">
        <v>10</v>
      </c>
      <c r="AD1188" s="6">
        <v>1</v>
      </c>
      <c r="AE1188" s="6">
        <f>SUM(AA1188:AD1188)</f>
        <v>17</v>
      </c>
      <c r="AF1188" s="104">
        <f>+AA1188/AE1188*AF$1</f>
        <v>0</v>
      </c>
      <c r="AG1188" s="105">
        <f>+AB1188/AE1188*AG$1</f>
        <v>0</v>
      </c>
      <c r="AH1188" s="105">
        <f>+AC1188/AE1188*AH$1</f>
        <v>0</v>
      </c>
    </row>
    <row r="1189" spans="1:34">
      <c r="A1189" s="834" t="s">
        <v>137</v>
      </c>
      <c r="B1189" s="835">
        <v>1186</v>
      </c>
      <c r="C1189" s="840" t="s">
        <v>1845</v>
      </c>
      <c r="D1189" s="840" t="s">
        <v>998</v>
      </c>
      <c r="E1189" s="839">
        <v>45915.375</v>
      </c>
      <c r="F1189" s="838" t="s">
        <v>140</v>
      </c>
      <c r="G1189" s="838">
        <v>7</v>
      </c>
      <c r="H1189" s="838" t="s">
        <v>1725</v>
      </c>
      <c r="I1189" s="838" t="s">
        <v>47</v>
      </c>
      <c r="J1189" s="838"/>
      <c r="K1189" s="100"/>
      <c r="L1189" s="21"/>
      <c r="M1189" s="22"/>
      <c r="N1189" s="23"/>
      <c r="O1189" s="848"/>
      <c r="P1189" s="100"/>
      <c r="Q1189" s="23"/>
      <c r="R1189" s="79"/>
      <c r="S1189" s="22"/>
      <c r="T1189" s="22"/>
      <c r="U1189" s="24"/>
      <c r="V1189" s="23"/>
      <c r="W1189" s="80"/>
      <c r="X1189" s="80"/>
      <c r="Y1189" s="80"/>
      <c r="Z1189" s="96"/>
      <c r="AA1189"/>
    </row>
    <row r="1190" spans="1:34">
      <c r="A1190" s="834" t="s">
        <v>137</v>
      </c>
      <c r="B1190" s="835">
        <v>1187</v>
      </c>
      <c r="C1190" s="840" t="s">
        <v>1846</v>
      </c>
      <c r="D1190" s="840" t="s">
        <v>798</v>
      </c>
      <c r="E1190" s="839">
        <v>45915</v>
      </c>
      <c r="F1190" s="838" t="s">
        <v>140</v>
      </c>
      <c r="G1190" s="838">
        <v>2</v>
      </c>
      <c r="H1190" s="838" t="s">
        <v>1721</v>
      </c>
      <c r="I1190" s="838" t="s">
        <v>1638</v>
      </c>
      <c r="J1190" s="838"/>
      <c r="K1190" s="21"/>
      <c r="L1190" s="21"/>
      <c r="M1190" s="22"/>
      <c r="N1190" s="23"/>
      <c r="O1190" s="848"/>
      <c r="P1190" s="23"/>
      <c r="Q1190" s="23"/>
      <c r="R1190" s="79"/>
      <c r="S1190" s="22"/>
      <c r="T1190" s="22"/>
      <c r="U1190" s="24"/>
      <c r="V1190" s="23"/>
      <c r="W1190" s="80"/>
      <c r="X1190" s="80"/>
      <c r="Y1190" s="80"/>
      <c r="Z1190" s="96"/>
      <c r="AA1190"/>
    </row>
    <row r="1191" spans="1:34">
      <c r="A1191" s="834" t="s">
        <v>137</v>
      </c>
      <c r="B1191" s="835">
        <v>1188</v>
      </c>
      <c r="C1191" s="840" t="s">
        <v>1847</v>
      </c>
      <c r="D1191" s="840" t="s">
        <v>1245</v>
      </c>
      <c r="E1191" s="839">
        <v>45915.375</v>
      </c>
      <c r="F1191" s="838" t="s">
        <v>140</v>
      </c>
      <c r="G1191" s="838">
        <v>1</v>
      </c>
      <c r="H1191" s="838" t="s">
        <v>1721</v>
      </c>
      <c r="I1191" s="838" t="s">
        <v>1638</v>
      </c>
      <c r="J1191" s="838"/>
      <c r="K1191" s="21"/>
      <c r="L1191" s="21"/>
      <c r="M1191" s="22"/>
      <c r="N1191" s="23"/>
      <c r="O1191" s="23"/>
      <c r="P1191" s="23"/>
      <c r="Q1191" s="23"/>
      <c r="R1191" s="79"/>
      <c r="S1191" s="22"/>
      <c r="T1191" s="22"/>
      <c r="U1191" s="24"/>
      <c r="V1191" s="23"/>
      <c r="W1191" s="80"/>
      <c r="X1191" s="80"/>
      <c r="Y1191" s="80"/>
      <c r="Z1191" s="96"/>
      <c r="AA1191"/>
    </row>
    <row r="1192" spans="1:34">
      <c r="A1192" s="834" t="s">
        <v>137</v>
      </c>
      <c r="B1192" s="835">
        <v>1189</v>
      </c>
      <c r="C1192" s="840" t="s">
        <v>1848</v>
      </c>
      <c r="D1192" s="840" t="s">
        <v>1025</v>
      </c>
      <c r="E1192" s="839">
        <v>45915.375</v>
      </c>
      <c r="F1192" s="838" t="s">
        <v>140</v>
      </c>
      <c r="G1192" s="838">
        <v>1</v>
      </c>
      <c r="H1192" s="838" t="s">
        <v>1725</v>
      </c>
      <c r="I1192" s="838" t="s">
        <v>47</v>
      </c>
      <c r="J1192" s="838"/>
      <c r="K1192" s="97"/>
      <c r="L1192" s="21"/>
      <c r="M1192" s="22"/>
      <c r="N1192" s="23"/>
      <c r="O1192" s="848"/>
      <c r="P1192" s="97"/>
      <c r="Q1192" s="23"/>
      <c r="R1192" s="79"/>
      <c r="S1192" s="22"/>
      <c r="T1192" s="22"/>
      <c r="U1192" s="24"/>
      <c r="V1192" s="23"/>
      <c r="W1192" s="80"/>
      <c r="X1192" s="80"/>
      <c r="Y1192" s="80"/>
      <c r="Z1192" s="96"/>
      <c r="AA1192" s="87"/>
      <c r="AB1192" s="87"/>
      <c r="AF1192" s="71"/>
      <c r="AG1192" s="92"/>
      <c r="AH1192" s="92"/>
    </row>
    <row r="1193" spans="1:34">
      <c r="A1193" s="834" t="s">
        <v>137</v>
      </c>
      <c r="B1193" s="835">
        <v>1190</v>
      </c>
      <c r="C1193" s="840" t="s">
        <v>1849</v>
      </c>
      <c r="D1193" s="840" t="s">
        <v>1025</v>
      </c>
      <c r="E1193" s="839">
        <v>45915.375</v>
      </c>
      <c r="F1193" s="838" t="s">
        <v>140</v>
      </c>
      <c r="G1193" s="838">
        <v>1</v>
      </c>
      <c r="H1193" s="838" t="s">
        <v>1721</v>
      </c>
      <c r="I1193" s="838" t="s">
        <v>1638</v>
      </c>
      <c r="J1193" s="838"/>
      <c r="K1193" s="97"/>
      <c r="L1193" s="21"/>
      <c r="M1193" s="22"/>
      <c r="N1193" s="23"/>
      <c r="O1193" s="23"/>
      <c r="P1193" s="97"/>
      <c r="Q1193" s="23"/>
      <c r="R1193" s="79"/>
      <c r="S1193" s="22"/>
      <c r="U1193" s="24"/>
      <c r="V1193" s="23"/>
      <c r="W1193" s="80"/>
      <c r="X1193" s="80"/>
      <c r="Y1193" s="80"/>
      <c r="Z1193" s="96"/>
      <c r="AA1193"/>
      <c r="AF1193" s="71"/>
      <c r="AG1193" s="92"/>
      <c r="AH1193" s="92"/>
    </row>
    <row r="1194" spans="1:34">
      <c r="A1194" s="834" t="s">
        <v>137</v>
      </c>
      <c r="B1194" s="835">
        <v>1191</v>
      </c>
      <c r="C1194" s="840" t="s">
        <v>1850</v>
      </c>
      <c r="D1194" s="840" t="s">
        <v>1851</v>
      </c>
      <c r="E1194" s="839">
        <v>45922.375</v>
      </c>
      <c r="F1194" s="838" t="s">
        <v>140</v>
      </c>
      <c r="G1194" s="838">
        <v>3</v>
      </c>
      <c r="H1194" s="838" t="s">
        <v>127</v>
      </c>
      <c r="I1194" s="838" t="s">
        <v>36</v>
      </c>
      <c r="J1194" s="838"/>
      <c r="K1194" s="21"/>
      <c r="L1194" s="21"/>
      <c r="M1194" s="22"/>
      <c r="N1194" s="23"/>
      <c r="O1194" s="848"/>
      <c r="P1194" s="23"/>
      <c r="Q1194" s="23"/>
      <c r="R1194" s="79"/>
      <c r="S1194" s="22"/>
      <c r="T1194" s="22"/>
      <c r="U1194" s="24"/>
      <c r="V1194" s="23"/>
      <c r="W1194" s="80"/>
      <c r="X1194" s="80"/>
      <c r="Y1194" s="80"/>
      <c r="Z1194" s="96"/>
      <c r="AA1194" s="87"/>
      <c r="AB1194" s="87"/>
      <c r="AF1194" s="71"/>
      <c r="AG1194" s="92"/>
      <c r="AH1194" s="92"/>
    </row>
    <row r="1195" spans="1:34">
      <c r="A1195" s="834" t="s">
        <v>137</v>
      </c>
      <c r="B1195" s="835">
        <v>1192</v>
      </c>
      <c r="C1195" s="840" t="s">
        <v>1852</v>
      </c>
      <c r="D1195" s="840" t="s">
        <v>1184</v>
      </c>
      <c r="E1195" s="839">
        <v>45922.125</v>
      </c>
      <c r="F1195" s="838" t="s">
        <v>140</v>
      </c>
      <c r="G1195" s="838">
        <v>4</v>
      </c>
      <c r="H1195" s="838" t="s">
        <v>1853</v>
      </c>
      <c r="I1195" s="838" t="s">
        <v>1854</v>
      </c>
      <c r="J1195" s="838"/>
      <c r="K1195" s="21"/>
      <c r="L1195" s="21"/>
      <c r="M1195" s="22"/>
      <c r="N1195" s="23"/>
      <c r="O1195" s="23"/>
      <c r="P1195" s="23"/>
      <c r="Q1195" s="23"/>
      <c r="R1195" s="79"/>
      <c r="S1195" s="22"/>
      <c r="T1195" s="22"/>
      <c r="U1195" s="24"/>
      <c r="V1195" s="23"/>
      <c r="W1195" s="80"/>
      <c r="X1195" s="80"/>
      <c r="Y1195" s="80"/>
      <c r="Z1195" s="96"/>
      <c r="AA1195"/>
    </row>
    <row r="1196" spans="1:34">
      <c r="A1196" s="834" t="s">
        <v>137</v>
      </c>
      <c r="B1196" s="835">
        <v>1193</v>
      </c>
      <c r="C1196" s="840" t="s">
        <v>1855</v>
      </c>
      <c r="D1196" s="840" t="s">
        <v>829</v>
      </c>
      <c r="E1196" s="839">
        <v>45922</v>
      </c>
      <c r="F1196" s="838" t="s">
        <v>140</v>
      </c>
      <c r="G1196" s="838">
        <v>7</v>
      </c>
      <c r="H1196" s="838" t="s">
        <v>127</v>
      </c>
      <c r="I1196" s="838" t="s">
        <v>36</v>
      </c>
      <c r="J1196" s="838"/>
      <c r="K1196" s="21"/>
      <c r="L1196" s="21"/>
      <c r="M1196" s="22"/>
      <c r="N1196" s="23"/>
      <c r="O1196" s="848"/>
      <c r="P1196" s="23"/>
      <c r="Q1196" s="23"/>
      <c r="R1196" s="79"/>
      <c r="S1196" s="22"/>
      <c r="T1196" s="22"/>
      <c r="U1196" s="24"/>
      <c r="V1196" s="23"/>
      <c r="W1196" s="80"/>
      <c r="X1196" s="80"/>
      <c r="Y1196" s="80"/>
      <c r="Z1196" s="96"/>
      <c r="AA1196"/>
      <c r="AE1196" s="84"/>
      <c r="AF1196" s="71"/>
      <c r="AG1196" s="71"/>
      <c r="AH1196" s="71"/>
    </row>
    <row r="1197" spans="1:34">
      <c r="A1197" s="834" t="s">
        <v>137</v>
      </c>
      <c r="B1197" s="835">
        <v>1194</v>
      </c>
      <c r="C1197" s="840" t="s">
        <v>1856</v>
      </c>
      <c r="D1197" s="840" t="s">
        <v>839</v>
      </c>
      <c r="E1197" s="839">
        <v>45922.375</v>
      </c>
      <c r="F1197" s="838" t="s">
        <v>140</v>
      </c>
      <c r="G1197" s="838">
        <v>1</v>
      </c>
      <c r="H1197" s="838" t="s">
        <v>1077</v>
      </c>
      <c r="I1197" s="838" t="s">
        <v>1138</v>
      </c>
      <c r="J1197" s="838"/>
      <c r="K1197" s="100"/>
      <c r="L1197" s="21"/>
      <c r="M1197" s="22"/>
      <c r="N1197" s="23"/>
      <c r="O1197" s="23"/>
      <c r="P1197" s="100"/>
      <c r="Q1197" s="23"/>
      <c r="R1197" s="79"/>
      <c r="S1197" s="22"/>
      <c r="T1197" s="22"/>
      <c r="U1197" s="24"/>
      <c r="V1197" s="23"/>
      <c r="W1197" s="80"/>
      <c r="X1197" s="80"/>
      <c r="Y1197" s="80"/>
      <c r="Z1197" s="96"/>
      <c r="AA1197"/>
    </row>
    <row r="1198" spans="1:34">
      <c r="A1198" s="834" t="s">
        <v>137</v>
      </c>
      <c r="B1198" s="835">
        <v>1195</v>
      </c>
      <c r="C1198" s="840" t="s">
        <v>1857</v>
      </c>
      <c r="D1198" s="840" t="s">
        <v>1424</v>
      </c>
      <c r="E1198" s="839">
        <v>45922</v>
      </c>
      <c r="F1198" s="838" t="s">
        <v>140</v>
      </c>
      <c r="G1198" s="838">
        <v>5</v>
      </c>
      <c r="H1198" s="838" t="s">
        <v>1721</v>
      </c>
      <c r="I1198" s="838" t="s">
        <v>1638</v>
      </c>
      <c r="J1198" s="838"/>
      <c r="K1198" s="21"/>
      <c r="L1198" s="21"/>
      <c r="M1198" s="22"/>
      <c r="N1198" s="23"/>
      <c r="O1198" s="23"/>
      <c r="P1198" s="23"/>
      <c r="Q1198" s="23"/>
      <c r="R1198" s="79"/>
      <c r="S1198" s="22"/>
      <c r="T1198" s="22"/>
      <c r="U1198" s="24"/>
      <c r="V1198" s="23"/>
      <c r="W1198" s="80"/>
      <c r="X1198" s="80"/>
      <c r="Y1198" s="80"/>
      <c r="Z1198" s="96"/>
      <c r="AA1198"/>
    </row>
    <row r="1199" spans="1:34">
      <c r="A1199" s="834" t="s">
        <v>137</v>
      </c>
      <c r="B1199" s="835">
        <v>1196</v>
      </c>
      <c r="C1199" s="840" t="s">
        <v>1858</v>
      </c>
      <c r="D1199" s="840" t="s">
        <v>1859</v>
      </c>
      <c r="E1199" s="839">
        <v>45922</v>
      </c>
      <c r="F1199" s="838" t="s">
        <v>140</v>
      </c>
      <c r="G1199" s="838">
        <v>1</v>
      </c>
      <c r="H1199" s="838" t="s">
        <v>1077</v>
      </c>
      <c r="I1199" s="838" t="s">
        <v>1138</v>
      </c>
      <c r="J1199" s="838"/>
      <c r="K1199" s="21"/>
      <c r="L1199" s="21"/>
      <c r="M1199" s="22"/>
      <c r="N1199" s="23"/>
      <c r="O1199" s="848"/>
      <c r="P1199" s="23"/>
      <c r="Q1199" s="23"/>
      <c r="R1199" s="79"/>
      <c r="S1199" s="22"/>
      <c r="T1199" s="22"/>
      <c r="U1199" s="24"/>
      <c r="V1199" s="23"/>
      <c r="W1199" s="80"/>
      <c r="X1199" s="80"/>
      <c r="Y1199" s="80"/>
      <c r="Z1199" s="96"/>
      <c r="AA1199"/>
      <c r="AE1199" s="84"/>
      <c r="AF1199" s="71"/>
      <c r="AG1199" s="71"/>
      <c r="AH1199" s="71"/>
    </row>
    <row r="1200" spans="1:34">
      <c r="A1200" s="834" t="s">
        <v>137</v>
      </c>
      <c r="B1200" s="835">
        <v>1197</v>
      </c>
      <c r="C1200" s="840" t="s">
        <v>1860</v>
      </c>
      <c r="D1200" s="840" t="s">
        <v>1859</v>
      </c>
      <c r="E1200" s="839">
        <v>45922</v>
      </c>
      <c r="F1200" s="838" t="s">
        <v>140</v>
      </c>
      <c r="G1200" s="838">
        <v>1</v>
      </c>
      <c r="H1200" s="838" t="s">
        <v>1077</v>
      </c>
      <c r="I1200" s="838" t="s">
        <v>1138</v>
      </c>
      <c r="J1200" s="838"/>
      <c r="K1200" s="21"/>
      <c r="L1200" s="21"/>
      <c r="M1200" s="22"/>
      <c r="N1200" s="23"/>
      <c r="O1200" s="848"/>
      <c r="P1200" s="23"/>
      <c r="Q1200" s="23"/>
      <c r="R1200" s="79"/>
      <c r="S1200" s="22"/>
      <c r="T1200" s="22"/>
      <c r="U1200" s="24"/>
      <c r="V1200" s="23"/>
      <c r="W1200" s="80"/>
      <c r="X1200" s="80"/>
      <c r="Y1200" s="80"/>
      <c r="Z1200" s="96"/>
      <c r="AA1200"/>
      <c r="AB1200" s="776"/>
      <c r="AC1200" s="776"/>
      <c r="AD1200" s="776"/>
      <c r="AE1200" s="776"/>
    </row>
    <row r="1201" spans="1:34">
      <c r="A1201" s="834" t="s">
        <v>137</v>
      </c>
      <c r="B1201" s="835">
        <v>1198</v>
      </c>
      <c r="C1201" s="840" t="s">
        <v>1861</v>
      </c>
      <c r="D1201" s="840" t="s">
        <v>155</v>
      </c>
      <c r="E1201" s="839">
        <v>45922.375</v>
      </c>
      <c r="F1201" s="838" t="s">
        <v>140</v>
      </c>
      <c r="G1201" s="838">
        <v>2</v>
      </c>
      <c r="H1201" s="838" t="s">
        <v>1721</v>
      </c>
      <c r="I1201" s="838" t="s">
        <v>1638</v>
      </c>
      <c r="J1201" s="838"/>
      <c r="K1201" s="21"/>
      <c r="L1201" s="21"/>
      <c r="M1201" s="22"/>
      <c r="N1201" s="23"/>
      <c r="O1201" s="848"/>
      <c r="P1201" s="23"/>
      <c r="Q1201" s="23"/>
      <c r="R1201" s="79"/>
      <c r="S1201" s="22"/>
      <c r="T1201" s="22"/>
      <c r="U1201" s="24"/>
      <c r="V1201" s="23"/>
      <c r="W1201" s="80"/>
      <c r="X1201" s="80"/>
      <c r="Y1201" s="80"/>
      <c r="Z1201" s="96"/>
      <c r="AA1201"/>
      <c r="AF1201" s="71"/>
      <c r="AG1201" s="92"/>
      <c r="AH1201" s="92"/>
    </row>
    <row r="1202" spans="1:34">
      <c r="A1202" s="834" t="s">
        <v>137</v>
      </c>
      <c r="B1202" s="835">
        <v>1199</v>
      </c>
      <c r="C1202" s="840" t="s">
        <v>1862</v>
      </c>
      <c r="D1202" s="840" t="s">
        <v>1863</v>
      </c>
      <c r="E1202" s="839">
        <v>45922.375</v>
      </c>
      <c r="F1202" s="838" t="s">
        <v>140</v>
      </c>
      <c r="G1202" s="838">
        <v>4</v>
      </c>
      <c r="H1202" s="838" t="s">
        <v>127</v>
      </c>
      <c r="I1202" s="838" t="s">
        <v>36</v>
      </c>
      <c r="J1202" s="838"/>
      <c r="K1202" s="21"/>
      <c r="L1202" s="21"/>
      <c r="M1202" s="22"/>
      <c r="N1202" s="23"/>
      <c r="O1202" s="23"/>
      <c r="P1202" s="23"/>
      <c r="Q1202" s="23"/>
      <c r="R1202" s="79"/>
      <c r="S1202" s="22"/>
      <c r="T1202" s="22"/>
      <c r="U1202" s="24"/>
      <c r="V1202" s="23"/>
      <c r="W1202" s="80"/>
      <c r="X1202" s="80"/>
      <c r="Y1202" s="80"/>
      <c r="Z1202" s="96"/>
      <c r="AA1202"/>
      <c r="AB1202" s="776"/>
      <c r="AC1202" s="776"/>
      <c r="AD1202" s="776"/>
      <c r="AE1202" s="776"/>
    </row>
    <row r="1203" spans="1:34">
      <c r="A1203" s="834" t="s">
        <v>137</v>
      </c>
      <c r="B1203" s="835">
        <v>1200</v>
      </c>
      <c r="C1203" s="840" t="s">
        <v>1864</v>
      </c>
      <c r="D1203" s="840" t="s">
        <v>846</v>
      </c>
      <c r="E1203" s="839">
        <v>45922</v>
      </c>
      <c r="F1203" s="838" t="s">
        <v>140</v>
      </c>
      <c r="G1203" s="838">
        <v>2</v>
      </c>
      <c r="H1203" s="838" t="s">
        <v>1077</v>
      </c>
      <c r="I1203" s="838" t="s">
        <v>1138</v>
      </c>
      <c r="J1203" s="838"/>
      <c r="K1203" s="100"/>
      <c r="L1203" s="21"/>
      <c r="M1203" s="22"/>
      <c r="N1203" s="23"/>
      <c r="O1203" s="23"/>
      <c r="P1203" s="100"/>
      <c r="Q1203" s="23"/>
      <c r="R1203" s="79"/>
      <c r="S1203" s="22"/>
      <c r="T1203" s="22"/>
      <c r="U1203" s="24"/>
      <c r="V1203" s="23"/>
      <c r="W1203" s="80"/>
      <c r="X1203" s="80"/>
      <c r="Y1203" s="80"/>
      <c r="Z1203" s="96"/>
      <c r="AA1203"/>
      <c r="AB1203" s="776"/>
      <c r="AC1203" s="776"/>
      <c r="AD1203" s="776"/>
      <c r="AE1203" s="776"/>
    </row>
    <row r="1204" spans="1:34">
      <c r="A1204" s="834" t="s">
        <v>137</v>
      </c>
      <c r="B1204" s="835">
        <v>1201</v>
      </c>
      <c r="C1204" s="840" t="s">
        <v>1865</v>
      </c>
      <c r="D1204" s="840" t="s">
        <v>937</v>
      </c>
      <c r="E1204" s="839">
        <v>45922</v>
      </c>
      <c r="F1204" s="838" t="s">
        <v>140</v>
      </c>
      <c r="G1204" s="838">
        <v>4</v>
      </c>
      <c r="H1204" s="838" t="s">
        <v>1866</v>
      </c>
      <c r="I1204" s="838" t="s">
        <v>79</v>
      </c>
      <c r="J1204" s="838"/>
      <c r="K1204" s="100"/>
      <c r="L1204" s="21"/>
      <c r="M1204" s="22"/>
      <c r="N1204" s="23"/>
      <c r="O1204" s="23"/>
      <c r="P1204" s="100"/>
      <c r="Q1204" s="23"/>
      <c r="R1204" s="79"/>
      <c r="S1204" s="22"/>
      <c r="T1204" s="22"/>
      <c r="U1204" s="24"/>
      <c r="V1204" s="23"/>
      <c r="W1204" s="80"/>
      <c r="X1204" s="80"/>
      <c r="Y1204" s="80"/>
      <c r="Z1204" s="96"/>
      <c r="AA1204"/>
    </row>
    <row r="1205" spans="1:34">
      <c r="A1205" s="834" t="s">
        <v>137</v>
      </c>
      <c r="B1205" s="835">
        <v>1202</v>
      </c>
      <c r="C1205" s="840" t="s">
        <v>1867</v>
      </c>
      <c r="D1205" s="840" t="s">
        <v>221</v>
      </c>
      <c r="E1205" s="839">
        <v>45929.375</v>
      </c>
      <c r="F1205" s="838" t="s">
        <v>140</v>
      </c>
      <c r="G1205" s="838">
        <v>15</v>
      </c>
      <c r="H1205" s="838" t="s">
        <v>1843</v>
      </c>
      <c r="I1205" s="838" t="s">
        <v>1844</v>
      </c>
      <c r="J1205" s="838"/>
      <c r="K1205" s="100"/>
      <c r="L1205" s="21"/>
      <c r="M1205" s="22"/>
      <c r="N1205" s="23"/>
      <c r="O1205" s="848" t="s">
        <v>31</v>
      </c>
      <c r="P1205" s="100"/>
      <c r="Q1205" s="23"/>
      <c r="R1205" s="79"/>
      <c r="S1205" s="22"/>
      <c r="T1205" s="22"/>
      <c r="U1205" s="24"/>
      <c r="V1205" s="23"/>
      <c r="W1205" s="80"/>
      <c r="X1205" s="80"/>
      <c r="Y1205" s="80"/>
      <c r="Z1205" s="96"/>
      <c r="AA1205" s="6">
        <v>26</v>
      </c>
      <c r="AB1205" s="6">
        <v>0</v>
      </c>
      <c r="AC1205" s="6">
        <v>7</v>
      </c>
      <c r="AD1205" s="6">
        <v>9</v>
      </c>
      <c r="AE1205" s="6">
        <f>SUM(AA1205:AD1205)</f>
        <v>42</v>
      </c>
      <c r="AF1205" s="104">
        <f>+AA1205/AE1205*AF$1</f>
        <v>0</v>
      </c>
      <c r="AG1205" s="105">
        <f>+AB1205/AE1205*AG$1</f>
        <v>0</v>
      </c>
      <c r="AH1205" s="105">
        <f>+AC1205/AE1205*AH$1</f>
        <v>0</v>
      </c>
    </row>
    <row r="1206" spans="1:34">
      <c r="A1206" s="834" t="s">
        <v>137</v>
      </c>
      <c r="B1206" s="835">
        <v>1203</v>
      </c>
      <c r="C1206" s="840" t="s">
        <v>1868</v>
      </c>
      <c r="D1206" s="840" t="s">
        <v>1198</v>
      </c>
      <c r="E1206" s="839">
        <v>45929</v>
      </c>
      <c r="F1206" s="838" t="s">
        <v>140</v>
      </c>
      <c r="G1206" s="838">
        <v>15</v>
      </c>
      <c r="H1206" s="838" t="s">
        <v>1721</v>
      </c>
      <c r="I1206" s="838" t="s">
        <v>1638</v>
      </c>
      <c r="J1206" s="838"/>
      <c r="K1206" s="21"/>
      <c r="L1206" s="21"/>
      <c r="M1206" s="22"/>
      <c r="N1206" s="23"/>
      <c r="O1206" s="848" t="s">
        <v>31</v>
      </c>
      <c r="P1206" s="23"/>
      <c r="Q1206" s="23"/>
      <c r="R1206" s="79"/>
      <c r="S1206" s="22"/>
      <c r="T1206" s="22"/>
      <c r="U1206" s="24"/>
      <c r="V1206" s="23"/>
      <c r="W1206" s="80"/>
      <c r="X1206" s="80"/>
      <c r="Y1206" s="80"/>
      <c r="Z1206" s="96"/>
      <c r="AA1206" s="6">
        <v>0</v>
      </c>
      <c r="AB1206" s="6">
        <v>0</v>
      </c>
      <c r="AC1206" s="6">
        <v>22</v>
      </c>
      <c r="AD1206" s="6">
        <v>0</v>
      </c>
      <c r="AE1206" s="6">
        <f>SUM(AA1206:AD1206)</f>
        <v>22</v>
      </c>
      <c r="AF1206" s="104">
        <f>+AA1206/AE1206*AF$1</f>
        <v>0</v>
      </c>
      <c r="AG1206" s="105">
        <f>+AB1206/AE1206*AG$1</f>
        <v>0</v>
      </c>
      <c r="AH1206" s="105">
        <f>+AC1206/AE1206*AH$1</f>
        <v>0</v>
      </c>
    </row>
    <row r="1207" spans="1:34">
      <c r="A1207" s="834" t="s">
        <v>137</v>
      </c>
      <c r="B1207" s="835">
        <v>1204</v>
      </c>
      <c r="C1207" s="840" t="s">
        <v>1869</v>
      </c>
      <c r="D1207" s="840" t="s">
        <v>1870</v>
      </c>
      <c r="E1207" s="839">
        <v>45929.375</v>
      </c>
      <c r="F1207" s="838" t="s">
        <v>140</v>
      </c>
      <c r="G1207" s="838">
        <v>1</v>
      </c>
      <c r="H1207" s="838" t="s">
        <v>127</v>
      </c>
      <c r="I1207" s="838" t="s">
        <v>36</v>
      </c>
      <c r="J1207" s="838"/>
      <c r="K1207" s="21"/>
      <c r="L1207" s="21"/>
      <c r="M1207" s="22"/>
      <c r="N1207" s="23"/>
      <c r="O1207" s="23"/>
      <c r="P1207" s="23"/>
      <c r="Q1207" s="23"/>
      <c r="R1207" s="79"/>
      <c r="S1207" s="22"/>
      <c r="T1207" s="22"/>
      <c r="U1207" s="24"/>
      <c r="V1207" s="23"/>
      <c r="W1207" s="80"/>
      <c r="X1207" s="80"/>
      <c r="Y1207" s="80"/>
      <c r="Z1207" s="96"/>
      <c r="AA1207"/>
    </row>
    <row r="1208" spans="1:34">
      <c r="A1208" s="834" t="s">
        <v>137</v>
      </c>
      <c r="B1208" s="835">
        <v>1205</v>
      </c>
      <c r="C1208" s="840" t="s">
        <v>1871</v>
      </c>
      <c r="D1208" s="840" t="s">
        <v>794</v>
      </c>
      <c r="E1208" s="839">
        <v>45929.375</v>
      </c>
      <c r="F1208" s="838" t="s">
        <v>140</v>
      </c>
      <c r="G1208" s="838">
        <v>6</v>
      </c>
      <c r="H1208" s="838" t="s">
        <v>1872</v>
      </c>
      <c r="I1208" s="838" t="s">
        <v>1514</v>
      </c>
      <c r="J1208" s="838"/>
      <c r="K1208" s="97"/>
      <c r="L1208" s="21"/>
      <c r="M1208" s="22"/>
      <c r="N1208" s="23"/>
      <c r="O1208" s="848"/>
      <c r="P1208" s="97"/>
      <c r="Q1208" s="23"/>
      <c r="R1208" s="79"/>
      <c r="S1208" s="22"/>
      <c r="T1208" s="22"/>
      <c r="U1208" s="24"/>
      <c r="V1208" s="23"/>
      <c r="W1208" s="80"/>
      <c r="X1208" s="80"/>
      <c r="Y1208" s="80"/>
      <c r="Z1208" s="96"/>
      <c r="AA1208" s="87"/>
      <c r="AB1208" s="87"/>
      <c r="AF1208" s="71"/>
      <c r="AG1208" s="92"/>
      <c r="AH1208" s="92"/>
    </row>
    <row r="1209" spans="1:34">
      <c r="A1209" s="834" t="s">
        <v>137</v>
      </c>
      <c r="B1209" s="835">
        <v>1206</v>
      </c>
      <c r="C1209" s="840" t="s">
        <v>1873</v>
      </c>
      <c r="D1209" s="840" t="s">
        <v>526</v>
      </c>
      <c r="E1209" s="839">
        <v>45929.375</v>
      </c>
      <c r="F1209" s="838" t="s">
        <v>140</v>
      </c>
      <c r="G1209" s="838">
        <v>8</v>
      </c>
      <c r="H1209" s="838" t="s">
        <v>1790</v>
      </c>
      <c r="I1209" s="838" t="s">
        <v>1791</v>
      </c>
      <c r="J1209" s="838"/>
      <c r="K1209" s="97"/>
      <c r="L1209" s="21"/>
      <c r="M1209" s="22"/>
      <c r="N1209" s="23"/>
      <c r="O1209" s="23"/>
      <c r="P1209" s="97"/>
      <c r="Q1209" s="23"/>
      <c r="R1209" s="79"/>
      <c r="S1209" s="22"/>
      <c r="U1209" s="24"/>
      <c r="V1209" s="23"/>
      <c r="W1209" s="80"/>
      <c r="X1209" s="80"/>
      <c r="Y1209" s="80"/>
      <c r="Z1209" s="96"/>
      <c r="AA1209"/>
      <c r="AF1209" s="71"/>
      <c r="AG1209" s="92"/>
      <c r="AH1209" s="92"/>
    </row>
    <row r="1210" spans="1:34">
      <c r="A1210" s="834" t="s">
        <v>137</v>
      </c>
      <c r="B1210" s="835">
        <v>1207</v>
      </c>
      <c r="C1210" s="840" t="s">
        <v>1874</v>
      </c>
      <c r="D1210" s="840" t="s">
        <v>1807</v>
      </c>
      <c r="E1210" s="839">
        <v>45929.375</v>
      </c>
      <c r="F1210" s="838" t="s">
        <v>140</v>
      </c>
      <c r="G1210" s="838">
        <v>1</v>
      </c>
      <c r="H1210" s="838" t="s">
        <v>127</v>
      </c>
      <c r="I1210" s="838" t="s">
        <v>36</v>
      </c>
      <c r="J1210" s="838"/>
      <c r="K1210" s="21"/>
      <c r="L1210" s="21"/>
      <c r="M1210" s="22"/>
      <c r="N1210" s="23"/>
      <c r="O1210" s="848"/>
      <c r="P1210" s="23"/>
      <c r="Q1210" s="23"/>
      <c r="R1210" s="79"/>
      <c r="S1210" s="22"/>
      <c r="T1210" s="22"/>
      <c r="U1210" s="24"/>
      <c r="V1210" s="23"/>
      <c r="W1210" s="80"/>
      <c r="X1210" s="80"/>
      <c r="Y1210" s="80"/>
      <c r="Z1210" s="96"/>
      <c r="AA1210" s="87"/>
      <c r="AB1210" s="87"/>
      <c r="AF1210" s="71"/>
      <c r="AG1210" s="92"/>
      <c r="AH1210" s="92"/>
    </row>
    <row r="1211" spans="1:34">
      <c r="A1211" s="834" t="s">
        <v>137</v>
      </c>
      <c r="B1211" s="835">
        <v>1208</v>
      </c>
      <c r="C1211" s="840" t="s">
        <v>1875</v>
      </c>
      <c r="D1211" s="840" t="s">
        <v>1236</v>
      </c>
      <c r="E1211" s="839">
        <v>45929.375</v>
      </c>
      <c r="F1211" s="838" t="s">
        <v>140</v>
      </c>
      <c r="G1211" s="838">
        <v>1</v>
      </c>
      <c r="H1211" s="838" t="s">
        <v>1721</v>
      </c>
      <c r="I1211" s="838" t="s">
        <v>1638</v>
      </c>
      <c r="J1211" s="838"/>
      <c r="K1211" s="21"/>
      <c r="L1211" s="21"/>
      <c r="M1211" s="22"/>
      <c r="N1211" s="23"/>
      <c r="O1211" s="848"/>
      <c r="P1211" s="23"/>
      <c r="Q1211" s="23"/>
      <c r="R1211" s="79"/>
      <c r="S1211" s="22"/>
      <c r="T1211" s="22"/>
      <c r="U1211" s="24"/>
      <c r="V1211" s="23"/>
      <c r="W1211" s="80"/>
      <c r="X1211" s="80"/>
      <c r="Y1211" s="80"/>
      <c r="Z1211" s="96"/>
      <c r="AA1211"/>
      <c r="AF1211" s="71"/>
      <c r="AG1211" s="92"/>
      <c r="AH1211" s="92"/>
    </row>
    <row r="1212" spans="1:34">
      <c r="A1212" s="834" t="s">
        <v>137</v>
      </c>
      <c r="B1212" s="835">
        <v>1209</v>
      </c>
      <c r="C1212" s="840" t="s">
        <v>1876</v>
      </c>
      <c r="D1212" s="840" t="s">
        <v>846</v>
      </c>
      <c r="E1212" s="839">
        <v>45929.041666666664</v>
      </c>
      <c r="F1212" s="838" t="s">
        <v>140</v>
      </c>
      <c r="G1212" s="838">
        <v>4</v>
      </c>
      <c r="H1212" s="838" t="s">
        <v>1795</v>
      </c>
      <c r="I1212" s="838" t="s">
        <v>1877</v>
      </c>
      <c r="J1212" s="838"/>
      <c r="K1212" s="21"/>
      <c r="L1212" s="21"/>
      <c r="M1212" s="22"/>
      <c r="N1212" s="23"/>
      <c r="O1212" s="23"/>
      <c r="P1212" s="23"/>
      <c r="Q1212" s="23"/>
      <c r="R1212" s="79"/>
      <c r="S1212" s="22"/>
      <c r="T1212" s="22"/>
      <c r="U1212" s="24"/>
      <c r="V1212" s="23"/>
      <c r="W1212" s="80"/>
      <c r="X1212" s="80"/>
      <c r="Y1212" s="80"/>
      <c r="Z1212" s="96"/>
      <c r="AA1212"/>
    </row>
    <row r="1213" spans="1:34">
      <c r="A1213" s="834" t="s">
        <v>137</v>
      </c>
      <c r="B1213" s="835">
        <v>1210</v>
      </c>
      <c r="C1213" s="840" t="s">
        <v>1878</v>
      </c>
      <c r="D1213" s="840" t="s">
        <v>969</v>
      </c>
      <c r="E1213" s="839">
        <v>45929.375</v>
      </c>
      <c r="F1213" s="838" t="s">
        <v>140</v>
      </c>
      <c r="G1213" s="838">
        <v>2</v>
      </c>
      <c r="H1213" s="838" t="s">
        <v>1725</v>
      </c>
      <c r="I1213" s="838" t="s">
        <v>47</v>
      </c>
      <c r="J1213" s="838"/>
      <c r="K1213" s="21"/>
      <c r="L1213" s="21"/>
      <c r="M1213" s="22"/>
      <c r="N1213" s="23"/>
      <c r="O1213" s="61"/>
      <c r="P1213" s="23"/>
      <c r="Q1213" s="23"/>
      <c r="R1213" s="79"/>
      <c r="S1213" s="22"/>
      <c r="T1213" s="22"/>
      <c r="U1213" s="24"/>
      <c r="V1213" s="23"/>
      <c r="W1213" s="80"/>
      <c r="X1213" s="80"/>
      <c r="Y1213" s="80"/>
      <c r="Z1213" s="96"/>
      <c r="AA1213"/>
      <c r="AF1213" s="71"/>
      <c r="AG1213" s="92"/>
      <c r="AH1213" s="92"/>
    </row>
    <row r="1214" spans="1:34">
      <c r="A1214" s="834" t="s">
        <v>137</v>
      </c>
      <c r="B1214" s="835">
        <v>1211</v>
      </c>
      <c r="C1214" s="840" t="s">
        <v>1879</v>
      </c>
      <c r="D1214" s="840" t="s">
        <v>818</v>
      </c>
      <c r="E1214" s="839">
        <v>45929.041666666664</v>
      </c>
      <c r="F1214" s="838" t="s">
        <v>140</v>
      </c>
      <c r="G1214" s="838">
        <v>1</v>
      </c>
      <c r="H1214" s="838" t="s">
        <v>127</v>
      </c>
      <c r="I1214" s="838" t="s">
        <v>36</v>
      </c>
      <c r="J1214" s="838"/>
      <c r="K1214" s="21"/>
      <c r="L1214" s="21"/>
      <c r="M1214" s="22"/>
      <c r="N1214" s="23"/>
      <c r="O1214" s="61"/>
      <c r="P1214" s="23"/>
      <c r="Q1214" s="23"/>
      <c r="R1214" s="79"/>
      <c r="S1214" s="22"/>
      <c r="T1214" s="22"/>
      <c r="U1214" s="24"/>
      <c r="V1214" s="23"/>
      <c r="W1214" s="80"/>
      <c r="X1214" s="80"/>
      <c r="Y1214" s="80"/>
      <c r="Z1214" s="96"/>
      <c r="AA1214"/>
      <c r="AF1214" s="71"/>
      <c r="AG1214" s="92"/>
      <c r="AH1214" s="92"/>
    </row>
    <row r="1215" spans="1:34">
      <c r="A1215" s="834" t="s">
        <v>137</v>
      </c>
      <c r="B1215" s="835">
        <v>1212</v>
      </c>
      <c r="C1215" s="840" t="s">
        <v>1880</v>
      </c>
      <c r="D1215" s="840" t="s">
        <v>1881</v>
      </c>
      <c r="E1215" s="839">
        <v>45929.375</v>
      </c>
      <c r="F1215" s="838" t="s">
        <v>140</v>
      </c>
      <c r="G1215" s="838">
        <v>9</v>
      </c>
      <c r="H1215" s="838" t="s">
        <v>127</v>
      </c>
      <c r="I1215" s="838" t="s">
        <v>36</v>
      </c>
      <c r="J1215" s="838"/>
      <c r="K1215" s="21"/>
      <c r="L1215" s="21"/>
      <c r="M1215" s="22"/>
      <c r="N1215" s="23"/>
      <c r="O1215" s="848"/>
      <c r="P1215" s="23"/>
      <c r="Q1215" s="23"/>
      <c r="R1215" s="79"/>
      <c r="S1215" s="22"/>
      <c r="T1215" s="22"/>
      <c r="U1215" s="24"/>
      <c r="V1215" s="23"/>
      <c r="W1215" s="80"/>
      <c r="X1215" s="80"/>
      <c r="Y1215" s="80"/>
      <c r="Z1215" s="96"/>
      <c r="AA1215"/>
    </row>
    <row r="1216" spans="1:34">
      <c r="A1216" s="834" t="s">
        <v>137</v>
      </c>
      <c r="B1216" s="835">
        <v>1213</v>
      </c>
      <c r="C1216" s="840" t="s">
        <v>1882</v>
      </c>
      <c r="D1216" s="840" t="s">
        <v>1516</v>
      </c>
      <c r="E1216" s="839">
        <v>45929.375</v>
      </c>
      <c r="F1216" s="838" t="s">
        <v>140</v>
      </c>
      <c r="G1216" s="838">
        <v>8</v>
      </c>
      <c r="H1216" s="838" t="s">
        <v>1077</v>
      </c>
      <c r="I1216" s="838" t="s">
        <v>1138</v>
      </c>
      <c r="J1216" s="838"/>
      <c r="K1216" s="21"/>
      <c r="L1216" s="21"/>
      <c r="M1216" s="22"/>
      <c r="N1216" s="23"/>
      <c r="O1216" s="23"/>
      <c r="P1216" s="23"/>
      <c r="Q1216" s="23"/>
      <c r="R1216" s="79"/>
      <c r="S1216" s="22"/>
      <c r="T1216" s="22"/>
      <c r="U1216" s="24"/>
      <c r="V1216" s="23"/>
      <c r="W1216" s="80"/>
      <c r="X1216" s="80"/>
      <c r="Y1216" s="80"/>
      <c r="Z1216" s="96"/>
      <c r="AA1216"/>
    </row>
    <row r="1217" spans="1:34">
      <c r="A1217" s="834" t="s">
        <v>137</v>
      </c>
      <c r="B1217" s="835">
        <v>1214</v>
      </c>
      <c r="C1217" s="840" t="s">
        <v>1883</v>
      </c>
      <c r="D1217" s="840" t="s">
        <v>1250</v>
      </c>
      <c r="E1217" s="839">
        <v>45929.375</v>
      </c>
      <c r="F1217" s="838" t="s">
        <v>140</v>
      </c>
      <c r="G1217" s="838">
        <v>4</v>
      </c>
      <c r="H1217" s="838" t="s">
        <v>1077</v>
      </c>
      <c r="I1217" s="838" t="s">
        <v>1138</v>
      </c>
      <c r="J1217" s="838"/>
      <c r="K1217" s="21"/>
      <c r="L1217" s="21"/>
      <c r="M1217" s="22"/>
      <c r="N1217" s="23"/>
      <c r="O1217" s="848"/>
      <c r="P1217" s="23"/>
      <c r="Q1217" s="23"/>
      <c r="R1217" s="79"/>
      <c r="S1217" s="22"/>
      <c r="T1217" s="22"/>
      <c r="U1217" s="24"/>
      <c r="V1217" s="23"/>
      <c r="W1217" s="80"/>
      <c r="X1217" s="80"/>
      <c r="Y1217" s="80"/>
      <c r="Z1217" s="96"/>
      <c r="AA1217"/>
      <c r="AE1217" s="84"/>
      <c r="AF1217" s="71"/>
      <c r="AG1217" s="71"/>
      <c r="AH1217" s="71"/>
    </row>
    <row r="1218" spans="1:34">
      <c r="A1218" s="834" t="s">
        <v>137</v>
      </c>
      <c r="B1218" s="835">
        <v>1215</v>
      </c>
      <c r="C1218" s="840" t="s">
        <v>1884</v>
      </c>
      <c r="D1218" s="840" t="s">
        <v>1885</v>
      </c>
      <c r="E1218" s="839">
        <v>45929.166666666664</v>
      </c>
      <c r="F1218" s="838" t="s">
        <v>140</v>
      </c>
      <c r="G1218" s="838">
        <v>1</v>
      </c>
      <c r="H1218" s="838" t="s">
        <v>1077</v>
      </c>
      <c r="I1218" s="838" t="s">
        <v>1138</v>
      </c>
      <c r="J1218" s="838"/>
      <c r="K1218" s="100"/>
      <c r="L1218" s="21"/>
      <c r="M1218" s="22"/>
      <c r="N1218" s="23"/>
      <c r="O1218" s="848"/>
      <c r="P1218" s="100"/>
      <c r="Q1218" s="23"/>
      <c r="R1218" s="79"/>
      <c r="S1218" s="22"/>
      <c r="T1218" s="22"/>
      <c r="U1218" s="24"/>
      <c r="V1218" s="23"/>
      <c r="W1218" s="80"/>
      <c r="X1218" s="80"/>
      <c r="Y1218" s="80"/>
      <c r="Z1218" s="96"/>
      <c r="AA1218"/>
      <c r="AF1218" s="71"/>
      <c r="AG1218" s="92"/>
      <c r="AH1218" s="92"/>
    </row>
    <row r="1219" spans="1:34">
      <c r="A1219" s="834" t="s">
        <v>137</v>
      </c>
      <c r="B1219" s="835">
        <v>1216</v>
      </c>
      <c r="C1219" s="840" t="s">
        <v>1886</v>
      </c>
      <c r="D1219" s="840" t="s">
        <v>1887</v>
      </c>
      <c r="E1219" s="839">
        <v>45929</v>
      </c>
      <c r="F1219" s="838" t="s">
        <v>140</v>
      </c>
      <c r="G1219" s="838">
        <v>10</v>
      </c>
      <c r="H1219" s="838" t="s">
        <v>1888</v>
      </c>
      <c r="I1219" s="838" t="s">
        <v>1889</v>
      </c>
      <c r="J1219" s="838"/>
      <c r="K1219" s="100"/>
      <c r="L1219" s="21"/>
      <c r="M1219" s="22"/>
      <c r="N1219" s="23"/>
      <c r="O1219" s="23"/>
      <c r="P1219" s="100"/>
      <c r="Q1219" s="23"/>
      <c r="R1219" s="79"/>
      <c r="S1219" s="22"/>
      <c r="T1219" s="22"/>
      <c r="U1219" s="24"/>
      <c r="V1219" s="23"/>
      <c r="W1219" s="80"/>
      <c r="X1219" s="80"/>
      <c r="Y1219" s="80"/>
      <c r="Z1219" s="96"/>
      <c r="AA1219"/>
    </row>
    <row r="1220" spans="1:34">
      <c r="A1220" s="834" t="s">
        <v>137</v>
      </c>
      <c r="B1220" s="835">
        <v>1217</v>
      </c>
      <c r="C1220" s="840" t="s">
        <v>1890</v>
      </c>
      <c r="D1220" s="840" t="s">
        <v>1184</v>
      </c>
      <c r="E1220" s="839">
        <v>45929</v>
      </c>
      <c r="F1220" s="838" t="s">
        <v>140</v>
      </c>
      <c r="G1220" s="838">
        <v>3</v>
      </c>
      <c r="H1220" s="838" t="s">
        <v>1888</v>
      </c>
      <c r="I1220" s="838" t="s">
        <v>1889</v>
      </c>
      <c r="J1220" s="838"/>
      <c r="K1220" s="21"/>
      <c r="L1220" s="21"/>
      <c r="M1220" s="22"/>
      <c r="N1220" s="23"/>
      <c r="O1220" s="23"/>
      <c r="P1220" s="23"/>
      <c r="Q1220" s="23"/>
      <c r="R1220" s="79"/>
      <c r="S1220" s="22"/>
      <c r="T1220" s="22"/>
      <c r="U1220" s="24"/>
      <c r="V1220" s="23"/>
      <c r="W1220" s="80"/>
      <c r="X1220" s="80"/>
      <c r="Y1220" s="80"/>
      <c r="Z1220" s="96"/>
      <c r="AA1220"/>
    </row>
    <row r="1221" spans="1:34">
      <c r="A1221" s="834" t="s">
        <v>137</v>
      </c>
      <c r="B1221" s="835">
        <v>1218</v>
      </c>
      <c r="C1221" s="840" t="s">
        <v>1891</v>
      </c>
      <c r="D1221" s="840" t="s">
        <v>969</v>
      </c>
      <c r="E1221" s="839">
        <v>45922</v>
      </c>
      <c r="F1221" s="838" t="s">
        <v>140</v>
      </c>
      <c r="G1221" s="838">
        <v>1</v>
      </c>
      <c r="H1221" s="838" t="s">
        <v>1721</v>
      </c>
      <c r="I1221" s="838" t="s">
        <v>1638</v>
      </c>
      <c r="J1221" s="838"/>
      <c r="K1221" s="21"/>
      <c r="L1221" s="21"/>
      <c r="M1221" s="22"/>
      <c r="N1221" s="23"/>
      <c r="O1221" s="848"/>
      <c r="P1221" s="23"/>
      <c r="Q1221" s="23"/>
      <c r="R1221" s="79"/>
      <c r="S1221" s="22"/>
      <c r="T1221" s="22"/>
      <c r="U1221" s="24"/>
      <c r="V1221" s="23"/>
      <c r="W1221" s="80"/>
      <c r="X1221" s="80"/>
      <c r="Y1221" s="80"/>
      <c r="Z1221" s="96"/>
      <c r="AA1221"/>
      <c r="AE1221" s="84"/>
      <c r="AF1221" s="71"/>
      <c r="AG1221" s="71"/>
      <c r="AH1221" s="71"/>
    </row>
    <row r="1222" spans="1:34">
      <c r="A1222" s="834" t="s">
        <v>137</v>
      </c>
      <c r="B1222" s="835">
        <v>1219</v>
      </c>
      <c r="C1222" s="840" t="s">
        <v>1892</v>
      </c>
      <c r="D1222" s="840" t="s">
        <v>1008</v>
      </c>
      <c r="E1222" s="839">
        <v>45929.375</v>
      </c>
      <c r="F1222" s="838" t="s">
        <v>140</v>
      </c>
      <c r="G1222" s="838">
        <v>3</v>
      </c>
      <c r="H1222" s="838" t="s">
        <v>127</v>
      </c>
      <c r="I1222" s="838" t="s">
        <v>36</v>
      </c>
      <c r="J1222" s="838"/>
      <c r="K1222" s="21"/>
      <c r="L1222" s="21"/>
      <c r="M1222" s="22"/>
      <c r="N1222" s="23"/>
      <c r="O1222" s="848"/>
      <c r="P1222" s="23"/>
      <c r="Q1222" s="23"/>
      <c r="R1222" s="79"/>
      <c r="S1222" s="22"/>
      <c r="T1222" s="22"/>
      <c r="U1222" s="24"/>
      <c r="V1222" s="23"/>
      <c r="W1222" s="80"/>
      <c r="X1222" s="80"/>
      <c r="Y1222" s="80"/>
      <c r="Z1222" s="96"/>
      <c r="AA1222"/>
      <c r="AB1222" s="776"/>
      <c r="AC1222" s="776"/>
      <c r="AD1222" s="776"/>
      <c r="AE1222" s="776"/>
    </row>
    <row r="1223" spans="1:34">
      <c r="A1223" s="834" t="s">
        <v>137</v>
      </c>
      <c r="B1223" s="835">
        <v>1220</v>
      </c>
      <c r="C1223" s="840" t="s">
        <v>1893</v>
      </c>
      <c r="D1223" s="840" t="s">
        <v>1863</v>
      </c>
      <c r="E1223" s="839">
        <v>45929.375</v>
      </c>
      <c r="F1223" s="838" t="s">
        <v>140</v>
      </c>
      <c r="G1223" s="838">
        <v>1</v>
      </c>
      <c r="H1223" s="838" t="s">
        <v>127</v>
      </c>
      <c r="I1223" s="838" t="s">
        <v>36</v>
      </c>
      <c r="J1223" s="838"/>
      <c r="K1223" s="21"/>
      <c r="L1223" s="21"/>
      <c r="M1223" s="22"/>
      <c r="N1223" s="23"/>
      <c r="O1223" s="848"/>
      <c r="P1223" s="23"/>
      <c r="Q1223" s="23"/>
      <c r="R1223" s="79"/>
      <c r="S1223" s="22"/>
      <c r="T1223" s="22"/>
      <c r="U1223" s="24"/>
      <c r="V1223" s="23"/>
      <c r="W1223" s="80"/>
      <c r="X1223" s="80"/>
      <c r="Y1223" s="80"/>
      <c r="Z1223" s="96"/>
      <c r="AA1223"/>
      <c r="AF1223" s="71"/>
      <c r="AG1223" s="92"/>
      <c r="AH1223" s="92"/>
    </row>
    <row r="1224" spans="1:34">
      <c r="A1224" s="834" t="s">
        <v>137</v>
      </c>
      <c r="B1224" s="835">
        <v>1221</v>
      </c>
      <c r="C1224" s="840" t="s">
        <v>1894</v>
      </c>
      <c r="D1224" s="840" t="s">
        <v>1008</v>
      </c>
      <c r="E1224" s="839">
        <v>45922.208333333336</v>
      </c>
      <c r="F1224" s="838" t="s">
        <v>140</v>
      </c>
      <c r="G1224" s="838">
        <v>1</v>
      </c>
      <c r="H1224" s="838" t="s">
        <v>1077</v>
      </c>
      <c r="I1224" s="838" t="s">
        <v>1138</v>
      </c>
      <c r="J1224" s="838"/>
      <c r="K1224" s="21"/>
      <c r="L1224" s="21"/>
      <c r="M1224" s="22"/>
      <c r="N1224" s="23"/>
      <c r="O1224" s="23"/>
      <c r="P1224" s="23"/>
      <c r="Q1224" s="23"/>
      <c r="R1224" s="79"/>
      <c r="S1224" s="22"/>
      <c r="T1224" s="22"/>
      <c r="U1224" s="24"/>
      <c r="V1224" s="23"/>
      <c r="W1224" s="80"/>
      <c r="X1224" s="80"/>
      <c r="Y1224" s="80"/>
      <c r="Z1224" s="96"/>
      <c r="AA1224"/>
      <c r="AB1224" s="776"/>
      <c r="AC1224" s="776"/>
      <c r="AD1224" s="776"/>
      <c r="AE1224" s="776"/>
    </row>
    <row r="1225" spans="1:34">
      <c r="A1225" s="834" t="s">
        <v>137</v>
      </c>
      <c r="B1225" s="835">
        <v>1222</v>
      </c>
      <c r="C1225" s="840" t="s">
        <v>1895</v>
      </c>
      <c r="D1225" s="840" t="s">
        <v>1042</v>
      </c>
      <c r="E1225" s="839">
        <v>45922</v>
      </c>
      <c r="F1225" s="838" t="s">
        <v>140</v>
      </c>
      <c r="G1225" s="838">
        <v>2</v>
      </c>
      <c r="H1225" s="838" t="s">
        <v>1725</v>
      </c>
      <c r="I1225" s="838" t="s">
        <v>47</v>
      </c>
      <c r="J1225" s="838"/>
      <c r="K1225" s="100"/>
      <c r="L1225" s="21"/>
      <c r="M1225" s="22"/>
      <c r="N1225" s="23"/>
      <c r="O1225" s="23"/>
      <c r="P1225" s="100"/>
      <c r="Q1225" s="23"/>
      <c r="R1225" s="79"/>
      <c r="S1225" s="22"/>
      <c r="T1225" s="22"/>
      <c r="U1225" s="24"/>
      <c r="V1225" s="23"/>
      <c r="W1225" s="80"/>
      <c r="X1225" s="80"/>
      <c r="Y1225" s="80"/>
      <c r="Z1225" s="96"/>
      <c r="AA1225"/>
      <c r="AB1225" s="776"/>
      <c r="AC1225" s="776"/>
      <c r="AD1225" s="776"/>
      <c r="AE1225" s="776"/>
    </row>
    <row r="1226" spans="1:34">
      <c r="A1226" s="834" t="s">
        <v>137</v>
      </c>
      <c r="B1226" s="835">
        <v>1223</v>
      </c>
      <c r="C1226" s="840" t="s">
        <v>1896</v>
      </c>
      <c r="D1226" s="840" t="s">
        <v>1184</v>
      </c>
      <c r="E1226" s="839">
        <v>45901.166666666664</v>
      </c>
      <c r="F1226" s="838" t="s">
        <v>140</v>
      </c>
      <c r="G1226" s="838">
        <v>7</v>
      </c>
      <c r="H1226" s="838" t="s">
        <v>1725</v>
      </c>
      <c r="I1226" s="838" t="s">
        <v>47</v>
      </c>
      <c r="J1226" s="838"/>
      <c r="K1226" s="100"/>
      <c r="L1226" s="21"/>
      <c r="M1226" s="22"/>
      <c r="N1226" s="23"/>
      <c r="O1226" s="23"/>
      <c r="P1226" s="100"/>
      <c r="Q1226" s="23"/>
      <c r="R1226" s="79"/>
      <c r="S1226" s="22"/>
      <c r="T1226" s="22"/>
      <c r="U1226" s="24"/>
      <c r="V1226" s="23"/>
      <c r="W1226" s="80"/>
      <c r="X1226" s="80"/>
      <c r="Y1226" s="80"/>
      <c r="Z1226" s="96"/>
      <c r="AA1226"/>
    </row>
    <row r="1227" spans="1:34">
      <c r="A1227" s="834" t="s">
        <v>137</v>
      </c>
      <c r="B1227" s="835">
        <v>1224</v>
      </c>
      <c r="C1227" s="840" t="s">
        <v>1897</v>
      </c>
      <c r="D1227" s="840" t="s">
        <v>1898</v>
      </c>
      <c r="E1227" s="839">
        <v>45908.375</v>
      </c>
      <c r="F1227" s="838" t="s">
        <v>140</v>
      </c>
      <c r="G1227" s="838">
        <v>4</v>
      </c>
      <c r="H1227" s="838" t="s">
        <v>1725</v>
      </c>
      <c r="I1227" s="838" t="s">
        <v>47</v>
      </c>
      <c r="J1227" s="838"/>
      <c r="K1227" s="100"/>
      <c r="L1227" s="21"/>
      <c r="M1227" s="22"/>
      <c r="N1227" s="23"/>
      <c r="O1227" s="848"/>
      <c r="P1227" s="100"/>
      <c r="Q1227" s="23"/>
      <c r="R1227" s="79"/>
      <c r="S1227" s="22"/>
      <c r="T1227" s="22"/>
      <c r="U1227" s="24"/>
      <c r="V1227" s="23"/>
      <c r="W1227" s="80"/>
      <c r="X1227" s="80"/>
      <c r="Y1227" s="80"/>
      <c r="Z1227" s="96"/>
      <c r="AA1227"/>
    </row>
    <row r="1228" spans="1:34">
      <c r="A1228" s="834" t="s">
        <v>137</v>
      </c>
      <c r="B1228" s="835">
        <v>1225</v>
      </c>
      <c r="C1228" s="840" t="s">
        <v>1899</v>
      </c>
      <c r="D1228" s="840" t="s">
        <v>344</v>
      </c>
      <c r="E1228" s="839">
        <v>45908.375</v>
      </c>
      <c r="F1228" s="838" t="s">
        <v>140</v>
      </c>
      <c r="G1228" s="838">
        <v>17</v>
      </c>
      <c r="H1228" s="838" t="s">
        <v>1725</v>
      </c>
      <c r="I1228" s="838" t="s">
        <v>47</v>
      </c>
      <c r="J1228" s="838"/>
      <c r="K1228" s="21"/>
      <c r="L1228" s="21"/>
      <c r="M1228" s="22"/>
      <c r="N1228" s="23"/>
      <c r="O1228" s="848" t="s">
        <v>31</v>
      </c>
      <c r="P1228" s="23"/>
      <c r="Q1228" s="23"/>
      <c r="R1228" s="79"/>
      <c r="S1228" s="22"/>
      <c r="T1228" s="22"/>
      <c r="U1228" s="24"/>
      <c r="V1228" s="23"/>
      <c r="W1228" s="80"/>
      <c r="X1228" s="80"/>
      <c r="Y1228" s="80"/>
      <c r="Z1228" s="96"/>
      <c r="AA1228" s="6">
        <v>0</v>
      </c>
      <c r="AB1228" s="6">
        <v>17</v>
      </c>
      <c r="AC1228" s="6">
        <v>0</v>
      </c>
      <c r="AD1228" s="6">
        <v>0</v>
      </c>
      <c r="AE1228" s="6">
        <f>SUM(AA1228:AD1228)</f>
        <v>17</v>
      </c>
      <c r="AF1228" s="104">
        <f>+AA1228/AE1228*AF$1</f>
        <v>0</v>
      </c>
      <c r="AG1228" s="105">
        <f>+AB1228/AE1228*AG$1</f>
        <v>0</v>
      </c>
      <c r="AH1228" s="105">
        <f>+AC1228/AE1228*AH$1</f>
        <v>0</v>
      </c>
    </row>
    <row r="1229" spans="1:34">
      <c r="A1229" s="834" t="s">
        <v>137</v>
      </c>
      <c r="B1229" s="835">
        <v>1226</v>
      </c>
      <c r="C1229" s="840" t="s">
        <v>1900</v>
      </c>
      <c r="D1229" s="840" t="s">
        <v>1424</v>
      </c>
      <c r="E1229" s="839">
        <v>45908.041666666664</v>
      </c>
      <c r="F1229" s="838" t="s">
        <v>140</v>
      </c>
      <c r="G1229" s="838">
        <v>3</v>
      </c>
      <c r="H1229" s="838" t="s">
        <v>1721</v>
      </c>
      <c r="I1229" s="838" t="s">
        <v>1638</v>
      </c>
      <c r="J1229" s="838"/>
      <c r="K1229" s="21"/>
      <c r="L1229" s="21"/>
      <c r="M1229" s="22"/>
      <c r="N1229" s="23"/>
      <c r="O1229" s="23"/>
      <c r="P1229" s="23"/>
      <c r="Q1229" s="23"/>
      <c r="R1229" s="79"/>
      <c r="S1229" s="22"/>
      <c r="T1229" s="22"/>
      <c r="U1229" s="24"/>
      <c r="V1229" s="23"/>
      <c r="W1229" s="80"/>
      <c r="X1229" s="80"/>
      <c r="Y1229" s="80"/>
      <c r="Z1229" s="96"/>
      <c r="AA1229"/>
    </row>
    <row r="1230" spans="1:34">
      <c r="A1230" s="834" t="s">
        <v>137</v>
      </c>
      <c r="B1230" s="835">
        <v>1227</v>
      </c>
      <c r="C1230" s="840" t="s">
        <v>1901</v>
      </c>
      <c r="D1230" s="840" t="s">
        <v>344</v>
      </c>
      <c r="E1230" s="839">
        <v>45915.375</v>
      </c>
      <c r="F1230" s="838" t="s">
        <v>140</v>
      </c>
      <c r="G1230" s="838">
        <v>7</v>
      </c>
      <c r="H1230" s="838" t="s">
        <v>1902</v>
      </c>
      <c r="I1230" s="838" t="s">
        <v>292</v>
      </c>
      <c r="J1230" s="838"/>
      <c r="K1230" s="97"/>
      <c r="L1230" s="21"/>
      <c r="M1230" s="22"/>
      <c r="N1230" s="23"/>
      <c r="O1230" s="848"/>
      <c r="P1230" s="97"/>
      <c r="Q1230" s="23"/>
      <c r="R1230" s="79"/>
      <c r="S1230" s="22"/>
      <c r="T1230" s="22"/>
      <c r="U1230" s="24"/>
      <c r="V1230" s="23"/>
      <c r="W1230" s="80"/>
      <c r="X1230" s="80"/>
      <c r="Y1230" s="80"/>
      <c r="Z1230" s="96"/>
      <c r="AA1230" s="87"/>
      <c r="AB1230" s="87"/>
      <c r="AF1230" s="71"/>
      <c r="AG1230" s="92"/>
      <c r="AH1230" s="92"/>
    </row>
    <row r="1231" spans="1:34">
      <c r="A1231" s="834" t="s">
        <v>137</v>
      </c>
      <c r="B1231" s="835">
        <v>1228</v>
      </c>
      <c r="C1231" s="840" t="s">
        <v>1903</v>
      </c>
      <c r="D1231" s="840" t="s">
        <v>1904</v>
      </c>
      <c r="E1231" s="839">
        <v>45915.375</v>
      </c>
      <c r="F1231" s="838" t="s">
        <v>140</v>
      </c>
      <c r="G1231" s="838">
        <v>1</v>
      </c>
      <c r="H1231" s="838" t="s">
        <v>127</v>
      </c>
      <c r="I1231" s="838" t="s">
        <v>36</v>
      </c>
      <c r="J1231" s="838"/>
      <c r="K1231" s="97"/>
      <c r="L1231" s="21"/>
      <c r="M1231" s="22"/>
      <c r="N1231" s="23"/>
      <c r="O1231" s="23"/>
      <c r="P1231" s="97"/>
      <c r="Q1231" s="23"/>
      <c r="R1231" s="79"/>
      <c r="S1231" s="22"/>
      <c r="U1231" s="24"/>
      <c r="V1231" s="23"/>
      <c r="W1231" s="80"/>
      <c r="X1231" s="80"/>
      <c r="Y1231" s="80"/>
      <c r="Z1231" s="96"/>
      <c r="AA1231"/>
      <c r="AF1231" s="71"/>
      <c r="AG1231" s="92"/>
      <c r="AH1231" s="92"/>
    </row>
    <row r="1232" spans="1:34">
      <c r="A1232" s="834" t="s">
        <v>137</v>
      </c>
      <c r="B1232" s="835">
        <v>1229</v>
      </c>
      <c r="C1232" s="840" t="s">
        <v>1905</v>
      </c>
      <c r="D1232" s="840" t="s">
        <v>1424</v>
      </c>
      <c r="E1232" s="839">
        <v>45915</v>
      </c>
      <c r="F1232" s="838" t="s">
        <v>140</v>
      </c>
      <c r="G1232" s="838">
        <v>1</v>
      </c>
      <c r="H1232" s="838" t="s">
        <v>1725</v>
      </c>
      <c r="I1232" s="838" t="s">
        <v>47</v>
      </c>
      <c r="J1232" s="838"/>
      <c r="K1232" s="21"/>
      <c r="L1232" s="21"/>
      <c r="M1232" s="22"/>
      <c r="N1232" s="23"/>
      <c r="O1232" s="848"/>
      <c r="P1232" s="23"/>
      <c r="Q1232" s="23"/>
      <c r="R1232" s="79"/>
      <c r="S1232" s="22"/>
      <c r="T1232" s="22"/>
      <c r="U1232" s="24"/>
      <c r="V1232" s="23"/>
      <c r="W1232" s="80"/>
      <c r="X1232" s="80"/>
      <c r="Y1232" s="80"/>
      <c r="Z1232" s="96"/>
      <c r="AA1232" s="87"/>
      <c r="AB1232" s="87"/>
      <c r="AF1232" s="71"/>
      <c r="AG1232" s="92"/>
      <c r="AH1232" s="92"/>
    </row>
    <row r="1233" spans="1:34">
      <c r="A1233" s="834" t="s">
        <v>137</v>
      </c>
      <c r="B1233" s="835">
        <v>1230</v>
      </c>
      <c r="C1233" s="840" t="s">
        <v>1906</v>
      </c>
      <c r="D1233" s="840" t="s">
        <v>1184</v>
      </c>
      <c r="E1233" s="839">
        <v>45915</v>
      </c>
      <c r="F1233" s="838" t="s">
        <v>140</v>
      </c>
      <c r="G1233" s="838">
        <v>3</v>
      </c>
      <c r="H1233" s="838" t="s">
        <v>1077</v>
      </c>
      <c r="I1233" s="838" t="s">
        <v>1138</v>
      </c>
      <c r="J1233" s="838"/>
      <c r="K1233" s="21"/>
      <c r="L1233" s="21"/>
      <c r="M1233" s="22"/>
      <c r="N1233" s="23"/>
      <c r="O1233" s="848"/>
      <c r="P1233" s="23"/>
      <c r="Q1233" s="23"/>
      <c r="R1233" s="79"/>
      <c r="S1233" s="22"/>
      <c r="T1233" s="22"/>
      <c r="U1233" s="24"/>
      <c r="V1233" s="23"/>
      <c r="W1233" s="80"/>
      <c r="X1233" s="80"/>
      <c r="Y1233" s="80"/>
      <c r="Z1233" s="96"/>
      <c r="AA1233"/>
      <c r="AF1233" s="71"/>
      <c r="AG1233" s="92"/>
      <c r="AH1233" s="92"/>
    </row>
    <row r="1234" spans="1:34">
      <c r="A1234" s="834" t="s">
        <v>137</v>
      </c>
      <c r="B1234" s="835">
        <v>1231</v>
      </c>
      <c r="C1234" s="840" t="s">
        <v>1907</v>
      </c>
      <c r="D1234" s="840" t="s">
        <v>1250</v>
      </c>
      <c r="E1234" s="839">
        <v>45922.375</v>
      </c>
      <c r="F1234" s="838" t="s">
        <v>140</v>
      </c>
      <c r="G1234" s="838">
        <v>3</v>
      </c>
      <c r="H1234" s="838" t="s">
        <v>1908</v>
      </c>
      <c r="I1234" s="838" t="s">
        <v>1670</v>
      </c>
      <c r="J1234" s="838"/>
      <c r="K1234" s="21"/>
      <c r="L1234" s="21"/>
      <c r="M1234" s="22"/>
      <c r="N1234" s="23"/>
      <c r="O1234" s="23"/>
      <c r="P1234" s="23"/>
      <c r="Q1234" s="23"/>
      <c r="R1234" s="79"/>
      <c r="S1234" s="22"/>
      <c r="T1234" s="22"/>
      <c r="U1234" s="24"/>
      <c r="V1234" s="23"/>
      <c r="W1234" s="80"/>
      <c r="X1234" s="80"/>
      <c r="Y1234" s="80"/>
      <c r="Z1234" s="96"/>
      <c r="AA1234"/>
    </row>
    <row r="1235" spans="1:34">
      <c r="A1235" s="834" t="s">
        <v>137</v>
      </c>
      <c r="B1235" s="835">
        <v>1232</v>
      </c>
      <c r="C1235" s="840" t="s">
        <v>1909</v>
      </c>
      <c r="D1235" s="840" t="s">
        <v>344</v>
      </c>
      <c r="E1235" s="839">
        <v>45922.375</v>
      </c>
      <c r="F1235" s="838" t="s">
        <v>140</v>
      </c>
      <c r="G1235" s="838">
        <v>8</v>
      </c>
      <c r="H1235" s="838" t="s">
        <v>1725</v>
      </c>
      <c r="I1235" s="838" t="s">
        <v>47</v>
      </c>
      <c r="J1235" s="838"/>
      <c r="K1235" s="21"/>
      <c r="L1235" s="21"/>
      <c r="M1235" s="22"/>
      <c r="N1235" s="23"/>
      <c r="O1235" s="61"/>
      <c r="P1235" s="23"/>
      <c r="Q1235" s="23"/>
      <c r="R1235" s="79"/>
      <c r="S1235" s="22"/>
      <c r="T1235" s="22"/>
      <c r="U1235" s="24"/>
      <c r="V1235" s="23"/>
      <c r="W1235" s="80"/>
      <c r="X1235" s="80"/>
      <c r="Y1235" s="80"/>
      <c r="Z1235" s="96"/>
      <c r="AA1235"/>
      <c r="AF1235" s="71"/>
      <c r="AG1235" s="92"/>
      <c r="AH1235" s="92"/>
    </row>
    <row r="1236" spans="1:34">
      <c r="A1236" s="834" t="s">
        <v>137</v>
      </c>
      <c r="B1236" s="835">
        <v>1233</v>
      </c>
      <c r="C1236" s="840" t="s">
        <v>1910</v>
      </c>
      <c r="D1236" s="840" t="s">
        <v>779</v>
      </c>
      <c r="E1236" s="839">
        <v>45922.375</v>
      </c>
      <c r="F1236" s="838" t="s">
        <v>140</v>
      </c>
      <c r="G1236" s="838">
        <v>3</v>
      </c>
      <c r="H1236" s="838" t="s">
        <v>1721</v>
      </c>
      <c r="I1236" s="838" t="s">
        <v>1638</v>
      </c>
      <c r="J1236" s="838"/>
      <c r="K1236" s="21"/>
      <c r="L1236" s="21"/>
      <c r="M1236" s="22"/>
      <c r="N1236" s="23"/>
      <c r="O1236" s="61"/>
      <c r="P1236" s="23"/>
      <c r="Q1236" s="23"/>
      <c r="R1236" s="79"/>
      <c r="S1236" s="22"/>
      <c r="T1236" s="22"/>
      <c r="U1236" s="24"/>
      <c r="V1236" s="23"/>
      <c r="W1236" s="80"/>
      <c r="X1236" s="80"/>
      <c r="Y1236" s="80"/>
      <c r="Z1236" s="96"/>
      <c r="AA1236"/>
      <c r="AF1236" s="71"/>
      <c r="AG1236" s="92"/>
      <c r="AH1236" s="92"/>
    </row>
    <row r="1237" spans="1:34">
      <c r="A1237" s="834" t="s">
        <v>137</v>
      </c>
      <c r="B1237" s="835">
        <v>1234</v>
      </c>
      <c r="C1237" s="840" t="s">
        <v>1911</v>
      </c>
      <c r="D1237" s="840" t="s">
        <v>1912</v>
      </c>
      <c r="E1237" s="839">
        <v>45922.166666666664</v>
      </c>
      <c r="F1237" s="838" t="s">
        <v>140</v>
      </c>
      <c r="G1237" s="838">
        <v>2</v>
      </c>
      <c r="H1237" s="838" t="s">
        <v>1872</v>
      </c>
      <c r="I1237" s="838" t="s">
        <v>1514</v>
      </c>
      <c r="J1237" s="838"/>
      <c r="K1237" s="21"/>
      <c r="L1237" s="21"/>
      <c r="M1237" s="22"/>
      <c r="N1237" s="23"/>
      <c r="O1237" s="848"/>
      <c r="P1237" s="23"/>
      <c r="Q1237" s="23"/>
      <c r="R1237" s="79"/>
      <c r="S1237" s="22"/>
      <c r="T1237" s="22"/>
      <c r="U1237" s="24"/>
      <c r="V1237" s="23"/>
      <c r="W1237" s="80"/>
      <c r="X1237" s="80"/>
      <c r="Y1237" s="80"/>
      <c r="Z1237" s="96"/>
      <c r="AA1237"/>
      <c r="AF1237" s="71"/>
      <c r="AG1237" s="92"/>
      <c r="AH1237" s="92"/>
    </row>
    <row r="1238" spans="1:34">
      <c r="A1238" s="834" t="s">
        <v>137</v>
      </c>
      <c r="B1238" s="835">
        <v>1235</v>
      </c>
      <c r="C1238" s="840" t="s">
        <v>1913</v>
      </c>
      <c r="D1238" s="840" t="s">
        <v>989</v>
      </c>
      <c r="E1238" s="839">
        <v>45922</v>
      </c>
      <c r="F1238" s="838" t="s">
        <v>140</v>
      </c>
      <c r="G1238" s="838">
        <v>1</v>
      </c>
      <c r="H1238" s="838" t="s">
        <v>1725</v>
      </c>
      <c r="I1238" s="838" t="s">
        <v>47</v>
      </c>
      <c r="J1238" s="838"/>
      <c r="K1238" s="21"/>
      <c r="L1238" s="21"/>
      <c r="M1238" s="22"/>
      <c r="N1238" s="23"/>
      <c r="O1238" s="61"/>
      <c r="P1238" s="23"/>
      <c r="Q1238" s="23"/>
      <c r="R1238" s="79"/>
      <c r="S1238" s="22"/>
      <c r="T1238" s="22"/>
      <c r="U1238" s="24"/>
      <c r="V1238" s="23"/>
      <c r="W1238" s="80"/>
      <c r="X1238" s="80"/>
      <c r="Y1238" s="80"/>
      <c r="Z1238" s="96"/>
      <c r="AA1238"/>
      <c r="AF1238" s="92"/>
      <c r="AG1238" s="92"/>
      <c r="AH1238" s="92"/>
    </row>
    <row r="1239" spans="1:34">
      <c r="A1239" s="834" t="s">
        <v>137</v>
      </c>
      <c r="B1239" s="835">
        <v>1236</v>
      </c>
      <c r="C1239" s="840" t="s">
        <v>1914</v>
      </c>
      <c r="D1239" s="840" t="s">
        <v>937</v>
      </c>
      <c r="E1239" s="839">
        <v>45922.375</v>
      </c>
      <c r="F1239" s="838" t="s">
        <v>140</v>
      </c>
      <c r="G1239" s="838">
        <v>13</v>
      </c>
      <c r="H1239" s="838" t="s">
        <v>1077</v>
      </c>
      <c r="I1239" s="838" t="s">
        <v>1138</v>
      </c>
      <c r="J1239" s="838"/>
      <c r="K1239" s="100"/>
      <c r="L1239" s="21"/>
      <c r="M1239" s="22"/>
      <c r="N1239" s="23"/>
      <c r="O1239" s="61"/>
      <c r="P1239" s="100"/>
      <c r="Q1239" s="23"/>
      <c r="R1239" s="79"/>
      <c r="S1239" s="22"/>
      <c r="T1239" s="22"/>
      <c r="U1239" s="24"/>
      <c r="V1239" s="23"/>
      <c r="W1239" s="80"/>
      <c r="X1239" s="80"/>
      <c r="Y1239" s="80"/>
      <c r="Z1239" s="96"/>
      <c r="AA1239"/>
      <c r="AF1239" s="92"/>
      <c r="AG1239" s="92"/>
      <c r="AH1239" s="92"/>
    </row>
    <row r="1240" spans="1:34">
      <c r="A1240" s="834" t="s">
        <v>137</v>
      </c>
      <c r="B1240" s="835">
        <v>1237</v>
      </c>
      <c r="C1240" s="840" t="s">
        <v>1915</v>
      </c>
      <c r="D1240" s="840" t="s">
        <v>344</v>
      </c>
      <c r="E1240" s="839">
        <v>45929.375</v>
      </c>
      <c r="F1240" s="838" t="s">
        <v>140</v>
      </c>
      <c r="G1240" s="838">
        <v>8</v>
      </c>
      <c r="H1240" s="838" t="s">
        <v>1908</v>
      </c>
      <c r="I1240" s="838" t="s">
        <v>1670</v>
      </c>
      <c r="J1240" s="838"/>
      <c r="K1240" s="100"/>
      <c r="L1240" s="21"/>
      <c r="M1240" s="22"/>
      <c r="N1240" s="23"/>
      <c r="O1240" s="23"/>
      <c r="P1240" s="100"/>
      <c r="Q1240" s="23"/>
      <c r="R1240" s="79"/>
      <c r="S1240" s="22"/>
      <c r="T1240" s="22"/>
      <c r="U1240" s="24"/>
      <c r="V1240" s="23"/>
      <c r="W1240" s="80"/>
      <c r="X1240" s="80"/>
      <c r="Y1240" s="80"/>
      <c r="Z1240" s="96"/>
      <c r="AA1240"/>
      <c r="AB1240" s="85"/>
      <c r="AC1240" s="85"/>
      <c r="AD1240" s="85"/>
      <c r="AE1240" s="84"/>
      <c r="AF1240" s="92"/>
      <c r="AG1240" s="92"/>
      <c r="AH1240" s="92"/>
    </row>
    <row r="1241" spans="1:34">
      <c r="A1241" s="834" t="s">
        <v>137</v>
      </c>
      <c r="B1241" s="835">
        <v>1238</v>
      </c>
      <c r="C1241" s="840" t="s">
        <v>1916</v>
      </c>
      <c r="D1241" s="840" t="s">
        <v>1184</v>
      </c>
      <c r="E1241" s="839">
        <v>45929</v>
      </c>
      <c r="F1241" s="838" t="s">
        <v>140</v>
      </c>
      <c r="G1241" s="838">
        <v>1</v>
      </c>
      <c r="H1241" s="838" t="s">
        <v>1725</v>
      </c>
      <c r="I1241" s="838" t="s">
        <v>47</v>
      </c>
      <c r="J1241" s="838"/>
      <c r="K1241" s="21"/>
      <c r="L1241" s="21"/>
      <c r="M1241" s="22"/>
      <c r="N1241" s="23"/>
      <c r="O1241" s="848"/>
      <c r="P1241" s="23"/>
      <c r="Q1241" s="23"/>
      <c r="R1241" s="79"/>
      <c r="S1241" s="22"/>
      <c r="T1241" s="22"/>
      <c r="U1241" s="24"/>
      <c r="V1241" s="23"/>
      <c r="W1241" s="80"/>
      <c r="X1241" s="80"/>
      <c r="Y1241" s="80"/>
      <c r="Z1241" s="96"/>
      <c r="AA1241"/>
      <c r="AF1241" s="71"/>
      <c r="AG1241" s="92"/>
      <c r="AH1241" s="92"/>
    </row>
    <row r="1242" spans="1:34">
      <c r="A1242" s="834" t="s">
        <v>24</v>
      </c>
      <c r="B1242" s="835">
        <v>1239</v>
      </c>
      <c r="C1242" s="838" t="s">
        <v>1917</v>
      </c>
      <c r="D1242" s="839" t="s">
        <v>34</v>
      </c>
      <c r="E1242" s="839">
        <v>45931</v>
      </c>
      <c r="F1242" s="838" t="s">
        <v>912</v>
      </c>
      <c r="G1242" s="838">
        <v>9</v>
      </c>
      <c r="H1242" s="838" t="s">
        <v>1077</v>
      </c>
      <c r="I1242" s="838" t="s">
        <v>1138</v>
      </c>
      <c r="J1242" s="838"/>
      <c r="K1242" s="838"/>
      <c r="L1242" s="834"/>
      <c r="M1242" s="834"/>
      <c r="N1242" s="834"/>
      <c r="O1242" s="848"/>
      <c r="P1242" s="23" t="s">
        <v>30</v>
      </c>
      <c r="Q1242" s="23">
        <v>45979</v>
      </c>
      <c r="R1242" s="79" t="s">
        <v>1138</v>
      </c>
      <c r="S1242" s="22" t="s">
        <v>32</v>
      </c>
      <c r="T1242" s="22">
        <v>9</v>
      </c>
      <c r="U1242" s="24" t="s">
        <v>1138</v>
      </c>
      <c r="V1242" s="23">
        <v>45979</v>
      </c>
      <c r="W1242" s="96" t="s">
        <v>30</v>
      </c>
      <c r="X1242" s="96" t="s">
        <v>30</v>
      </c>
      <c r="Y1242" s="96" t="s">
        <v>30</v>
      </c>
      <c r="Z1242" s="96" t="s">
        <v>30</v>
      </c>
      <c r="AA1242"/>
      <c r="AB1242" s="776"/>
      <c r="AC1242" s="776"/>
      <c r="AD1242" s="776"/>
      <c r="AE1242" s="776"/>
    </row>
    <row r="1243" spans="1:34">
      <c r="A1243" s="834" t="s">
        <v>24</v>
      </c>
      <c r="B1243" s="835">
        <v>1240</v>
      </c>
      <c r="C1243" s="838" t="s">
        <v>1918</v>
      </c>
      <c r="D1243" s="839" t="s">
        <v>43</v>
      </c>
      <c r="E1243" s="839">
        <v>45932</v>
      </c>
      <c r="F1243" s="838" t="s">
        <v>737</v>
      </c>
      <c r="G1243" s="838">
        <v>15</v>
      </c>
      <c r="H1243" s="838" t="s">
        <v>1721</v>
      </c>
      <c r="I1243" s="838" t="s">
        <v>1638</v>
      </c>
      <c r="J1243" s="838"/>
      <c r="K1243" s="838"/>
      <c r="L1243" s="834"/>
      <c r="M1243" s="834"/>
      <c r="N1243" s="834"/>
      <c r="O1243" s="848"/>
      <c r="P1243" s="23" t="s">
        <v>30</v>
      </c>
      <c r="Q1243" s="23">
        <v>45958</v>
      </c>
      <c r="R1243" s="79" t="s">
        <v>1638</v>
      </c>
      <c r="S1243" s="22" t="s">
        <v>32</v>
      </c>
      <c r="T1243" s="22">
        <v>16</v>
      </c>
      <c r="U1243" s="24" t="s">
        <v>1638</v>
      </c>
      <c r="V1243" s="23">
        <v>45958</v>
      </c>
      <c r="W1243" s="96" t="s">
        <v>30</v>
      </c>
      <c r="X1243" s="96" t="s">
        <v>30</v>
      </c>
      <c r="Y1243" s="96" t="s">
        <v>30</v>
      </c>
      <c r="Z1243" s="96" t="s">
        <v>30</v>
      </c>
      <c r="AA1243"/>
      <c r="AB1243" s="776"/>
      <c r="AC1243" s="776"/>
      <c r="AD1243" s="776"/>
      <c r="AE1243" s="776"/>
    </row>
    <row r="1244" spans="1:34">
      <c r="A1244" s="834" t="s">
        <v>24</v>
      </c>
      <c r="B1244" s="835">
        <v>1241</v>
      </c>
      <c r="C1244" s="838" t="s">
        <v>1919</v>
      </c>
      <c r="D1244" s="839" t="s">
        <v>43</v>
      </c>
      <c r="E1244" s="839">
        <v>45933</v>
      </c>
      <c r="F1244" s="838" t="s">
        <v>729</v>
      </c>
      <c r="G1244" s="838">
        <v>11</v>
      </c>
      <c r="H1244" s="838" t="s">
        <v>1721</v>
      </c>
      <c r="I1244" s="838" t="s">
        <v>1638</v>
      </c>
      <c r="J1244" s="838"/>
      <c r="K1244" s="838"/>
      <c r="L1244" s="834"/>
      <c r="M1244" s="834"/>
      <c r="N1244" s="834"/>
      <c r="O1244" s="848"/>
      <c r="P1244" s="23" t="s">
        <v>30</v>
      </c>
      <c r="Q1244" s="23">
        <v>45978</v>
      </c>
      <c r="R1244" s="79" t="s">
        <v>1638</v>
      </c>
      <c r="S1244" s="22" t="s">
        <v>32</v>
      </c>
      <c r="T1244" s="22">
        <v>11</v>
      </c>
      <c r="U1244" s="24" t="s">
        <v>1638</v>
      </c>
      <c r="V1244" s="23">
        <v>45978</v>
      </c>
      <c r="W1244" s="91" t="s">
        <v>32</v>
      </c>
      <c r="X1244" s="96" t="s">
        <v>30</v>
      </c>
      <c r="Y1244" s="96" t="s">
        <v>30</v>
      </c>
      <c r="Z1244" s="96"/>
      <c r="AA1244"/>
      <c r="AB1244" s="776"/>
      <c r="AC1244" s="776"/>
      <c r="AD1244" s="776"/>
      <c r="AE1244" s="776"/>
    </row>
    <row r="1245" spans="1:34">
      <c r="A1245" s="834" t="s">
        <v>24</v>
      </c>
      <c r="B1245" s="835">
        <v>1242</v>
      </c>
      <c r="C1245" s="838" t="s">
        <v>1920</v>
      </c>
      <c r="D1245" s="839" t="s">
        <v>43</v>
      </c>
      <c r="E1245" s="839">
        <v>45934</v>
      </c>
      <c r="F1245" s="838" t="s">
        <v>1921</v>
      </c>
      <c r="G1245" s="838">
        <v>15</v>
      </c>
      <c r="H1245" s="838" t="s">
        <v>1721</v>
      </c>
      <c r="I1245" s="838" t="s">
        <v>1638</v>
      </c>
      <c r="J1245" s="838"/>
      <c r="K1245" s="838"/>
      <c r="L1245" s="834"/>
      <c r="M1245" s="834"/>
      <c r="N1245" s="834"/>
      <c r="O1245" s="848"/>
      <c r="P1245" s="23" t="s">
        <v>30</v>
      </c>
      <c r="Q1245" s="23">
        <v>45978</v>
      </c>
      <c r="R1245" s="79" t="s">
        <v>1638</v>
      </c>
      <c r="S1245" s="22" t="s">
        <v>32</v>
      </c>
      <c r="T1245" s="22">
        <v>18</v>
      </c>
      <c r="U1245" s="24" t="s">
        <v>1638</v>
      </c>
      <c r="V1245" s="23">
        <v>45978</v>
      </c>
      <c r="W1245" s="96" t="s">
        <v>30</v>
      </c>
      <c r="X1245" s="96" t="s">
        <v>30</v>
      </c>
      <c r="Y1245" s="96" t="s">
        <v>30</v>
      </c>
      <c r="Z1245" s="96" t="s">
        <v>30</v>
      </c>
      <c r="AA1245"/>
      <c r="AB1245" s="776"/>
      <c r="AC1245" s="776"/>
      <c r="AD1245" s="776"/>
      <c r="AE1245" s="776"/>
    </row>
    <row r="1246" spans="1:34">
      <c r="A1246" s="834" t="s">
        <v>24</v>
      </c>
      <c r="B1246" s="835">
        <v>1243</v>
      </c>
      <c r="C1246" s="838" t="s">
        <v>1922</v>
      </c>
      <c r="D1246" s="839" t="s">
        <v>34</v>
      </c>
      <c r="E1246" s="839">
        <v>45934</v>
      </c>
      <c r="F1246" s="838" t="s">
        <v>1923</v>
      </c>
      <c r="G1246" s="838">
        <v>14</v>
      </c>
      <c r="H1246" s="838" t="s">
        <v>1721</v>
      </c>
      <c r="I1246" s="838" t="s">
        <v>1638</v>
      </c>
      <c r="J1246" s="838"/>
      <c r="K1246" s="838"/>
      <c r="L1246" s="215"/>
      <c r="M1246" s="834"/>
      <c r="N1246" s="834"/>
      <c r="O1246" s="240"/>
      <c r="P1246" s="23" t="s">
        <v>30</v>
      </c>
      <c r="Q1246" s="23">
        <v>45989</v>
      </c>
      <c r="R1246" s="79" t="s">
        <v>127</v>
      </c>
      <c r="S1246" s="22" t="s">
        <v>32</v>
      </c>
      <c r="T1246" s="22">
        <v>14</v>
      </c>
      <c r="U1246" s="24" t="s">
        <v>127</v>
      </c>
      <c r="V1246" s="23">
        <v>45989</v>
      </c>
      <c r="W1246" s="96" t="s">
        <v>30</v>
      </c>
      <c r="X1246" s="96" t="s">
        <v>30</v>
      </c>
      <c r="Y1246" s="96" t="s">
        <v>30</v>
      </c>
      <c r="Z1246" s="96"/>
      <c r="AA1246"/>
    </row>
    <row r="1247" spans="1:34">
      <c r="A1247" s="834" t="s">
        <v>24</v>
      </c>
      <c r="B1247" s="835">
        <v>1244</v>
      </c>
      <c r="C1247" s="838" t="s">
        <v>1924</v>
      </c>
      <c r="D1247" s="839" t="s">
        <v>102</v>
      </c>
      <c r="E1247" s="839">
        <v>45934</v>
      </c>
      <c r="F1247" s="838" t="s">
        <v>1054</v>
      </c>
      <c r="G1247" s="838">
        <v>10</v>
      </c>
      <c r="H1247" s="838" t="s">
        <v>1725</v>
      </c>
      <c r="I1247" s="838" t="s">
        <v>47</v>
      </c>
      <c r="J1247" s="838"/>
      <c r="K1247" s="838"/>
      <c r="L1247" s="834"/>
      <c r="M1247" s="834"/>
      <c r="N1247" s="848"/>
      <c r="O1247" s="848"/>
      <c r="P1247" s="23" t="s">
        <v>30</v>
      </c>
      <c r="Q1247" s="23">
        <v>45979</v>
      </c>
      <c r="R1247" s="79" t="s">
        <v>47</v>
      </c>
      <c r="S1247" s="22" t="s">
        <v>32</v>
      </c>
      <c r="T1247" s="22">
        <v>10</v>
      </c>
      <c r="U1247" s="24" t="s">
        <v>47</v>
      </c>
      <c r="V1247" s="23">
        <v>45979</v>
      </c>
      <c r="W1247" s="96" t="s">
        <v>30</v>
      </c>
      <c r="X1247" s="96" t="s">
        <v>30</v>
      </c>
      <c r="Y1247" s="96" t="s">
        <v>30</v>
      </c>
      <c r="Z1247" s="96" t="s">
        <v>30</v>
      </c>
      <c r="AA1247"/>
      <c r="AB1247" s="776"/>
      <c r="AC1247" s="776"/>
      <c r="AD1247" s="776"/>
      <c r="AE1247" s="776"/>
    </row>
    <row r="1248" spans="1:34">
      <c r="A1248" s="834" t="s">
        <v>24</v>
      </c>
      <c r="B1248" s="835">
        <v>1245</v>
      </c>
      <c r="C1248" s="838" t="s">
        <v>1925</v>
      </c>
      <c r="D1248" s="839" t="s">
        <v>34</v>
      </c>
      <c r="E1248" s="839">
        <v>45934</v>
      </c>
      <c r="F1248" s="838" t="s">
        <v>1926</v>
      </c>
      <c r="G1248" s="838">
        <v>23</v>
      </c>
      <c r="H1248" s="838" t="s">
        <v>1077</v>
      </c>
      <c r="I1248" s="838" t="s">
        <v>1138</v>
      </c>
      <c r="J1248" s="98" t="s">
        <v>1927</v>
      </c>
      <c r="K1248" s="838"/>
      <c r="L1248" s="834"/>
      <c r="M1248" s="834"/>
      <c r="N1248" s="848"/>
      <c r="O1248" s="240"/>
      <c r="P1248" s="23" t="s">
        <v>30</v>
      </c>
      <c r="Q1248" s="23">
        <v>45985</v>
      </c>
      <c r="R1248" s="79" t="s">
        <v>28</v>
      </c>
      <c r="S1248" s="22" t="s">
        <v>30</v>
      </c>
      <c r="T1248" s="22">
        <v>2</v>
      </c>
      <c r="U1248" s="24" t="s">
        <v>28</v>
      </c>
      <c r="V1248" s="23">
        <v>45985</v>
      </c>
      <c r="W1248" s="96" t="s">
        <v>30</v>
      </c>
      <c r="X1248" s="96" t="s">
        <v>30</v>
      </c>
      <c r="Y1248" s="96" t="s">
        <v>30</v>
      </c>
      <c r="Z1248" s="96" t="s">
        <v>30</v>
      </c>
      <c r="AA1248"/>
      <c r="AB1248" s="776"/>
      <c r="AC1248" s="776"/>
      <c r="AD1248" s="776"/>
      <c r="AE1248" s="776"/>
    </row>
    <row r="1249" spans="1:31">
      <c r="A1249" s="834" t="s">
        <v>24</v>
      </c>
      <c r="B1249" s="835">
        <v>1246</v>
      </c>
      <c r="C1249" s="838" t="s">
        <v>1928</v>
      </c>
      <c r="D1249" s="839" t="s">
        <v>34</v>
      </c>
      <c r="E1249" s="839">
        <v>45934</v>
      </c>
      <c r="F1249" s="838" t="s">
        <v>1929</v>
      </c>
      <c r="G1249" s="838">
        <v>10</v>
      </c>
      <c r="H1249" s="838" t="s">
        <v>1077</v>
      </c>
      <c r="I1249" s="838" t="s">
        <v>1138</v>
      </c>
      <c r="J1249" s="838"/>
      <c r="K1249" s="838"/>
      <c r="L1249" s="834"/>
      <c r="M1249" s="834"/>
      <c r="N1249" s="848"/>
      <c r="O1249" s="848"/>
      <c r="P1249" s="23" t="s">
        <v>30</v>
      </c>
      <c r="Q1249" s="23">
        <v>45979</v>
      </c>
      <c r="R1249" s="79" t="s">
        <v>1138</v>
      </c>
      <c r="S1249" s="22" t="s">
        <v>32</v>
      </c>
      <c r="T1249" s="22">
        <v>10</v>
      </c>
      <c r="U1249" s="24" t="s">
        <v>1138</v>
      </c>
      <c r="V1249" s="23">
        <v>45979</v>
      </c>
      <c r="W1249" s="96" t="s">
        <v>30</v>
      </c>
      <c r="X1249" s="96" t="s">
        <v>30</v>
      </c>
      <c r="Y1249" s="96" t="s">
        <v>30</v>
      </c>
      <c r="Z1249" s="96" t="s">
        <v>30</v>
      </c>
      <c r="AA1249"/>
      <c r="AB1249" s="776"/>
      <c r="AC1249" s="776"/>
      <c r="AD1249" s="776"/>
      <c r="AE1249" s="776"/>
    </row>
    <row r="1250" spans="1:31">
      <c r="A1250" s="834" t="s">
        <v>24</v>
      </c>
      <c r="B1250" s="835">
        <v>1247</v>
      </c>
      <c r="C1250" s="838" t="s">
        <v>1930</v>
      </c>
      <c r="D1250" s="839" t="s">
        <v>83</v>
      </c>
      <c r="E1250" s="839">
        <v>45934</v>
      </c>
      <c r="F1250" s="838" t="s">
        <v>1749</v>
      </c>
      <c r="G1250" s="838">
        <v>22</v>
      </c>
      <c r="H1250" s="838" t="s">
        <v>1725</v>
      </c>
      <c r="I1250" s="838" t="s">
        <v>47</v>
      </c>
      <c r="J1250" s="98"/>
      <c r="K1250" s="838"/>
      <c r="L1250" s="834"/>
      <c r="M1250" s="834"/>
      <c r="N1250" s="848"/>
      <c r="O1250" s="848"/>
      <c r="P1250" s="23" t="s">
        <v>30</v>
      </c>
      <c r="Q1250" s="23">
        <v>45988</v>
      </c>
      <c r="R1250" s="79" t="s">
        <v>127</v>
      </c>
      <c r="S1250" s="22" t="s">
        <v>32</v>
      </c>
      <c r="T1250" s="22">
        <v>22</v>
      </c>
      <c r="U1250" s="24" t="s">
        <v>127</v>
      </c>
      <c r="V1250" s="23">
        <v>45988</v>
      </c>
      <c r="W1250" s="96" t="s">
        <v>30</v>
      </c>
      <c r="X1250" s="96" t="s">
        <v>30</v>
      </c>
      <c r="Y1250" s="96" t="s">
        <v>30</v>
      </c>
      <c r="Z1250" s="96" t="s">
        <v>30</v>
      </c>
      <c r="AA1250"/>
      <c r="AB1250" s="776"/>
      <c r="AC1250" s="776"/>
      <c r="AD1250" s="776"/>
      <c r="AE1250" s="776"/>
    </row>
    <row r="1251" spans="1:31">
      <c r="A1251" s="834" t="s">
        <v>24</v>
      </c>
      <c r="B1251" s="835">
        <v>1248</v>
      </c>
      <c r="C1251" s="838" t="s">
        <v>1931</v>
      </c>
      <c r="D1251" s="839" t="s">
        <v>43</v>
      </c>
      <c r="E1251" s="839">
        <v>45937</v>
      </c>
      <c r="F1251" s="838" t="s">
        <v>506</v>
      </c>
      <c r="G1251" s="838">
        <v>29</v>
      </c>
      <c r="H1251" s="838" t="s">
        <v>127</v>
      </c>
      <c r="I1251" s="838" t="s">
        <v>36</v>
      </c>
      <c r="J1251" s="838"/>
      <c r="K1251" s="838"/>
      <c r="L1251" s="834"/>
      <c r="M1251" s="834"/>
      <c r="N1251" s="90"/>
      <c r="O1251" s="240"/>
      <c r="P1251" s="23" t="s">
        <v>30</v>
      </c>
      <c r="Q1251" s="23">
        <v>45980</v>
      </c>
      <c r="R1251" s="79" t="s">
        <v>178</v>
      </c>
      <c r="S1251" s="22" t="s">
        <v>32</v>
      </c>
      <c r="T1251" s="22">
        <v>29</v>
      </c>
      <c r="U1251" s="24" t="s">
        <v>178</v>
      </c>
      <c r="V1251" s="23">
        <v>45980</v>
      </c>
      <c r="W1251" s="96" t="s">
        <v>30</v>
      </c>
      <c r="X1251" s="96" t="s">
        <v>30</v>
      </c>
      <c r="Y1251" s="96" t="s">
        <v>30</v>
      </c>
      <c r="Z1251" s="96" t="s">
        <v>30</v>
      </c>
      <c r="AA1251"/>
    </row>
    <row r="1252" spans="1:31">
      <c r="A1252" s="834" t="s">
        <v>24</v>
      </c>
      <c r="B1252" s="835">
        <v>1249</v>
      </c>
      <c r="C1252" s="838" t="s">
        <v>1932</v>
      </c>
      <c r="D1252" s="839" t="s">
        <v>374</v>
      </c>
      <c r="E1252" s="839">
        <v>45937</v>
      </c>
      <c r="F1252" s="838" t="s">
        <v>644</v>
      </c>
      <c r="G1252" s="838">
        <v>20</v>
      </c>
      <c r="H1252" s="838" t="s">
        <v>127</v>
      </c>
      <c r="I1252" s="838" t="s">
        <v>36</v>
      </c>
      <c r="J1252" s="98" t="s">
        <v>17</v>
      </c>
      <c r="K1252" s="838"/>
      <c r="L1252" s="241"/>
      <c r="M1252" s="834"/>
      <c r="N1252" s="90"/>
      <c r="O1252" s="848"/>
      <c r="P1252" s="23" t="s">
        <v>30</v>
      </c>
      <c r="Q1252" s="23">
        <v>45985</v>
      </c>
      <c r="R1252" s="79" t="s">
        <v>127</v>
      </c>
      <c r="S1252" s="22" t="s">
        <v>32</v>
      </c>
      <c r="T1252" s="22">
        <v>21</v>
      </c>
      <c r="U1252" s="24" t="s">
        <v>127</v>
      </c>
      <c r="V1252" s="23">
        <v>45985</v>
      </c>
      <c r="W1252" s="96" t="s">
        <v>30</v>
      </c>
      <c r="X1252" s="96" t="s">
        <v>30</v>
      </c>
      <c r="Y1252" s="96" t="s">
        <v>30</v>
      </c>
      <c r="Z1252" s="102"/>
      <c r="AA1252"/>
    </row>
    <row r="1253" spans="1:31">
      <c r="A1253" s="834" t="s">
        <v>24</v>
      </c>
      <c r="B1253" s="835">
        <v>1250</v>
      </c>
      <c r="C1253" s="838" t="s">
        <v>1933</v>
      </c>
      <c r="D1253" s="839" t="s">
        <v>64</v>
      </c>
      <c r="E1253" s="839">
        <v>45937</v>
      </c>
      <c r="F1253" s="838" t="s">
        <v>181</v>
      </c>
      <c r="G1253" s="838">
        <v>11</v>
      </c>
      <c r="H1253" s="838" t="s">
        <v>1077</v>
      </c>
      <c r="I1253" s="838" t="s">
        <v>1138</v>
      </c>
      <c r="J1253" s="838"/>
      <c r="K1253" s="838"/>
      <c r="L1253" s="834"/>
      <c r="M1253" s="834"/>
      <c r="N1253" s="848"/>
      <c r="O1253" s="848"/>
      <c r="P1253" s="23" t="s">
        <v>30</v>
      </c>
      <c r="Q1253" s="23">
        <v>45973</v>
      </c>
      <c r="R1253" s="79" t="s">
        <v>1138</v>
      </c>
      <c r="S1253" s="22" t="s">
        <v>32</v>
      </c>
      <c r="T1253" s="22">
        <v>12</v>
      </c>
      <c r="U1253" s="24" t="s">
        <v>1138</v>
      </c>
      <c r="V1253" s="23">
        <v>45973</v>
      </c>
      <c r="W1253" s="96" t="s">
        <v>30</v>
      </c>
      <c r="X1253" s="96" t="s">
        <v>30</v>
      </c>
      <c r="Y1253" s="96" t="s">
        <v>30</v>
      </c>
      <c r="Z1253" s="96" t="s">
        <v>30</v>
      </c>
      <c r="AA1253"/>
    </row>
    <row r="1254" spans="1:31">
      <c r="A1254" s="834" t="s">
        <v>24</v>
      </c>
      <c r="B1254" s="835">
        <v>1251</v>
      </c>
      <c r="C1254" s="838" t="s">
        <v>1934</v>
      </c>
      <c r="D1254" s="839" t="s">
        <v>43</v>
      </c>
      <c r="E1254" s="839">
        <v>45938</v>
      </c>
      <c r="F1254" s="838" t="s">
        <v>412</v>
      </c>
      <c r="G1254" s="838">
        <v>9</v>
      </c>
      <c r="H1254" s="838" t="s">
        <v>1077</v>
      </c>
      <c r="I1254" s="838" t="s">
        <v>1138</v>
      </c>
      <c r="J1254" s="838"/>
      <c r="K1254" s="838"/>
      <c r="L1254" s="834"/>
      <c r="M1254" s="834"/>
      <c r="N1254" s="90"/>
      <c r="O1254" s="240"/>
      <c r="P1254" s="23" t="s">
        <v>30</v>
      </c>
      <c r="Q1254" s="23">
        <v>45988</v>
      </c>
      <c r="R1254" s="79" t="s">
        <v>1138</v>
      </c>
      <c r="S1254" s="22" t="s">
        <v>1140</v>
      </c>
      <c r="T1254" s="22">
        <v>11</v>
      </c>
      <c r="U1254" s="24" t="s">
        <v>1138</v>
      </c>
      <c r="V1254" s="23">
        <v>45988</v>
      </c>
      <c r="W1254" s="91" t="s">
        <v>32</v>
      </c>
      <c r="X1254" s="91"/>
      <c r="Y1254" s="96" t="s">
        <v>30</v>
      </c>
      <c r="Z1254" s="102" t="s">
        <v>30</v>
      </c>
      <c r="AA1254"/>
    </row>
    <row r="1255" spans="1:31">
      <c r="A1255" s="834" t="s">
        <v>24</v>
      </c>
      <c r="B1255" s="835">
        <v>1252</v>
      </c>
      <c r="C1255" s="838" t="s">
        <v>1935</v>
      </c>
      <c r="D1255" s="838" t="s">
        <v>43</v>
      </c>
      <c r="E1255" s="839">
        <v>45939</v>
      </c>
      <c r="F1255" s="838" t="s">
        <v>1105</v>
      </c>
      <c r="G1255" s="838">
        <v>16</v>
      </c>
      <c r="H1255" s="851" t="s">
        <v>127</v>
      </c>
      <c r="I1255" s="851" t="s">
        <v>36</v>
      </c>
      <c r="J1255" s="840"/>
      <c r="K1255" s="838"/>
      <c r="L1255" s="834"/>
      <c r="M1255" s="834"/>
      <c r="N1255" s="90"/>
      <c r="O1255" s="848"/>
      <c r="P1255" s="23" t="s">
        <v>30</v>
      </c>
      <c r="Q1255" s="23">
        <v>45985</v>
      </c>
      <c r="R1255" s="79" t="s">
        <v>127</v>
      </c>
      <c r="S1255" s="22" t="s">
        <v>1140</v>
      </c>
      <c r="T1255" s="22">
        <v>18</v>
      </c>
      <c r="U1255" s="24" t="s">
        <v>127</v>
      </c>
      <c r="V1255" s="23">
        <v>45985</v>
      </c>
      <c r="W1255" s="96" t="s">
        <v>30</v>
      </c>
      <c r="X1255" s="96" t="s">
        <v>30</v>
      </c>
      <c r="Y1255" s="96" t="s">
        <v>30</v>
      </c>
      <c r="Z1255" s="96" t="s">
        <v>30</v>
      </c>
      <c r="AA1255"/>
    </row>
    <row r="1256" spans="1:31">
      <c r="A1256" s="834" t="s">
        <v>24</v>
      </c>
      <c r="B1256" s="835">
        <v>1253</v>
      </c>
      <c r="C1256" s="838" t="s">
        <v>1936</v>
      </c>
      <c r="D1256" s="838" t="s">
        <v>1937</v>
      </c>
      <c r="E1256" s="839">
        <v>45940</v>
      </c>
      <c r="F1256" s="838" t="s">
        <v>167</v>
      </c>
      <c r="G1256" s="838">
        <v>10</v>
      </c>
      <c r="H1256" s="838" t="s">
        <v>127</v>
      </c>
      <c r="I1256" s="838" t="s">
        <v>36</v>
      </c>
      <c r="J1256" s="834" t="s">
        <v>1938</v>
      </c>
      <c r="K1256" s="838"/>
      <c r="L1256" s="834"/>
      <c r="M1256" s="834"/>
      <c r="N1256" s="848"/>
      <c r="O1256" s="240"/>
      <c r="P1256" s="23"/>
      <c r="Q1256" s="23"/>
      <c r="R1256" s="79" t="s">
        <v>178</v>
      </c>
      <c r="S1256" s="22"/>
      <c r="T1256" s="22"/>
      <c r="U1256" s="24" t="s">
        <v>178</v>
      </c>
      <c r="V1256" s="23"/>
      <c r="W1256" s="80" t="s">
        <v>113</v>
      </c>
      <c r="X1256" s="96" t="s">
        <v>30</v>
      </c>
      <c r="Y1256" s="96" t="s">
        <v>30</v>
      </c>
      <c r="Z1256" s="102"/>
      <c r="AA1256"/>
    </row>
    <row r="1257" spans="1:31">
      <c r="A1257" s="834" t="s">
        <v>24</v>
      </c>
      <c r="B1257" s="835">
        <v>1254</v>
      </c>
      <c r="C1257" s="838" t="s">
        <v>1939</v>
      </c>
      <c r="D1257" s="838" t="s">
        <v>43</v>
      </c>
      <c r="E1257" s="839">
        <v>45940</v>
      </c>
      <c r="F1257" s="838" t="s">
        <v>731</v>
      </c>
      <c r="G1257" s="838">
        <v>15</v>
      </c>
      <c r="H1257" s="838" t="s">
        <v>1721</v>
      </c>
      <c r="I1257" s="838" t="s">
        <v>1638</v>
      </c>
      <c r="J1257" s="838"/>
      <c r="K1257" s="838"/>
      <c r="L1257" s="834"/>
      <c r="M1257" s="22"/>
      <c r="N1257" s="23"/>
      <c r="O1257" s="848"/>
      <c r="P1257" s="23" t="s">
        <v>30</v>
      </c>
      <c r="Q1257" s="23">
        <v>45987</v>
      </c>
      <c r="R1257" s="79" t="s">
        <v>1638</v>
      </c>
      <c r="S1257" s="22" t="s">
        <v>32</v>
      </c>
      <c r="T1257" s="22">
        <v>16</v>
      </c>
      <c r="U1257" s="24" t="s">
        <v>1638</v>
      </c>
      <c r="V1257" s="23">
        <v>45987</v>
      </c>
      <c r="W1257" s="96" t="s">
        <v>30</v>
      </c>
      <c r="X1257" s="96" t="s">
        <v>30</v>
      </c>
      <c r="Y1257" s="96" t="s">
        <v>30</v>
      </c>
      <c r="Z1257" s="96" t="s">
        <v>30</v>
      </c>
      <c r="AA1257"/>
    </row>
    <row r="1258" spans="1:31">
      <c r="A1258" s="834" t="s">
        <v>24</v>
      </c>
      <c r="B1258" s="835">
        <v>1255</v>
      </c>
      <c r="C1258" s="838" t="s">
        <v>1940</v>
      </c>
      <c r="D1258" s="838" t="s">
        <v>34</v>
      </c>
      <c r="E1258" s="839">
        <v>45941</v>
      </c>
      <c r="F1258" s="838" t="s">
        <v>106</v>
      </c>
      <c r="G1258" s="838">
        <v>13</v>
      </c>
      <c r="H1258" s="838" t="s">
        <v>127</v>
      </c>
      <c r="I1258" s="838" t="s">
        <v>36</v>
      </c>
      <c r="J1258" s="838"/>
      <c r="K1258" s="838"/>
      <c r="L1258" s="241"/>
      <c r="M1258" s="22"/>
      <c r="N1258" s="23"/>
      <c r="O1258" s="240"/>
      <c r="P1258" s="848" t="s">
        <v>30</v>
      </c>
      <c r="Q1258" s="23">
        <v>45985</v>
      </c>
      <c r="R1258" s="79" t="s">
        <v>127</v>
      </c>
      <c r="S1258" s="22" t="s">
        <v>32</v>
      </c>
      <c r="T1258" s="22">
        <v>13</v>
      </c>
      <c r="U1258" s="24" t="s">
        <v>127</v>
      </c>
      <c r="V1258" s="23">
        <v>45985</v>
      </c>
      <c r="W1258" s="96" t="s">
        <v>30</v>
      </c>
      <c r="X1258" s="96" t="s">
        <v>30</v>
      </c>
      <c r="Y1258" s="96" t="s">
        <v>30</v>
      </c>
      <c r="Z1258" s="96" t="s">
        <v>30</v>
      </c>
      <c r="AA1258"/>
      <c r="AB1258" s="776"/>
      <c r="AC1258" s="776"/>
      <c r="AD1258" s="776"/>
      <c r="AE1258" s="776"/>
    </row>
    <row r="1259" spans="1:31">
      <c r="A1259" s="834" t="s">
        <v>24</v>
      </c>
      <c r="B1259" s="835">
        <v>1256</v>
      </c>
      <c r="C1259" s="838" t="s">
        <v>1941</v>
      </c>
      <c r="D1259" s="838" t="s">
        <v>43</v>
      </c>
      <c r="E1259" s="839">
        <v>45941</v>
      </c>
      <c r="F1259" s="838" t="s">
        <v>97</v>
      </c>
      <c r="G1259" s="838">
        <v>14</v>
      </c>
      <c r="H1259" s="838" t="s">
        <v>127</v>
      </c>
      <c r="I1259" s="838" t="s">
        <v>36</v>
      </c>
      <c r="J1259" s="838"/>
      <c r="K1259" s="838"/>
      <c r="L1259" s="834"/>
      <c r="M1259" s="22"/>
      <c r="N1259" s="23"/>
      <c r="O1259" s="848"/>
      <c r="P1259" s="23" t="s">
        <v>30</v>
      </c>
      <c r="Q1259" s="23">
        <v>45985</v>
      </c>
      <c r="R1259" s="79" t="s">
        <v>127</v>
      </c>
      <c r="S1259" s="22" t="s">
        <v>32</v>
      </c>
      <c r="T1259" s="22">
        <v>17</v>
      </c>
      <c r="U1259" s="24" t="s">
        <v>127</v>
      </c>
      <c r="V1259" s="23">
        <v>45985</v>
      </c>
      <c r="W1259" s="96" t="s">
        <v>30</v>
      </c>
      <c r="X1259" s="96" t="s">
        <v>30</v>
      </c>
      <c r="Y1259" s="96" t="s">
        <v>30</v>
      </c>
      <c r="Z1259" s="96" t="s">
        <v>30</v>
      </c>
      <c r="AA1259"/>
      <c r="AB1259" s="776"/>
      <c r="AC1259" s="776"/>
      <c r="AD1259" s="776"/>
      <c r="AE1259" s="776"/>
    </row>
    <row r="1260" spans="1:31">
      <c r="A1260" s="834" t="s">
        <v>24</v>
      </c>
      <c r="B1260" s="835">
        <v>1257</v>
      </c>
      <c r="C1260" s="838" t="s">
        <v>1942</v>
      </c>
      <c r="D1260" s="838" t="s">
        <v>34</v>
      </c>
      <c r="E1260" s="839">
        <v>45941</v>
      </c>
      <c r="F1260" s="838" t="s">
        <v>1943</v>
      </c>
      <c r="G1260" s="838">
        <v>12</v>
      </c>
      <c r="H1260" s="838" t="s">
        <v>127</v>
      </c>
      <c r="I1260" s="838" t="s">
        <v>36</v>
      </c>
      <c r="J1260" s="98"/>
      <c r="K1260" s="838"/>
      <c r="L1260" s="834"/>
      <c r="M1260" s="22"/>
      <c r="N1260" s="23"/>
      <c r="O1260" s="848"/>
      <c r="P1260" s="23" t="s">
        <v>30</v>
      </c>
      <c r="Q1260" s="23">
        <v>45985</v>
      </c>
      <c r="R1260" s="79" t="s">
        <v>127</v>
      </c>
      <c r="S1260" s="22" t="s">
        <v>32</v>
      </c>
      <c r="T1260" s="22">
        <v>12</v>
      </c>
      <c r="U1260" s="24" t="s">
        <v>127</v>
      </c>
      <c r="V1260" s="23">
        <v>45985</v>
      </c>
      <c r="W1260" s="96" t="s">
        <v>30</v>
      </c>
      <c r="X1260" s="80" t="s">
        <v>30</v>
      </c>
      <c r="Y1260" s="96" t="s">
        <v>30</v>
      </c>
      <c r="Z1260" s="96" t="s">
        <v>30</v>
      </c>
      <c r="AA1260"/>
      <c r="AB1260" s="776"/>
      <c r="AC1260" s="776"/>
      <c r="AD1260" s="776"/>
      <c r="AE1260" s="776"/>
    </row>
    <row r="1261" spans="1:31">
      <c r="A1261" s="834" t="s">
        <v>24</v>
      </c>
      <c r="B1261" s="835">
        <v>1258</v>
      </c>
      <c r="C1261" s="838" t="s">
        <v>1944</v>
      </c>
      <c r="D1261" s="838" t="s">
        <v>34</v>
      </c>
      <c r="E1261" s="839">
        <v>45941</v>
      </c>
      <c r="F1261" s="838" t="s">
        <v>1945</v>
      </c>
      <c r="G1261" s="838">
        <v>15</v>
      </c>
      <c r="H1261" s="838" t="s">
        <v>1721</v>
      </c>
      <c r="I1261" s="838" t="s">
        <v>1638</v>
      </c>
      <c r="J1261" s="838"/>
      <c r="K1261" s="838"/>
      <c r="L1261" s="241"/>
      <c r="M1261" s="22"/>
      <c r="N1261" s="23"/>
      <c r="O1261" s="848"/>
      <c r="P1261" s="23" t="s">
        <v>30</v>
      </c>
      <c r="Q1261" s="23">
        <v>45986</v>
      </c>
      <c r="R1261" s="79" t="s">
        <v>1638</v>
      </c>
      <c r="S1261" s="22" t="s">
        <v>32</v>
      </c>
      <c r="T1261" s="22">
        <v>15</v>
      </c>
      <c r="U1261" s="24" t="s">
        <v>1638</v>
      </c>
      <c r="V1261" s="23">
        <v>45986</v>
      </c>
      <c r="W1261" s="96" t="s">
        <v>30</v>
      </c>
      <c r="X1261" s="96" t="s">
        <v>30</v>
      </c>
      <c r="Y1261" s="96" t="s">
        <v>30</v>
      </c>
      <c r="Z1261" s="96" t="s">
        <v>30</v>
      </c>
      <c r="AA1261"/>
    </row>
    <row r="1262" spans="1:31">
      <c r="A1262" s="834" t="s">
        <v>24</v>
      </c>
      <c r="B1262" s="835">
        <v>1259</v>
      </c>
      <c r="C1262" s="838" t="s">
        <v>1946</v>
      </c>
      <c r="D1262" s="838" t="s">
        <v>102</v>
      </c>
      <c r="E1262" s="839">
        <v>45941</v>
      </c>
      <c r="F1262" s="838" t="s">
        <v>187</v>
      </c>
      <c r="G1262" s="838">
        <v>13</v>
      </c>
      <c r="H1262" s="838" t="s">
        <v>1725</v>
      </c>
      <c r="I1262" s="838" t="s">
        <v>47</v>
      </c>
      <c r="J1262" s="838"/>
      <c r="K1262" s="838"/>
      <c r="L1262" s="89"/>
      <c r="M1262" s="22"/>
      <c r="N1262" s="23"/>
      <c r="O1262" s="848"/>
      <c r="P1262" s="23" t="s">
        <v>30</v>
      </c>
      <c r="Q1262" s="23">
        <v>45980</v>
      </c>
      <c r="R1262" s="79" t="s">
        <v>47</v>
      </c>
      <c r="S1262" s="22" t="s">
        <v>32</v>
      </c>
      <c r="T1262" s="22">
        <v>12</v>
      </c>
      <c r="U1262" s="24" t="s">
        <v>47</v>
      </c>
      <c r="V1262" s="23">
        <v>45980</v>
      </c>
      <c r="W1262" s="96" t="s">
        <v>30</v>
      </c>
      <c r="X1262" s="96" t="s">
        <v>30</v>
      </c>
      <c r="Y1262" s="96" t="s">
        <v>30</v>
      </c>
      <c r="Z1262" s="96" t="s">
        <v>30</v>
      </c>
      <c r="AA1262"/>
    </row>
    <row r="1263" spans="1:31">
      <c r="A1263" s="834" t="s">
        <v>24</v>
      </c>
      <c r="B1263" s="835">
        <v>1260</v>
      </c>
      <c r="C1263" s="838" t="s">
        <v>1947</v>
      </c>
      <c r="D1263" s="838" t="s">
        <v>102</v>
      </c>
      <c r="E1263" s="839">
        <v>45941</v>
      </c>
      <c r="F1263" s="838" t="s">
        <v>380</v>
      </c>
      <c r="G1263" s="838">
        <v>13</v>
      </c>
      <c r="H1263" s="838" t="s">
        <v>1725</v>
      </c>
      <c r="I1263" s="838" t="s">
        <v>47</v>
      </c>
      <c r="J1263" s="98"/>
      <c r="K1263" s="838"/>
      <c r="L1263" s="214"/>
      <c r="M1263" s="838"/>
      <c r="N1263" s="838"/>
      <c r="O1263" s="838"/>
      <c r="P1263" s="23" t="s">
        <v>30</v>
      </c>
      <c r="Q1263" s="23">
        <v>45982</v>
      </c>
      <c r="R1263" s="79" t="s">
        <v>47</v>
      </c>
      <c r="S1263" s="22" t="s">
        <v>32</v>
      </c>
      <c r="T1263" s="22">
        <v>13</v>
      </c>
      <c r="U1263" s="24" t="s">
        <v>47</v>
      </c>
      <c r="V1263" s="23">
        <v>45982</v>
      </c>
      <c r="W1263" s="80" t="s">
        <v>30</v>
      </c>
      <c r="X1263" s="96" t="s">
        <v>30</v>
      </c>
      <c r="Y1263" s="96" t="s">
        <v>30</v>
      </c>
      <c r="Z1263" s="96" t="s">
        <v>30</v>
      </c>
      <c r="AA1263"/>
    </row>
    <row r="1264" spans="1:31">
      <c r="A1264" s="834" t="s">
        <v>24</v>
      </c>
      <c r="B1264" s="835">
        <v>1261</v>
      </c>
      <c r="C1264" s="838" t="s">
        <v>1948</v>
      </c>
      <c r="D1264" s="838" t="s">
        <v>1617</v>
      </c>
      <c r="E1264" s="839">
        <v>45941</v>
      </c>
      <c r="F1264" s="838" t="s">
        <v>1135</v>
      </c>
      <c r="G1264" s="838">
        <v>12</v>
      </c>
      <c r="H1264" s="838" t="s">
        <v>1725</v>
      </c>
      <c r="I1264" s="838" t="s">
        <v>47</v>
      </c>
      <c r="J1264" s="98" t="s">
        <v>1949</v>
      </c>
      <c r="K1264" s="838"/>
      <c r="L1264" s="241"/>
      <c r="M1264" s="22"/>
      <c r="N1264" s="23"/>
      <c r="O1264" s="240"/>
      <c r="P1264" s="23"/>
      <c r="Q1264" s="23"/>
      <c r="R1264" s="79" t="s">
        <v>47</v>
      </c>
      <c r="S1264" s="22"/>
      <c r="T1264" s="22"/>
      <c r="U1264" s="24"/>
      <c r="V1264" s="23"/>
      <c r="W1264" s="91" t="s">
        <v>32</v>
      </c>
      <c r="X1264" s="80"/>
      <c r="Y1264" s="96" t="s">
        <v>32</v>
      </c>
      <c r="Z1264" s="102"/>
      <c r="AA1264"/>
    </row>
    <row r="1265" spans="1:34">
      <c r="A1265" s="834" t="s">
        <v>24</v>
      </c>
      <c r="B1265" s="835">
        <v>1262</v>
      </c>
      <c r="C1265" s="838" t="s">
        <v>1950</v>
      </c>
      <c r="D1265" s="838" t="s">
        <v>178</v>
      </c>
      <c r="E1265" s="839">
        <v>45941</v>
      </c>
      <c r="F1265" s="838" t="s">
        <v>324</v>
      </c>
      <c r="G1265" s="838">
        <v>10</v>
      </c>
      <c r="H1265" s="838" t="s">
        <v>1725</v>
      </c>
      <c r="I1265" s="838" t="s">
        <v>47</v>
      </c>
      <c r="J1265" s="838"/>
      <c r="K1265" s="838"/>
      <c r="L1265" s="834"/>
      <c r="M1265" s="22"/>
      <c r="N1265" s="23"/>
      <c r="O1265" s="848"/>
      <c r="P1265" s="23" t="s">
        <v>30</v>
      </c>
      <c r="Q1265" s="23">
        <v>45986</v>
      </c>
      <c r="R1265" s="79" t="s">
        <v>47</v>
      </c>
      <c r="S1265" s="22" t="s">
        <v>32</v>
      </c>
      <c r="T1265" s="22">
        <v>11</v>
      </c>
      <c r="U1265" s="24" t="s">
        <v>47</v>
      </c>
      <c r="V1265" s="23">
        <v>45986</v>
      </c>
      <c r="W1265" s="80" t="s">
        <v>30</v>
      </c>
      <c r="X1265" s="80" t="s">
        <v>30</v>
      </c>
      <c r="Y1265" s="80" t="s">
        <v>30</v>
      </c>
      <c r="Z1265" s="96" t="s">
        <v>30</v>
      </c>
      <c r="AA1265"/>
    </row>
    <row r="1266" spans="1:34">
      <c r="A1266" s="834" t="s">
        <v>24</v>
      </c>
      <c r="B1266" s="835">
        <v>1263</v>
      </c>
      <c r="C1266" s="838" t="s">
        <v>1951</v>
      </c>
      <c r="D1266" s="838" t="s">
        <v>1617</v>
      </c>
      <c r="E1266" s="839">
        <v>45941</v>
      </c>
      <c r="F1266" s="838" t="s">
        <v>1952</v>
      </c>
      <c r="G1266" s="838">
        <v>13</v>
      </c>
      <c r="H1266" s="838" t="s">
        <v>1725</v>
      </c>
      <c r="I1266" s="838" t="s">
        <v>47</v>
      </c>
      <c r="J1266" s="98"/>
      <c r="K1266" s="838"/>
      <c r="L1266" s="21"/>
      <c r="M1266" s="22"/>
      <c r="N1266" s="23"/>
      <c r="O1266" s="848"/>
      <c r="P1266" s="848" t="s">
        <v>30</v>
      </c>
      <c r="Q1266" s="23">
        <v>45986</v>
      </c>
      <c r="R1266" s="79" t="s">
        <v>28</v>
      </c>
      <c r="S1266" s="22" t="s">
        <v>32</v>
      </c>
      <c r="T1266" s="22">
        <v>13</v>
      </c>
      <c r="U1266" s="24" t="s">
        <v>28</v>
      </c>
      <c r="V1266" s="23">
        <v>45986</v>
      </c>
      <c r="W1266" s="80" t="s">
        <v>30</v>
      </c>
      <c r="X1266" s="80" t="s">
        <v>30</v>
      </c>
      <c r="Y1266" s="80" t="s">
        <v>30</v>
      </c>
      <c r="Z1266" s="80" t="s">
        <v>30</v>
      </c>
      <c r="AA1266"/>
    </row>
    <row r="1267" spans="1:34">
      <c r="A1267" s="834" t="s">
        <v>24</v>
      </c>
      <c r="B1267" s="835">
        <v>1264</v>
      </c>
      <c r="C1267" s="838" t="s">
        <v>1953</v>
      </c>
      <c r="D1267" s="838" t="s">
        <v>34</v>
      </c>
      <c r="E1267" s="839">
        <v>45941</v>
      </c>
      <c r="F1267" s="838" t="s">
        <v>641</v>
      </c>
      <c r="G1267" s="838">
        <v>12</v>
      </c>
      <c r="H1267" s="838" t="s">
        <v>1077</v>
      </c>
      <c r="I1267" s="838" t="s">
        <v>1138</v>
      </c>
      <c r="J1267" s="838"/>
      <c r="K1267" s="838"/>
      <c r="L1267" s="241"/>
      <c r="M1267" s="22"/>
      <c r="N1267" s="23"/>
      <c r="O1267" s="848"/>
      <c r="P1267" s="848" t="s">
        <v>30</v>
      </c>
      <c r="Q1267" s="23">
        <v>45981</v>
      </c>
      <c r="R1267" s="79" t="s">
        <v>1138</v>
      </c>
      <c r="S1267" s="22" t="s">
        <v>32</v>
      </c>
      <c r="T1267" s="22">
        <v>9</v>
      </c>
      <c r="U1267" s="24" t="s">
        <v>1138</v>
      </c>
      <c r="V1267" s="23">
        <v>45981</v>
      </c>
      <c r="W1267" s="96" t="s">
        <v>30</v>
      </c>
      <c r="X1267" s="96" t="s">
        <v>30</v>
      </c>
      <c r="Y1267" s="96" t="s">
        <v>30</v>
      </c>
      <c r="Z1267" s="96" t="s">
        <v>30</v>
      </c>
      <c r="AA1267"/>
    </row>
    <row r="1268" spans="1:34">
      <c r="A1268" s="834" t="s">
        <v>24</v>
      </c>
      <c r="B1268" s="835">
        <v>1265</v>
      </c>
      <c r="C1268" s="838" t="s">
        <v>1954</v>
      </c>
      <c r="D1268" s="838" t="s">
        <v>34</v>
      </c>
      <c r="E1268" s="839">
        <v>45941</v>
      </c>
      <c r="F1268" s="838" t="s">
        <v>194</v>
      </c>
      <c r="G1268" s="838">
        <v>15</v>
      </c>
      <c r="H1268" s="838" t="s">
        <v>1721</v>
      </c>
      <c r="I1268" s="838" t="s">
        <v>1638</v>
      </c>
      <c r="J1268" s="838"/>
      <c r="K1268" s="838"/>
      <c r="L1268" s="21"/>
      <c r="M1268" s="22"/>
      <c r="N1268" s="23"/>
      <c r="O1268" s="848"/>
      <c r="P1268" s="848" t="s">
        <v>30</v>
      </c>
      <c r="Q1268" s="23">
        <v>45989</v>
      </c>
      <c r="R1268" s="79" t="s">
        <v>1077</v>
      </c>
      <c r="S1268" s="22" t="s">
        <v>32</v>
      </c>
      <c r="T1268" s="22">
        <v>14</v>
      </c>
      <c r="U1268" s="24" t="s">
        <v>1077</v>
      </c>
      <c r="V1268" s="23">
        <v>45989</v>
      </c>
      <c r="W1268" s="96" t="s">
        <v>30</v>
      </c>
      <c r="X1268" s="96" t="s">
        <v>30</v>
      </c>
      <c r="Y1268" s="96" t="s">
        <v>30</v>
      </c>
      <c r="Z1268" s="96" t="s">
        <v>30</v>
      </c>
      <c r="AA1268"/>
    </row>
    <row r="1269" spans="1:34">
      <c r="A1269" s="834" t="s">
        <v>24</v>
      </c>
      <c r="B1269" s="835">
        <v>1266</v>
      </c>
      <c r="C1269" s="838" t="s">
        <v>1955</v>
      </c>
      <c r="D1269" s="838" t="s">
        <v>64</v>
      </c>
      <c r="E1269" s="839">
        <v>45941</v>
      </c>
      <c r="F1269" s="838" t="s">
        <v>1923</v>
      </c>
      <c r="G1269" s="838">
        <v>13</v>
      </c>
      <c r="H1269" s="838" t="s">
        <v>1721</v>
      </c>
      <c r="I1269" s="838" t="s">
        <v>1638</v>
      </c>
      <c r="J1269" s="838"/>
      <c r="K1269" s="838"/>
      <c r="L1269" s="838"/>
      <c r="M1269" s="22"/>
      <c r="N1269" s="23"/>
      <c r="O1269" s="848"/>
      <c r="P1269" s="23" t="s">
        <v>30</v>
      </c>
      <c r="Q1269" s="23">
        <v>45988</v>
      </c>
      <c r="R1269" s="79" t="s">
        <v>48</v>
      </c>
      <c r="S1269" s="22" t="s">
        <v>32</v>
      </c>
      <c r="T1269" s="22">
        <v>13</v>
      </c>
      <c r="U1269" s="24" t="s">
        <v>48</v>
      </c>
      <c r="V1269" s="23">
        <v>45988</v>
      </c>
      <c r="W1269" s="96" t="s">
        <v>30</v>
      </c>
      <c r="X1269" s="96" t="s">
        <v>30</v>
      </c>
      <c r="Y1269" s="96" t="s">
        <v>30</v>
      </c>
      <c r="Z1269" s="96" t="s">
        <v>30</v>
      </c>
      <c r="AA1269"/>
      <c r="AB1269" s="776"/>
      <c r="AC1269" s="776"/>
      <c r="AD1269" s="776"/>
      <c r="AE1269" s="776"/>
    </row>
    <row r="1270" spans="1:34">
      <c r="A1270" s="834" t="s">
        <v>24</v>
      </c>
      <c r="B1270" s="835">
        <v>1267</v>
      </c>
      <c r="C1270" s="838" t="s">
        <v>1956</v>
      </c>
      <c r="D1270" s="838" t="s">
        <v>34</v>
      </c>
      <c r="E1270" s="839">
        <v>45943</v>
      </c>
      <c r="F1270" s="838" t="s">
        <v>106</v>
      </c>
      <c r="G1270" s="838">
        <v>15</v>
      </c>
      <c r="H1270" s="838" t="s">
        <v>1721</v>
      </c>
      <c r="I1270" s="838" t="s">
        <v>1638</v>
      </c>
      <c r="J1270" s="838"/>
      <c r="K1270" s="838"/>
      <c r="L1270" s="214"/>
      <c r="M1270" s="22"/>
      <c r="N1270" s="23"/>
      <c r="O1270" s="848"/>
      <c r="P1270" s="23" t="s">
        <v>30</v>
      </c>
      <c r="Q1270" s="23">
        <v>45987</v>
      </c>
      <c r="R1270" s="79" t="s">
        <v>1638</v>
      </c>
      <c r="S1270" s="22" t="s">
        <v>32</v>
      </c>
      <c r="T1270" s="22">
        <v>7</v>
      </c>
      <c r="U1270" s="24" t="s">
        <v>1638</v>
      </c>
      <c r="V1270" s="23">
        <v>45987</v>
      </c>
      <c r="W1270" s="96" t="s">
        <v>30</v>
      </c>
      <c r="X1270" s="96" t="s">
        <v>30</v>
      </c>
      <c r="Y1270" s="80" t="s">
        <v>30</v>
      </c>
      <c r="Z1270" s="96" t="s">
        <v>30</v>
      </c>
      <c r="AA1270"/>
      <c r="AB1270" s="776"/>
      <c r="AC1270" s="776"/>
      <c r="AD1270" s="776"/>
      <c r="AE1270" s="776"/>
    </row>
    <row r="1271" spans="1:34">
      <c r="A1271" s="834" t="s">
        <v>24</v>
      </c>
      <c r="B1271" s="835">
        <v>1268</v>
      </c>
      <c r="C1271" s="838" t="s">
        <v>1957</v>
      </c>
      <c r="D1271" s="838" t="s">
        <v>50</v>
      </c>
      <c r="E1271" s="839">
        <v>45944</v>
      </c>
      <c r="F1271" s="838" t="s">
        <v>644</v>
      </c>
      <c r="G1271" s="838">
        <v>14</v>
      </c>
      <c r="H1271" s="838" t="s">
        <v>127</v>
      </c>
      <c r="I1271" s="838" t="s">
        <v>36</v>
      </c>
      <c r="J1271" s="838"/>
      <c r="K1271" s="838"/>
      <c r="L1271" s="214"/>
      <c r="M1271" s="22"/>
      <c r="N1271" s="23"/>
      <c r="O1271" s="848"/>
      <c r="P1271" s="23" t="s">
        <v>30</v>
      </c>
      <c r="Q1271" s="23">
        <v>45985</v>
      </c>
      <c r="R1271" s="79" t="s">
        <v>127</v>
      </c>
      <c r="S1271" s="22" t="s">
        <v>32</v>
      </c>
      <c r="T1271" s="22">
        <v>12</v>
      </c>
      <c r="U1271" s="24" t="s">
        <v>127</v>
      </c>
      <c r="V1271" s="23">
        <v>45985</v>
      </c>
      <c r="W1271" s="80" t="s">
        <v>30</v>
      </c>
      <c r="X1271" s="80" t="s">
        <v>30</v>
      </c>
      <c r="Y1271" s="80" t="s">
        <v>30</v>
      </c>
      <c r="Z1271" s="80" t="s">
        <v>30</v>
      </c>
      <c r="AA1271"/>
      <c r="AF1271" s="71"/>
      <c r="AG1271" s="92"/>
      <c r="AH1271" s="92"/>
    </row>
    <row r="1272" spans="1:34">
      <c r="A1272" s="834" t="s">
        <v>24</v>
      </c>
      <c r="B1272" s="835">
        <v>1269</v>
      </c>
      <c r="C1272" s="838" t="s">
        <v>1958</v>
      </c>
      <c r="D1272" s="838" t="s">
        <v>102</v>
      </c>
      <c r="E1272" s="839">
        <v>45944</v>
      </c>
      <c r="F1272" s="838" t="s">
        <v>412</v>
      </c>
      <c r="G1272" s="838">
        <v>12</v>
      </c>
      <c r="H1272" s="838" t="s">
        <v>1077</v>
      </c>
      <c r="I1272" s="838" t="s">
        <v>1138</v>
      </c>
      <c r="J1272" s="838"/>
      <c r="K1272" s="838"/>
      <c r="L1272" s="214"/>
      <c r="M1272" s="22"/>
      <c r="N1272" s="23"/>
      <c r="O1272" s="848"/>
      <c r="P1272" s="23" t="s">
        <v>30</v>
      </c>
      <c r="Q1272" s="23">
        <v>45965</v>
      </c>
      <c r="R1272" s="79" t="s">
        <v>1138</v>
      </c>
      <c r="S1272" s="22" t="s">
        <v>32</v>
      </c>
      <c r="T1272" s="22">
        <v>14</v>
      </c>
      <c r="U1272" s="24" t="s">
        <v>1138</v>
      </c>
      <c r="V1272" s="23">
        <v>45965</v>
      </c>
      <c r="W1272" s="80" t="s">
        <v>30</v>
      </c>
      <c r="X1272" s="80" t="s">
        <v>30</v>
      </c>
      <c r="Y1272" s="96" t="s">
        <v>30</v>
      </c>
      <c r="Z1272" s="96" t="s">
        <v>30</v>
      </c>
      <c r="AA1272"/>
      <c r="AB1272" s="776"/>
      <c r="AC1272" s="776"/>
      <c r="AD1272" s="776"/>
      <c r="AE1272" s="776"/>
    </row>
    <row r="1273" spans="1:34">
      <c r="A1273" s="834" t="s">
        <v>24</v>
      </c>
      <c r="B1273" s="835">
        <v>1270</v>
      </c>
      <c r="C1273" s="838" t="s">
        <v>1959</v>
      </c>
      <c r="D1273" s="838" t="s">
        <v>406</v>
      </c>
      <c r="E1273" s="839">
        <v>45945</v>
      </c>
      <c r="F1273" s="838" t="s">
        <v>1960</v>
      </c>
      <c r="G1273" s="838">
        <v>15</v>
      </c>
      <c r="H1273" s="838" t="s">
        <v>1721</v>
      </c>
      <c r="I1273" s="838" t="s">
        <v>1638</v>
      </c>
      <c r="J1273" s="98" t="s">
        <v>17</v>
      </c>
      <c r="K1273" s="838"/>
      <c r="L1273" s="241"/>
      <c r="M1273" s="22"/>
      <c r="N1273" s="23"/>
      <c r="O1273" s="240"/>
      <c r="P1273" s="23" t="s">
        <v>30</v>
      </c>
      <c r="Q1273" s="23">
        <v>45987</v>
      </c>
      <c r="R1273" s="79" t="s">
        <v>67</v>
      </c>
      <c r="S1273" s="22" t="s">
        <v>30</v>
      </c>
      <c r="T1273" s="22">
        <v>13</v>
      </c>
      <c r="U1273" s="24" t="s">
        <v>67</v>
      </c>
      <c r="V1273" s="23">
        <v>45987</v>
      </c>
      <c r="W1273" s="80" t="s">
        <v>30</v>
      </c>
      <c r="X1273" s="80" t="s">
        <v>30</v>
      </c>
      <c r="Y1273" s="80" t="s">
        <v>30</v>
      </c>
      <c r="Z1273" s="80" t="s">
        <v>30</v>
      </c>
      <c r="AA1273"/>
      <c r="AB1273" s="776"/>
      <c r="AC1273" s="776"/>
      <c r="AD1273" s="776"/>
      <c r="AE1273" s="776"/>
    </row>
    <row r="1274" spans="1:34">
      <c r="A1274" s="834" t="s">
        <v>24</v>
      </c>
      <c r="B1274" s="835">
        <v>1271</v>
      </c>
      <c r="C1274" s="838" t="s">
        <v>1961</v>
      </c>
      <c r="D1274" s="838" t="s">
        <v>43</v>
      </c>
      <c r="E1274" s="839">
        <v>45945</v>
      </c>
      <c r="F1274" s="838" t="s">
        <v>1962</v>
      </c>
      <c r="G1274" s="838">
        <v>9</v>
      </c>
      <c r="H1274" s="838" t="s">
        <v>1721</v>
      </c>
      <c r="I1274" s="838" t="s">
        <v>1638</v>
      </c>
      <c r="J1274" s="838"/>
      <c r="K1274" s="838"/>
      <c r="L1274" s="214"/>
      <c r="M1274" s="22"/>
      <c r="N1274" s="23"/>
      <c r="O1274" s="848"/>
      <c r="P1274" s="23" t="s">
        <v>30</v>
      </c>
      <c r="Q1274" s="23">
        <v>45987</v>
      </c>
      <c r="R1274" s="79" t="s">
        <v>1638</v>
      </c>
      <c r="S1274" s="22" t="s">
        <v>32</v>
      </c>
      <c r="T1274" s="22">
        <v>8</v>
      </c>
      <c r="U1274" s="24" t="s">
        <v>1638</v>
      </c>
      <c r="V1274" s="23">
        <v>45987</v>
      </c>
      <c r="W1274" s="80" t="s">
        <v>30</v>
      </c>
      <c r="X1274" s="96" t="s">
        <v>30</v>
      </c>
      <c r="Y1274" s="96" t="s">
        <v>30</v>
      </c>
      <c r="Z1274" s="80" t="s">
        <v>30</v>
      </c>
      <c r="AA1274"/>
    </row>
    <row r="1275" spans="1:34">
      <c r="A1275" s="834" t="s">
        <v>24</v>
      </c>
      <c r="B1275" s="835">
        <v>1272</v>
      </c>
      <c r="C1275" s="838" t="s">
        <v>1963</v>
      </c>
      <c r="D1275" s="838" t="s">
        <v>43</v>
      </c>
      <c r="E1275" s="839">
        <v>45946</v>
      </c>
      <c r="F1275" s="838" t="s">
        <v>1962</v>
      </c>
      <c r="G1275" s="838">
        <v>9</v>
      </c>
      <c r="H1275" s="838" t="s">
        <v>1721</v>
      </c>
      <c r="I1275" s="838" t="s">
        <v>1638</v>
      </c>
      <c r="J1275" s="838"/>
      <c r="K1275" s="838"/>
      <c r="L1275" s="214"/>
      <c r="M1275" s="22"/>
      <c r="N1275" s="23"/>
      <c r="O1275" s="848"/>
      <c r="P1275" s="23" t="s">
        <v>30</v>
      </c>
      <c r="Q1275" s="23">
        <v>45987</v>
      </c>
      <c r="R1275" s="79" t="s">
        <v>1638</v>
      </c>
      <c r="S1275" s="22" t="s">
        <v>32</v>
      </c>
      <c r="T1275" s="22">
        <v>8</v>
      </c>
      <c r="U1275" s="24" t="s">
        <v>1638</v>
      </c>
      <c r="V1275" s="23">
        <v>45987</v>
      </c>
      <c r="W1275" s="80" t="s">
        <v>30</v>
      </c>
      <c r="X1275" s="80" t="s">
        <v>30</v>
      </c>
      <c r="Y1275" s="80" t="s">
        <v>30</v>
      </c>
      <c r="Z1275" s="80" t="s">
        <v>30</v>
      </c>
      <c r="AA1275"/>
    </row>
    <row r="1276" spans="1:34">
      <c r="A1276" s="834" t="s">
        <v>24</v>
      </c>
      <c r="B1276" s="835">
        <v>1273</v>
      </c>
      <c r="C1276" s="838" t="s">
        <v>1964</v>
      </c>
      <c r="D1276" s="838" t="s">
        <v>1965</v>
      </c>
      <c r="E1276" s="839">
        <v>45946</v>
      </c>
      <c r="F1276" s="838" t="s">
        <v>1966</v>
      </c>
      <c r="G1276" s="838">
        <v>10</v>
      </c>
      <c r="H1276" s="838" t="s">
        <v>1077</v>
      </c>
      <c r="I1276" s="838" t="s">
        <v>1138</v>
      </c>
      <c r="J1276" s="838"/>
      <c r="K1276" s="838"/>
      <c r="L1276" s="214"/>
      <c r="M1276" s="22"/>
      <c r="N1276" s="23"/>
      <c r="O1276" s="240"/>
      <c r="P1276" s="848" t="s">
        <v>30</v>
      </c>
      <c r="Q1276" s="23">
        <v>45985</v>
      </c>
      <c r="R1276" s="79" t="s">
        <v>1138</v>
      </c>
      <c r="S1276" s="22" t="s">
        <v>32</v>
      </c>
      <c r="T1276" s="22">
        <v>10</v>
      </c>
      <c r="U1276" s="24" t="s">
        <v>1138</v>
      </c>
      <c r="V1276" s="23">
        <v>45985</v>
      </c>
      <c r="W1276" s="96" t="s">
        <v>30</v>
      </c>
      <c r="X1276" s="96" t="s">
        <v>30</v>
      </c>
      <c r="Y1276" s="96" t="s">
        <v>30</v>
      </c>
      <c r="Z1276" s="96" t="s">
        <v>30</v>
      </c>
      <c r="AA1276"/>
    </row>
    <row r="1277" spans="1:34">
      <c r="A1277" s="834" t="s">
        <v>24</v>
      </c>
      <c r="B1277" s="835">
        <v>1274</v>
      </c>
      <c r="C1277" s="838" t="s">
        <v>1967</v>
      </c>
      <c r="D1277" s="838" t="s">
        <v>43</v>
      </c>
      <c r="E1277" s="839">
        <v>45946</v>
      </c>
      <c r="F1277" s="838" t="s">
        <v>439</v>
      </c>
      <c r="G1277" s="838">
        <v>18</v>
      </c>
      <c r="H1277" s="838" t="s">
        <v>127</v>
      </c>
      <c r="I1277" s="838" t="s">
        <v>36</v>
      </c>
      <c r="J1277" s="838"/>
      <c r="K1277" s="838"/>
      <c r="L1277" s="214"/>
      <c r="M1277" s="22"/>
      <c r="N1277" s="23"/>
      <c r="O1277" s="240"/>
      <c r="P1277" s="23" t="s">
        <v>30</v>
      </c>
      <c r="Q1277" s="23">
        <v>45985</v>
      </c>
      <c r="R1277" s="79" t="s">
        <v>127</v>
      </c>
      <c r="S1277" s="22" t="s">
        <v>32</v>
      </c>
      <c r="T1277" s="22">
        <v>15</v>
      </c>
      <c r="U1277" s="24" t="s">
        <v>127</v>
      </c>
      <c r="V1277" s="23">
        <v>45985</v>
      </c>
      <c r="W1277" s="91" t="s">
        <v>32</v>
      </c>
      <c r="X1277" s="91"/>
      <c r="Y1277" s="96" t="s">
        <v>30</v>
      </c>
      <c r="Z1277" s="102"/>
      <c r="AA1277"/>
    </row>
    <row r="1278" spans="1:34">
      <c r="A1278" s="834" t="s">
        <v>24</v>
      </c>
      <c r="B1278" s="835">
        <v>1275</v>
      </c>
      <c r="C1278" s="838" t="s">
        <v>1968</v>
      </c>
      <c r="D1278" s="838" t="s">
        <v>26</v>
      </c>
      <c r="E1278" s="839">
        <v>45947</v>
      </c>
      <c r="F1278" s="838" t="s">
        <v>1966</v>
      </c>
      <c r="G1278" s="838">
        <v>9</v>
      </c>
      <c r="H1278" s="838" t="s">
        <v>1077</v>
      </c>
      <c r="I1278" s="838" t="s">
        <v>1138</v>
      </c>
      <c r="J1278" s="838"/>
      <c r="K1278" s="838"/>
      <c r="L1278" s="834"/>
      <c r="M1278" s="22"/>
      <c r="N1278" s="23"/>
      <c r="O1278" s="848"/>
      <c r="P1278" s="23" t="s">
        <v>30</v>
      </c>
      <c r="Q1278" s="23">
        <v>45975</v>
      </c>
      <c r="R1278" s="79" t="s">
        <v>1138</v>
      </c>
      <c r="S1278" s="22" t="s">
        <v>32</v>
      </c>
      <c r="T1278" s="22">
        <v>9</v>
      </c>
      <c r="U1278" s="24" t="s">
        <v>1138</v>
      </c>
      <c r="V1278" s="23">
        <v>45975</v>
      </c>
      <c r="W1278" s="80" t="s">
        <v>30</v>
      </c>
      <c r="X1278" s="96" t="s">
        <v>30</v>
      </c>
      <c r="Y1278" s="96" t="s">
        <v>30</v>
      </c>
      <c r="Z1278" s="80" t="s">
        <v>30</v>
      </c>
      <c r="AA1278"/>
    </row>
    <row r="1279" spans="1:34">
      <c r="A1279" s="834" t="s">
        <v>24</v>
      </c>
      <c r="B1279" s="835">
        <v>1276</v>
      </c>
      <c r="C1279" s="838" t="s">
        <v>1969</v>
      </c>
      <c r="D1279" s="838" t="s">
        <v>50</v>
      </c>
      <c r="E1279" s="839">
        <v>45947</v>
      </c>
      <c r="F1279" s="838" t="s">
        <v>881</v>
      </c>
      <c r="G1279" s="838">
        <v>12</v>
      </c>
      <c r="H1279" s="838" t="s">
        <v>1077</v>
      </c>
      <c r="I1279" s="838" t="s">
        <v>1138</v>
      </c>
      <c r="J1279" s="838"/>
      <c r="K1279" s="838"/>
      <c r="L1279" s="834"/>
      <c r="M1279" s="22"/>
      <c r="N1279" s="23"/>
      <c r="O1279" s="240"/>
      <c r="P1279" s="23" t="s">
        <v>30</v>
      </c>
      <c r="Q1279" s="23">
        <v>45986</v>
      </c>
      <c r="R1279" s="79" t="s">
        <v>1138</v>
      </c>
      <c r="S1279" s="22" t="s">
        <v>32</v>
      </c>
      <c r="T1279" s="22">
        <v>8</v>
      </c>
      <c r="U1279" s="24" t="s">
        <v>1138</v>
      </c>
      <c r="V1279" s="23">
        <v>45986</v>
      </c>
      <c r="W1279" s="91" t="s">
        <v>32</v>
      </c>
      <c r="X1279" s="80" t="s">
        <v>30</v>
      </c>
      <c r="Y1279" s="80" t="s">
        <v>30</v>
      </c>
      <c r="Z1279" s="102"/>
      <c r="AA1279"/>
    </row>
    <row r="1280" spans="1:34">
      <c r="A1280" s="834" t="s">
        <v>24</v>
      </c>
      <c r="B1280" s="835">
        <v>1277</v>
      </c>
      <c r="C1280" s="838" t="s">
        <v>1970</v>
      </c>
      <c r="D1280" s="838" t="s">
        <v>1131</v>
      </c>
      <c r="E1280" s="839">
        <v>45947</v>
      </c>
      <c r="F1280" s="838" t="s">
        <v>106</v>
      </c>
      <c r="G1280" s="838">
        <v>6</v>
      </c>
      <c r="H1280" s="838" t="s">
        <v>1721</v>
      </c>
      <c r="I1280" s="838" t="s">
        <v>1638</v>
      </c>
      <c r="J1280" s="838"/>
      <c r="K1280" s="838"/>
      <c r="L1280" s="21"/>
      <c r="M1280" s="22"/>
      <c r="N1280" s="23"/>
      <c r="O1280" s="848"/>
      <c r="P1280" s="23" t="s">
        <v>30</v>
      </c>
      <c r="Q1280" s="23">
        <v>45982</v>
      </c>
      <c r="R1280" s="79" t="s">
        <v>1638</v>
      </c>
      <c r="S1280" s="22" t="s">
        <v>32</v>
      </c>
      <c r="T1280" s="22">
        <v>5</v>
      </c>
      <c r="U1280" s="24" t="s">
        <v>1638</v>
      </c>
      <c r="V1280" s="23">
        <v>45982</v>
      </c>
      <c r="W1280" s="80" t="s">
        <v>30</v>
      </c>
      <c r="X1280" s="80" t="s">
        <v>30</v>
      </c>
      <c r="Y1280" s="80" t="s">
        <v>30</v>
      </c>
      <c r="Z1280" s="80" t="s">
        <v>30</v>
      </c>
      <c r="AA1280"/>
    </row>
    <row r="1281" spans="1:34">
      <c r="A1281" s="834" t="s">
        <v>24</v>
      </c>
      <c r="B1281" s="835">
        <v>1278</v>
      </c>
      <c r="C1281" s="838" t="s">
        <v>1971</v>
      </c>
      <c r="D1281" s="838" t="s">
        <v>102</v>
      </c>
      <c r="E1281" s="839">
        <v>45947</v>
      </c>
      <c r="F1281" s="838" t="s">
        <v>1972</v>
      </c>
      <c r="G1281" s="838">
        <v>10</v>
      </c>
      <c r="H1281" s="838" t="s">
        <v>1725</v>
      </c>
      <c r="I1281" s="838" t="s">
        <v>47</v>
      </c>
      <c r="J1281" s="838"/>
      <c r="K1281" s="838"/>
      <c r="L1281" s="21"/>
      <c r="M1281" s="22"/>
      <c r="N1281" s="23"/>
      <c r="O1281" s="240"/>
      <c r="P1281" s="23" t="s">
        <v>30</v>
      </c>
      <c r="Q1281" s="23">
        <v>45988</v>
      </c>
      <c r="R1281" s="79" t="s">
        <v>127</v>
      </c>
      <c r="S1281" s="22" t="s">
        <v>1140</v>
      </c>
      <c r="T1281" s="22">
        <v>6</v>
      </c>
      <c r="U1281" s="24" t="s">
        <v>127</v>
      </c>
      <c r="V1281" s="23">
        <v>45988</v>
      </c>
      <c r="W1281" s="80" t="s">
        <v>30</v>
      </c>
      <c r="X1281" s="96" t="s">
        <v>30</v>
      </c>
      <c r="Y1281" s="96" t="s">
        <v>30</v>
      </c>
      <c r="Z1281" s="96" t="s">
        <v>30</v>
      </c>
      <c r="AA1281"/>
      <c r="AB1281" s="776"/>
      <c r="AC1281" s="776"/>
      <c r="AD1281" s="776"/>
      <c r="AE1281" s="776"/>
    </row>
    <row r="1282" spans="1:34">
      <c r="A1282" s="834" t="s">
        <v>24</v>
      </c>
      <c r="B1282" s="835">
        <v>1279</v>
      </c>
      <c r="C1282" s="838" t="s">
        <v>1973</v>
      </c>
      <c r="D1282" s="838" t="s">
        <v>43</v>
      </c>
      <c r="E1282" s="839">
        <v>45948</v>
      </c>
      <c r="F1282" s="838" t="s">
        <v>199</v>
      </c>
      <c r="G1282" s="838">
        <v>18</v>
      </c>
      <c r="H1282" s="838" t="s">
        <v>1721</v>
      </c>
      <c r="I1282" s="838" t="s">
        <v>1638</v>
      </c>
      <c r="J1282" s="98" t="s">
        <v>1974</v>
      </c>
      <c r="K1282" s="838"/>
      <c r="L1282" s="21"/>
      <c r="M1282" s="22"/>
      <c r="N1282" s="23"/>
      <c r="O1282" s="848"/>
      <c r="P1282" s="23" t="s">
        <v>30</v>
      </c>
      <c r="Q1282" s="23">
        <v>45989</v>
      </c>
      <c r="R1282" s="79" t="s">
        <v>67</v>
      </c>
      <c r="S1282" s="22" t="s">
        <v>32</v>
      </c>
      <c r="T1282" s="22">
        <v>18</v>
      </c>
      <c r="U1282" s="24" t="s">
        <v>67</v>
      </c>
      <c r="V1282" s="23">
        <v>45986</v>
      </c>
      <c r="W1282" s="80" t="s">
        <v>30</v>
      </c>
      <c r="X1282" s="80" t="s">
        <v>30</v>
      </c>
      <c r="Y1282" s="80" t="s">
        <v>30</v>
      </c>
      <c r="Z1282" s="80" t="s">
        <v>30</v>
      </c>
      <c r="AA1282"/>
      <c r="AF1282" s="71"/>
      <c r="AG1282" s="92"/>
      <c r="AH1282" s="92"/>
    </row>
    <row r="1283" spans="1:34">
      <c r="A1283" s="834" t="s">
        <v>24</v>
      </c>
      <c r="B1283" s="835">
        <v>1280</v>
      </c>
      <c r="C1283" s="838" t="s">
        <v>1975</v>
      </c>
      <c r="D1283" s="838" t="s">
        <v>34</v>
      </c>
      <c r="E1283" s="839">
        <v>45948</v>
      </c>
      <c r="F1283" s="838" t="s">
        <v>97</v>
      </c>
      <c r="G1283" s="838">
        <v>12</v>
      </c>
      <c r="H1283" s="838" t="s">
        <v>127</v>
      </c>
      <c r="I1283" s="838" t="s">
        <v>36</v>
      </c>
      <c r="J1283" s="838"/>
      <c r="K1283" s="838"/>
      <c r="L1283" s="21"/>
      <c r="M1283" s="22"/>
      <c r="N1283" s="23"/>
      <c r="O1283" s="240"/>
      <c r="P1283" s="23" t="s">
        <v>30</v>
      </c>
      <c r="Q1283" s="23">
        <v>45985</v>
      </c>
      <c r="R1283" s="79" t="s">
        <v>127</v>
      </c>
      <c r="S1283" s="22" t="s">
        <v>32</v>
      </c>
      <c r="T1283" s="22">
        <v>9</v>
      </c>
      <c r="U1283" s="24" t="s">
        <v>127</v>
      </c>
      <c r="V1283" s="23">
        <v>45985</v>
      </c>
      <c r="W1283" s="80" t="s">
        <v>30</v>
      </c>
      <c r="X1283" s="96" t="s">
        <v>30</v>
      </c>
      <c r="Y1283" s="96" t="s">
        <v>30</v>
      </c>
      <c r="Z1283" s="80" t="s">
        <v>30</v>
      </c>
      <c r="AA1283"/>
    </row>
    <row r="1284" spans="1:34">
      <c r="A1284" s="834" t="s">
        <v>24</v>
      </c>
      <c r="B1284" s="835">
        <v>1281</v>
      </c>
      <c r="C1284" s="838" t="s">
        <v>1976</v>
      </c>
      <c r="D1284" s="838" t="s">
        <v>234</v>
      </c>
      <c r="E1284" s="839">
        <v>45948</v>
      </c>
      <c r="F1284" s="838" t="s">
        <v>97</v>
      </c>
      <c r="G1284" s="838">
        <v>2</v>
      </c>
      <c r="H1284" s="838" t="s">
        <v>127</v>
      </c>
      <c r="I1284" s="838" t="s">
        <v>36</v>
      </c>
      <c r="J1284" s="838"/>
      <c r="K1284" s="838"/>
      <c r="L1284" s="21"/>
      <c r="M1284" s="22"/>
      <c r="N1284" s="23"/>
      <c r="O1284" s="23"/>
      <c r="P1284" s="23" t="s">
        <v>30</v>
      </c>
      <c r="Q1284" s="23">
        <v>45985</v>
      </c>
      <c r="R1284" s="79" t="s">
        <v>127</v>
      </c>
      <c r="S1284" s="22" t="s">
        <v>32</v>
      </c>
      <c r="T1284" s="22">
        <v>5</v>
      </c>
      <c r="U1284" s="24" t="s">
        <v>127</v>
      </c>
      <c r="V1284" s="23">
        <v>45985</v>
      </c>
      <c r="W1284" s="80" t="s">
        <v>30</v>
      </c>
      <c r="X1284" s="80" t="s">
        <v>30</v>
      </c>
      <c r="Y1284" s="96" t="s">
        <v>30</v>
      </c>
      <c r="Z1284" s="102" t="s">
        <v>30</v>
      </c>
      <c r="AA1284"/>
    </row>
    <row r="1285" spans="1:34">
      <c r="A1285" s="834" t="s">
        <v>24</v>
      </c>
      <c r="B1285" s="835">
        <v>1282</v>
      </c>
      <c r="C1285" s="838" t="s">
        <v>1977</v>
      </c>
      <c r="D1285" s="838" t="s">
        <v>34</v>
      </c>
      <c r="E1285" s="839">
        <v>45948</v>
      </c>
      <c r="F1285" s="838" t="s">
        <v>106</v>
      </c>
      <c r="G1285" s="838">
        <v>13</v>
      </c>
      <c r="H1285" s="838" t="s">
        <v>127</v>
      </c>
      <c r="I1285" s="838" t="s">
        <v>36</v>
      </c>
      <c r="J1285" s="838"/>
      <c r="K1285" s="838"/>
      <c r="L1285" s="21"/>
      <c r="M1285" s="22"/>
      <c r="N1285" s="23"/>
      <c r="O1285" s="848"/>
      <c r="P1285" s="23" t="s">
        <v>30</v>
      </c>
      <c r="Q1285" s="23">
        <v>45985</v>
      </c>
      <c r="R1285" s="79" t="s">
        <v>127</v>
      </c>
      <c r="S1285" s="22" t="s">
        <v>1140</v>
      </c>
      <c r="T1285" s="22">
        <v>17</v>
      </c>
      <c r="U1285" s="24" t="s">
        <v>127</v>
      </c>
      <c r="V1285" s="23">
        <v>45985</v>
      </c>
      <c r="W1285" s="80" t="s">
        <v>30</v>
      </c>
      <c r="X1285" s="96" t="s">
        <v>30</v>
      </c>
      <c r="Y1285" s="96" t="s">
        <v>30</v>
      </c>
      <c r="Z1285" s="102" t="s">
        <v>30</v>
      </c>
      <c r="AA1285"/>
      <c r="AF1285" s="71"/>
      <c r="AG1285" s="92"/>
      <c r="AH1285" s="92"/>
    </row>
    <row r="1286" spans="1:34">
      <c r="A1286" s="834" t="s">
        <v>24</v>
      </c>
      <c r="B1286" s="835">
        <v>1283</v>
      </c>
      <c r="C1286" s="838" t="s">
        <v>1978</v>
      </c>
      <c r="D1286" s="838" t="s">
        <v>34</v>
      </c>
      <c r="E1286" s="839">
        <v>45948</v>
      </c>
      <c r="F1286" s="838" t="s">
        <v>167</v>
      </c>
      <c r="G1286" s="838">
        <v>14</v>
      </c>
      <c r="H1286" s="838" t="s">
        <v>127</v>
      </c>
      <c r="I1286" s="838" t="s">
        <v>36</v>
      </c>
      <c r="J1286" s="838"/>
      <c r="K1286" s="838"/>
      <c r="L1286" s="214"/>
      <c r="M1286" s="22"/>
      <c r="N1286" s="23"/>
      <c r="O1286" s="240"/>
      <c r="P1286" s="23" t="s">
        <v>30</v>
      </c>
      <c r="Q1286" s="23">
        <v>45988</v>
      </c>
      <c r="R1286" s="79" t="s">
        <v>127</v>
      </c>
      <c r="S1286" s="22" t="s">
        <v>32</v>
      </c>
      <c r="T1286" s="22">
        <v>11</v>
      </c>
      <c r="U1286" s="24" t="s">
        <v>127</v>
      </c>
      <c r="V1286" s="23">
        <v>45988</v>
      </c>
      <c r="W1286" s="80" t="s">
        <v>30</v>
      </c>
      <c r="X1286" s="96" t="s">
        <v>30</v>
      </c>
      <c r="Y1286" s="96" t="s">
        <v>30</v>
      </c>
      <c r="Z1286" s="80" t="s">
        <v>30</v>
      </c>
      <c r="AA1286"/>
    </row>
    <row r="1287" spans="1:34">
      <c r="A1287" s="834" t="s">
        <v>24</v>
      </c>
      <c r="B1287" s="835">
        <v>1284</v>
      </c>
      <c r="C1287" s="838" t="s">
        <v>1979</v>
      </c>
      <c r="D1287" s="838" t="s">
        <v>102</v>
      </c>
      <c r="E1287" s="839">
        <v>45948</v>
      </c>
      <c r="F1287" s="838" t="s">
        <v>97</v>
      </c>
      <c r="G1287" s="838">
        <v>20</v>
      </c>
      <c r="H1287" s="838" t="s">
        <v>1721</v>
      </c>
      <c r="I1287" s="838" t="s">
        <v>1638</v>
      </c>
      <c r="J1287" s="838"/>
      <c r="K1287" s="838"/>
      <c r="L1287" s="214"/>
      <c r="M1287" s="22"/>
      <c r="N1287" s="23"/>
      <c r="O1287" s="848"/>
      <c r="P1287" s="23" t="s">
        <v>30</v>
      </c>
      <c r="Q1287" s="23">
        <v>45975</v>
      </c>
      <c r="R1287" s="79" t="s">
        <v>28</v>
      </c>
      <c r="S1287" s="22" t="s">
        <v>32</v>
      </c>
      <c r="T1287" s="22">
        <v>17</v>
      </c>
      <c r="U1287" s="24" t="s">
        <v>28</v>
      </c>
      <c r="V1287" s="23">
        <v>45975</v>
      </c>
      <c r="W1287" s="80" t="s">
        <v>30</v>
      </c>
      <c r="X1287" s="80" t="s">
        <v>30</v>
      </c>
      <c r="Y1287" s="80" t="s">
        <v>30</v>
      </c>
      <c r="Z1287" s="80" t="s">
        <v>30</v>
      </c>
      <c r="AA1287"/>
    </row>
    <row r="1288" spans="1:34">
      <c r="A1288" s="834" t="s">
        <v>24</v>
      </c>
      <c r="B1288" s="835">
        <v>1285</v>
      </c>
      <c r="C1288" s="838" t="s">
        <v>1980</v>
      </c>
      <c r="D1288" s="838" t="s">
        <v>43</v>
      </c>
      <c r="E1288" s="839">
        <v>45948</v>
      </c>
      <c r="F1288" s="838" t="s">
        <v>401</v>
      </c>
      <c r="G1288" s="838">
        <v>20</v>
      </c>
      <c r="H1288" s="838" t="s">
        <v>1721</v>
      </c>
      <c r="I1288" s="838" t="s">
        <v>1638</v>
      </c>
      <c r="J1288" s="838"/>
      <c r="K1288" s="838"/>
      <c r="L1288" s="214"/>
      <c r="M1288" s="22"/>
      <c r="N1288" s="23"/>
      <c r="O1288" s="848"/>
      <c r="P1288" s="23" t="s">
        <v>30</v>
      </c>
      <c r="Q1288" s="23">
        <v>45978</v>
      </c>
      <c r="R1288" s="79" t="s">
        <v>28</v>
      </c>
      <c r="S1288" s="22" t="s">
        <v>32</v>
      </c>
      <c r="T1288" s="22">
        <v>22</v>
      </c>
      <c r="U1288" s="24" t="s">
        <v>28</v>
      </c>
      <c r="V1288" s="23">
        <v>45978</v>
      </c>
      <c r="W1288" s="80" t="s">
        <v>30</v>
      </c>
      <c r="X1288" s="80" t="s">
        <v>30</v>
      </c>
      <c r="Y1288" s="80" t="s">
        <v>30</v>
      </c>
      <c r="Z1288" s="80" t="s">
        <v>30</v>
      </c>
      <c r="AA1288"/>
    </row>
    <row r="1289" spans="1:34">
      <c r="A1289" s="834" t="s">
        <v>24</v>
      </c>
      <c r="B1289" s="835">
        <v>1286</v>
      </c>
      <c r="C1289" s="838" t="s">
        <v>1981</v>
      </c>
      <c r="D1289" s="838" t="s">
        <v>1617</v>
      </c>
      <c r="E1289" s="839">
        <v>45948</v>
      </c>
      <c r="F1289" s="838" t="s">
        <v>194</v>
      </c>
      <c r="G1289" s="838">
        <v>12</v>
      </c>
      <c r="H1289" s="838" t="s">
        <v>1721</v>
      </c>
      <c r="I1289" s="838" t="s">
        <v>1638</v>
      </c>
      <c r="J1289" s="838"/>
      <c r="K1289" s="838"/>
      <c r="L1289" s="215"/>
      <c r="M1289" s="22"/>
      <c r="N1289" s="23"/>
      <c r="O1289" s="848"/>
      <c r="P1289" s="23" t="s">
        <v>30</v>
      </c>
      <c r="Q1289" s="23">
        <v>45985</v>
      </c>
      <c r="R1289" s="79" t="s">
        <v>1638</v>
      </c>
      <c r="S1289" s="22" t="s">
        <v>32</v>
      </c>
      <c r="T1289" s="22">
        <v>9</v>
      </c>
      <c r="U1289" s="24" t="s">
        <v>1638</v>
      </c>
      <c r="V1289" s="23">
        <v>45985</v>
      </c>
      <c r="W1289" s="80" t="s">
        <v>30</v>
      </c>
      <c r="X1289" s="80" t="s">
        <v>30</v>
      </c>
      <c r="Y1289" s="96" t="s">
        <v>30</v>
      </c>
      <c r="Z1289" s="96" t="s">
        <v>30</v>
      </c>
      <c r="AA1289"/>
    </row>
    <row r="1290" spans="1:34">
      <c r="A1290" s="834" t="s">
        <v>24</v>
      </c>
      <c r="B1290" s="835">
        <v>1287</v>
      </c>
      <c r="C1290" s="838" t="s">
        <v>1982</v>
      </c>
      <c r="D1290" s="838" t="s">
        <v>374</v>
      </c>
      <c r="E1290" s="839">
        <v>45948</v>
      </c>
      <c r="F1290" s="838" t="s">
        <v>1314</v>
      </c>
      <c r="G1290" s="838">
        <v>13</v>
      </c>
      <c r="H1290" s="838" t="s">
        <v>1725</v>
      </c>
      <c r="I1290" s="838" t="s">
        <v>47</v>
      </c>
      <c r="J1290" s="838"/>
      <c r="K1290" s="838"/>
      <c r="L1290" s="214"/>
      <c r="M1290" s="22"/>
      <c r="N1290" s="23"/>
      <c r="O1290" s="240"/>
      <c r="P1290" s="23" t="s">
        <v>30</v>
      </c>
      <c r="Q1290" s="23">
        <v>45988</v>
      </c>
      <c r="R1290" s="79" t="s">
        <v>127</v>
      </c>
      <c r="S1290" s="22" t="s">
        <v>32</v>
      </c>
      <c r="T1290" s="22">
        <v>11</v>
      </c>
      <c r="U1290" s="24" t="s">
        <v>127</v>
      </c>
      <c r="V1290" s="23">
        <v>45988</v>
      </c>
      <c r="W1290" s="91" t="s">
        <v>32</v>
      </c>
      <c r="X1290" s="91"/>
      <c r="Y1290" s="96" t="s">
        <v>30</v>
      </c>
      <c r="Z1290" s="102" t="s">
        <v>30</v>
      </c>
      <c r="AA1290"/>
    </row>
    <row r="1291" spans="1:34">
      <c r="A1291" s="834" t="s">
        <v>24</v>
      </c>
      <c r="B1291" s="835">
        <v>1288</v>
      </c>
      <c r="C1291" s="838" t="s">
        <v>1983</v>
      </c>
      <c r="D1291" s="838" t="s">
        <v>34</v>
      </c>
      <c r="E1291" s="839">
        <v>45948</v>
      </c>
      <c r="F1291" s="838" t="s">
        <v>272</v>
      </c>
      <c r="G1291" s="838">
        <v>6</v>
      </c>
      <c r="H1291" s="838" t="s">
        <v>1725</v>
      </c>
      <c r="I1291" s="838" t="s">
        <v>47</v>
      </c>
      <c r="J1291" s="838"/>
      <c r="K1291" s="838"/>
      <c r="L1291" s="21"/>
      <c r="M1291" s="22"/>
      <c r="N1291" s="23"/>
      <c r="O1291" s="240"/>
      <c r="P1291" s="23" t="s">
        <v>30</v>
      </c>
      <c r="Q1291" s="23">
        <v>45986</v>
      </c>
      <c r="R1291" s="79" t="s">
        <v>28</v>
      </c>
      <c r="S1291" s="22" t="s">
        <v>32</v>
      </c>
      <c r="T1291" s="22">
        <v>10</v>
      </c>
      <c r="U1291" s="24" t="s">
        <v>28</v>
      </c>
      <c r="V1291" s="23">
        <v>45986</v>
      </c>
      <c r="W1291" s="80" t="s">
        <v>30</v>
      </c>
      <c r="X1291" s="96" t="s">
        <v>30</v>
      </c>
      <c r="Y1291" s="80" t="s">
        <v>30</v>
      </c>
      <c r="Z1291" s="102" t="s">
        <v>30</v>
      </c>
      <c r="AA1291"/>
    </row>
    <row r="1292" spans="1:34">
      <c r="A1292" s="834" t="s">
        <v>24</v>
      </c>
      <c r="B1292" s="835">
        <v>1289</v>
      </c>
      <c r="C1292" s="838" t="s">
        <v>1984</v>
      </c>
      <c r="D1292" s="838" t="s">
        <v>34</v>
      </c>
      <c r="E1292" s="839">
        <v>45948</v>
      </c>
      <c r="F1292" s="838" t="s">
        <v>272</v>
      </c>
      <c r="G1292" s="838">
        <v>8</v>
      </c>
      <c r="H1292" s="838" t="s">
        <v>1725</v>
      </c>
      <c r="I1292" s="838" t="s">
        <v>47</v>
      </c>
      <c r="J1292" s="838"/>
      <c r="K1292" s="838"/>
      <c r="L1292" s="21"/>
      <c r="M1292" s="22"/>
      <c r="N1292" s="23"/>
      <c r="O1292" s="23"/>
      <c r="P1292" s="23" t="s">
        <v>30</v>
      </c>
      <c r="Q1292" s="23">
        <v>45985</v>
      </c>
      <c r="R1292" s="79" t="s">
        <v>28</v>
      </c>
      <c r="S1292" s="22" t="s">
        <v>32</v>
      </c>
      <c r="T1292" s="22">
        <v>2</v>
      </c>
      <c r="U1292" s="24" t="s">
        <v>28</v>
      </c>
      <c r="V1292" s="23">
        <v>45985</v>
      </c>
      <c r="W1292" s="80" t="s">
        <v>30</v>
      </c>
      <c r="X1292" s="80" t="s">
        <v>30</v>
      </c>
      <c r="Y1292" s="80" t="s">
        <v>30</v>
      </c>
      <c r="Z1292" s="80" t="s">
        <v>30</v>
      </c>
      <c r="AA1292"/>
    </row>
    <row r="1293" spans="1:34">
      <c r="A1293" s="834" t="s">
        <v>24</v>
      </c>
      <c r="B1293" s="835">
        <v>1290</v>
      </c>
      <c r="C1293" s="838" t="s">
        <v>1985</v>
      </c>
      <c r="D1293" s="838" t="s">
        <v>34</v>
      </c>
      <c r="E1293" s="839">
        <v>45948</v>
      </c>
      <c r="F1293" s="838" t="s">
        <v>1311</v>
      </c>
      <c r="G1293" s="838">
        <v>12</v>
      </c>
      <c r="H1293" s="838" t="s">
        <v>1725</v>
      </c>
      <c r="I1293" s="838" t="s">
        <v>47</v>
      </c>
      <c r="J1293" s="838"/>
      <c r="K1293" s="838"/>
      <c r="L1293" s="21"/>
      <c r="M1293" s="22"/>
      <c r="N1293" s="23"/>
      <c r="O1293" s="848"/>
      <c r="P1293" s="23" t="s">
        <v>30</v>
      </c>
      <c r="Q1293" s="23">
        <v>45986</v>
      </c>
      <c r="R1293" s="79" t="s">
        <v>28</v>
      </c>
      <c r="S1293" s="22" t="s">
        <v>32</v>
      </c>
      <c r="T1293" s="22">
        <v>8</v>
      </c>
      <c r="U1293" s="24" t="s">
        <v>28</v>
      </c>
      <c r="V1293" s="23">
        <v>45986</v>
      </c>
      <c r="W1293" s="96" t="s">
        <v>30</v>
      </c>
      <c r="X1293" s="80" t="s">
        <v>30</v>
      </c>
      <c r="Y1293" s="80" t="s">
        <v>30</v>
      </c>
      <c r="Z1293" s="96"/>
      <c r="AA1293"/>
      <c r="AE1293" s="84"/>
      <c r="AF1293" s="71"/>
      <c r="AG1293" s="71"/>
      <c r="AH1293" s="71"/>
    </row>
    <row r="1294" spans="1:34">
      <c r="A1294" s="834" t="s">
        <v>24</v>
      </c>
      <c r="B1294" s="835">
        <v>1291</v>
      </c>
      <c r="C1294" s="838" t="s">
        <v>1986</v>
      </c>
      <c r="D1294" s="838" t="s">
        <v>425</v>
      </c>
      <c r="E1294" s="839">
        <v>45948</v>
      </c>
      <c r="F1294" s="838" t="s">
        <v>1311</v>
      </c>
      <c r="G1294" s="838">
        <v>12</v>
      </c>
      <c r="H1294" s="838" t="s">
        <v>1725</v>
      </c>
      <c r="I1294" s="838" t="s">
        <v>47</v>
      </c>
      <c r="J1294" s="838"/>
      <c r="K1294" s="838"/>
      <c r="L1294" s="21"/>
      <c r="M1294" s="22"/>
      <c r="N1294" s="23"/>
      <c r="O1294" s="23"/>
      <c r="P1294" s="243" t="s">
        <v>30</v>
      </c>
      <c r="Q1294" s="23">
        <v>45988</v>
      </c>
      <c r="R1294" s="79" t="s">
        <v>127</v>
      </c>
      <c r="S1294" s="22" t="s">
        <v>32</v>
      </c>
      <c r="T1294" s="22">
        <v>11</v>
      </c>
      <c r="U1294" s="24" t="s">
        <v>127</v>
      </c>
      <c r="V1294" s="23">
        <v>45988</v>
      </c>
      <c r="W1294" s="80" t="s">
        <v>30</v>
      </c>
      <c r="X1294" s="96" t="s">
        <v>30</v>
      </c>
      <c r="Y1294" s="96" t="s">
        <v>30</v>
      </c>
      <c r="Z1294" s="80" t="s">
        <v>30</v>
      </c>
      <c r="AA1294"/>
    </row>
    <row r="1295" spans="1:34">
      <c r="A1295" s="834" t="s">
        <v>24</v>
      </c>
      <c r="B1295" s="835">
        <v>1292</v>
      </c>
      <c r="C1295" s="838" t="s">
        <v>1987</v>
      </c>
      <c r="D1295" s="838" t="s">
        <v>26</v>
      </c>
      <c r="E1295" s="839">
        <v>45948</v>
      </c>
      <c r="F1295" s="838" t="s">
        <v>683</v>
      </c>
      <c r="G1295" s="838">
        <v>14</v>
      </c>
      <c r="H1295" s="838" t="s">
        <v>1725</v>
      </c>
      <c r="I1295" s="838" t="s">
        <v>47</v>
      </c>
      <c r="J1295" s="838"/>
      <c r="K1295" s="838"/>
      <c r="L1295" s="21"/>
      <c r="M1295" s="22"/>
      <c r="N1295" s="23"/>
      <c r="O1295" s="23"/>
      <c r="P1295" s="23" t="s">
        <v>30</v>
      </c>
      <c r="Q1295" s="23">
        <v>45988</v>
      </c>
      <c r="R1295" s="79" t="s">
        <v>127</v>
      </c>
      <c r="S1295" s="22" t="s">
        <v>32</v>
      </c>
      <c r="T1295" s="22">
        <v>11</v>
      </c>
      <c r="U1295" s="24" t="s">
        <v>127</v>
      </c>
      <c r="V1295" s="23">
        <v>45988</v>
      </c>
      <c r="W1295" s="80" t="s">
        <v>30</v>
      </c>
      <c r="X1295" s="96" t="s">
        <v>30</v>
      </c>
      <c r="Y1295" s="80" t="s">
        <v>30</v>
      </c>
      <c r="Z1295" s="80" t="s">
        <v>30</v>
      </c>
      <c r="AA1295"/>
    </row>
    <row r="1296" spans="1:34">
      <c r="A1296" s="834" t="s">
        <v>24</v>
      </c>
      <c r="B1296" s="835">
        <v>1293</v>
      </c>
      <c r="C1296" s="838" t="s">
        <v>1988</v>
      </c>
      <c r="D1296" s="838" t="s">
        <v>64</v>
      </c>
      <c r="E1296" s="839">
        <v>45948</v>
      </c>
      <c r="F1296" s="838" t="s">
        <v>1626</v>
      </c>
      <c r="G1296" s="838">
        <v>13</v>
      </c>
      <c r="H1296" s="838" t="s">
        <v>1077</v>
      </c>
      <c r="I1296" s="838" t="s">
        <v>1138</v>
      </c>
      <c r="J1296" s="838"/>
      <c r="K1296" s="838"/>
      <c r="L1296" s="21"/>
      <c r="M1296" s="22"/>
      <c r="N1296" s="23"/>
      <c r="O1296" s="848"/>
      <c r="P1296" s="23" t="s">
        <v>30</v>
      </c>
      <c r="Q1296" s="23">
        <v>45981</v>
      </c>
      <c r="R1296" s="79" t="s">
        <v>1138</v>
      </c>
      <c r="S1296" s="22" t="s">
        <v>32</v>
      </c>
      <c r="T1296" s="22">
        <v>13</v>
      </c>
      <c r="U1296" s="24" t="s">
        <v>1138</v>
      </c>
      <c r="V1296" s="23">
        <v>45981</v>
      </c>
      <c r="W1296" s="80" t="s">
        <v>30</v>
      </c>
      <c r="X1296" s="80" t="s">
        <v>30</v>
      </c>
      <c r="Y1296" s="80" t="s">
        <v>30</v>
      </c>
      <c r="Z1296" s="96" t="s">
        <v>30</v>
      </c>
      <c r="AA1296"/>
      <c r="AE1296" s="84"/>
      <c r="AF1296" s="71"/>
      <c r="AG1296" s="71"/>
      <c r="AH1296" s="71"/>
    </row>
    <row r="1297" spans="1:34">
      <c r="A1297" s="834" t="s">
        <v>24</v>
      </c>
      <c r="B1297" s="835">
        <v>1294</v>
      </c>
      <c r="C1297" s="838" t="s">
        <v>1989</v>
      </c>
      <c r="D1297" s="838" t="s">
        <v>43</v>
      </c>
      <c r="E1297" s="839">
        <v>45948</v>
      </c>
      <c r="F1297" s="838" t="s">
        <v>183</v>
      </c>
      <c r="G1297" s="838">
        <v>20</v>
      </c>
      <c r="H1297" s="838" t="s">
        <v>1077</v>
      </c>
      <c r="I1297" s="838" t="s">
        <v>1138</v>
      </c>
      <c r="J1297" s="838"/>
      <c r="K1297" s="838"/>
      <c r="L1297" s="21"/>
      <c r="M1297" s="22"/>
      <c r="N1297" s="23"/>
      <c r="O1297" s="848"/>
      <c r="P1297" s="23" t="s">
        <v>30</v>
      </c>
      <c r="Q1297" s="23">
        <v>45986</v>
      </c>
      <c r="R1297" s="79" t="s">
        <v>1138</v>
      </c>
      <c r="S1297" s="22" t="s">
        <v>32</v>
      </c>
      <c r="T1297" s="22">
        <v>19</v>
      </c>
      <c r="U1297" s="24" t="s">
        <v>1138</v>
      </c>
      <c r="V1297" s="23">
        <v>45986</v>
      </c>
      <c r="W1297" s="80" t="s">
        <v>30</v>
      </c>
      <c r="X1297" s="96" t="s">
        <v>30</v>
      </c>
      <c r="Y1297" s="96" t="s">
        <v>30</v>
      </c>
      <c r="Z1297" s="80" t="s">
        <v>30</v>
      </c>
      <c r="AA1297"/>
      <c r="AB1297" s="776"/>
      <c r="AC1297" s="776"/>
      <c r="AD1297" s="776"/>
      <c r="AE1297" s="776"/>
    </row>
    <row r="1298" spans="1:34">
      <c r="A1298" s="834" t="s">
        <v>24</v>
      </c>
      <c r="B1298" s="835">
        <v>1295</v>
      </c>
      <c r="C1298" s="838" t="s">
        <v>1990</v>
      </c>
      <c r="D1298" s="838" t="s">
        <v>34</v>
      </c>
      <c r="E1298" s="839">
        <v>45948</v>
      </c>
      <c r="F1298" s="838" t="s">
        <v>65</v>
      </c>
      <c r="G1298" s="838">
        <v>23</v>
      </c>
      <c r="H1298" s="838" t="s">
        <v>1077</v>
      </c>
      <c r="I1298" s="838" t="s">
        <v>1138</v>
      </c>
      <c r="J1298" s="838"/>
      <c r="K1298" s="838"/>
      <c r="L1298" s="21"/>
      <c r="M1298" s="22"/>
      <c r="N1298" s="23"/>
      <c r="O1298" s="848"/>
      <c r="P1298" s="848" t="s">
        <v>30</v>
      </c>
      <c r="Q1298" s="23">
        <v>45980</v>
      </c>
      <c r="R1298" s="79" t="s">
        <v>1138</v>
      </c>
      <c r="S1298" s="22" t="s">
        <v>32</v>
      </c>
      <c r="T1298" s="22">
        <v>26</v>
      </c>
      <c r="U1298" s="24" t="s">
        <v>1138</v>
      </c>
      <c r="V1298" s="23">
        <v>45980</v>
      </c>
      <c r="W1298" s="80" t="s">
        <v>30</v>
      </c>
      <c r="X1298" s="80" t="s">
        <v>30</v>
      </c>
      <c r="Y1298" s="80" t="s">
        <v>30</v>
      </c>
      <c r="Z1298" s="80" t="s">
        <v>30</v>
      </c>
      <c r="AA1298"/>
      <c r="AF1298" s="71"/>
      <c r="AG1298" s="92"/>
      <c r="AH1298" s="92"/>
    </row>
    <row r="1299" spans="1:34">
      <c r="A1299" s="834" t="s">
        <v>24</v>
      </c>
      <c r="B1299" s="835">
        <v>1296</v>
      </c>
      <c r="C1299" s="838" t="s">
        <v>1991</v>
      </c>
      <c r="D1299" s="838" t="s">
        <v>1362</v>
      </c>
      <c r="E1299" s="839">
        <v>45950</v>
      </c>
      <c r="F1299" s="838" t="s">
        <v>395</v>
      </c>
      <c r="G1299" s="838">
        <v>18</v>
      </c>
      <c r="H1299" s="838" t="s">
        <v>1721</v>
      </c>
      <c r="I1299" s="838" t="s">
        <v>1638</v>
      </c>
      <c r="J1299" s="219"/>
      <c r="K1299" s="838"/>
      <c r="L1299" s="21"/>
      <c r="M1299" s="22"/>
      <c r="N1299" s="23"/>
      <c r="O1299" s="23"/>
      <c r="P1299" s="23" t="s">
        <v>30</v>
      </c>
      <c r="Q1299" s="23">
        <v>45980</v>
      </c>
      <c r="R1299" s="79" t="s">
        <v>1638</v>
      </c>
      <c r="S1299" s="22" t="s">
        <v>32</v>
      </c>
      <c r="T1299" s="22">
        <v>18</v>
      </c>
      <c r="U1299" s="24" t="s">
        <v>1638</v>
      </c>
      <c r="V1299" s="23">
        <v>45980</v>
      </c>
      <c r="W1299" s="91" t="s">
        <v>32</v>
      </c>
      <c r="X1299" s="80" t="s">
        <v>30</v>
      </c>
      <c r="Y1299" s="80" t="s">
        <v>30</v>
      </c>
      <c r="Z1299" s="96"/>
      <c r="AA1299"/>
      <c r="AB1299" s="776"/>
      <c r="AC1299" s="776"/>
      <c r="AD1299" s="776"/>
      <c r="AE1299" s="776"/>
    </row>
    <row r="1300" spans="1:34">
      <c r="A1300" s="834" t="s">
        <v>24</v>
      </c>
      <c r="B1300" s="835">
        <v>1297</v>
      </c>
      <c r="C1300" s="838" t="s">
        <v>1992</v>
      </c>
      <c r="D1300" s="838" t="s">
        <v>64</v>
      </c>
      <c r="E1300" s="839">
        <v>45950</v>
      </c>
      <c r="F1300" s="838" t="s">
        <v>511</v>
      </c>
      <c r="G1300" s="838">
        <v>14</v>
      </c>
      <c r="H1300" s="838" t="s">
        <v>1721</v>
      </c>
      <c r="I1300" s="838" t="s">
        <v>1638</v>
      </c>
      <c r="J1300" s="219"/>
      <c r="K1300" s="838"/>
      <c r="L1300" s="21"/>
      <c r="M1300" s="22"/>
      <c r="N1300" s="23"/>
      <c r="O1300" s="23"/>
      <c r="P1300" s="23" t="s">
        <v>30</v>
      </c>
      <c r="Q1300" s="23">
        <v>45985</v>
      </c>
      <c r="R1300" s="79" t="s">
        <v>1638</v>
      </c>
      <c r="S1300" s="22" t="s">
        <v>32</v>
      </c>
      <c r="T1300" s="22">
        <v>13</v>
      </c>
      <c r="U1300" s="24" t="s">
        <v>1638</v>
      </c>
      <c r="V1300" s="23">
        <v>45985</v>
      </c>
      <c r="W1300" s="80" t="s">
        <v>30</v>
      </c>
      <c r="X1300" s="80" t="s">
        <v>30</v>
      </c>
      <c r="Y1300" s="96" t="s">
        <v>30</v>
      </c>
      <c r="Z1300" s="96" t="s">
        <v>30</v>
      </c>
      <c r="AA1300"/>
      <c r="AB1300" s="776"/>
      <c r="AC1300" s="776"/>
      <c r="AD1300" s="776"/>
      <c r="AE1300" s="776"/>
    </row>
    <row r="1301" spans="1:34">
      <c r="A1301" s="834" t="s">
        <v>24</v>
      </c>
      <c r="B1301" s="835">
        <v>1298</v>
      </c>
      <c r="C1301" s="838" t="s">
        <v>1993</v>
      </c>
      <c r="D1301" s="838" t="s">
        <v>129</v>
      </c>
      <c r="E1301" s="839">
        <v>45952</v>
      </c>
      <c r="F1301" s="838" t="s">
        <v>1492</v>
      </c>
      <c r="G1301" s="838">
        <v>20</v>
      </c>
      <c r="H1301" s="838" t="s">
        <v>1721</v>
      </c>
      <c r="I1301" s="838" t="s">
        <v>1638</v>
      </c>
      <c r="J1301" s="219"/>
      <c r="K1301" s="838"/>
      <c r="L1301" s="21"/>
      <c r="M1301" s="22"/>
      <c r="N1301" s="23"/>
      <c r="O1301" s="23"/>
      <c r="P1301" s="243" t="s">
        <v>30</v>
      </c>
      <c r="Q1301" s="23">
        <v>45980</v>
      </c>
      <c r="R1301" s="79" t="s">
        <v>1638</v>
      </c>
      <c r="S1301" s="22" t="s">
        <v>32</v>
      </c>
      <c r="T1301" s="22">
        <v>25</v>
      </c>
      <c r="U1301" s="24" t="s">
        <v>1638</v>
      </c>
      <c r="V1301" s="23">
        <v>45980</v>
      </c>
      <c r="W1301" s="96" t="s">
        <v>30</v>
      </c>
      <c r="X1301" s="80" t="s">
        <v>30</v>
      </c>
      <c r="Y1301" s="80" t="s">
        <v>30</v>
      </c>
      <c r="Z1301" s="80" t="s">
        <v>30</v>
      </c>
      <c r="AA1301"/>
    </row>
    <row r="1302" spans="1:34">
      <c r="A1302" s="834" t="s">
        <v>24</v>
      </c>
      <c r="B1302" s="835">
        <v>1299</v>
      </c>
      <c r="C1302" s="838" t="s">
        <v>1994</v>
      </c>
      <c r="D1302" s="838" t="s">
        <v>129</v>
      </c>
      <c r="E1302" s="839">
        <v>45952</v>
      </c>
      <c r="F1302" s="838" t="s">
        <v>506</v>
      </c>
      <c r="G1302" s="838">
        <v>5</v>
      </c>
      <c r="H1302" s="838" t="s">
        <v>1721</v>
      </c>
      <c r="I1302" s="838" t="s">
        <v>1638</v>
      </c>
      <c r="J1302" s="838"/>
      <c r="K1302" s="838"/>
      <c r="L1302" s="21"/>
      <c r="M1302" s="22"/>
      <c r="N1302" s="23"/>
      <c r="O1302" s="848"/>
      <c r="P1302" s="243" t="s">
        <v>30</v>
      </c>
      <c r="Q1302" s="23">
        <v>45982</v>
      </c>
      <c r="R1302" s="79" t="s">
        <v>1638</v>
      </c>
      <c r="S1302" s="22" t="s">
        <v>32</v>
      </c>
      <c r="T1302" s="22">
        <v>4</v>
      </c>
      <c r="U1302" s="24" t="s">
        <v>1638</v>
      </c>
      <c r="V1302" s="23">
        <v>45982</v>
      </c>
      <c r="W1302" s="80" t="s">
        <v>30</v>
      </c>
      <c r="X1302" s="80" t="s">
        <v>30</v>
      </c>
      <c r="Y1302" s="80" t="s">
        <v>30</v>
      </c>
      <c r="Z1302" s="80" t="s">
        <v>30</v>
      </c>
      <c r="AA1302"/>
    </row>
    <row r="1303" spans="1:34">
      <c r="A1303" s="834" t="s">
        <v>24</v>
      </c>
      <c r="B1303" s="835">
        <v>1300</v>
      </c>
      <c r="C1303" s="838" t="s">
        <v>1995</v>
      </c>
      <c r="D1303" s="838" t="s">
        <v>477</v>
      </c>
      <c r="E1303" s="839">
        <v>45954</v>
      </c>
      <c r="F1303" s="838" t="s">
        <v>202</v>
      </c>
      <c r="G1303" s="838">
        <v>17</v>
      </c>
      <c r="H1303" s="838" t="s">
        <v>127</v>
      </c>
      <c r="I1303" s="838" t="s">
        <v>36</v>
      </c>
      <c r="J1303" s="838"/>
      <c r="K1303" s="838"/>
      <c r="L1303" s="21"/>
      <c r="M1303" s="22"/>
      <c r="N1303" s="23"/>
      <c r="O1303" s="848"/>
      <c r="P1303" s="23" t="s">
        <v>30</v>
      </c>
      <c r="Q1303" s="23">
        <v>45988</v>
      </c>
      <c r="R1303" s="79" t="s">
        <v>127</v>
      </c>
      <c r="S1303" s="22" t="s">
        <v>32</v>
      </c>
      <c r="T1303" s="22">
        <v>14</v>
      </c>
      <c r="U1303" s="24" t="s">
        <v>127</v>
      </c>
      <c r="V1303" s="23">
        <v>45988</v>
      </c>
      <c r="W1303" s="96" t="s">
        <v>30</v>
      </c>
      <c r="X1303" s="96" t="s">
        <v>30</v>
      </c>
      <c r="Y1303" s="96" t="s">
        <v>30</v>
      </c>
      <c r="Z1303" s="80" t="s">
        <v>30</v>
      </c>
      <c r="AA1303"/>
    </row>
    <row r="1304" spans="1:34">
      <c r="A1304" s="834" t="s">
        <v>24</v>
      </c>
      <c r="B1304" s="835">
        <v>1301</v>
      </c>
      <c r="C1304" s="838" t="s">
        <v>1996</v>
      </c>
      <c r="D1304" s="838" t="s">
        <v>129</v>
      </c>
      <c r="E1304" s="839">
        <v>45954</v>
      </c>
      <c r="F1304" s="838" t="s">
        <v>506</v>
      </c>
      <c r="G1304" s="838">
        <v>4</v>
      </c>
      <c r="H1304" s="838" t="s">
        <v>1721</v>
      </c>
      <c r="I1304" s="838" t="s">
        <v>1638</v>
      </c>
      <c r="J1304" s="838"/>
      <c r="K1304" s="838"/>
      <c r="L1304" s="21"/>
      <c r="M1304" s="22"/>
      <c r="N1304" s="23"/>
      <c r="O1304" s="23"/>
      <c r="P1304" s="23" t="s">
        <v>30</v>
      </c>
      <c r="Q1304" s="23">
        <v>45982</v>
      </c>
      <c r="R1304" s="79" t="s">
        <v>1638</v>
      </c>
      <c r="S1304" s="22" t="s">
        <v>32</v>
      </c>
      <c r="T1304" s="22">
        <v>4</v>
      </c>
      <c r="U1304" s="24" t="s">
        <v>1638</v>
      </c>
      <c r="V1304" s="23">
        <v>45982</v>
      </c>
      <c r="W1304" s="80" t="s">
        <v>30</v>
      </c>
      <c r="X1304" s="96" t="s">
        <v>30</v>
      </c>
      <c r="Y1304" s="80" t="s">
        <v>30</v>
      </c>
      <c r="Z1304" s="80" t="s">
        <v>30</v>
      </c>
      <c r="AA1304"/>
    </row>
    <row r="1305" spans="1:34">
      <c r="A1305" s="834" t="s">
        <v>24</v>
      </c>
      <c r="B1305" s="835">
        <v>1302</v>
      </c>
      <c r="C1305" s="838" t="s">
        <v>1997</v>
      </c>
      <c r="D1305" s="838" t="s">
        <v>406</v>
      </c>
      <c r="E1305" s="839">
        <v>45954</v>
      </c>
      <c r="F1305" s="838" t="s">
        <v>187</v>
      </c>
      <c r="G1305" s="838">
        <v>6</v>
      </c>
      <c r="H1305" s="838" t="s">
        <v>1725</v>
      </c>
      <c r="I1305" s="838" t="s">
        <v>47</v>
      </c>
      <c r="J1305" s="98"/>
      <c r="K1305" s="838"/>
      <c r="L1305" s="21"/>
      <c r="M1305" s="22"/>
      <c r="N1305" s="23"/>
      <c r="O1305" s="848"/>
      <c r="P1305" s="23" t="s">
        <v>30</v>
      </c>
      <c r="Q1305" s="23">
        <v>45986</v>
      </c>
      <c r="R1305" s="79" t="s">
        <v>28</v>
      </c>
      <c r="S1305" s="22" t="s">
        <v>32</v>
      </c>
      <c r="T1305" s="22">
        <v>6</v>
      </c>
      <c r="U1305" s="24" t="s">
        <v>28</v>
      </c>
      <c r="V1305" s="23">
        <v>45986</v>
      </c>
      <c r="W1305" s="221" t="s">
        <v>30</v>
      </c>
      <c r="X1305" s="221" t="s">
        <v>30</v>
      </c>
      <c r="Y1305" s="80" t="s">
        <v>30</v>
      </c>
      <c r="Z1305" s="96"/>
      <c r="AA1305" s="87"/>
      <c r="AB1305" s="87"/>
      <c r="AF1305" s="71"/>
      <c r="AG1305" s="92"/>
      <c r="AH1305" s="92"/>
    </row>
    <row r="1306" spans="1:34">
      <c r="A1306" s="834" t="s">
        <v>24</v>
      </c>
      <c r="B1306" s="835">
        <v>1303</v>
      </c>
      <c r="C1306" s="838" t="s">
        <v>1998</v>
      </c>
      <c r="D1306" s="838" t="s">
        <v>406</v>
      </c>
      <c r="E1306" s="839">
        <v>45954</v>
      </c>
      <c r="F1306" s="838" t="s">
        <v>187</v>
      </c>
      <c r="G1306" s="838">
        <v>7</v>
      </c>
      <c r="H1306" s="838" t="s">
        <v>1725</v>
      </c>
      <c r="I1306" s="838" t="s">
        <v>47</v>
      </c>
      <c r="J1306" s="838"/>
      <c r="K1306" s="838"/>
      <c r="L1306" s="21"/>
      <c r="M1306" s="22"/>
      <c r="N1306" s="23"/>
      <c r="O1306" s="23"/>
      <c r="P1306" s="117" t="s">
        <v>30</v>
      </c>
      <c r="Q1306" s="23">
        <v>45985</v>
      </c>
      <c r="R1306" s="79" t="s">
        <v>28</v>
      </c>
      <c r="S1306" s="22" t="s">
        <v>32</v>
      </c>
      <c r="T1306" s="22">
        <v>6</v>
      </c>
      <c r="U1306" s="24" t="s">
        <v>28</v>
      </c>
      <c r="V1306" s="23">
        <v>45985</v>
      </c>
      <c r="W1306" s="221" t="s">
        <v>30</v>
      </c>
      <c r="X1306" s="96" t="s">
        <v>30</v>
      </c>
      <c r="Y1306" s="80" t="s">
        <v>30</v>
      </c>
      <c r="Z1306" s="96" t="s">
        <v>30</v>
      </c>
      <c r="AA1306"/>
      <c r="AF1306" s="71"/>
      <c r="AG1306" s="92"/>
      <c r="AH1306" s="92"/>
    </row>
    <row r="1307" spans="1:34">
      <c r="A1307" s="834" t="s">
        <v>24</v>
      </c>
      <c r="B1307" s="835">
        <v>1304</v>
      </c>
      <c r="C1307" s="838" t="s">
        <v>1999</v>
      </c>
      <c r="D1307" s="838" t="s">
        <v>1131</v>
      </c>
      <c r="E1307" s="839">
        <v>45954</v>
      </c>
      <c r="F1307" s="838" t="s">
        <v>106</v>
      </c>
      <c r="G1307" s="838">
        <v>7</v>
      </c>
      <c r="H1307" s="838" t="s">
        <v>1721</v>
      </c>
      <c r="I1307" s="838" t="s">
        <v>1638</v>
      </c>
      <c r="J1307" s="838"/>
      <c r="K1307" s="838"/>
      <c r="L1307" s="21"/>
      <c r="M1307" s="22"/>
      <c r="N1307" s="23"/>
      <c r="O1307" s="848"/>
      <c r="P1307" s="23" t="s">
        <v>30</v>
      </c>
      <c r="Q1307" s="23">
        <v>45978</v>
      </c>
      <c r="R1307" s="79" t="s">
        <v>28</v>
      </c>
      <c r="S1307" s="22" t="s">
        <v>32</v>
      </c>
      <c r="T1307" s="22">
        <v>7</v>
      </c>
      <c r="U1307" s="24" t="s">
        <v>28</v>
      </c>
      <c r="V1307" s="23">
        <v>45978</v>
      </c>
      <c r="W1307" s="80" t="s">
        <v>30</v>
      </c>
      <c r="X1307" s="80" t="s">
        <v>30</v>
      </c>
      <c r="Y1307" s="80" t="s">
        <v>1091</v>
      </c>
      <c r="Z1307" s="80" t="s">
        <v>1091</v>
      </c>
      <c r="AA1307" s="87"/>
      <c r="AB1307" s="87"/>
      <c r="AF1307" s="71"/>
      <c r="AG1307" s="92"/>
      <c r="AH1307" s="92"/>
    </row>
    <row r="1308" spans="1:34">
      <c r="A1308" s="834" t="s">
        <v>24</v>
      </c>
      <c r="B1308" s="835">
        <v>1305</v>
      </c>
      <c r="C1308" s="838" t="s">
        <v>2000</v>
      </c>
      <c r="D1308" s="838" t="s">
        <v>2001</v>
      </c>
      <c r="E1308" s="839">
        <v>45954</v>
      </c>
      <c r="F1308" s="838" t="s">
        <v>646</v>
      </c>
      <c r="G1308" s="838">
        <v>9</v>
      </c>
      <c r="H1308" s="838" t="s">
        <v>1077</v>
      </c>
      <c r="I1308" s="838" t="s">
        <v>1138</v>
      </c>
      <c r="J1308" s="838"/>
      <c r="K1308" s="838"/>
      <c r="L1308" s="21"/>
      <c r="M1308" s="22"/>
      <c r="N1308" s="23"/>
      <c r="O1308" s="848"/>
      <c r="P1308" s="23" t="s">
        <v>30</v>
      </c>
      <c r="Q1308" s="23">
        <v>45985</v>
      </c>
      <c r="R1308" s="79" t="s">
        <v>1138</v>
      </c>
      <c r="S1308" s="22" t="s">
        <v>32</v>
      </c>
      <c r="T1308" s="22">
        <v>9</v>
      </c>
      <c r="U1308" s="24" t="s">
        <v>1138</v>
      </c>
      <c r="V1308" s="23">
        <v>45985</v>
      </c>
      <c r="W1308" s="80" t="s">
        <v>113</v>
      </c>
      <c r="X1308" s="96" t="s">
        <v>30</v>
      </c>
      <c r="Y1308" s="96" t="s">
        <v>30</v>
      </c>
      <c r="Z1308" s="96" t="s">
        <v>113</v>
      </c>
      <c r="AA1308"/>
      <c r="AF1308" s="71"/>
      <c r="AG1308" s="92"/>
      <c r="AH1308" s="92"/>
    </row>
    <row r="1309" spans="1:34">
      <c r="A1309" s="834" t="s">
        <v>24</v>
      </c>
      <c r="B1309" s="835">
        <v>1306</v>
      </c>
      <c r="C1309" s="838" t="s">
        <v>2002</v>
      </c>
      <c r="D1309" s="838" t="s">
        <v>43</v>
      </c>
      <c r="E1309" s="839">
        <v>45955</v>
      </c>
      <c r="F1309" s="838" t="s">
        <v>167</v>
      </c>
      <c r="G1309" s="838">
        <v>15</v>
      </c>
      <c r="H1309" s="838" t="s">
        <v>127</v>
      </c>
      <c r="I1309" s="838" t="s">
        <v>36</v>
      </c>
      <c r="J1309" s="838"/>
      <c r="K1309" s="838"/>
      <c r="L1309" s="21"/>
      <c r="M1309" s="22"/>
      <c r="N1309" s="23"/>
      <c r="O1309" s="23"/>
      <c r="P1309" s="23" t="s">
        <v>30</v>
      </c>
      <c r="Q1309" s="23">
        <v>45985</v>
      </c>
      <c r="R1309" s="79" t="s">
        <v>127</v>
      </c>
      <c r="S1309" s="22" t="s">
        <v>32</v>
      </c>
      <c r="T1309" s="22">
        <v>7</v>
      </c>
      <c r="U1309" s="24" t="s">
        <v>127</v>
      </c>
      <c r="V1309" s="23">
        <v>45985</v>
      </c>
      <c r="W1309" s="221" t="s">
        <v>30</v>
      </c>
      <c r="X1309" s="96" t="s">
        <v>30</v>
      </c>
      <c r="Y1309" s="96" t="s">
        <v>30</v>
      </c>
      <c r="Z1309" s="96" t="s">
        <v>30</v>
      </c>
      <c r="AA1309"/>
    </row>
    <row r="1310" spans="1:34">
      <c r="A1310" s="834" t="s">
        <v>24</v>
      </c>
      <c r="B1310" s="835">
        <v>1307</v>
      </c>
      <c r="C1310" s="838" t="s">
        <v>2003</v>
      </c>
      <c r="D1310" s="838" t="s">
        <v>34</v>
      </c>
      <c r="E1310" s="839">
        <v>45955</v>
      </c>
      <c r="F1310" s="838" t="s">
        <v>93</v>
      </c>
      <c r="G1310" s="838">
        <v>16</v>
      </c>
      <c r="H1310" s="838" t="s">
        <v>127</v>
      </c>
      <c r="I1310" s="838" t="s">
        <v>36</v>
      </c>
      <c r="J1310" s="838"/>
      <c r="K1310" s="838"/>
      <c r="L1310" s="21"/>
      <c r="M1310" s="22"/>
      <c r="N1310" s="23"/>
      <c r="O1310" s="61"/>
      <c r="P1310" s="23" t="s">
        <v>30</v>
      </c>
      <c r="Q1310" s="23">
        <v>45985</v>
      </c>
      <c r="R1310" s="79" t="s">
        <v>127</v>
      </c>
      <c r="S1310" s="22" t="s">
        <v>32</v>
      </c>
      <c r="T1310" s="22">
        <v>18</v>
      </c>
      <c r="U1310" s="24" t="s">
        <v>127</v>
      </c>
      <c r="V1310" s="23">
        <v>45985</v>
      </c>
      <c r="W1310" s="80" t="s">
        <v>30</v>
      </c>
      <c r="X1310" s="80" t="s">
        <v>30</v>
      </c>
      <c r="Y1310" s="80" t="s">
        <v>30</v>
      </c>
      <c r="Z1310" s="80" t="s">
        <v>30</v>
      </c>
      <c r="AA1310"/>
      <c r="AF1310" s="71"/>
      <c r="AG1310" s="92"/>
      <c r="AH1310" s="92"/>
    </row>
    <row r="1311" spans="1:34">
      <c r="A1311" s="834" t="s">
        <v>24</v>
      </c>
      <c r="B1311" s="835">
        <v>1308</v>
      </c>
      <c r="C1311" s="838" t="s">
        <v>2004</v>
      </c>
      <c r="D1311" s="838" t="s">
        <v>34</v>
      </c>
      <c r="E1311" s="839">
        <v>45955</v>
      </c>
      <c r="F1311" s="838" t="s">
        <v>97</v>
      </c>
      <c r="G1311" s="838">
        <v>6</v>
      </c>
      <c r="H1311" s="838" t="s">
        <v>127</v>
      </c>
      <c r="I1311" s="838" t="s">
        <v>36</v>
      </c>
      <c r="J1311" s="220" t="s">
        <v>17</v>
      </c>
      <c r="K1311" s="838"/>
      <c r="L1311" s="21"/>
      <c r="M1311" s="22"/>
      <c r="N1311" s="23"/>
      <c r="O1311" s="61"/>
      <c r="P1311" s="243" t="s">
        <v>30</v>
      </c>
      <c r="Q1311" s="23">
        <v>45985</v>
      </c>
      <c r="R1311" s="79" t="s">
        <v>127</v>
      </c>
      <c r="S1311" s="22" t="s">
        <v>32</v>
      </c>
      <c r="T1311" s="22">
        <v>6</v>
      </c>
      <c r="U1311" s="24" t="s">
        <v>127</v>
      </c>
      <c r="V1311" s="23">
        <v>45985</v>
      </c>
      <c r="W1311" s="80" t="s">
        <v>30</v>
      </c>
      <c r="X1311" s="96" t="s">
        <v>30</v>
      </c>
      <c r="Y1311" s="80" t="s">
        <v>30</v>
      </c>
      <c r="Z1311" s="80" t="s">
        <v>30</v>
      </c>
      <c r="AA1311"/>
      <c r="AF1311" s="71"/>
      <c r="AG1311" s="92"/>
      <c r="AH1311" s="92"/>
    </row>
    <row r="1312" spans="1:34">
      <c r="A1312" s="834" t="s">
        <v>24</v>
      </c>
      <c r="B1312" s="835">
        <v>1309</v>
      </c>
      <c r="C1312" s="838" t="s">
        <v>2005</v>
      </c>
      <c r="D1312" s="838" t="s">
        <v>34</v>
      </c>
      <c r="E1312" s="839">
        <v>45955</v>
      </c>
      <c r="F1312" s="838" t="s">
        <v>97</v>
      </c>
      <c r="G1312" s="838">
        <v>8</v>
      </c>
      <c r="H1312" s="838" t="s">
        <v>127</v>
      </c>
      <c r="I1312" s="838" t="s">
        <v>36</v>
      </c>
      <c r="J1312" s="838"/>
      <c r="K1312" s="838"/>
      <c r="L1312" s="21"/>
      <c r="M1312" s="22"/>
      <c r="N1312" s="23"/>
      <c r="O1312" s="848"/>
      <c r="P1312" s="243" t="s">
        <v>30</v>
      </c>
      <c r="Q1312" s="23">
        <v>45985</v>
      </c>
      <c r="R1312" s="79" t="s">
        <v>67</v>
      </c>
      <c r="S1312" s="22" t="s">
        <v>32</v>
      </c>
      <c r="T1312" s="22">
        <v>8</v>
      </c>
      <c r="U1312" s="24" t="s">
        <v>67</v>
      </c>
      <c r="V1312" s="23">
        <v>45985</v>
      </c>
      <c r="W1312" s="221" t="s">
        <v>30</v>
      </c>
      <c r="X1312" s="96" t="s">
        <v>30</v>
      </c>
      <c r="Y1312" s="96" t="s">
        <v>30</v>
      </c>
      <c r="Z1312" s="96" t="s">
        <v>30</v>
      </c>
      <c r="AA1312"/>
    </row>
    <row r="1313" spans="1:35">
      <c r="A1313" s="834" t="s">
        <v>24</v>
      </c>
      <c r="B1313" s="835">
        <v>1310</v>
      </c>
      <c r="C1313" s="838" t="s">
        <v>2006</v>
      </c>
      <c r="D1313" s="838" t="s">
        <v>34</v>
      </c>
      <c r="E1313" s="839">
        <v>45955</v>
      </c>
      <c r="F1313" s="838" t="s">
        <v>2007</v>
      </c>
      <c r="G1313" s="838">
        <v>5</v>
      </c>
      <c r="H1313" s="838" t="s">
        <v>127</v>
      </c>
      <c r="I1313" s="838" t="s">
        <v>36</v>
      </c>
      <c r="J1313" s="220" t="s">
        <v>17</v>
      </c>
      <c r="K1313" s="838"/>
      <c r="L1313" s="21"/>
      <c r="M1313" s="22"/>
      <c r="N1313" s="23"/>
      <c r="O1313" s="23"/>
      <c r="P1313" s="23" t="s">
        <v>30</v>
      </c>
      <c r="Q1313" s="23">
        <v>45985</v>
      </c>
      <c r="R1313" s="79" t="s">
        <v>127</v>
      </c>
      <c r="S1313" s="22" t="s">
        <v>30</v>
      </c>
      <c r="T1313" s="22">
        <v>4</v>
      </c>
      <c r="U1313" s="24" t="s">
        <v>127</v>
      </c>
      <c r="V1313" s="23">
        <v>45985</v>
      </c>
      <c r="W1313" s="80" t="s">
        <v>30</v>
      </c>
      <c r="X1313" s="80" t="s">
        <v>30</v>
      </c>
      <c r="Y1313" s="80" t="s">
        <v>30</v>
      </c>
      <c r="Z1313" s="80" t="s">
        <v>30</v>
      </c>
      <c r="AA1313"/>
    </row>
    <row r="1314" spans="1:35">
      <c r="A1314" s="834" t="s">
        <v>24</v>
      </c>
      <c r="B1314" s="835">
        <v>1311</v>
      </c>
      <c r="C1314" s="838" t="s">
        <v>2008</v>
      </c>
      <c r="D1314" s="838" t="s">
        <v>34</v>
      </c>
      <c r="E1314" s="839">
        <v>45955</v>
      </c>
      <c r="F1314" s="838" t="s">
        <v>401</v>
      </c>
      <c r="G1314" s="838">
        <v>5</v>
      </c>
      <c r="H1314" s="838" t="s">
        <v>1721</v>
      </c>
      <c r="I1314" s="838" t="s">
        <v>36</v>
      </c>
      <c r="J1314" s="838"/>
      <c r="K1314" s="838"/>
      <c r="L1314" s="21"/>
      <c r="M1314" s="22"/>
      <c r="N1314" s="23"/>
      <c r="O1314" s="848"/>
      <c r="P1314" s="23" t="s">
        <v>30</v>
      </c>
      <c r="Q1314" s="23">
        <v>45979</v>
      </c>
      <c r="R1314" s="79" t="s">
        <v>28</v>
      </c>
      <c r="S1314" s="22" t="s">
        <v>1140</v>
      </c>
      <c r="T1314" s="22">
        <v>9</v>
      </c>
      <c r="U1314" s="24" t="s">
        <v>28</v>
      </c>
      <c r="V1314" s="23">
        <v>45979</v>
      </c>
      <c r="W1314" s="80" t="s">
        <v>30</v>
      </c>
      <c r="X1314" s="80" t="s">
        <v>30</v>
      </c>
      <c r="Y1314" s="80" t="s">
        <v>30</v>
      </c>
      <c r="Z1314" s="80" t="s">
        <v>30</v>
      </c>
      <c r="AA1314"/>
      <c r="AE1314" s="84"/>
      <c r="AF1314" s="71"/>
      <c r="AG1314" s="71"/>
      <c r="AH1314" s="71"/>
    </row>
    <row r="1315" spans="1:35">
      <c r="A1315" s="834" t="s">
        <v>24</v>
      </c>
      <c r="B1315" s="835">
        <v>1312</v>
      </c>
      <c r="C1315" s="838" t="s">
        <v>2009</v>
      </c>
      <c r="D1315" s="838" t="s">
        <v>102</v>
      </c>
      <c r="E1315" s="839">
        <v>45955</v>
      </c>
      <c r="F1315" s="838" t="s">
        <v>661</v>
      </c>
      <c r="G1315" s="838">
        <v>20</v>
      </c>
      <c r="H1315" s="838" t="s">
        <v>1721</v>
      </c>
      <c r="I1315" s="838" t="s">
        <v>1638</v>
      </c>
      <c r="J1315" s="838"/>
      <c r="K1315" s="838"/>
      <c r="L1315" s="21"/>
      <c r="M1315" s="22"/>
      <c r="N1315" s="23"/>
      <c r="O1315" s="848"/>
      <c r="P1315" s="243" t="s">
        <v>30</v>
      </c>
      <c r="Q1315" s="23">
        <v>45987</v>
      </c>
      <c r="R1315" s="79" t="s">
        <v>28</v>
      </c>
      <c r="S1315" s="22" t="s">
        <v>1140</v>
      </c>
      <c r="T1315" s="22">
        <v>14</v>
      </c>
      <c r="U1315" s="24" t="s">
        <v>28</v>
      </c>
      <c r="V1315" s="23">
        <v>45987</v>
      </c>
      <c r="W1315" s="80" t="s">
        <v>30</v>
      </c>
      <c r="X1315" s="80" t="s">
        <v>30</v>
      </c>
      <c r="Y1315" s="80" t="s">
        <v>30</v>
      </c>
      <c r="Z1315" s="80" t="s">
        <v>30</v>
      </c>
      <c r="AA1315"/>
      <c r="AF1315" s="71"/>
      <c r="AG1315" s="92"/>
      <c r="AH1315" s="92"/>
    </row>
    <row r="1316" spans="1:35">
      <c r="A1316" s="834" t="s">
        <v>24</v>
      </c>
      <c r="B1316" s="835">
        <v>1313</v>
      </c>
      <c r="C1316" s="838" t="s">
        <v>2010</v>
      </c>
      <c r="D1316" s="838" t="s">
        <v>64</v>
      </c>
      <c r="E1316" s="839">
        <v>45955</v>
      </c>
      <c r="F1316" s="838" t="s">
        <v>65</v>
      </c>
      <c r="G1316" s="838">
        <v>8</v>
      </c>
      <c r="H1316" s="838" t="s">
        <v>1077</v>
      </c>
      <c r="I1316" s="838" t="s">
        <v>1138</v>
      </c>
      <c r="J1316" s="838"/>
      <c r="K1316" s="838"/>
      <c r="L1316" s="21"/>
      <c r="M1316" s="22"/>
      <c r="N1316" s="23"/>
      <c r="O1316" s="23"/>
      <c r="P1316" s="23" t="s">
        <v>30</v>
      </c>
      <c r="Q1316" s="23">
        <v>45987</v>
      </c>
      <c r="R1316" s="79" t="s">
        <v>1138</v>
      </c>
      <c r="S1316" s="22" t="s">
        <v>32</v>
      </c>
      <c r="T1316" s="22">
        <v>11</v>
      </c>
      <c r="U1316" s="24" t="s">
        <v>1138</v>
      </c>
      <c r="V1316" s="23">
        <v>45987</v>
      </c>
      <c r="W1316" s="80" t="s">
        <v>30</v>
      </c>
      <c r="X1316" s="96" t="s">
        <v>30</v>
      </c>
      <c r="Y1316" s="96" t="s">
        <v>30</v>
      </c>
      <c r="Z1316" s="96" t="s">
        <v>30</v>
      </c>
      <c r="AA1316"/>
    </row>
    <row r="1317" spans="1:35">
      <c r="A1317" s="834" t="s">
        <v>24</v>
      </c>
      <c r="B1317" s="835">
        <v>1314</v>
      </c>
      <c r="C1317" s="838" t="s">
        <v>2011</v>
      </c>
      <c r="D1317" s="838" t="s">
        <v>64</v>
      </c>
      <c r="E1317" s="839">
        <v>45955</v>
      </c>
      <c r="F1317" s="838" t="s">
        <v>401</v>
      </c>
      <c r="G1317" s="838">
        <v>7</v>
      </c>
      <c r="H1317" s="838" t="s">
        <v>1077</v>
      </c>
      <c r="I1317" s="838" t="s">
        <v>1138</v>
      </c>
      <c r="J1317" s="838"/>
      <c r="K1317" s="838"/>
      <c r="L1317" s="21"/>
      <c r="M1317" s="22"/>
      <c r="N1317" s="23"/>
      <c r="O1317" s="23"/>
      <c r="P1317" s="23" t="s">
        <v>30</v>
      </c>
      <c r="Q1317" s="23">
        <v>45987</v>
      </c>
      <c r="R1317" s="79" t="s">
        <v>1138</v>
      </c>
      <c r="S1317" s="22" t="s">
        <v>32</v>
      </c>
      <c r="T1317" s="22">
        <v>4</v>
      </c>
      <c r="U1317" s="24" t="s">
        <v>1138</v>
      </c>
      <c r="V1317" s="23">
        <v>45987</v>
      </c>
      <c r="W1317" s="96" t="s">
        <v>30</v>
      </c>
      <c r="X1317" s="96" t="s">
        <v>30</v>
      </c>
      <c r="Y1317" s="96" t="s">
        <v>30</v>
      </c>
      <c r="Z1317" s="96" t="s">
        <v>30</v>
      </c>
      <c r="AA1317"/>
    </row>
    <row r="1318" spans="1:35">
      <c r="A1318" s="834" t="s">
        <v>24</v>
      </c>
      <c r="B1318" s="835">
        <v>1315</v>
      </c>
      <c r="C1318" s="838" t="s">
        <v>2012</v>
      </c>
      <c r="D1318" s="838" t="s">
        <v>50</v>
      </c>
      <c r="E1318" s="839">
        <v>45955</v>
      </c>
      <c r="F1318" s="838" t="s">
        <v>1073</v>
      </c>
      <c r="G1318" s="838">
        <v>12</v>
      </c>
      <c r="H1318" s="838" t="s">
        <v>1077</v>
      </c>
      <c r="I1318" s="838" t="s">
        <v>1138</v>
      </c>
      <c r="J1318" s="838"/>
      <c r="K1318" s="838"/>
      <c r="L1318" s="21"/>
      <c r="M1318" s="22"/>
      <c r="N1318" s="23"/>
      <c r="O1318" s="848"/>
      <c r="P1318" s="23" t="s">
        <v>30</v>
      </c>
      <c r="Q1318" s="23">
        <v>45989</v>
      </c>
      <c r="R1318" s="79" t="s">
        <v>1138</v>
      </c>
      <c r="S1318" s="22" t="s">
        <v>32</v>
      </c>
      <c r="T1318" s="22">
        <v>8</v>
      </c>
      <c r="U1318" s="24" t="s">
        <v>1138</v>
      </c>
      <c r="V1318" s="23">
        <v>45989</v>
      </c>
      <c r="W1318" s="80" t="s">
        <v>30</v>
      </c>
      <c r="X1318" s="80" t="s">
        <v>30</v>
      </c>
      <c r="Y1318" s="80" t="s">
        <v>30</v>
      </c>
      <c r="Z1318" s="96" t="s">
        <v>30</v>
      </c>
      <c r="AA1318" s="6">
        <v>1</v>
      </c>
      <c r="AB1318" s="6">
        <v>0</v>
      </c>
      <c r="AC1318" s="6">
        <v>20</v>
      </c>
      <c r="AD1318" s="6">
        <v>1</v>
      </c>
      <c r="AE1318" s="6">
        <f>SUM(AA1318:AD1318)</f>
        <v>22</v>
      </c>
      <c r="AF1318" s="104">
        <f>+AA1318/AE1318*AF$1</f>
        <v>0</v>
      </c>
      <c r="AG1318" s="105">
        <f>+AB1318/AE1318*AG$1</f>
        <v>0</v>
      </c>
      <c r="AH1318" s="105">
        <f>+AC1318/AE1318*AH$1</f>
        <v>0</v>
      </c>
      <c r="AI1318" s="105">
        <f>+AD1318/AE1318*AI$1</f>
        <v>0</v>
      </c>
    </row>
    <row r="1319" spans="1:35">
      <c r="A1319" s="834" t="s">
        <v>24</v>
      </c>
      <c r="B1319" s="835">
        <v>1316</v>
      </c>
      <c r="C1319" s="838" t="s">
        <v>2013</v>
      </c>
      <c r="D1319" s="838" t="s">
        <v>64</v>
      </c>
      <c r="E1319" s="839">
        <v>45955</v>
      </c>
      <c r="F1319" s="838" t="s">
        <v>2014</v>
      </c>
      <c r="G1319" s="838">
        <v>14</v>
      </c>
      <c r="H1319" s="838" t="s">
        <v>1077</v>
      </c>
      <c r="I1319" s="838" t="s">
        <v>1138</v>
      </c>
      <c r="J1319" s="838"/>
      <c r="K1319" s="838"/>
      <c r="L1319" s="21"/>
      <c r="M1319" s="22"/>
      <c r="N1319" s="23"/>
      <c r="O1319" s="848"/>
      <c r="P1319" s="23" t="s">
        <v>30</v>
      </c>
      <c r="Q1319" s="23">
        <v>45988</v>
      </c>
      <c r="R1319" s="79" t="s">
        <v>28</v>
      </c>
      <c r="S1319" s="22" t="s">
        <v>32</v>
      </c>
      <c r="T1319" s="22">
        <v>19</v>
      </c>
      <c r="U1319" s="24" t="s">
        <v>28</v>
      </c>
      <c r="V1319" s="23">
        <v>45988</v>
      </c>
      <c r="W1319" s="80" t="s">
        <v>30</v>
      </c>
      <c r="X1319" s="80" t="s">
        <v>30</v>
      </c>
      <c r="Y1319" s="80" t="s">
        <v>30</v>
      </c>
      <c r="Z1319" s="80" t="s">
        <v>30</v>
      </c>
      <c r="AA1319"/>
      <c r="AB1319" s="776"/>
      <c r="AC1319" s="776"/>
      <c r="AD1319" s="776"/>
      <c r="AE1319" s="776"/>
      <c r="AI1319" s="105"/>
    </row>
    <row r="1320" spans="1:35">
      <c r="A1320" s="834" t="s">
        <v>24</v>
      </c>
      <c r="B1320" s="835">
        <v>1317</v>
      </c>
      <c r="C1320" s="838" t="s">
        <v>2015</v>
      </c>
      <c r="D1320" s="838" t="s">
        <v>34</v>
      </c>
      <c r="E1320" s="839">
        <v>45955</v>
      </c>
      <c r="F1320" s="838" t="s">
        <v>2016</v>
      </c>
      <c r="G1320" s="838">
        <v>15</v>
      </c>
      <c r="H1320" s="838" t="s">
        <v>1077</v>
      </c>
      <c r="I1320" s="838" t="s">
        <v>1138</v>
      </c>
      <c r="J1320" s="838"/>
      <c r="K1320" s="838"/>
      <c r="L1320" s="21"/>
      <c r="M1320" s="22"/>
      <c r="N1320" s="23"/>
      <c r="O1320" s="848"/>
      <c r="P1320" s="23" t="s">
        <v>30</v>
      </c>
      <c r="Q1320" s="23">
        <v>45982</v>
      </c>
      <c r="R1320" s="79" t="s">
        <v>1138</v>
      </c>
      <c r="S1320" s="22" t="s">
        <v>32</v>
      </c>
      <c r="T1320" s="22">
        <v>17</v>
      </c>
      <c r="U1320" s="24" t="s">
        <v>1138</v>
      </c>
      <c r="V1320" s="23">
        <v>45982</v>
      </c>
      <c r="W1320" s="80" t="s">
        <v>30</v>
      </c>
      <c r="X1320" s="80" t="s">
        <v>30</v>
      </c>
      <c r="Y1320" s="80" t="s">
        <v>30</v>
      </c>
      <c r="Z1320" s="80" t="s">
        <v>30</v>
      </c>
      <c r="AA1320"/>
      <c r="AF1320" s="71"/>
      <c r="AG1320" s="92"/>
      <c r="AH1320" s="92"/>
      <c r="AI1320" s="105"/>
    </row>
    <row r="1321" spans="1:35">
      <c r="A1321" s="834" t="s">
        <v>24</v>
      </c>
      <c r="B1321" s="835">
        <v>1318</v>
      </c>
      <c r="C1321" s="838" t="s">
        <v>2017</v>
      </c>
      <c r="D1321" s="838" t="s">
        <v>477</v>
      </c>
      <c r="E1321" s="839">
        <v>45955</v>
      </c>
      <c r="F1321" s="838" t="s">
        <v>1110</v>
      </c>
      <c r="G1321" s="838">
        <v>12</v>
      </c>
      <c r="H1321" s="838" t="s">
        <v>1721</v>
      </c>
      <c r="I1321" s="838" t="s">
        <v>1638</v>
      </c>
      <c r="J1321" s="838"/>
      <c r="K1321" s="838"/>
      <c r="L1321" s="21"/>
      <c r="M1321" s="22"/>
      <c r="N1321" s="23"/>
      <c r="O1321" s="23"/>
      <c r="P1321" s="23" t="s">
        <v>30</v>
      </c>
      <c r="Q1321" s="23">
        <v>45979</v>
      </c>
      <c r="R1321" s="79" t="s">
        <v>28</v>
      </c>
      <c r="S1321" s="22" t="s">
        <v>32</v>
      </c>
      <c r="T1321" s="22">
        <v>11</v>
      </c>
      <c r="U1321" s="24" t="s">
        <v>28</v>
      </c>
      <c r="V1321" s="23">
        <v>45979</v>
      </c>
      <c r="W1321" s="80" t="s">
        <v>30</v>
      </c>
      <c r="X1321" s="80" t="s">
        <v>30</v>
      </c>
      <c r="Y1321" s="80" t="s">
        <v>30</v>
      </c>
      <c r="Z1321" s="80" t="s">
        <v>30</v>
      </c>
      <c r="AA1321"/>
      <c r="AB1321" s="776"/>
      <c r="AC1321" s="776"/>
      <c r="AD1321" s="776"/>
      <c r="AE1321" s="776"/>
      <c r="AI1321" s="105"/>
    </row>
    <row r="1322" spans="1:35">
      <c r="A1322" s="834" t="s">
        <v>24</v>
      </c>
      <c r="B1322" s="835">
        <v>1319</v>
      </c>
      <c r="C1322" s="838" t="s">
        <v>2018</v>
      </c>
      <c r="D1322" s="838" t="s">
        <v>34</v>
      </c>
      <c r="E1322" s="839">
        <v>45955</v>
      </c>
      <c r="F1322" s="838" t="s">
        <v>35</v>
      </c>
      <c r="G1322" s="838">
        <v>14</v>
      </c>
      <c r="H1322" s="838" t="s">
        <v>1721</v>
      </c>
      <c r="I1322" s="838" t="s">
        <v>1638</v>
      </c>
      <c r="J1322" s="838"/>
      <c r="K1322" s="838"/>
      <c r="L1322" s="21"/>
      <c r="M1322" s="22"/>
      <c r="N1322" s="23"/>
      <c r="O1322" s="23"/>
      <c r="P1322" s="243" t="s">
        <v>30</v>
      </c>
      <c r="Q1322" s="23">
        <v>45978</v>
      </c>
      <c r="R1322" s="79" t="s">
        <v>28</v>
      </c>
      <c r="S1322" s="22" t="s">
        <v>32</v>
      </c>
      <c r="T1322" s="22">
        <v>8</v>
      </c>
      <c r="U1322" s="24" t="s">
        <v>28</v>
      </c>
      <c r="V1322" s="23">
        <v>45978</v>
      </c>
      <c r="W1322" s="80" t="s">
        <v>30</v>
      </c>
      <c r="X1322" s="80" t="s">
        <v>30</v>
      </c>
      <c r="Y1322" s="80" t="s">
        <v>30</v>
      </c>
      <c r="Z1322" s="80" t="s">
        <v>30</v>
      </c>
      <c r="AA1322"/>
      <c r="AB1322" s="776"/>
      <c r="AC1322" s="776"/>
      <c r="AD1322" s="776"/>
      <c r="AE1322" s="776"/>
      <c r="AI1322" s="105"/>
    </row>
    <row r="1323" spans="1:35">
      <c r="A1323" s="834" t="s">
        <v>24</v>
      </c>
      <c r="B1323" s="835">
        <v>1320</v>
      </c>
      <c r="C1323" s="838" t="s">
        <v>2019</v>
      </c>
      <c r="D1323" s="838" t="s">
        <v>34</v>
      </c>
      <c r="E1323" s="839">
        <v>45955</v>
      </c>
      <c r="F1323" s="838" t="s">
        <v>2020</v>
      </c>
      <c r="G1323" s="838">
        <v>12</v>
      </c>
      <c r="H1323" s="838" t="s">
        <v>1721</v>
      </c>
      <c r="I1323" s="838" t="s">
        <v>1638</v>
      </c>
      <c r="J1323" s="838"/>
      <c r="K1323" s="838"/>
      <c r="L1323" s="21"/>
      <c r="M1323" s="22"/>
      <c r="N1323" s="23"/>
      <c r="O1323" s="848"/>
      <c r="P1323" s="243" t="s">
        <v>30</v>
      </c>
      <c r="Q1323" s="23">
        <v>45979</v>
      </c>
      <c r="R1323" s="79" t="s">
        <v>28</v>
      </c>
      <c r="S1323" s="22" t="s">
        <v>32</v>
      </c>
      <c r="T1323" s="22">
        <v>12</v>
      </c>
      <c r="U1323" s="24" t="s">
        <v>28</v>
      </c>
      <c r="V1323" s="23">
        <v>45979</v>
      </c>
      <c r="W1323" s="80" t="s">
        <v>30</v>
      </c>
      <c r="X1323" s="80" t="s">
        <v>30</v>
      </c>
      <c r="Y1323" s="80" t="s">
        <v>30</v>
      </c>
      <c r="Z1323" s="80" t="s">
        <v>30</v>
      </c>
      <c r="AA1323" s="6">
        <v>6</v>
      </c>
      <c r="AB1323" s="6">
        <v>0</v>
      </c>
      <c r="AC1323" s="6">
        <v>10</v>
      </c>
      <c r="AD1323" s="6">
        <v>1</v>
      </c>
      <c r="AE1323" s="6">
        <f>SUM(AA1323:AD1323)</f>
        <v>17</v>
      </c>
      <c r="AF1323" s="104">
        <f>+AA1323/AE1323*AF$1</f>
        <v>0</v>
      </c>
      <c r="AG1323" s="105">
        <f>+AB1323/AE1323*AG$1</f>
        <v>0</v>
      </c>
      <c r="AH1323" s="105">
        <f>+AC1323/AE1323*AH$1</f>
        <v>0</v>
      </c>
      <c r="AI1323" s="105">
        <f>+AD1323/AE1323*AI$1</f>
        <v>0</v>
      </c>
    </row>
    <row r="1324" spans="1:35">
      <c r="A1324" s="834" t="s">
        <v>24</v>
      </c>
      <c r="B1324" s="835">
        <v>1321</v>
      </c>
      <c r="C1324" s="838" t="s">
        <v>2021</v>
      </c>
      <c r="D1324" s="838" t="s">
        <v>2022</v>
      </c>
      <c r="E1324" s="839">
        <v>45955</v>
      </c>
      <c r="F1324" s="838" t="s">
        <v>1105</v>
      </c>
      <c r="G1324" s="838">
        <v>10</v>
      </c>
      <c r="H1324" s="838" t="s">
        <v>1721</v>
      </c>
      <c r="I1324" s="838" t="s">
        <v>1638</v>
      </c>
      <c r="J1324" s="838"/>
      <c r="K1324" s="838"/>
      <c r="L1324" s="21"/>
      <c r="M1324" s="22"/>
      <c r="N1324" s="23"/>
      <c r="O1324" s="848"/>
      <c r="P1324" s="243" t="s">
        <v>30</v>
      </c>
      <c r="Q1324" s="23">
        <v>45987</v>
      </c>
      <c r="R1324" s="79" t="s">
        <v>28</v>
      </c>
      <c r="S1324" s="22" t="s">
        <v>32</v>
      </c>
      <c r="T1324" s="22">
        <v>6</v>
      </c>
      <c r="U1324" s="24" t="s">
        <v>28</v>
      </c>
      <c r="V1324" s="23">
        <v>45987</v>
      </c>
      <c r="W1324" s="96" t="s">
        <v>30</v>
      </c>
      <c r="X1324" s="96" t="s">
        <v>30</v>
      </c>
      <c r="Y1324" s="96" t="s">
        <v>30</v>
      </c>
      <c r="Z1324" s="96" t="s">
        <v>30</v>
      </c>
      <c r="AA1324"/>
      <c r="AI1324" s="105"/>
    </row>
    <row r="1325" spans="1:35">
      <c r="A1325" s="834" t="s">
        <v>24</v>
      </c>
      <c r="B1325" s="835">
        <v>1322</v>
      </c>
      <c r="C1325" s="838" t="s">
        <v>2023</v>
      </c>
      <c r="D1325" s="838" t="s">
        <v>34</v>
      </c>
      <c r="E1325" s="839">
        <v>45955</v>
      </c>
      <c r="F1325" s="838" t="s">
        <v>401</v>
      </c>
      <c r="G1325" s="838">
        <v>4</v>
      </c>
      <c r="H1325" s="838" t="s">
        <v>1721</v>
      </c>
      <c r="I1325" s="838" t="s">
        <v>1638</v>
      </c>
      <c r="J1325" s="838"/>
      <c r="K1325" s="838"/>
      <c r="L1325" s="21"/>
      <c r="M1325" s="22"/>
      <c r="N1325" s="23"/>
      <c r="O1325" s="848"/>
      <c r="P1325" s="243" t="s">
        <v>30</v>
      </c>
      <c r="Q1325" s="23">
        <v>45974</v>
      </c>
      <c r="R1325" s="79" t="s">
        <v>28</v>
      </c>
      <c r="S1325" s="22" t="s">
        <v>32</v>
      </c>
      <c r="T1325" s="22">
        <v>4</v>
      </c>
      <c r="U1325" s="24" t="s">
        <v>28</v>
      </c>
      <c r="V1325" s="23">
        <v>45974</v>
      </c>
      <c r="W1325" s="80" t="s">
        <v>30</v>
      </c>
      <c r="X1325" s="80" t="s">
        <v>30</v>
      </c>
      <c r="Y1325" s="80" t="s">
        <v>30</v>
      </c>
      <c r="Z1325" s="80" t="s">
        <v>30</v>
      </c>
      <c r="AA1325"/>
      <c r="AI1325" s="105"/>
    </row>
    <row r="1326" spans="1:35">
      <c r="A1326" s="834" t="s">
        <v>24</v>
      </c>
      <c r="B1326" s="835">
        <v>1323</v>
      </c>
      <c r="C1326" s="838" t="s">
        <v>2024</v>
      </c>
      <c r="D1326" s="838" t="s">
        <v>34</v>
      </c>
      <c r="E1326" s="839">
        <v>45955</v>
      </c>
      <c r="F1326" s="838" t="s">
        <v>670</v>
      </c>
      <c r="G1326" s="838">
        <v>12</v>
      </c>
      <c r="H1326" s="838" t="s">
        <v>1725</v>
      </c>
      <c r="I1326" s="838" t="s">
        <v>47</v>
      </c>
      <c r="J1326" s="838"/>
      <c r="K1326" s="838"/>
      <c r="L1326" s="21"/>
      <c r="M1326" s="22"/>
      <c r="N1326" s="23"/>
      <c r="O1326" s="23"/>
      <c r="P1326" s="23" t="s">
        <v>30</v>
      </c>
      <c r="Q1326" s="23">
        <v>45985</v>
      </c>
      <c r="R1326" s="79" t="s">
        <v>1638</v>
      </c>
      <c r="S1326" s="22" t="s">
        <v>32</v>
      </c>
      <c r="T1326" s="22">
        <v>5</v>
      </c>
      <c r="U1326" s="24" t="s">
        <v>1638</v>
      </c>
      <c r="V1326" s="23">
        <v>45985</v>
      </c>
      <c r="W1326" s="80" t="s">
        <v>30</v>
      </c>
      <c r="X1326" s="80" t="s">
        <v>30</v>
      </c>
      <c r="Y1326" s="80" t="s">
        <v>30</v>
      </c>
      <c r="Z1326" s="80" t="s">
        <v>30</v>
      </c>
      <c r="AA1326"/>
      <c r="AI1326" s="105"/>
    </row>
    <row r="1327" spans="1:35">
      <c r="A1327" s="834" t="s">
        <v>24</v>
      </c>
      <c r="B1327" s="835">
        <v>1324</v>
      </c>
      <c r="C1327" s="838" t="s">
        <v>2025</v>
      </c>
      <c r="D1327" s="838" t="s">
        <v>34</v>
      </c>
      <c r="E1327" s="839">
        <v>45955</v>
      </c>
      <c r="F1327" s="838" t="s">
        <v>401</v>
      </c>
      <c r="G1327" s="838">
        <v>1</v>
      </c>
      <c r="H1327" s="838" t="s">
        <v>1725</v>
      </c>
      <c r="I1327" s="838" t="s">
        <v>47</v>
      </c>
      <c r="J1327" s="838"/>
      <c r="K1327" s="838"/>
      <c r="L1327" s="21"/>
      <c r="M1327" s="22"/>
      <c r="N1327" s="23"/>
      <c r="O1327" s="848"/>
      <c r="P1327" s="117" t="s">
        <v>30</v>
      </c>
      <c r="Q1327" s="23">
        <v>45985</v>
      </c>
      <c r="R1327" s="79" t="s">
        <v>1638</v>
      </c>
      <c r="S1327" s="22" t="s">
        <v>32</v>
      </c>
      <c r="T1327" s="22">
        <v>5</v>
      </c>
      <c r="U1327" s="24" t="s">
        <v>1638</v>
      </c>
      <c r="V1327" s="23">
        <v>45985</v>
      </c>
      <c r="W1327" s="80" t="s">
        <v>30</v>
      </c>
      <c r="X1327" s="80" t="s">
        <v>30</v>
      </c>
      <c r="Y1327" s="80" t="s">
        <v>30</v>
      </c>
      <c r="Z1327" s="80" t="s">
        <v>30</v>
      </c>
      <c r="AA1327" s="87"/>
      <c r="AB1327" s="87"/>
      <c r="AF1327" s="71"/>
      <c r="AG1327" s="92"/>
      <c r="AH1327" s="92"/>
      <c r="AI1327" s="105"/>
    </row>
    <row r="1328" spans="1:35">
      <c r="A1328" s="834" t="s">
        <v>24</v>
      </c>
      <c r="B1328" s="835">
        <v>1325</v>
      </c>
      <c r="C1328" s="838" t="s">
        <v>2026</v>
      </c>
      <c r="D1328" s="838" t="s">
        <v>34</v>
      </c>
      <c r="E1328" s="839">
        <v>45955</v>
      </c>
      <c r="F1328" s="838" t="s">
        <v>187</v>
      </c>
      <c r="G1328" s="838">
        <v>20</v>
      </c>
      <c r="H1328" s="838" t="s">
        <v>1725</v>
      </c>
      <c r="I1328" s="838" t="s">
        <v>47</v>
      </c>
      <c r="J1328" s="838"/>
      <c r="K1328" s="838"/>
      <c r="L1328" s="21"/>
      <c r="M1328" s="22"/>
      <c r="N1328" s="23"/>
      <c r="O1328" s="23"/>
      <c r="P1328" s="22" t="s">
        <v>30</v>
      </c>
      <c r="Q1328" s="23">
        <v>45988</v>
      </c>
      <c r="R1328" s="79" t="s">
        <v>67</v>
      </c>
      <c r="S1328" s="22" t="s">
        <v>32</v>
      </c>
      <c r="T1328" s="7">
        <v>20</v>
      </c>
      <c r="U1328" s="24" t="s">
        <v>67</v>
      </c>
      <c r="V1328" s="23">
        <v>45988</v>
      </c>
      <c r="W1328" s="96" t="s">
        <v>30</v>
      </c>
      <c r="X1328" s="80" t="s">
        <v>30</v>
      </c>
      <c r="Y1328" s="80" t="s">
        <v>30</v>
      </c>
      <c r="Z1328" s="80" t="s">
        <v>30</v>
      </c>
      <c r="AA1328"/>
      <c r="AF1328" s="71"/>
      <c r="AG1328" s="92"/>
      <c r="AH1328" s="92"/>
      <c r="AI1328" s="105"/>
    </row>
    <row r="1329" spans="1:35">
      <c r="A1329" s="834" t="s">
        <v>24</v>
      </c>
      <c r="B1329" s="835">
        <v>1326</v>
      </c>
      <c r="C1329" s="838" t="s">
        <v>2027</v>
      </c>
      <c r="D1329" s="838" t="s">
        <v>34</v>
      </c>
      <c r="E1329" s="839">
        <v>45955</v>
      </c>
      <c r="F1329" s="838" t="s">
        <v>1314</v>
      </c>
      <c r="G1329" s="838">
        <v>13</v>
      </c>
      <c r="H1329" s="838" t="s">
        <v>1725</v>
      </c>
      <c r="I1329" s="838" t="s">
        <v>47</v>
      </c>
      <c r="J1329" s="838"/>
      <c r="K1329" s="838"/>
      <c r="L1329" s="21"/>
      <c r="M1329" s="22"/>
      <c r="N1329" s="23"/>
      <c r="O1329" s="848"/>
      <c r="P1329" s="23" t="s">
        <v>30</v>
      </c>
      <c r="Q1329" s="23">
        <v>45989</v>
      </c>
      <c r="R1329" s="79" t="s">
        <v>67</v>
      </c>
      <c r="S1329" s="22" t="s">
        <v>32</v>
      </c>
      <c r="T1329" s="22">
        <v>10</v>
      </c>
      <c r="U1329" s="24" t="s">
        <v>67</v>
      </c>
      <c r="V1329" s="23">
        <v>45989</v>
      </c>
      <c r="W1329" s="80" t="s">
        <v>30</v>
      </c>
      <c r="X1329" s="96" t="s">
        <v>30</v>
      </c>
      <c r="Y1329" s="80" t="s">
        <v>30</v>
      </c>
      <c r="Z1329" s="80" t="s">
        <v>30</v>
      </c>
      <c r="AA1329" s="87"/>
      <c r="AB1329" s="87"/>
      <c r="AF1329" s="71"/>
      <c r="AG1329" s="92"/>
      <c r="AH1329" s="92"/>
      <c r="AI1329" s="105"/>
    </row>
    <row r="1330" spans="1:35">
      <c r="A1330" s="834" t="s">
        <v>24</v>
      </c>
      <c r="B1330" s="835">
        <v>1327</v>
      </c>
      <c r="C1330" s="838" t="s">
        <v>2028</v>
      </c>
      <c r="D1330" s="838" t="s">
        <v>34</v>
      </c>
      <c r="E1330" s="839">
        <v>45955</v>
      </c>
      <c r="F1330" s="838" t="s">
        <v>1314</v>
      </c>
      <c r="G1330" s="838">
        <v>2</v>
      </c>
      <c r="H1330" s="838" t="s">
        <v>1725</v>
      </c>
      <c r="I1330" s="838" t="s">
        <v>47</v>
      </c>
      <c r="J1330" s="838"/>
      <c r="K1330" s="838"/>
      <c r="L1330" s="21"/>
      <c r="M1330" s="22"/>
      <c r="N1330" s="23"/>
      <c r="O1330" s="23"/>
      <c r="P1330" s="23" t="s">
        <v>30</v>
      </c>
      <c r="Q1330" s="23">
        <v>45988</v>
      </c>
      <c r="R1330" s="79" t="s">
        <v>47</v>
      </c>
      <c r="S1330" s="22" t="s">
        <v>32</v>
      </c>
      <c r="T1330" s="22">
        <v>2</v>
      </c>
      <c r="U1330" s="24" t="s">
        <v>47</v>
      </c>
      <c r="V1330" s="23">
        <v>45988</v>
      </c>
      <c r="W1330" s="80" t="s">
        <v>30</v>
      </c>
      <c r="X1330" s="96" t="s">
        <v>30</v>
      </c>
      <c r="Y1330" s="80" t="s">
        <v>30</v>
      </c>
      <c r="Z1330" s="80" t="s">
        <v>30</v>
      </c>
      <c r="AA1330"/>
      <c r="AI1330" s="105"/>
    </row>
    <row r="1331" spans="1:35">
      <c r="A1331" s="834" t="s">
        <v>24</v>
      </c>
      <c r="B1331" s="835">
        <v>1328</v>
      </c>
      <c r="C1331" s="838" t="s">
        <v>2029</v>
      </c>
      <c r="D1331" s="838" t="s">
        <v>34</v>
      </c>
      <c r="E1331" s="839">
        <v>45955</v>
      </c>
      <c r="F1331" s="838" t="s">
        <v>1135</v>
      </c>
      <c r="G1331" s="838">
        <v>13</v>
      </c>
      <c r="H1331" s="838" t="s">
        <v>1725</v>
      </c>
      <c r="I1331" s="838" t="s">
        <v>47</v>
      </c>
      <c r="J1331" s="838"/>
      <c r="K1331" s="838"/>
      <c r="L1331" s="21"/>
      <c r="M1331" s="22"/>
      <c r="N1331" s="23"/>
      <c r="O1331" s="848"/>
      <c r="P1331" s="23" t="s">
        <v>30</v>
      </c>
      <c r="Q1331" s="23">
        <v>45986</v>
      </c>
      <c r="R1331" s="79" t="s">
        <v>28</v>
      </c>
      <c r="S1331" s="22" t="s">
        <v>32</v>
      </c>
      <c r="T1331" s="22">
        <v>11</v>
      </c>
      <c r="U1331" s="24" t="s">
        <v>28</v>
      </c>
      <c r="V1331" s="23">
        <v>45986</v>
      </c>
      <c r="W1331" s="80" t="s">
        <v>30</v>
      </c>
      <c r="X1331" s="96" t="s">
        <v>30</v>
      </c>
      <c r="Y1331" s="80" t="s">
        <v>30</v>
      </c>
      <c r="Z1331" s="80" t="s">
        <v>30</v>
      </c>
      <c r="AA1331"/>
      <c r="AE1331" s="84"/>
      <c r="AF1331" s="71"/>
      <c r="AG1331" s="71"/>
      <c r="AH1331" s="71"/>
      <c r="AI1331" s="105"/>
    </row>
    <row r="1332" spans="1:35">
      <c r="A1332" s="834" t="s">
        <v>24</v>
      </c>
      <c r="B1332" s="835">
        <v>1329</v>
      </c>
      <c r="C1332" s="838" t="s">
        <v>2030</v>
      </c>
      <c r="D1332" s="838" t="s">
        <v>34</v>
      </c>
      <c r="E1332" s="839">
        <v>45955</v>
      </c>
      <c r="F1332" s="838" t="s">
        <v>324</v>
      </c>
      <c r="G1332" s="838">
        <v>14</v>
      </c>
      <c r="H1332" s="838" t="s">
        <v>1725</v>
      </c>
      <c r="I1332" s="838" t="s">
        <v>47</v>
      </c>
      <c r="J1332" s="838"/>
      <c r="K1332" s="838"/>
      <c r="L1332" s="21"/>
      <c r="M1332" s="22"/>
      <c r="N1332" s="23"/>
      <c r="O1332" s="23"/>
      <c r="P1332" s="243" t="s">
        <v>30</v>
      </c>
      <c r="Q1332" s="23">
        <v>45988</v>
      </c>
      <c r="R1332" s="79" t="s">
        <v>67</v>
      </c>
      <c r="S1332" s="22" t="s">
        <v>1140</v>
      </c>
      <c r="T1332" s="22">
        <v>12</v>
      </c>
      <c r="U1332" s="24" t="s">
        <v>67</v>
      </c>
      <c r="V1332" s="23">
        <v>45988</v>
      </c>
      <c r="W1332" s="80" t="s">
        <v>30</v>
      </c>
      <c r="X1332" s="96" t="s">
        <v>30</v>
      </c>
      <c r="Y1332" s="96" t="s">
        <v>30</v>
      </c>
      <c r="Z1332" s="80" t="s">
        <v>30</v>
      </c>
      <c r="AA1332"/>
      <c r="AI1332" s="105"/>
    </row>
    <row r="1333" spans="1:35">
      <c r="A1333" s="834" t="s">
        <v>24</v>
      </c>
      <c r="B1333" s="835">
        <v>1330</v>
      </c>
      <c r="C1333" s="838" t="s">
        <v>2031</v>
      </c>
      <c r="D1333" s="838" t="s">
        <v>34</v>
      </c>
      <c r="E1333" s="839">
        <v>45955</v>
      </c>
      <c r="F1333" s="838" t="s">
        <v>187</v>
      </c>
      <c r="G1333" s="838">
        <v>15</v>
      </c>
      <c r="H1333" s="838" t="s">
        <v>1725</v>
      </c>
      <c r="I1333" s="838" t="s">
        <v>47</v>
      </c>
      <c r="J1333" s="838"/>
      <c r="K1333" s="838"/>
      <c r="L1333" s="21"/>
      <c r="M1333" s="22"/>
      <c r="N1333" s="23"/>
      <c r="O1333" s="23"/>
      <c r="P1333" s="23" t="s">
        <v>30</v>
      </c>
      <c r="Q1333" s="23">
        <v>45988</v>
      </c>
      <c r="R1333" s="79" t="s">
        <v>67</v>
      </c>
      <c r="S1333" s="22" t="s">
        <v>32</v>
      </c>
      <c r="T1333" s="22">
        <v>15</v>
      </c>
      <c r="U1333" s="24" t="s">
        <v>67</v>
      </c>
      <c r="V1333" s="23">
        <v>45988</v>
      </c>
      <c r="W1333" s="80" t="s">
        <v>30</v>
      </c>
      <c r="X1333" s="80" t="s">
        <v>30</v>
      </c>
      <c r="Y1333" s="80" t="s">
        <v>30</v>
      </c>
      <c r="Z1333" s="80" t="s">
        <v>30</v>
      </c>
      <c r="AA1333"/>
      <c r="AI1333" s="105"/>
    </row>
    <row r="1334" spans="1:35">
      <c r="A1334" s="834" t="s">
        <v>24</v>
      </c>
      <c r="B1334" s="835">
        <v>1331</v>
      </c>
      <c r="C1334" s="838" t="s">
        <v>2032</v>
      </c>
      <c r="D1334" s="838" t="s">
        <v>34</v>
      </c>
      <c r="E1334" s="839">
        <v>45955</v>
      </c>
      <c r="F1334" s="838" t="s">
        <v>401</v>
      </c>
      <c r="G1334" s="838">
        <v>1</v>
      </c>
      <c r="H1334" s="838" t="s">
        <v>1725</v>
      </c>
      <c r="I1334" s="838" t="s">
        <v>47</v>
      </c>
      <c r="J1334" s="838"/>
      <c r="K1334" s="838"/>
      <c r="L1334" s="21"/>
      <c r="M1334" s="22"/>
      <c r="N1334" s="23"/>
      <c r="O1334" s="848"/>
      <c r="P1334" s="23" t="s">
        <v>30</v>
      </c>
      <c r="Q1334" s="23">
        <v>45988</v>
      </c>
      <c r="R1334" s="79" t="s">
        <v>47</v>
      </c>
      <c r="S1334" s="22" t="s">
        <v>32</v>
      </c>
      <c r="T1334" s="22">
        <v>1</v>
      </c>
      <c r="U1334" s="24" t="s">
        <v>47</v>
      </c>
      <c r="V1334" s="23">
        <v>45988</v>
      </c>
      <c r="W1334" s="80" t="s">
        <v>30</v>
      </c>
      <c r="X1334" s="96" t="s">
        <v>30</v>
      </c>
      <c r="Y1334" s="80" t="s">
        <v>30</v>
      </c>
      <c r="Z1334" s="80" t="s">
        <v>30</v>
      </c>
      <c r="AA1334"/>
      <c r="AE1334" s="84"/>
      <c r="AF1334" s="71"/>
      <c r="AG1334" s="71"/>
      <c r="AH1334" s="71"/>
      <c r="AI1334" s="105"/>
    </row>
    <row r="1335" spans="1:35">
      <c r="A1335" s="834" t="s">
        <v>24</v>
      </c>
      <c r="B1335" s="835">
        <v>1332</v>
      </c>
      <c r="C1335" s="838" t="s">
        <v>2033</v>
      </c>
      <c r="D1335" s="838" t="s">
        <v>43</v>
      </c>
      <c r="E1335" s="839">
        <v>45955</v>
      </c>
      <c r="F1335" s="838" t="s">
        <v>1972</v>
      </c>
      <c r="G1335" s="838">
        <v>13</v>
      </c>
      <c r="H1335" s="838" t="s">
        <v>1725</v>
      </c>
      <c r="I1335" s="838" t="s">
        <v>47</v>
      </c>
      <c r="J1335" s="838"/>
      <c r="K1335" s="838"/>
      <c r="L1335" s="21"/>
      <c r="M1335" s="22"/>
      <c r="N1335" s="23"/>
      <c r="O1335" s="848"/>
      <c r="P1335" s="23" t="s">
        <v>30</v>
      </c>
      <c r="Q1335" s="23">
        <v>45988</v>
      </c>
      <c r="R1335" s="79" t="s">
        <v>67</v>
      </c>
      <c r="S1335" s="22" t="s">
        <v>32</v>
      </c>
      <c r="T1335" s="22">
        <v>12</v>
      </c>
      <c r="U1335" s="24" t="s">
        <v>67</v>
      </c>
      <c r="V1335" s="23">
        <v>45988</v>
      </c>
      <c r="W1335" s="80" t="s">
        <v>30</v>
      </c>
      <c r="X1335" s="80" t="s">
        <v>30</v>
      </c>
      <c r="Y1335" s="80" t="s">
        <v>30</v>
      </c>
      <c r="Z1335" s="80" t="s">
        <v>30</v>
      </c>
      <c r="AA1335"/>
      <c r="AB1335" s="776"/>
      <c r="AC1335" s="776"/>
      <c r="AD1335" s="776"/>
      <c r="AE1335" s="776"/>
      <c r="AI1335" s="105"/>
    </row>
    <row r="1336" spans="1:35">
      <c r="A1336" s="834" t="s">
        <v>24</v>
      </c>
      <c r="B1336" s="835">
        <v>1333</v>
      </c>
      <c r="C1336" s="838" t="s">
        <v>2034</v>
      </c>
      <c r="D1336" s="838" t="s">
        <v>34</v>
      </c>
      <c r="E1336" s="839">
        <v>45957</v>
      </c>
      <c r="F1336" s="838" t="s">
        <v>430</v>
      </c>
      <c r="G1336" s="838">
        <v>12</v>
      </c>
      <c r="H1336" s="838" t="s">
        <v>1077</v>
      </c>
      <c r="I1336" s="838" t="s">
        <v>1138</v>
      </c>
      <c r="J1336" s="838"/>
      <c r="K1336" s="838"/>
      <c r="L1336" s="21"/>
      <c r="M1336" s="22"/>
      <c r="N1336" s="23"/>
      <c r="O1336" s="848"/>
      <c r="P1336" s="23" t="s">
        <v>30</v>
      </c>
      <c r="Q1336" s="23">
        <v>45986</v>
      </c>
      <c r="R1336" s="79" t="s">
        <v>1138</v>
      </c>
      <c r="S1336" s="22" t="s">
        <v>32</v>
      </c>
      <c r="T1336" s="22">
        <v>6</v>
      </c>
      <c r="U1336" s="24" t="s">
        <v>1138</v>
      </c>
      <c r="V1336" s="23">
        <v>45986</v>
      </c>
      <c r="W1336" s="80" t="s">
        <v>30</v>
      </c>
      <c r="X1336" s="80" t="s">
        <v>30</v>
      </c>
      <c r="Y1336" s="80" t="s">
        <v>30</v>
      </c>
      <c r="Z1336" s="80" t="s">
        <v>30</v>
      </c>
      <c r="AA1336"/>
      <c r="AF1336" s="71"/>
      <c r="AG1336" s="92"/>
      <c r="AH1336" s="92"/>
      <c r="AI1336" s="105"/>
    </row>
    <row r="1337" spans="1:35">
      <c r="A1337" s="834" t="s">
        <v>24</v>
      </c>
      <c r="B1337" s="835">
        <v>1334</v>
      </c>
      <c r="C1337" s="838" t="s">
        <v>2035</v>
      </c>
      <c r="D1337" s="838" t="s">
        <v>34</v>
      </c>
      <c r="E1337" s="839">
        <v>45957</v>
      </c>
      <c r="F1337" s="838" t="s">
        <v>644</v>
      </c>
      <c r="G1337" s="838">
        <v>13</v>
      </c>
      <c r="H1337" s="838" t="s">
        <v>127</v>
      </c>
      <c r="I1337" s="838" t="s">
        <v>36</v>
      </c>
      <c r="J1337" s="220" t="s">
        <v>17</v>
      </c>
      <c r="K1337" s="838"/>
      <c r="L1337" s="21"/>
      <c r="M1337" s="22"/>
      <c r="N1337" s="23"/>
      <c r="O1337" s="23"/>
      <c r="P1337" s="23" t="s">
        <v>30</v>
      </c>
      <c r="Q1337" s="23">
        <v>45985</v>
      </c>
      <c r="R1337" s="79" t="s">
        <v>127</v>
      </c>
      <c r="S1337" s="22" t="s">
        <v>30</v>
      </c>
      <c r="T1337" s="22">
        <v>12</v>
      </c>
      <c r="U1337" s="24" t="s">
        <v>127</v>
      </c>
      <c r="V1337" s="23">
        <v>45985</v>
      </c>
      <c r="W1337" s="80" t="s">
        <v>30</v>
      </c>
      <c r="X1337" s="80" t="s">
        <v>30</v>
      </c>
      <c r="Y1337" s="80" t="s">
        <v>30</v>
      </c>
      <c r="Z1337" s="80" t="s">
        <v>30</v>
      </c>
      <c r="AA1337"/>
      <c r="AB1337" s="776"/>
      <c r="AC1337" s="776"/>
      <c r="AD1337" s="776"/>
      <c r="AE1337" s="776"/>
      <c r="AI1337" s="105"/>
    </row>
    <row r="1338" spans="1:35">
      <c r="A1338" s="834" t="s">
        <v>24</v>
      </c>
      <c r="B1338" s="835">
        <v>1335</v>
      </c>
      <c r="C1338" s="838" t="s">
        <v>2036</v>
      </c>
      <c r="D1338" s="838" t="s">
        <v>34</v>
      </c>
      <c r="E1338" s="839">
        <v>45957</v>
      </c>
      <c r="F1338" s="838" t="s">
        <v>106</v>
      </c>
      <c r="G1338" s="838">
        <v>9</v>
      </c>
      <c r="H1338" s="838" t="s">
        <v>1721</v>
      </c>
      <c r="I1338" s="838" t="s">
        <v>127</v>
      </c>
      <c r="J1338" s="838"/>
      <c r="K1338" s="838"/>
      <c r="L1338" s="21"/>
      <c r="M1338" s="22"/>
      <c r="N1338" s="23"/>
      <c r="O1338" s="23"/>
      <c r="P1338" s="243" t="s">
        <v>30</v>
      </c>
      <c r="Q1338" s="23">
        <v>45979</v>
      </c>
      <c r="R1338" s="79" t="s">
        <v>28</v>
      </c>
      <c r="S1338" s="22" t="s">
        <v>32</v>
      </c>
      <c r="T1338" s="22">
        <v>7</v>
      </c>
      <c r="U1338" s="24" t="s">
        <v>28</v>
      </c>
      <c r="V1338" s="23">
        <v>45979</v>
      </c>
      <c r="W1338" s="96" t="s">
        <v>30</v>
      </c>
      <c r="X1338" s="96" t="s">
        <v>30</v>
      </c>
      <c r="Y1338" s="96" t="s">
        <v>30</v>
      </c>
      <c r="Z1338" s="96" t="s">
        <v>30</v>
      </c>
      <c r="AA1338"/>
      <c r="AB1338" s="776"/>
      <c r="AC1338" s="776"/>
      <c r="AD1338" s="776"/>
      <c r="AE1338" s="776"/>
      <c r="AI1338" s="105"/>
    </row>
    <row r="1339" spans="1:35">
      <c r="A1339" s="834" t="s">
        <v>24</v>
      </c>
      <c r="B1339" s="835">
        <v>1336</v>
      </c>
      <c r="C1339" s="838" t="s">
        <v>2037</v>
      </c>
      <c r="D1339" s="838" t="s">
        <v>270</v>
      </c>
      <c r="E1339" s="839">
        <v>45957</v>
      </c>
      <c r="F1339" s="838" t="s">
        <v>2038</v>
      </c>
      <c r="G1339" s="838">
        <v>12</v>
      </c>
      <c r="H1339" s="838" t="s">
        <v>1077</v>
      </c>
      <c r="I1339" s="838" t="s">
        <v>1138</v>
      </c>
      <c r="J1339" s="838"/>
      <c r="K1339" s="838"/>
      <c r="L1339" s="21"/>
      <c r="M1339" s="22"/>
      <c r="N1339" s="23"/>
      <c r="O1339" s="23"/>
      <c r="P1339" s="243" t="s">
        <v>1091</v>
      </c>
      <c r="Q1339" s="23">
        <v>45988</v>
      </c>
      <c r="R1339" s="79" t="s">
        <v>1138</v>
      </c>
      <c r="S1339" s="22" t="s">
        <v>1140</v>
      </c>
      <c r="T1339" s="22">
        <v>10</v>
      </c>
      <c r="U1339" s="24" t="s">
        <v>1138</v>
      </c>
      <c r="V1339" s="23">
        <v>45988</v>
      </c>
      <c r="W1339" s="91" t="s">
        <v>32</v>
      </c>
      <c r="X1339" s="96" t="s">
        <v>30</v>
      </c>
      <c r="Y1339" s="96" t="s">
        <v>30</v>
      </c>
      <c r="Z1339" s="96" t="s">
        <v>30</v>
      </c>
      <c r="AA1339"/>
      <c r="AI1339" s="105"/>
    </row>
    <row r="1340" spans="1:35">
      <c r="A1340" s="834" t="s">
        <v>24</v>
      </c>
      <c r="B1340" s="835">
        <v>1337</v>
      </c>
      <c r="C1340" s="838" t="s">
        <v>2039</v>
      </c>
      <c r="D1340" s="838" t="s">
        <v>50</v>
      </c>
      <c r="E1340" s="839">
        <v>45959</v>
      </c>
      <c r="F1340" s="838" t="s">
        <v>412</v>
      </c>
      <c r="G1340" s="838">
        <v>11</v>
      </c>
      <c r="H1340" s="838" t="s">
        <v>1077</v>
      </c>
      <c r="I1340" s="838" t="s">
        <v>1138</v>
      </c>
      <c r="J1340" s="838"/>
      <c r="K1340" s="838"/>
      <c r="L1340" s="21"/>
      <c r="M1340" s="22"/>
      <c r="N1340" s="23"/>
      <c r="O1340" s="848"/>
      <c r="P1340" s="23" t="s">
        <v>30</v>
      </c>
      <c r="Q1340" s="23">
        <v>45986</v>
      </c>
      <c r="R1340" s="79" t="s">
        <v>1138</v>
      </c>
      <c r="S1340" s="22" t="s">
        <v>32</v>
      </c>
      <c r="T1340" s="22">
        <v>11</v>
      </c>
      <c r="U1340" s="24" t="s">
        <v>1138</v>
      </c>
      <c r="V1340" s="23">
        <v>45986</v>
      </c>
      <c r="W1340" s="80" t="s">
        <v>30</v>
      </c>
      <c r="X1340" s="96" t="s">
        <v>30</v>
      </c>
      <c r="Y1340" s="96" t="s">
        <v>30</v>
      </c>
      <c r="Z1340" s="80" t="s">
        <v>30</v>
      </c>
      <c r="AA1340" s="6">
        <v>26</v>
      </c>
      <c r="AB1340" s="6">
        <v>0</v>
      </c>
      <c r="AC1340" s="6">
        <v>7</v>
      </c>
      <c r="AD1340" s="6">
        <v>9</v>
      </c>
      <c r="AE1340" s="6">
        <f>SUM(AA1340:AD1340)</f>
        <v>42</v>
      </c>
      <c r="AF1340" s="104">
        <f>+AA1340/AE1340*AF$1</f>
        <v>0</v>
      </c>
      <c r="AG1340" s="105">
        <f>+AB1340/AE1340*AG$1</f>
        <v>0</v>
      </c>
      <c r="AH1340" s="105">
        <f>+AC1340/AE1340*AH$1</f>
        <v>0</v>
      </c>
      <c r="AI1340" s="105">
        <f>+AD1340/AE1340*AI$1</f>
        <v>0</v>
      </c>
    </row>
    <row r="1341" spans="1:35">
      <c r="A1341" s="834" t="s">
        <v>24</v>
      </c>
      <c r="B1341" s="835">
        <v>1338</v>
      </c>
      <c r="C1341" s="838" t="s">
        <v>2040</v>
      </c>
      <c r="D1341" s="838" t="s">
        <v>1764</v>
      </c>
      <c r="E1341" s="839">
        <v>45960</v>
      </c>
      <c r="F1341" s="838" t="s">
        <v>644</v>
      </c>
      <c r="G1341" s="838">
        <v>14</v>
      </c>
      <c r="H1341" s="838" t="s">
        <v>127</v>
      </c>
      <c r="I1341" s="838" t="s">
        <v>36</v>
      </c>
      <c r="J1341" s="838"/>
      <c r="K1341" s="838"/>
      <c r="L1341" s="21"/>
      <c r="M1341" s="22"/>
      <c r="N1341" s="23"/>
      <c r="O1341" s="848"/>
      <c r="P1341" s="23" t="s">
        <v>30</v>
      </c>
      <c r="Q1341" s="23">
        <v>45988</v>
      </c>
      <c r="R1341" s="79" t="s">
        <v>28</v>
      </c>
      <c r="S1341" s="22" t="s">
        <v>32</v>
      </c>
      <c r="T1341" s="22">
        <v>13</v>
      </c>
      <c r="U1341" s="24" t="s">
        <v>28</v>
      </c>
      <c r="V1341" s="23">
        <v>45988</v>
      </c>
      <c r="W1341" s="96" t="s">
        <v>30</v>
      </c>
      <c r="X1341" s="96" t="s">
        <v>30</v>
      </c>
      <c r="Y1341" s="96" t="s">
        <v>30</v>
      </c>
      <c r="Z1341" s="96" t="s">
        <v>30</v>
      </c>
      <c r="AA1341" s="6">
        <v>0</v>
      </c>
      <c r="AB1341" s="6">
        <v>0</v>
      </c>
      <c r="AC1341" s="6">
        <v>22</v>
      </c>
      <c r="AD1341" s="6">
        <v>0</v>
      </c>
      <c r="AE1341" s="6">
        <f>SUM(AA1341:AD1341)</f>
        <v>22</v>
      </c>
      <c r="AF1341" s="104">
        <f>+AA1341/AE1341*AF$1</f>
        <v>0</v>
      </c>
      <c r="AG1341" s="105">
        <f>+AB1341/AE1341*AG$1</f>
        <v>0</v>
      </c>
      <c r="AH1341" s="105">
        <f>+AC1341/AE1341*AH$1</f>
        <v>0</v>
      </c>
      <c r="AI1341" s="105">
        <f>+AD1341/AE1341*AI$1</f>
        <v>0</v>
      </c>
    </row>
    <row r="1342" spans="1:35">
      <c r="A1342" s="834" t="s">
        <v>24</v>
      </c>
      <c r="B1342" s="835">
        <v>1339</v>
      </c>
      <c r="C1342" s="838" t="s">
        <v>2041</v>
      </c>
      <c r="D1342" s="838" t="s">
        <v>270</v>
      </c>
      <c r="E1342" s="839">
        <v>45961</v>
      </c>
      <c r="F1342" s="838" t="s">
        <v>2042</v>
      </c>
      <c r="G1342" s="838">
        <v>9</v>
      </c>
      <c r="H1342" s="838" t="s">
        <v>1077</v>
      </c>
      <c r="I1342" s="838" t="s">
        <v>1138</v>
      </c>
      <c r="J1342" s="838"/>
      <c r="K1342" s="838"/>
      <c r="L1342" s="21"/>
      <c r="M1342" s="22"/>
      <c r="N1342" s="23"/>
      <c r="O1342" s="23"/>
      <c r="P1342" s="23" t="s">
        <v>30</v>
      </c>
      <c r="Q1342" s="23">
        <v>45985</v>
      </c>
      <c r="R1342" s="79" t="s">
        <v>28</v>
      </c>
      <c r="S1342" s="22" t="s">
        <v>32</v>
      </c>
      <c r="T1342" s="22">
        <v>9</v>
      </c>
      <c r="U1342" s="24" t="s">
        <v>28</v>
      </c>
      <c r="V1342" s="23">
        <v>45985</v>
      </c>
      <c r="W1342" s="80" t="s">
        <v>30</v>
      </c>
      <c r="X1342" s="80" t="s">
        <v>30</v>
      </c>
      <c r="Y1342" s="80" t="s">
        <v>30</v>
      </c>
      <c r="Z1342" s="80" t="s">
        <v>30</v>
      </c>
      <c r="AA1342"/>
      <c r="AI1342" s="105"/>
    </row>
    <row r="1343" spans="1:35">
      <c r="A1343" s="834" t="s">
        <v>24</v>
      </c>
      <c r="B1343" s="835">
        <v>1340</v>
      </c>
      <c r="C1343" s="838" t="s">
        <v>2043</v>
      </c>
      <c r="D1343" s="838" t="s">
        <v>403</v>
      </c>
      <c r="E1343" s="839">
        <v>45961</v>
      </c>
      <c r="F1343" s="838" t="s">
        <v>62</v>
      </c>
      <c r="G1343" s="838">
        <v>9</v>
      </c>
      <c r="H1343" s="838" t="s">
        <v>1077</v>
      </c>
      <c r="I1343" s="838" t="s">
        <v>1138</v>
      </c>
      <c r="J1343" s="838"/>
      <c r="K1343" s="838"/>
      <c r="L1343" s="21"/>
      <c r="M1343" s="22"/>
      <c r="N1343" s="23"/>
      <c r="O1343" s="848"/>
      <c r="P1343" s="848" t="s">
        <v>30</v>
      </c>
      <c r="Q1343" s="23">
        <v>45964</v>
      </c>
      <c r="R1343" s="79" t="s">
        <v>1138</v>
      </c>
      <c r="S1343" s="22" t="s">
        <v>32</v>
      </c>
      <c r="T1343" s="22">
        <v>12</v>
      </c>
      <c r="U1343" s="24" t="s">
        <v>1138</v>
      </c>
      <c r="V1343" s="23">
        <v>45964</v>
      </c>
      <c r="W1343" s="80" t="s">
        <v>30</v>
      </c>
      <c r="X1343" s="96" t="s">
        <v>30</v>
      </c>
      <c r="Y1343" s="80" t="s">
        <v>30</v>
      </c>
      <c r="Z1343" s="80" t="s">
        <v>30</v>
      </c>
      <c r="AA1343" s="87"/>
      <c r="AB1343" s="87"/>
      <c r="AF1343" s="71"/>
      <c r="AG1343" s="92"/>
      <c r="AH1343" s="92"/>
      <c r="AI1343" s="105"/>
    </row>
    <row r="1344" spans="1:35">
      <c r="A1344" s="834" t="s">
        <v>24</v>
      </c>
      <c r="B1344" s="835">
        <v>1341</v>
      </c>
      <c r="C1344" s="838" t="s">
        <v>2044</v>
      </c>
      <c r="D1344" s="838" t="s">
        <v>57</v>
      </c>
      <c r="E1344" s="839">
        <v>45961</v>
      </c>
      <c r="F1344" s="838" t="s">
        <v>1608</v>
      </c>
      <c r="G1344" s="838">
        <v>13</v>
      </c>
      <c r="H1344" s="838" t="s">
        <v>1725</v>
      </c>
      <c r="I1344" s="838" t="s">
        <v>47</v>
      </c>
      <c r="J1344" s="838"/>
      <c r="K1344" s="838"/>
      <c r="L1344" s="21"/>
      <c r="M1344" s="22"/>
      <c r="N1344" s="23"/>
      <c r="O1344" s="23"/>
      <c r="P1344" s="848" t="s">
        <v>30</v>
      </c>
      <c r="Q1344" s="23">
        <v>45990</v>
      </c>
      <c r="R1344" s="79" t="s">
        <v>48</v>
      </c>
      <c r="S1344" s="22" t="s">
        <v>32</v>
      </c>
      <c r="T1344" s="22">
        <v>13</v>
      </c>
      <c r="U1344" s="24" t="s">
        <v>48</v>
      </c>
      <c r="V1344" s="23">
        <v>45990</v>
      </c>
      <c r="W1344" s="80" t="s">
        <v>30</v>
      </c>
      <c r="X1344" s="80" t="s">
        <v>30</v>
      </c>
      <c r="Y1344" s="80" t="s">
        <v>30</v>
      </c>
      <c r="Z1344" s="80" t="s">
        <v>30</v>
      </c>
      <c r="AA1344"/>
      <c r="AF1344" s="71"/>
      <c r="AG1344" s="92"/>
      <c r="AH1344" s="92"/>
      <c r="AI1344" s="105"/>
    </row>
    <row r="1345" spans="1:34">
      <c r="A1345" s="834" t="s">
        <v>137</v>
      </c>
      <c r="B1345" s="835">
        <v>1342</v>
      </c>
      <c r="C1345" s="840" t="s">
        <v>1895</v>
      </c>
      <c r="D1345" s="840" t="s">
        <v>1042</v>
      </c>
      <c r="E1345" s="839">
        <v>45961</v>
      </c>
      <c r="F1345" s="838" t="s">
        <v>140</v>
      </c>
      <c r="G1345" s="838">
        <v>1131</v>
      </c>
      <c r="H1345" s="838" t="s">
        <v>1725</v>
      </c>
      <c r="I1345" s="838" t="s">
        <v>47</v>
      </c>
      <c r="J1345" s="838"/>
      <c r="K1345" s="100"/>
      <c r="L1345" s="21"/>
      <c r="M1345" s="22"/>
      <c r="N1345" s="23"/>
      <c r="O1345" s="23"/>
      <c r="P1345" s="100"/>
      <c r="Q1345" s="23"/>
      <c r="R1345" s="79"/>
      <c r="S1345" s="22"/>
      <c r="T1345" s="22"/>
      <c r="U1345" s="24"/>
      <c r="V1345" s="23"/>
      <c r="W1345" s="80"/>
      <c r="X1345" s="80"/>
      <c r="Y1345" s="80"/>
      <c r="Z1345" s="96"/>
      <c r="AA1345"/>
      <c r="AB1345" s="776"/>
      <c r="AC1345" s="776"/>
      <c r="AD1345" s="776"/>
      <c r="AE1345" s="776"/>
    </row>
    <row r="1346" spans="1:34">
      <c r="A1346" s="834" t="s">
        <v>137</v>
      </c>
      <c r="B1346" s="835">
        <v>1343</v>
      </c>
      <c r="C1346" s="840" t="s">
        <v>1896</v>
      </c>
      <c r="D1346" s="840" t="s">
        <v>1184</v>
      </c>
      <c r="E1346" s="839">
        <v>45961</v>
      </c>
      <c r="F1346" s="838" t="s">
        <v>140</v>
      </c>
      <c r="G1346" s="838"/>
      <c r="H1346" s="838" t="s">
        <v>1725</v>
      </c>
      <c r="I1346" s="838" t="s">
        <v>47</v>
      </c>
      <c r="J1346" s="838"/>
      <c r="K1346" s="100"/>
      <c r="L1346" s="21"/>
      <c r="M1346" s="22"/>
      <c r="N1346" s="23"/>
      <c r="O1346" s="23"/>
      <c r="P1346" s="100"/>
      <c r="Q1346" s="23"/>
      <c r="R1346" s="79"/>
      <c r="S1346" s="22"/>
      <c r="T1346" s="22"/>
      <c r="U1346" s="24"/>
      <c r="V1346" s="23"/>
      <c r="W1346" s="80"/>
      <c r="X1346" s="80"/>
      <c r="Y1346" s="80"/>
      <c r="Z1346" s="96"/>
      <c r="AA1346"/>
    </row>
    <row r="1347" spans="1:34">
      <c r="A1347" s="834" t="s">
        <v>137</v>
      </c>
      <c r="B1347" s="835">
        <v>1344</v>
      </c>
      <c r="C1347" s="840" t="s">
        <v>1897</v>
      </c>
      <c r="D1347" s="840" t="s">
        <v>1898</v>
      </c>
      <c r="E1347" s="839">
        <v>45961</v>
      </c>
      <c r="F1347" s="838" t="s">
        <v>140</v>
      </c>
      <c r="G1347" s="838"/>
      <c r="H1347" s="838" t="s">
        <v>1725</v>
      </c>
      <c r="I1347" s="838" t="s">
        <v>47</v>
      </c>
      <c r="J1347" s="838"/>
      <c r="K1347" s="100"/>
      <c r="L1347" s="21"/>
      <c r="M1347" s="22"/>
      <c r="N1347" s="23"/>
      <c r="O1347" s="848"/>
      <c r="P1347" s="100"/>
      <c r="Q1347" s="23"/>
      <c r="R1347" s="79"/>
      <c r="S1347" s="22"/>
      <c r="T1347" s="22"/>
      <c r="U1347" s="24"/>
      <c r="V1347" s="23"/>
      <c r="W1347" s="80"/>
      <c r="X1347" s="80"/>
      <c r="Y1347" s="80"/>
      <c r="Z1347" s="96"/>
      <c r="AA1347"/>
    </row>
    <row r="1348" spans="1:34">
      <c r="A1348" s="834" t="s">
        <v>137</v>
      </c>
      <c r="B1348" s="835">
        <v>1345</v>
      </c>
      <c r="C1348" s="840" t="s">
        <v>1899</v>
      </c>
      <c r="D1348" s="840" t="s">
        <v>344</v>
      </c>
      <c r="E1348" s="839">
        <v>45961</v>
      </c>
      <c r="F1348" s="838" t="s">
        <v>140</v>
      </c>
      <c r="G1348" s="838"/>
      <c r="H1348" s="838" t="s">
        <v>1725</v>
      </c>
      <c r="I1348" s="838" t="s">
        <v>47</v>
      </c>
      <c r="J1348" s="838"/>
      <c r="K1348" s="21"/>
      <c r="L1348" s="21"/>
      <c r="M1348" s="22"/>
      <c r="N1348" s="23"/>
      <c r="O1348" s="848"/>
      <c r="P1348" s="23"/>
      <c r="Q1348" s="23"/>
      <c r="R1348" s="79"/>
      <c r="S1348" s="22"/>
      <c r="T1348" s="22"/>
      <c r="U1348" s="24"/>
      <c r="V1348" s="23"/>
      <c r="W1348" s="80"/>
      <c r="X1348" s="80"/>
      <c r="Y1348" s="80"/>
      <c r="Z1348" s="96"/>
      <c r="AA1348" s="6">
        <v>0</v>
      </c>
      <c r="AB1348" s="6">
        <v>17</v>
      </c>
      <c r="AC1348" s="6">
        <v>0</v>
      </c>
      <c r="AD1348" s="6">
        <v>0</v>
      </c>
      <c r="AE1348" s="6">
        <f>SUM(AA1348:AD1348)</f>
        <v>17</v>
      </c>
      <c r="AF1348" s="104">
        <f>+AA1348/AE1348*AF$1</f>
        <v>0</v>
      </c>
      <c r="AG1348" s="105">
        <f>+AB1348/AE1348*AG$1</f>
        <v>0</v>
      </c>
      <c r="AH1348" s="105">
        <f>+AC1348/AE1348*AH$1</f>
        <v>0</v>
      </c>
    </row>
    <row r="1349" spans="1:34">
      <c r="A1349" s="834" t="s">
        <v>137</v>
      </c>
      <c r="B1349" s="835">
        <v>1346</v>
      </c>
      <c r="C1349" s="840" t="s">
        <v>1900</v>
      </c>
      <c r="D1349" s="840" t="s">
        <v>1424</v>
      </c>
      <c r="E1349" s="839">
        <v>45961</v>
      </c>
      <c r="F1349" s="838" t="s">
        <v>140</v>
      </c>
      <c r="G1349" s="838"/>
      <c r="H1349" s="838" t="s">
        <v>1721</v>
      </c>
      <c r="I1349" s="838" t="s">
        <v>1638</v>
      </c>
      <c r="J1349" s="838"/>
      <c r="K1349" s="21"/>
      <c r="L1349" s="21"/>
      <c r="M1349" s="22"/>
      <c r="N1349" s="23"/>
      <c r="O1349" s="23"/>
      <c r="P1349" s="23"/>
      <c r="Q1349" s="23"/>
      <c r="R1349" s="79"/>
      <c r="S1349" s="22"/>
      <c r="T1349" s="22"/>
      <c r="U1349" s="24"/>
      <c r="V1349" s="23"/>
      <c r="W1349" s="80"/>
      <c r="X1349" s="80"/>
      <c r="Y1349" s="80"/>
      <c r="Z1349" s="96"/>
      <c r="AA1349"/>
    </row>
    <row r="1350" spans="1:34">
      <c r="A1350" s="834" t="s">
        <v>137</v>
      </c>
      <c r="B1350" s="835">
        <v>1347</v>
      </c>
      <c r="C1350" s="840" t="s">
        <v>1901</v>
      </c>
      <c r="D1350" s="840" t="s">
        <v>344</v>
      </c>
      <c r="E1350" s="839">
        <v>45961</v>
      </c>
      <c r="F1350" s="838" t="s">
        <v>140</v>
      </c>
      <c r="G1350" s="838"/>
      <c r="H1350" s="838" t="s">
        <v>1902</v>
      </c>
      <c r="I1350" s="838" t="s">
        <v>292</v>
      </c>
      <c r="J1350" s="838"/>
      <c r="K1350" s="97"/>
      <c r="L1350" s="21"/>
      <c r="M1350" s="22"/>
      <c r="N1350" s="23"/>
      <c r="O1350" s="848"/>
      <c r="P1350" s="97"/>
      <c r="Q1350" s="23"/>
      <c r="R1350" s="79"/>
      <c r="S1350" s="22"/>
      <c r="T1350" s="22"/>
      <c r="U1350" s="24"/>
      <c r="V1350" s="23"/>
      <c r="W1350" s="80"/>
      <c r="X1350" s="80"/>
      <c r="Y1350" s="80"/>
      <c r="Z1350" s="96"/>
      <c r="AA1350" s="87"/>
      <c r="AB1350" s="87"/>
      <c r="AF1350" s="71"/>
      <c r="AG1350" s="92"/>
      <c r="AH1350" s="92"/>
    </row>
    <row r="1351" spans="1:34">
      <c r="A1351" s="834" t="s">
        <v>137</v>
      </c>
      <c r="B1351" s="835">
        <v>1348</v>
      </c>
      <c r="C1351" s="840" t="s">
        <v>1903</v>
      </c>
      <c r="D1351" s="840" t="s">
        <v>1904</v>
      </c>
      <c r="E1351" s="839">
        <v>45961</v>
      </c>
      <c r="F1351" s="838" t="s">
        <v>140</v>
      </c>
      <c r="G1351" s="838"/>
      <c r="H1351" s="838" t="s">
        <v>127</v>
      </c>
      <c r="I1351" s="838" t="s">
        <v>36</v>
      </c>
      <c r="J1351" s="838"/>
      <c r="K1351" s="97"/>
      <c r="L1351" s="21"/>
      <c r="M1351" s="22"/>
      <c r="N1351" s="23"/>
      <c r="O1351" s="23"/>
      <c r="P1351" s="97"/>
      <c r="Q1351" s="23"/>
      <c r="R1351" s="79"/>
      <c r="S1351" s="22"/>
      <c r="U1351" s="24"/>
      <c r="V1351" s="23"/>
      <c r="W1351" s="80"/>
      <c r="X1351" s="80"/>
      <c r="Y1351" s="80"/>
      <c r="Z1351" s="96"/>
      <c r="AA1351"/>
      <c r="AF1351" s="71"/>
      <c r="AG1351" s="92"/>
      <c r="AH1351" s="92"/>
    </row>
    <row r="1352" spans="1:34">
      <c r="A1352" s="834" t="s">
        <v>137</v>
      </c>
      <c r="B1352" s="835">
        <v>1349</v>
      </c>
      <c r="C1352" s="840" t="s">
        <v>1905</v>
      </c>
      <c r="D1352" s="840" t="s">
        <v>1424</v>
      </c>
      <c r="E1352" s="839">
        <v>45961</v>
      </c>
      <c r="F1352" s="838" t="s">
        <v>140</v>
      </c>
      <c r="G1352" s="838"/>
      <c r="H1352" s="838" t="s">
        <v>1725</v>
      </c>
      <c r="I1352" s="838" t="s">
        <v>47</v>
      </c>
      <c r="J1352" s="838"/>
      <c r="K1352" s="21"/>
      <c r="L1352" s="21"/>
      <c r="M1352" s="22"/>
      <c r="N1352" s="23"/>
      <c r="O1352" s="848"/>
      <c r="P1352" s="23"/>
      <c r="Q1352" s="23"/>
      <c r="R1352" s="79"/>
      <c r="S1352" s="22"/>
      <c r="T1352" s="22"/>
      <c r="U1352" s="24"/>
      <c r="V1352" s="23"/>
      <c r="W1352" s="80"/>
      <c r="X1352" s="80"/>
      <c r="Y1352" s="80"/>
      <c r="Z1352" s="96"/>
      <c r="AA1352" s="87"/>
      <c r="AB1352" s="87"/>
      <c r="AF1352" s="71"/>
      <c r="AG1352" s="92"/>
      <c r="AH1352" s="92"/>
    </row>
    <row r="1353" spans="1:34">
      <c r="A1353" s="834" t="s">
        <v>137</v>
      </c>
      <c r="B1353" s="835">
        <v>1350</v>
      </c>
      <c r="C1353" s="840" t="s">
        <v>1906</v>
      </c>
      <c r="D1353" s="840" t="s">
        <v>1184</v>
      </c>
      <c r="E1353" s="839">
        <v>45961</v>
      </c>
      <c r="F1353" s="838" t="s">
        <v>140</v>
      </c>
      <c r="G1353" s="838"/>
      <c r="H1353" s="838" t="s">
        <v>1077</v>
      </c>
      <c r="I1353" s="838" t="s">
        <v>1138</v>
      </c>
      <c r="J1353" s="838"/>
      <c r="K1353" s="21"/>
      <c r="L1353" s="21"/>
      <c r="M1353" s="22"/>
      <c r="N1353" s="23"/>
      <c r="O1353" s="848"/>
      <c r="P1353" s="23"/>
      <c r="Q1353" s="23"/>
      <c r="R1353" s="79"/>
      <c r="S1353" s="22"/>
      <c r="T1353" s="22"/>
      <c r="U1353" s="24"/>
      <c r="V1353" s="23"/>
      <c r="W1353" s="80"/>
      <c r="X1353" s="80"/>
      <c r="Y1353" s="80"/>
      <c r="Z1353" s="96"/>
      <c r="AA1353"/>
      <c r="AF1353" s="71"/>
      <c r="AG1353" s="92"/>
      <c r="AH1353" s="92"/>
    </row>
    <row r="1354" spans="1:34">
      <c r="A1354" s="834" t="s">
        <v>137</v>
      </c>
      <c r="B1354" s="835">
        <v>1351</v>
      </c>
      <c r="C1354" s="840" t="s">
        <v>1907</v>
      </c>
      <c r="D1354" s="840" t="s">
        <v>1250</v>
      </c>
      <c r="E1354" s="839">
        <v>45961</v>
      </c>
      <c r="F1354" s="838" t="s">
        <v>140</v>
      </c>
      <c r="G1354" s="838"/>
      <c r="H1354" s="838" t="s">
        <v>1908</v>
      </c>
      <c r="I1354" s="838" t="s">
        <v>1670</v>
      </c>
      <c r="J1354" s="838"/>
      <c r="K1354" s="21"/>
      <c r="L1354" s="21"/>
      <c r="M1354" s="22"/>
      <c r="N1354" s="23"/>
      <c r="O1354" s="23"/>
      <c r="P1354" s="23"/>
      <c r="Q1354" s="23"/>
      <c r="R1354" s="79"/>
      <c r="S1354" s="22"/>
      <c r="T1354" s="22"/>
      <c r="U1354" s="24"/>
      <c r="V1354" s="23"/>
      <c r="W1354" s="80"/>
      <c r="X1354" s="80"/>
      <c r="Y1354" s="80"/>
      <c r="Z1354" s="96"/>
      <c r="AA1354"/>
    </row>
    <row r="1355" spans="1:34">
      <c r="A1355" s="834" t="s">
        <v>137</v>
      </c>
      <c r="B1355" s="835">
        <v>1352</v>
      </c>
      <c r="C1355" s="840" t="s">
        <v>1909</v>
      </c>
      <c r="D1355" s="840" t="s">
        <v>344</v>
      </c>
      <c r="E1355" s="839">
        <v>45961</v>
      </c>
      <c r="F1355" s="838" t="s">
        <v>140</v>
      </c>
      <c r="G1355" s="838"/>
      <c r="H1355" s="838" t="s">
        <v>1725</v>
      </c>
      <c r="I1355" s="838" t="s">
        <v>47</v>
      </c>
      <c r="J1355" s="838"/>
      <c r="K1355" s="21"/>
      <c r="L1355" s="21"/>
      <c r="M1355" s="22"/>
      <c r="N1355" s="23"/>
      <c r="O1355" s="61"/>
      <c r="P1355" s="23"/>
      <c r="Q1355" s="23"/>
      <c r="R1355" s="79"/>
      <c r="S1355" s="22"/>
      <c r="T1355" s="22"/>
      <c r="U1355" s="24"/>
      <c r="V1355" s="23"/>
      <c r="W1355" s="80"/>
      <c r="X1355" s="80"/>
      <c r="Y1355" s="80"/>
      <c r="Z1355" s="96"/>
      <c r="AA1355"/>
      <c r="AF1355" s="71"/>
      <c r="AG1355" s="92"/>
      <c r="AH1355" s="92"/>
    </row>
    <row r="1356" spans="1:34">
      <c r="A1356" s="834" t="s">
        <v>137</v>
      </c>
      <c r="B1356" s="835">
        <v>1353</v>
      </c>
      <c r="C1356" s="840" t="s">
        <v>1910</v>
      </c>
      <c r="D1356" s="840" t="s">
        <v>779</v>
      </c>
      <c r="E1356" s="839">
        <v>45961</v>
      </c>
      <c r="F1356" s="838" t="s">
        <v>140</v>
      </c>
      <c r="G1356" s="838"/>
      <c r="H1356" s="838" t="s">
        <v>1721</v>
      </c>
      <c r="I1356" s="838" t="s">
        <v>1638</v>
      </c>
      <c r="J1356" s="838"/>
      <c r="K1356" s="21"/>
      <c r="L1356" s="21"/>
      <c r="M1356" s="22"/>
      <c r="N1356" s="23"/>
      <c r="O1356" s="61"/>
      <c r="P1356" s="23"/>
      <c r="Q1356" s="23"/>
      <c r="R1356" s="79"/>
      <c r="S1356" s="22"/>
      <c r="T1356" s="22"/>
      <c r="U1356" s="24"/>
      <c r="V1356" s="23"/>
      <c r="W1356" s="80"/>
      <c r="X1356" s="80"/>
      <c r="Y1356" s="80"/>
      <c r="Z1356" s="96"/>
      <c r="AA1356"/>
      <c r="AF1356" s="71"/>
      <c r="AG1356" s="92"/>
      <c r="AH1356" s="92"/>
    </row>
    <row r="1357" spans="1:34">
      <c r="A1357" s="834" t="s">
        <v>137</v>
      </c>
      <c r="B1357" s="835">
        <v>1354</v>
      </c>
      <c r="C1357" s="840" t="s">
        <v>1911</v>
      </c>
      <c r="D1357" s="840" t="s">
        <v>1912</v>
      </c>
      <c r="E1357" s="839">
        <v>45961</v>
      </c>
      <c r="F1357" s="838" t="s">
        <v>140</v>
      </c>
      <c r="G1357" s="838"/>
      <c r="H1357" s="838" t="s">
        <v>1872</v>
      </c>
      <c r="I1357" s="838" t="s">
        <v>1514</v>
      </c>
      <c r="J1357" s="838"/>
      <c r="K1357" s="21"/>
      <c r="L1357" s="21"/>
      <c r="M1357" s="22"/>
      <c r="N1357" s="23"/>
      <c r="O1357" s="848"/>
      <c r="P1357" s="23"/>
      <c r="Q1357" s="23"/>
      <c r="R1357" s="79"/>
      <c r="S1357" s="22"/>
      <c r="T1357" s="22"/>
      <c r="U1357" s="24"/>
      <c r="V1357" s="23"/>
      <c r="W1357" s="80"/>
      <c r="X1357" s="80"/>
      <c r="Y1357" s="80"/>
      <c r="Z1357" s="96"/>
      <c r="AA1357"/>
      <c r="AF1357" s="71"/>
      <c r="AG1357" s="92"/>
      <c r="AH1357" s="92"/>
    </row>
    <row r="1358" spans="1:34">
      <c r="A1358" s="834" t="s">
        <v>137</v>
      </c>
      <c r="B1358" s="835">
        <v>1355</v>
      </c>
      <c r="C1358" s="840" t="s">
        <v>1913</v>
      </c>
      <c r="D1358" s="840" t="s">
        <v>989</v>
      </c>
      <c r="E1358" s="839">
        <v>45961</v>
      </c>
      <c r="F1358" s="838" t="s">
        <v>140</v>
      </c>
      <c r="G1358" s="838"/>
      <c r="H1358" s="838" t="s">
        <v>1725</v>
      </c>
      <c r="I1358" s="838" t="s">
        <v>47</v>
      </c>
      <c r="J1358" s="838"/>
      <c r="K1358" s="21"/>
      <c r="L1358" s="21"/>
      <c r="M1358" s="22"/>
      <c r="N1358" s="23"/>
      <c r="O1358" s="61"/>
      <c r="P1358" s="23"/>
      <c r="Q1358" s="23"/>
      <c r="R1358" s="79"/>
      <c r="S1358" s="22"/>
      <c r="T1358" s="22"/>
      <c r="U1358" s="24"/>
      <c r="V1358" s="23"/>
      <c r="W1358" s="80"/>
      <c r="X1358" s="80"/>
      <c r="Y1358" s="80"/>
      <c r="Z1358" s="96"/>
      <c r="AA1358"/>
      <c r="AF1358" s="92"/>
      <c r="AG1358" s="92"/>
      <c r="AH1358" s="92"/>
    </row>
    <row r="1359" spans="1:34">
      <c r="A1359" s="834" t="s">
        <v>137</v>
      </c>
      <c r="B1359" s="835">
        <v>1356</v>
      </c>
      <c r="C1359" s="840" t="s">
        <v>1914</v>
      </c>
      <c r="D1359" s="840" t="s">
        <v>937</v>
      </c>
      <c r="E1359" s="839">
        <v>45961</v>
      </c>
      <c r="F1359" s="838" t="s">
        <v>140</v>
      </c>
      <c r="G1359" s="838"/>
      <c r="H1359" s="838" t="s">
        <v>1077</v>
      </c>
      <c r="I1359" s="838" t="s">
        <v>1138</v>
      </c>
      <c r="J1359" s="838"/>
      <c r="K1359" s="100"/>
      <c r="L1359" s="21"/>
      <c r="M1359" s="22"/>
      <c r="N1359" s="23"/>
      <c r="O1359" s="61"/>
      <c r="P1359" s="100"/>
      <c r="Q1359" s="23"/>
      <c r="R1359" s="79"/>
      <c r="S1359" s="22"/>
      <c r="T1359" s="22"/>
      <c r="U1359" s="24"/>
      <c r="V1359" s="23"/>
      <c r="W1359" s="80"/>
      <c r="X1359" s="80"/>
      <c r="Y1359" s="80"/>
      <c r="Z1359" s="96"/>
      <c r="AA1359"/>
      <c r="AF1359" s="92"/>
      <c r="AG1359" s="92"/>
      <c r="AH1359" s="92"/>
    </row>
    <row r="1360" spans="1:34">
      <c r="A1360" s="834" t="s">
        <v>137</v>
      </c>
      <c r="B1360" s="835">
        <v>1357</v>
      </c>
      <c r="C1360" s="840" t="s">
        <v>1915</v>
      </c>
      <c r="D1360" s="840" t="s">
        <v>344</v>
      </c>
      <c r="E1360" s="839">
        <v>45961</v>
      </c>
      <c r="F1360" s="838" t="s">
        <v>140</v>
      </c>
      <c r="G1360" s="838"/>
      <c r="H1360" s="838" t="s">
        <v>1908</v>
      </c>
      <c r="I1360" s="838" t="s">
        <v>1670</v>
      </c>
      <c r="J1360" s="838"/>
      <c r="K1360" s="100"/>
      <c r="L1360" s="21"/>
      <c r="M1360" s="22"/>
      <c r="N1360" s="23"/>
      <c r="O1360" s="23"/>
      <c r="P1360" s="100"/>
      <c r="Q1360" s="23"/>
      <c r="R1360" s="79"/>
      <c r="S1360" s="22"/>
      <c r="T1360" s="22"/>
      <c r="U1360" s="24"/>
      <c r="V1360" s="23"/>
      <c r="W1360" s="80"/>
      <c r="X1360" s="80"/>
      <c r="Y1360" s="80"/>
      <c r="Z1360" s="96"/>
      <c r="AA1360"/>
      <c r="AB1360" s="85"/>
      <c r="AC1360" s="85"/>
      <c r="AD1360" s="85"/>
      <c r="AE1360" s="84"/>
      <c r="AF1360" s="92"/>
      <c r="AG1360" s="92"/>
      <c r="AH1360" s="92"/>
    </row>
    <row r="1361" spans="1:34">
      <c r="A1361" s="834" t="s">
        <v>137</v>
      </c>
      <c r="B1361" s="835">
        <v>1358</v>
      </c>
      <c r="C1361" s="840" t="s">
        <v>1916</v>
      </c>
      <c r="D1361" s="840" t="s">
        <v>1184</v>
      </c>
      <c r="E1361" s="839">
        <v>45961</v>
      </c>
      <c r="F1361" s="838" t="s">
        <v>140</v>
      </c>
      <c r="G1361" s="838"/>
      <c r="H1361" s="838" t="s">
        <v>1725</v>
      </c>
      <c r="I1361" s="838" t="s">
        <v>47</v>
      </c>
      <c r="J1361" s="838"/>
      <c r="K1361" s="21"/>
      <c r="L1361" s="21"/>
      <c r="M1361" s="22"/>
      <c r="N1361" s="23"/>
      <c r="O1361" s="848"/>
      <c r="P1361" s="23"/>
      <c r="Q1361" s="23"/>
      <c r="R1361" s="79"/>
      <c r="S1361" s="22"/>
      <c r="T1361" s="22"/>
      <c r="U1361" s="24"/>
      <c r="V1361" s="23"/>
      <c r="W1361" s="80"/>
      <c r="X1361" s="80"/>
      <c r="Y1361" s="80"/>
      <c r="Z1361" s="96"/>
      <c r="AA1361"/>
      <c r="AF1361" s="71"/>
      <c r="AG1361" s="92"/>
      <c r="AH1361" s="92"/>
    </row>
    <row r="1362" spans="1:34">
      <c r="A1362" s="834" t="s">
        <v>137</v>
      </c>
      <c r="B1362" s="835">
        <v>1359</v>
      </c>
      <c r="C1362" s="840" t="s">
        <v>1895</v>
      </c>
      <c r="D1362" s="839" t="s">
        <v>34</v>
      </c>
      <c r="E1362" s="839">
        <v>45961</v>
      </c>
      <c r="F1362" s="838" t="s">
        <v>140</v>
      </c>
      <c r="G1362" s="838"/>
      <c r="H1362" s="838" t="s">
        <v>1077</v>
      </c>
      <c r="I1362" s="838" t="s">
        <v>1138</v>
      </c>
      <c r="J1362" s="838"/>
      <c r="K1362" s="838"/>
      <c r="L1362" s="834"/>
      <c r="M1362" s="834"/>
      <c r="N1362" s="834"/>
      <c r="O1362" s="848"/>
      <c r="P1362" s="23"/>
      <c r="Q1362" s="23"/>
      <c r="R1362" s="79"/>
      <c r="S1362" s="22"/>
      <c r="T1362" s="22"/>
      <c r="U1362" s="24"/>
      <c r="V1362" s="23"/>
      <c r="W1362" s="96"/>
      <c r="X1362" s="96"/>
      <c r="Y1362" s="96"/>
      <c r="Z1362" s="96"/>
      <c r="AA1362"/>
      <c r="AB1362" s="776"/>
      <c r="AC1362" s="776"/>
      <c r="AD1362" s="776"/>
      <c r="AE1362" s="776"/>
    </row>
    <row r="1363" spans="1:34">
      <c r="A1363" s="834" t="s">
        <v>137</v>
      </c>
      <c r="B1363" s="835">
        <v>1360</v>
      </c>
      <c r="C1363" s="840" t="s">
        <v>1896</v>
      </c>
      <c r="D1363" s="839" t="s">
        <v>43</v>
      </c>
      <c r="E1363" s="839">
        <v>45961</v>
      </c>
      <c r="F1363" s="838" t="s">
        <v>140</v>
      </c>
      <c r="G1363" s="838"/>
      <c r="H1363" s="838" t="s">
        <v>1721</v>
      </c>
      <c r="I1363" s="838" t="s">
        <v>1638</v>
      </c>
      <c r="J1363" s="838"/>
      <c r="K1363" s="838"/>
      <c r="L1363" s="834"/>
      <c r="M1363" s="834"/>
      <c r="N1363" s="834"/>
      <c r="O1363" s="848"/>
      <c r="P1363" s="23"/>
      <c r="Q1363" s="23"/>
      <c r="R1363" s="79"/>
      <c r="S1363" s="22"/>
      <c r="T1363" s="22"/>
      <c r="U1363" s="24"/>
      <c r="V1363" s="23"/>
      <c r="W1363" s="96"/>
      <c r="X1363" s="96"/>
      <c r="Y1363" s="96"/>
      <c r="Z1363" s="96"/>
      <c r="AA1363"/>
      <c r="AB1363" s="776"/>
      <c r="AC1363" s="776"/>
      <c r="AD1363" s="776"/>
      <c r="AE1363" s="776"/>
    </row>
    <row r="1364" spans="1:34">
      <c r="A1364" s="834" t="s">
        <v>137</v>
      </c>
      <c r="B1364" s="835">
        <v>1361</v>
      </c>
      <c r="C1364" s="840" t="s">
        <v>1897</v>
      </c>
      <c r="D1364" s="839" t="s">
        <v>43</v>
      </c>
      <c r="E1364" s="839">
        <v>45961</v>
      </c>
      <c r="F1364" s="838" t="s">
        <v>140</v>
      </c>
      <c r="G1364" s="838"/>
      <c r="H1364" s="838" t="s">
        <v>1721</v>
      </c>
      <c r="I1364" s="838" t="s">
        <v>1638</v>
      </c>
      <c r="J1364" s="838"/>
      <c r="K1364" s="838"/>
      <c r="L1364" s="834"/>
      <c r="M1364" s="834"/>
      <c r="N1364" s="834"/>
      <c r="O1364" s="848"/>
      <c r="P1364" s="23"/>
      <c r="Q1364" s="23"/>
      <c r="R1364" s="79"/>
      <c r="S1364" s="22"/>
      <c r="T1364" s="22"/>
      <c r="U1364" s="24"/>
      <c r="V1364" s="23"/>
      <c r="W1364" s="91"/>
      <c r="X1364" s="96"/>
      <c r="Y1364" s="96"/>
      <c r="Z1364" s="96"/>
      <c r="AA1364"/>
      <c r="AB1364" s="776"/>
      <c r="AC1364" s="776"/>
      <c r="AD1364" s="776"/>
      <c r="AE1364" s="776"/>
    </row>
    <row r="1365" spans="1:34">
      <c r="A1365" s="834" t="s">
        <v>137</v>
      </c>
      <c r="B1365" s="835">
        <v>1362</v>
      </c>
      <c r="C1365" s="840" t="s">
        <v>1899</v>
      </c>
      <c r="D1365" s="839" t="s">
        <v>43</v>
      </c>
      <c r="E1365" s="839">
        <v>45961</v>
      </c>
      <c r="F1365" s="838" t="s">
        <v>140</v>
      </c>
      <c r="G1365" s="838"/>
      <c r="H1365" s="838" t="s">
        <v>1721</v>
      </c>
      <c r="I1365" s="838" t="s">
        <v>1638</v>
      </c>
      <c r="J1365" s="838"/>
      <c r="K1365" s="838"/>
      <c r="L1365" s="834"/>
      <c r="M1365" s="834"/>
      <c r="N1365" s="834"/>
      <c r="O1365" s="848"/>
      <c r="P1365" s="23"/>
      <c r="Q1365" s="23"/>
      <c r="R1365" s="79"/>
      <c r="S1365" s="22"/>
      <c r="T1365" s="22"/>
      <c r="U1365" s="24"/>
      <c r="V1365" s="23"/>
      <c r="W1365" s="96"/>
      <c r="X1365" s="96"/>
      <c r="Y1365" s="96"/>
      <c r="Z1365" s="96"/>
      <c r="AA1365"/>
      <c r="AB1365" s="776"/>
      <c r="AC1365" s="776"/>
      <c r="AD1365" s="776"/>
      <c r="AE1365" s="776"/>
    </row>
    <row r="1366" spans="1:34">
      <c r="A1366" s="834" t="s">
        <v>137</v>
      </c>
      <c r="B1366" s="835">
        <v>1363</v>
      </c>
      <c r="C1366" s="840" t="s">
        <v>1900</v>
      </c>
      <c r="D1366" s="839" t="s">
        <v>34</v>
      </c>
      <c r="E1366" s="839">
        <v>45961</v>
      </c>
      <c r="F1366" s="838" t="s">
        <v>140</v>
      </c>
      <c r="G1366" s="838"/>
      <c r="H1366" s="838" t="s">
        <v>1721</v>
      </c>
      <c r="I1366" s="838" t="s">
        <v>1638</v>
      </c>
      <c r="J1366" s="838"/>
      <c r="K1366" s="838"/>
      <c r="L1366" s="215"/>
      <c r="M1366" s="834"/>
      <c r="N1366" s="834"/>
      <c r="O1366" s="240"/>
      <c r="P1366" s="23"/>
      <c r="Q1366" s="23"/>
      <c r="R1366" s="79"/>
      <c r="S1366" s="22"/>
      <c r="T1366" s="22"/>
      <c r="U1366" s="24"/>
      <c r="V1366" s="23"/>
      <c r="W1366" s="96"/>
      <c r="X1366" s="96"/>
      <c r="Y1366" s="96"/>
      <c r="Z1366" s="96"/>
      <c r="AA1366"/>
    </row>
    <row r="1367" spans="1:34">
      <c r="A1367" s="834" t="s">
        <v>137</v>
      </c>
      <c r="B1367" s="835">
        <v>1364</v>
      </c>
      <c r="C1367" s="840" t="s">
        <v>1901</v>
      </c>
      <c r="D1367" s="839" t="s">
        <v>102</v>
      </c>
      <c r="E1367" s="839">
        <v>45961</v>
      </c>
      <c r="F1367" s="838" t="s">
        <v>140</v>
      </c>
      <c r="G1367" s="838"/>
      <c r="H1367" s="838" t="s">
        <v>1725</v>
      </c>
      <c r="I1367" s="838" t="s">
        <v>47</v>
      </c>
      <c r="J1367" s="838"/>
      <c r="K1367" s="838"/>
      <c r="L1367" s="834"/>
      <c r="M1367" s="834"/>
      <c r="N1367" s="848"/>
      <c r="O1367" s="848"/>
      <c r="P1367" s="23"/>
      <c r="Q1367" s="23"/>
      <c r="R1367" s="79"/>
      <c r="S1367" s="22"/>
      <c r="T1367" s="22"/>
      <c r="U1367" s="24"/>
      <c r="V1367" s="23"/>
      <c r="W1367" s="96"/>
      <c r="X1367" s="96"/>
      <c r="Y1367" s="96"/>
      <c r="Z1367" s="96"/>
      <c r="AA1367"/>
      <c r="AB1367" s="776"/>
      <c r="AC1367" s="776"/>
      <c r="AD1367" s="776"/>
      <c r="AE1367" s="776"/>
    </row>
    <row r="1368" spans="1:34">
      <c r="A1368" s="834" t="s">
        <v>137</v>
      </c>
      <c r="B1368" s="835">
        <v>1365</v>
      </c>
      <c r="C1368" s="840" t="s">
        <v>1903</v>
      </c>
      <c r="D1368" s="839" t="s">
        <v>34</v>
      </c>
      <c r="E1368" s="839">
        <v>45961</v>
      </c>
      <c r="F1368" s="838" t="s">
        <v>140</v>
      </c>
      <c r="G1368" s="838"/>
      <c r="H1368" s="838" t="s">
        <v>1077</v>
      </c>
      <c r="I1368" s="838" t="s">
        <v>1138</v>
      </c>
      <c r="J1368" s="98"/>
      <c r="K1368" s="838"/>
      <c r="L1368" s="834"/>
      <c r="M1368" s="834"/>
      <c r="N1368" s="848"/>
      <c r="O1368" s="240"/>
      <c r="P1368" s="23"/>
      <c r="Q1368" s="23"/>
      <c r="R1368" s="79"/>
      <c r="S1368" s="22"/>
      <c r="T1368" s="22"/>
      <c r="U1368" s="24"/>
      <c r="V1368" s="23"/>
      <c r="W1368" s="96"/>
      <c r="X1368" s="96"/>
      <c r="Y1368" s="96"/>
      <c r="Z1368" s="96"/>
      <c r="AA1368"/>
      <c r="AB1368" s="776"/>
      <c r="AC1368" s="776"/>
      <c r="AD1368" s="776"/>
      <c r="AE1368" s="776"/>
    </row>
    <row r="1369" spans="1:34">
      <c r="A1369" s="834" t="s">
        <v>137</v>
      </c>
      <c r="B1369" s="835">
        <v>1366</v>
      </c>
      <c r="C1369" s="840" t="s">
        <v>1905</v>
      </c>
      <c r="D1369" s="839" t="s">
        <v>34</v>
      </c>
      <c r="E1369" s="839">
        <v>45961</v>
      </c>
      <c r="F1369" s="838" t="s">
        <v>140</v>
      </c>
      <c r="G1369" s="838"/>
      <c r="H1369" s="838" t="s">
        <v>1077</v>
      </c>
      <c r="I1369" s="838" t="s">
        <v>1138</v>
      </c>
      <c r="J1369" s="838"/>
      <c r="K1369" s="838"/>
      <c r="L1369" s="834"/>
      <c r="M1369" s="834"/>
      <c r="N1369" s="848"/>
      <c r="O1369" s="848"/>
      <c r="P1369" s="23"/>
      <c r="Q1369" s="23"/>
      <c r="R1369" s="79"/>
      <c r="S1369" s="22"/>
      <c r="T1369" s="22"/>
      <c r="U1369" s="24"/>
      <c r="V1369" s="23"/>
      <c r="W1369" s="96"/>
      <c r="X1369" s="96"/>
      <c r="Y1369" s="96"/>
      <c r="Z1369" s="96"/>
      <c r="AA1369"/>
      <c r="AB1369" s="776"/>
      <c r="AC1369" s="776"/>
      <c r="AD1369" s="776"/>
      <c r="AE1369" s="776"/>
    </row>
    <row r="1370" spans="1:34">
      <c r="A1370" s="834" t="s">
        <v>137</v>
      </c>
      <c r="B1370" s="835">
        <v>1367</v>
      </c>
      <c r="C1370" s="840" t="s">
        <v>1906</v>
      </c>
      <c r="D1370" s="839" t="s">
        <v>83</v>
      </c>
      <c r="E1370" s="839">
        <v>45961</v>
      </c>
      <c r="F1370" s="838" t="s">
        <v>140</v>
      </c>
      <c r="G1370" s="838"/>
      <c r="H1370" s="838" t="s">
        <v>1725</v>
      </c>
      <c r="I1370" s="838" t="s">
        <v>47</v>
      </c>
      <c r="J1370" s="98"/>
      <c r="K1370" s="838"/>
      <c r="L1370" s="834"/>
      <c r="M1370" s="834"/>
      <c r="N1370" s="848"/>
      <c r="O1370" s="848"/>
      <c r="P1370" s="23"/>
      <c r="Q1370" s="23"/>
      <c r="R1370" s="79"/>
      <c r="S1370" s="22"/>
      <c r="T1370" s="22"/>
      <c r="U1370" s="24"/>
      <c r="V1370" s="23"/>
      <c r="W1370" s="96"/>
      <c r="X1370" s="96"/>
      <c r="Y1370" s="96"/>
      <c r="Z1370" s="96"/>
      <c r="AA1370"/>
      <c r="AB1370" s="776"/>
      <c r="AC1370" s="776"/>
      <c r="AD1370" s="776"/>
      <c r="AE1370" s="776"/>
    </row>
    <row r="1371" spans="1:34">
      <c r="A1371" s="834" t="s">
        <v>137</v>
      </c>
      <c r="B1371" s="835">
        <v>1368</v>
      </c>
      <c r="C1371" s="840" t="s">
        <v>1907</v>
      </c>
      <c r="D1371" s="839" t="s">
        <v>43</v>
      </c>
      <c r="E1371" s="839">
        <v>45961</v>
      </c>
      <c r="F1371" s="838" t="s">
        <v>140</v>
      </c>
      <c r="G1371" s="838"/>
      <c r="H1371" s="838" t="s">
        <v>127</v>
      </c>
      <c r="I1371" s="838" t="s">
        <v>36</v>
      </c>
      <c r="J1371" s="838"/>
      <c r="K1371" s="838"/>
      <c r="L1371" s="834"/>
      <c r="M1371" s="834"/>
      <c r="N1371" s="90"/>
      <c r="O1371" s="240"/>
      <c r="P1371" s="23"/>
      <c r="Q1371" s="23"/>
      <c r="R1371" s="79"/>
      <c r="S1371" s="22"/>
      <c r="T1371" s="22"/>
      <c r="U1371" s="24"/>
      <c r="V1371" s="23"/>
      <c r="W1371" s="96"/>
      <c r="X1371" s="96"/>
      <c r="Y1371" s="96"/>
      <c r="Z1371" s="96"/>
      <c r="AA1371"/>
    </row>
    <row r="1372" spans="1:34">
      <c r="A1372" s="834" t="s">
        <v>137</v>
      </c>
      <c r="B1372" s="835">
        <v>1369</v>
      </c>
      <c r="C1372" s="840" t="s">
        <v>1909</v>
      </c>
      <c r="D1372" s="839" t="s">
        <v>374</v>
      </c>
      <c r="E1372" s="839">
        <v>45961</v>
      </c>
      <c r="F1372" s="838" t="s">
        <v>140</v>
      </c>
      <c r="G1372" s="838"/>
      <c r="H1372" s="838" t="s">
        <v>127</v>
      </c>
      <c r="I1372" s="838" t="s">
        <v>36</v>
      </c>
      <c r="J1372" s="98"/>
      <c r="K1372" s="838"/>
      <c r="L1372" s="241"/>
      <c r="M1372" s="834"/>
      <c r="N1372" s="90"/>
      <c r="O1372" s="848"/>
      <c r="P1372" s="23"/>
      <c r="Q1372" s="23"/>
      <c r="R1372" s="79"/>
      <c r="S1372" s="22"/>
      <c r="T1372" s="22"/>
      <c r="U1372" s="24"/>
      <c r="V1372" s="23"/>
      <c r="W1372" s="96"/>
      <c r="X1372" s="96"/>
      <c r="Y1372" s="96"/>
      <c r="Z1372" s="102"/>
      <c r="AA1372"/>
    </row>
    <row r="1373" spans="1:34">
      <c r="A1373" s="834" t="s">
        <v>137</v>
      </c>
      <c r="B1373" s="835">
        <v>1370</v>
      </c>
      <c r="C1373" s="840" t="s">
        <v>1910</v>
      </c>
      <c r="D1373" s="839" t="s">
        <v>64</v>
      </c>
      <c r="E1373" s="839">
        <v>45961</v>
      </c>
      <c r="F1373" s="838" t="s">
        <v>140</v>
      </c>
      <c r="G1373" s="838"/>
      <c r="H1373" s="838" t="s">
        <v>1077</v>
      </c>
      <c r="I1373" s="838" t="s">
        <v>1138</v>
      </c>
      <c r="J1373" s="838"/>
      <c r="K1373" s="838"/>
      <c r="L1373" s="834"/>
      <c r="M1373" s="834"/>
      <c r="N1373" s="848"/>
      <c r="O1373" s="848"/>
      <c r="P1373" s="23"/>
      <c r="Q1373" s="23"/>
      <c r="R1373" s="79"/>
      <c r="S1373" s="22"/>
      <c r="T1373" s="22"/>
      <c r="U1373" s="24"/>
      <c r="V1373" s="23"/>
      <c r="W1373" s="96"/>
      <c r="X1373" s="96"/>
      <c r="Y1373" s="96"/>
      <c r="Z1373" s="96"/>
      <c r="AA1373"/>
    </row>
    <row r="1374" spans="1:34">
      <c r="A1374" s="834" t="s">
        <v>137</v>
      </c>
      <c r="B1374" s="835">
        <v>1371</v>
      </c>
      <c r="C1374" s="840" t="s">
        <v>1911</v>
      </c>
      <c r="D1374" s="839" t="s">
        <v>43</v>
      </c>
      <c r="E1374" s="839">
        <v>45961</v>
      </c>
      <c r="F1374" s="838" t="s">
        <v>140</v>
      </c>
      <c r="G1374" s="838"/>
      <c r="H1374" s="838" t="s">
        <v>1077</v>
      </c>
      <c r="I1374" s="838" t="s">
        <v>1138</v>
      </c>
      <c r="J1374" s="838"/>
      <c r="K1374" s="838"/>
      <c r="L1374" s="834"/>
      <c r="M1374" s="834"/>
      <c r="N1374" s="90"/>
      <c r="O1374" s="240"/>
      <c r="P1374" s="23"/>
      <c r="Q1374" s="23"/>
      <c r="R1374" s="79"/>
      <c r="S1374" s="22"/>
      <c r="T1374" s="22"/>
      <c r="U1374" s="24"/>
      <c r="V1374" s="23"/>
      <c r="W1374" s="91"/>
      <c r="X1374" s="91"/>
      <c r="Y1374" s="96"/>
      <c r="Z1374" s="102"/>
      <c r="AA1374"/>
    </row>
    <row r="1375" spans="1:34">
      <c r="A1375" s="834" t="s">
        <v>137</v>
      </c>
      <c r="B1375" s="835">
        <v>1372</v>
      </c>
      <c r="C1375" s="840" t="s">
        <v>1913</v>
      </c>
      <c r="D1375" s="838" t="s">
        <v>43</v>
      </c>
      <c r="E1375" s="839">
        <v>45961</v>
      </c>
      <c r="F1375" s="838" t="s">
        <v>140</v>
      </c>
      <c r="G1375" s="838"/>
      <c r="H1375" s="851" t="s">
        <v>127</v>
      </c>
      <c r="I1375" s="851" t="s">
        <v>36</v>
      </c>
      <c r="J1375" s="840"/>
      <c r="K1375" s="838"/>
      <c r="L1375" s="834"/>
      <c r="M1375" s="834"/>
      <c r="N1375" s="90"/>
      <c r="O1375" s="848"/>
      <c r="P1375" s="23"/>
      <c r="Q1375" s="23"/>
      <c r="R1375" s="79"/>
      <c r="S1375" s="22"/>
      <c r="T1375" s="22"/>
      <c r="U1375" s="24"/>
      <c r="V1375" s="23"/>
      <c r="W1375" s="96"/>
      <c r="X1375" s="96"/>
      <c r="Y1375" s="96"/>
      <c r="Z1375" s="96"/>
      <c r="AA1375"/>
    </row>
    <row r="1376" spans="1:34">
      <c r="A1376" s="834" t="s">
        <v>137</v>
      </c>
      <c r="B1376" s="835">
        <v>1373</v>
      </c>
      <c r="C1376" s="840" t="s">
        <v>1914</v>
      </c>
      <c r="D1376" s="838" t="s">
        <v>1937</v>
      </c>
      <c r="E1376" s="839">
        <v>45961</v>
      </c>
      <c r="F1376" s="838" t="s">
        <v>140</v>
      </c>
      <c r="G1376" s="838"/>
      <c r="H1376" s="838" t="s">
        <v>127</v>
      </c>
      <c r="I1376" s="838" t="s">
        <v>36</v>
      </c>
      <c r="J1376" s="834"/>
      <c r="K1376" s="838"/>
      <c r="L1376" s="834"/>
      <c r="M1376" s="834"/>
      <c r="N1376" s="848"/>
      <c r="O1376" s="240"/>
      <c r="P1376" s="23"/>
      <c r="Q1376" s="23"/>
      <c r="R1376" s="79"/>
      <c r="S1376" s="22"/>
      <c r="T1376" s="22"/>
      <c r="U1376" s="24"/>
      <c r="V1376" s="23"/>
      <c r="W1376" s="80"/>
      <c r="X1376" s="96"/>
      <c r="Y1376" s="96"/>
      <c r="Z1376" s="102"/>
      <c r="AA1376"/>
    </row>
    <row r="1377" spans="1:34">
      <c r="A1377" s="834" t="s">
        <v>137</v>
      </c>
      <c r="B1377" s="835">
        <v>1374</v>
      </c>
      <c r="C1377" s="840" t="s">
        <v>1915</v>
      </c>
      <c r="D1377" s="838" t="s">
        <v>43</v>
      </c>
      <c r="E1377" s="839">
        <v>45961</v>
      </c>
      <c r="F1377" s="838" t="s">
        <v>140</v>
      </c>
      <c r="G1377" s="838"/>
      <c r="H1377" s="838" t="s">
        <v>1721</v>
      </c>
      <c r="I1377" s="838" t="s">
        <v>1638</v>
      </c>
      <c r="J1377" s="838"/>
      <c r="K1377" s="838"/>
      <c r="L1377" s="834"/>
      <c r="M1377" s="22"/>
      <c r="N1377" s="23"/>
      <c r="O1377" s="848"/>
      <c r="P1377" s="23"/>
      <c r="Q1377" s="23"/>
      <c r="R1377" s="79"/>
      <c r="S1377" s="22"/>
      <c r="T1377" s="22"/>
      <c r="U1377" s="24"/>
      <c r="V1377" s="23"/>
      <c r="W1377" s="96"/>
      <c r="X1377" s="96"/>
      <c r="Y1377" s="96"/>
      <c r="Z1377" s="96"/>
      <c r="AA1377"/>
    </row>
    <row r="1378" spans="1:34">
      <c r="A1378" s="834" t="s">
        <v>137</v>
      </c>
      <c r="B1378" s="835">
        <v>1375</v>
      </c>
      <c r="C1378" s="840" t="s">
        <v>1916</v>
      </c>
      <c r="D1378" s="838" t="s">
        <v>34</v>
      </c>
      <c r="E1378" s="839">
        <v>45961</v>
      </c>
      <c r="F1378" s="838" t="s">
        <v>140</v>
      </c>
      <c r="G1378" s="838"/>
      <c r="H1378" s="838" t="s">
        <v>127</v>
      </c>
      <c r="I1378" s="838" t="s">
        <v>36</v>
      </c>
      <c r="J1378" s="838"/>
      <c r="K1378" s="838"/>
      <c r="L1378" s="241"/>
      <c r="M1378" s="22"/>
      <c r="N1378" s="23"/>
      <c r="O1378" s="240"/>
      <c r="P1378" s="848"/>
      <c r="Q1378" s="23"/>
      <c r="R1378" s="79"/>
      <c r="S1378" s="22"/>
      <c r="T1378" s="22"/>
      <c r="U1378" s="24"/>
      <c r="V1378" s="23"/>
      <c r="W1378" s="96"/>
      <c r="X1378" s="96"/>
      <c r="Y1378" s="96"/>
      <c r="Z1378" s="96"/>
      <c r="AA1378"/>
      <c r="AB1378" s="776"/>
      <c r="AC1378" s="776"/>
      <c r="AD1378" s="776"/>
      <c r="AE1378" s="776"/>
    </row>
    <row r="1379" spans="1:34">
      <c r="A1379" s="834" t="s">
        <v>137</v>
      </c>
      <c r="B1379" s="835">
        <v>1376</v>
      </c>
      <c r="C1379" s="840" t="s">
        <v>1895</v>
      </c>
      <c r="D1379" s="838" t="s">
        <v>43</v>
      </c>
      <c r="E1379" s="839">
        <v>45961</v>
      </c>
      <c r="F1379" s="838" t="s">
        <v>140</v>
      </c>
      <c r="G1379" s="838"/>
      <c r="H1379" s="838" t="s">
        <v>127</v>
      </c>
      <c r="I1379" s="838" t="s">
        <v>36</v>
      </c>
      <c r="J1379" s="838"/>
      <c r="K1379" s="838"/>
      <c r="L1379" s="834"/>
      <c r="M1379" s="22"/>
      <c r="N1379" s="23"/>
      <c r="O1379" s="848"/>
      <c r="P1379" s="23"/>
      <c r="Q1379" s="23"/>
      <c r="R1379" s="79"/>
      <c r="S1379" s="22"/>
      <c r="T1379" s="22"/>
      <c r="U1379" s="24"/>
      <c r="V1379" s="23"/>
      <c r="W1379" s="96"/>
      <c r="X1379" s="96"/>
      <c r="Y1379" s="96"/>
      <c r="Z1379" s="96"/>
      <c r="AA1379"/>
      <c r="AB1379" s="776"/>
      <c r="AC1379" s="776"/>
      <c r="AD1379" s="776"/>
      <c r="AE1379" s="776"/>
    </row>
    <row r="1380" spans="1:34">
      <c r="A1380" s="834" t="s">
        <v>137</v>
      </c>
      <c r="B1380" s="835">
        <v>1377</v>
      </c>
      <c r="C1380" s="840" t="s">
        <v>1896</v>
      </c>
      <c r="D1380" s="838" t="s">
        <v>34</v>
      </c>
      <c r="E1380" s="839">
        <v>45961</v>
      </c>
      <c r="F1380" s="838" t="s">
        <v>140</v>
      </c>
      <c r="G1380" s="838"/>
      <c r="H1380" s="838" t="s">
        <v>127</v>
      </c>
      <c r="I1380" s="838" t="s">
        <v>36</v>
      </c>
      <c r="J1380" s="98"/>
      <c r="K1380" s="838"/>
      <c r="L1380" s="834"/>
      <c r="M1380" s="22"/>
      <c r="N1380" s="23"/>
      <c r="O1380" s="848"/>
      <c r="P1380" s="23"/>
      <c r="Q1380" s="23"/>
      <c r="R1380" s="79"/>
      <c r="S1380" s="22"/>
      <c r="T1380" s="22"/>
      <c r="U1380" s="24"/>
      <c r="V1380" s="23"/>
      <c r="W1380" s="96"/>
      <c r="X1380" s="80"/>
      <c r="Y1380" s="96"/>
      <c r="Z1380" s="96"/>
      <c r="AA1380"/>
      <c r="AB1380" s="776"/>
      <c r="AC1380" s="776"/>
      <c r="AD1380" s="776"/>
      <c r="AE1380" s="776"/>
    </row>
    <row r="1381" spans="1:34">
      <c r="A1381" s="834" t="s">
        <v>137</v>
      </c>
      <c r="B1381" s="835">
        <v>1378</v>
      </c>
      <c r="C1381" s="840" t="s">
        <v>1897</v>
      </c>
      <c r="D1381" s="838" t="s">
        <v>34</v>
      </c>
      <c r="E1381" s="839">
        <v>45961</v>
      </c>
      <c r="F1381" s="838" t="s">
        <v>140</v>
      </c>
      <c r="G1381" s="838"/>
      <c r="H1381" s="838" t="s">
        <v>1721</v>
      </c>
      <c r="I1381" s="838" t="s">
        <v>1638</v>
      </c>
      <c r="J1381" s="838"/>
      <c r="K1381" s="838"/>
      <c r="L1381" s="241"/>
      <c r="M1381" s="22"/>
      <c r="N1381" s="23"/>
      <c r="O1381" s="848"/>
      <c r="P1381" s="23"/>
      <c r="Q1381" s="23"/>
      <c r="R1381" s="79"/>
      <c r="S1381" s="22"/>
      <c r="T1381" s="22"/>
      <c r="U1381" s="24"/>
      <c r="V1381" s="23"/>
      <c r="W1381" s="96"/>
      <c r="X1381" s="96"/>
      <c r="Y1381" s="96"/>
      <c r="Z1381" s="96"/>
      <c r="AA1381"/>
    </row>
    <row r="1382" spans="1:34">
      <c r="A1382" s="834" t="s">
        <v>137</v>
      </c>
      <c r="B1382" s="835">
        <v>1379</v>
      </c>
      <c r="C1382" s="840" t="s">
        <v>1899</v>
      </c>
      <c r="D1382" s="838" t="s">
        <v>102</v>
      </c>
      <c r="E1382" s="839">
        <v>45961</v>
      </c>
      <c r="F1382" s="838" t="s">
        <v>140</v>
      </c>
      <c r="G1382" s="838"/>
      <c r="H1382" s="838" t="s">
        <v>1725</v>
      </c>
      <c r="I1382" s="838" t="s">
        <v>47</v>
      </c>
      <c r="J1382" s="838"/>
      <c r="K1382" s="838"/>
      <c r="L1382" s="89"/>
      <c r="M1382" s="22"/>
      <c r="N1382" s="23"/>
      <c r="O1382" s="848"/>
      <c r="P1382" s="23"/>
      <c r="Q1382" s="23"/>
      <c r="R1382" s="79"/>
      <c r="S1382" s="22"/>
      <c r="T1382" s="22"/>
      <c r="U1382" s="24"/>
      <c r="V1382" s="23"/>
      <c r="W1382" s="96"/>
      <c r="X1382" s="96"/>
      <c r="Y1382" s="96"/>
      <c r="Z1382" s="96"/>
      <c r="AA1382"/>
    </row>
    <row r="1383" spans="1:34">
      <c r="A1383" s="834" t="s">
        <v>137</v>
      </c>
      <c r="B1383" s="835">
        <v>1380</v>
      </c>
      <c r="C1383" s="840" t="s">
        <v>1900</v>
      </c>
      <c r="D1383" s="838" t="s">
        <v>102</v>
      </c>
      <c r="E1383" s="839">
        <v>45961</v>
      </c>
      <c r="F1383" s="838" t="s">
        <v>140</v>
      </c>
      <c r="G1383" s="838"/>
      <c r="H1383" s="838" t="s">
        <v>1725</v>
      </c>
      <c r="I1383" s="838" t="s">
        <v>47</v>
      </c>
      <c r="J1383" s="98"/>
      <c r="K1383" s="838"/>
      <c r="L1383" s="214"/>
      <c r="M1383" s="838"/>
      <c r="N1383" s="838"/>
      <c r="O1383" s="838"/>
      <c r="P1383" s="23"/>
      <c r="Q1383" s="23"/>
      <c r="R1383" s="79"/>
      <c r="S1383" s="22"/>
      <c r="T1383" s="22"/>
      <c r="U1383" s="24"/>
      <c r="V1383" s="23"/>
      <c r="W1383" s="80"/>
      <c r="X1383" s="96"/>
      <c r="Y1383" s="96"/>
      <c r="Z1383" s="96"/>
      <c r="AA1383"/>
    </row>
    <row r="1384" spans="1:34">
      <c r="A1384" s="834" t="s">
        <v>137</v>
      </c>
      <c r="B1384" s="835">
        <v>1381</v>
      </c>
      <c r="C1384" s="840" t="s">
        <v>1901</v>
      </c>
      <c r="D1384" s="838" t="s">
        <v>1617</v>
      </c>
      <c r="E1384" s="839">
        <v>45961</v>
      </c>
      <c r="F1384" s="838" t="s">
        <v>140</v>
      </c>
      <c r="G1384" s="838"/>
      <c r="H1384" s="838" t="s">
        <v>1725</v>
      </c>
      <c r="I1384" s="838" t="s">
        <v>47</v>
      </c>
      <c r="J1384" s="98"/>
      <c r="K1384" s="838"/>
      <c r="L1384" s="241"/>
      <c r="M1384" s="22"/>
      <c r="N1384" s="23"/>
      <c r="O1384" s="240"/>
      <c r="P1384" s="23"/>
      <c r="Q1384" s="23"/>
      <c r="R1384" s="79"/>
      <c r="S1384" s="22"/>
      <c r="T1384" s="22"/>
      <c r="U1384" s="24"/>
      <c r="V1384" s="23"/>
      <c r="W1384" s="91"/>
      <c r="X1384" s="80"/>
      <c r="Y1384" s="96"/>
      <c r="Z1384" s="102"/>
      <c r="AA1384"/>
    </row>
    <row r="1385" spans="1:34">
      <c r="A1385" s="834" t="s">
        <v>137</v>
      </c>
      <c r="B1385" s="835">
        <v>1382</v>
      </c>
      <c r="C1385" s="840" t="s">
        <v>1903</v>
      </c>
      <c r="D1385" s="838" t="s">
        <v>178</v>
      </c>
      <c r="E1385" s="839">
        <v>45961</v>
      </c>
      <c r="F1385" s="838" t="s">
        <v>140</v>
      </c>
      <c r="G1385" s="838"/>
      <c r="H1385" s="838" t="s">
        <v>1725</v>
      </c>
      <c r="I1385" s="838" t="s">
        <v>47</v>
      </c>
      <c r="J1385" s="838"/>
      <c r="K1385" s="838"/>
      <c r="L1385" s="834"/>
      <c r="M1385" s="22"/>
      <c r="N1385" s="23"/>
      <c r="O1385" s="848"/>
      <c r="P1385" s="23"/>
      <c r="Q1385" s="23"/>
      <c r="R1385" s="79"/>
      <c r="S1385" s="22"/>
      <c r="T1385" s="22"/>
      <c r="U1385" s="24"/>
      <c r="V1385" s="23"/>
      <c r="W1385" s="80"/>
      <c r="X1385" s="80"/>
      <c r="Y1385" s="80"/>
      <c r="Z1385" s="96"/>
      <c r="AA1385"/>
    </row>
    <row r="1386" spans="1:34">
      <c r="A1386" s="834" t="s">
        <v>137</v>
      </c>
      <c r="B1386" s="835">
        <v>1383</v>
      </c>
      <c r="C1386" s="840" t="s">
        <v>1905</v>
      </c>
      <c r="D1386" s="838" t="s">
        <v>1617</v>
      </c>
      <c r="E1386" s="839">
        <v>45961</v>
      </c>
      <c r="F1386" s="838" t="s">
        <v>140</v>
      </c>
      <c r="G1386" s="838"/>
      <c r="H1386" s="838" t="s">
        <v>1725</v>
      </c>
      <c r="I1386" s="838" t="s">
        <v>47</v>
      </c>
      <c r="J1386" s="98"/>
      <c r="K1386" s="838"/>
      <c r="L1386" s="21"/>
      <c r="M1386" s="22"/>
      <c r="N1386" s="23"/>
      <c r="O1386" s="848"/>
      <c r="P1386" s="848"/>
      <c r="Q1386" s="23"/>
      <c r="R1386" s="79"/>
      <c r="S1386" s="22"/>
      <c r="T1386" s="22"/>
      <c r="U1386" s="24"/>
      <c r="V1386" s="23"/>
      <c r="W1386" s="80"/>
      <c r="X1386" s="80"/>
      <c r="Y1386" s="80"/>
      <c r="Z1386" s="80"/>
      <c r="AA1386"/>
    </row>
    <row r="1387" spans="1:34">
      <c r="A1387" s="834" t="s">
        <v>137</v>
      </c>
      <c r="B1387" s="835">
        <v>1384</v>
      </c>
      <c r="C1387" s="840" t="s">
        <v>1906</v>
      </c>
      <c r="D1387" s="838" t="s">
        <v>34</v>
      </c>
      <c r="E1387" s="839">
        <v>45961</v>
      </c>
      <c r="F1387" s="838" t="s">
        <v>140</v>
      </c>
      <c r="G1387" s="838"/>
      <c r="H1387" s="838" t="s">
        <v>1077</v>
      </c>
      <c r="I1387" s="838" t="s">
        <v>1138</v>
      </c>
      <c r="J1387" s="838"/>
      <c r="K1387" s="838"/>
      <c r="L1387" s="241"/>
      <c r="M1387" s="22"/>
      <c r="N1387" s="23"/>
      <c r="O1387" s="848"/>
      <c r="P1387" s="848"/>
      <c r="Q1387" s="23"/>
      <c r="R1387" s="79"/>
      <c r="S1387" s="22"/>
      <c r="T1387" s="22"/>
      <c r="U1387" s="24"/>
      <c r="V1387" s="23"/>
      <c r="W1387" s="96"/>
      <c r="X1387" s="96"/>
      <c r="Y1387" s="96"/>
      <c r="Z1387" s="96"/>
      <c r="AA1387"/>
    </row>
    <row r="1388" spans="1:34">
      <c r="A1388" s="834" t="s">
        <v>137</v>
      </c>
      <c r="B1388" s="835">
        <v>1385</v>
      </c>
      <c r="C1388" s="840" t="s">
        <v>1907</v>
      </c>
      <c r="D1388" s="838" t="s">
        <v>34</v>
      </c>
      <c r="E1388" s="839">
        <v>45961</v>
      </c>
      <c r="F1388" s="838" t="s">
        <v>140</v>
      </c>
      <c r="G1388" s="838"/>
      <c r="H1388" s="838" t="s">
        <v>1721</v>
      </c>
      <c r="I1388" s="838" t="s">
        <v>1638</v>
      </c>
      <c r="J1388" s="838"/>
      <c r="K1388" s="838"/>
      <c r="L1388" s="21"/>
      <c r="M1388" s="22"/>
      <c r="N1388" s="23"/>
      <c r="O1388" s="848"/>
      <c r="P1388" s="848"/>
      <c r="Q1388" s="23"/>
      <c r="R1388" s="79"/>
      <c r="S1388" s="22"/>
      <c r="T1388" s="22"/>
      <c r="U1388" s="24"/>
      <c r="V1388" s="23"/>
      <c r="W1388" s="96"/>
      <c r="X1388" s="96"/>
      <c r="Y1388" s="96"/>
      <c r="Z1388" s="96"/>
      <c r="AA1388"/>
    </row>
    <row r="1389" spans="1:34">
      <c r="A1389" s="834" t="s">
        <v>137</v>
      </c>
      <c r="B1389" s="835">
        <v>1386</v>
      </c>
      <c r="C1389" s="840" t="s">
        <v>1909</v>
      </c>
      <c r="D1389" s="838" t="s">
        <v>64</v>
      </c>
      <c r="E1389" s="839">
        <v>45961</v>
      </c>
      <c r="F1389" s="838" t="s">
        <v>140</v>
      </c>
      <c r="G1389" s="838"/>
      <c r="H1389" s="838" t="s">
        <v>1721</v>
      </c>
      <c r="I1389" s="838" t="s">
        <v>1638</v>
      </c>
      <c r="J1389" s="838"/>
      <c r="K1389" s="838"/>
      <c r="L1389" s="838"/>
      <c r="M1389" s="22"/>
      <c r="N1389" s="23"/>
      <c r="O1389" s="848"/>
      <c r="P1389" s="23"/>
      <c r="Q1389" s="23"/>
      <c r="R1389" s="79"/>
      <c r="S1389" s="22"/>
      <c r="T1389" s="22"/>
      <c r="U1389" s="24"/>
      <c r="V1389" s="23"/>
      <c r="W1389" s="96"/>
      <c r="X1389" s="96"/>
      <c r="Y1389" s="96"/>
      <c r="Z1389" s="96"/>
      <c r="AA1389"/>
      <c r="AB1389" s="776"/>
      <c r="AC1389" s="776"/>
      <c r="AD1389" s="776"/>
      <c r="AE1389" s="776"/>
    </row>
    <row r="1390" spans="1:34">
      <c r="A1390" s="834" t="s">
        <v>137</v>
      </c>
      <c r="B1390" s="835">
        <v>1387</v>
      </c>
      <c r="C1390" s="840" t="s">
        <v>1910</v>
      </c>
      <c r="D1390" s="838" t="s">
        <v>34</v>
      </c>
      <c r="E1390" s="839">
        <v>45961</v>
      </c>
      <c r="F1390" s="838" t="s">
        <v>140</v>
      </c>
      <c r="G1390" s="838"/>
      <c r="H1390" s="838" t="s">
        <v>1721</v>
      </c>
      <c r="I1390" s="838" t="s">
        <v>1638</v>
      </c>
      <c r="J1390" s="838"/>
      <c r="K1390" s="838"/>
      <c r="L1390" s="214"/>
      <c r="M1390" s="22"/>
      <c r="N1390" s="23"/>
      <c r="O1390" s="848"/>
      <c r="P1390" s="23"/>
      <c r="Q1390" s="23"/>
      <c r="R1390" s="79"/>
      <c r="S1390" s="22"/>
      <c r="T1390" s="22"/>
      <c r="U1390" s="24"/>
      <c r="V1390" s="23"/>
      <c r="W1390" s="96"/>
      <c r="X1390" s="96"/>
      <c r="Y1390" s="80"/>
      <c r="Z1390" s="96"/>
      <c r="AA1390"/>
      <c r="AB1390" s="776"/>
      <c r="AC1390" s="776"/>
      <c r="AD1390" s="776"/>
      <c r="AE1390" s="776"/>
    </row>
    <row r="1391" spans="1:34">
      <c r="A1391" s="834" t="s">
        <v>137</v>
      </c>
      <c r="B1391" s="835">
        <v>1388</v>
      </c>
      <c r="C1391" s="840" t="s">
        <v>1911</v>
      </c>
      <c r="D1391" s="838" t="s">
        <v>50</v>
      </c>
      <c r="E1391" s="839">
        <v>45961</v>
      </c>
      <c r="F1391" s="838" t="s">
        <v>140</v>
      </c>
      <c r="G1391" s="838"/>
      <c r="H1391" s="838" t="s">
        <v>127</v>
      </c>
      <c r="I1391" s="838" t="s">
        <v>36</v>
      </c>
      <c r="J1391" s="838"/>
      <c r="K1391" s="838"/>
      <c r="L1391" s="214"/>
      <c r="M1391" s="22"/>
      <c r="N1391" s="23"/>
      <c r="O1391" s="848"/>
      <c r="P1391" s="23"/>
      <c r="Q1391" s="23"/>
      <c r="R1391" s="79"/>
      <c r="S1391" s="22"/>
      <c r="T1391" s="22"/>
      <c r="U1391" s="24"/>
      <c r="V1391" s="23"/>
      <c r="W1391" s="80"/>
      <c r="X1391" s="80"/>
      <c r="Y1391" s="80"/>
      <c r="Z1391" s="80"/>
      <c r="AA1391"/>
      <c r="AF1391" s="71"/>
      <c r="AG1391" s="92"/>
      <c r="AH1391" s="92"/>
    </row>
    <row r="1392" spans="1:34">
      <c r="A1392" s="834" t="s">
        <v>137</v>
      </c>
      <c r="B1392" s="835">
        <v>1389</v>
      </c>
      <c r="C1392" s="840" t="s">
        <v>1913</v>
      </c>
      <c r="D1392" s="838" t="s">
        <v>102</v>
      </c>
      <c r="E1392" s="839">
        <v>45961</v>
      </c>
      <c r="F1392" s="838" t="s">
        <v>140</v>
      </c>
      <c r="G1392" s="838"/>
      <c r="H1392" s="838" t="s">
        <v>1077</v>
      </c>
      <c r="I1392" s="838" t="s">
        <v>1138</v>
      </c>
      <c r="J1392" s="838"/>
      <c r="K1392" s="838"/>
      <c r="L1392" s="214"/>
      <c r="M1392" s="22"/>
      <c r="N1392" s="23"/>
      <c r="O1392" s="848"/>
      <c r="P1392" s="23"/>
      <c r="Q1392" s="23"/>
      <c r="R1392" s="79"/>
      <c r="S1392" s="22"/>
      <c r="T1392" s="22"/>
      <c r="U1392" s="24"/>
      <c r="V1392" s="23"/>
      <c r="W1392" s="80"/>
      <c r="X1392" s="80"/>
      <c r="Y1392" s="96"/>
      <c r="Z1392" s="96"/>
      <c r="AA1392"/>
      <c r="AB1392" s="776"/>
      <c r="AC1392" s="776"/>
      <c r="AD1392" s="776"/>
      <c r="AE1392" s="776"/>
    </row>
    <row r="1393" spans="1:34">
      <c r="A1393" s="834" t="s">
        <v>137</v>
      </c>
      <c r="B1393" s="835">
        <v>1390</v>
      </c>
      <c r="C1393" s="840" t="s">
        <v>1914</v>
      </c>
      <c r="D1393" s="838" t="s">
        <v>406</v>
      </c>
      <c r="E1393" s="839">
        <v>45961</v>
      </c>
      <c r="F1393" s="838" t="s">
        <v>140</v>
      </c>
      <c r="G1393" s="838"/>
      <c r="H1393" s="838" t="s">
        <v>1721</v>
      </c>
      <c r="I1393" s="838" t="s">
        <v>1638</v>
      </c>
      <c r="J1393" s="98"/>
      <c r="K1393" s="838"/>
      <c r="L1393" s="241"/>
      <c r="M1393" s="22"/>
      <c r="N1393" s="23"/>
      <c r="O1393" s="240"/>
      <c r="P1393" s="23"/>
      <c r="Q1393" s="23"/>
      <c r="R1393" s="79"/>
      <c r="S1393" s="22"/>
      <c r="T1393" s="22"/>
      <c r="U1393" s="24"/>
      <c r="V1393" s="23"/>
      <c r="W1393" s="80"/>
      <c r="X1393" s="80"/>
      <c r="Y1393" s="80"/>
      <c r="Z1393" s="80"/>
      <c r="AA1393"/>
      <c r="AB1393" s="776"/>
      <c r="AC1393" s="776"/>
      <c r="AD1393" s="776"/>
      <c r="AE1393" s="776"/>
    </row>
    <row r="1394" spans="1:34">
      <c r="A1394" s="834" t="s">
        <v>137</v>
      </c>
      <c r="B1394" s="835">
        <v>1391</v>
      </c>
      <c r="C1394" s="840" t="s">
        <v>1915</v>
      </c>
      <c r="D1394" s="838" t="s">
        <v>43</v>
      </c>
      <c r="E1394" s="839">
        <v>45961</v>
      </c>
      <c r="F1394" s="838" t="s">
        <v>140</v>
      </c>
      <c r="G1394" s="838"/>
      <c r="H1394" s="838" t="s">
        <v>1721</v>
      </c>
      <c r="I1394" s="838" t="s">
        <v>1638</v>
      </c>
      <c r="J1394" s="838"/>
      <c r="K1394" s="838"/>
      <c r="L1394" s="214"/>
      <c r="M1394" s="22"/>
      <c r="N1394" s="23"/>
      <c r="O1394" s="848"/>
      <c r="P1394" s="23"/>
      <c r="Q1394" s="23"/>
      <c r="R1394" s="79"/>
      <c r="S1394" s="22"/>
      <c r="T1394" s="22"/>
      <c r="U1394" s="24"/>
      <c r="V1394" s="23"/>
      <c r="W1394" s="80"/>
      <c r="X1394" s="96"/>
      <c r="Y1394" s="96"/>
      <c r="Z1394" s="80"/>
      <c r="AA1394"/>
    </row>
    <row r="1395" spans="1:34">
      <c r="A1395" s="834" t="s">
        <v>137</v>
      </c>
      <c r="B1395" s="835">
        <v>1392</v>
      </c>
      <c r="C1395" s="840" t="s">
        <v>1916</v>
      </c>
      <c r="D1395" s="838" t="s">
        <v>43</v>
      </c>
      <c r="E1395" s="839">
        <v>45961</v>
      </c>
      <c r="F1395" s="838" t="s">
        <v>140</v>
      </c>
      <c r="G1395" s="838"/>
      <c r="H1395" s="838" t="s">
        <v>1721</v>
      </c>
      <c r="I1395" s="838" t="s">
        <v>1638</v>
      </c>
      <c r="J1395" s="838"/>
      <c r="K1395" s="838"/>
      <c r="L1395" s="214"/>
      <c r="M1395" s="22"/>
      <c r="N1395" s="23"/>
      <c r="O1395" s="848"/>
      <c r="P1395" s="23"/>
      <c r="Q1395" s="23"/>
      <c r="R1395" s="79"/>
      <c r="S1395" s="22"/>
      <c r="T1395" s="22"/>
      <c r="U1395" s="24"/>
      <c r="V1395" s="23"/>
      <c r="W1395" s="80"/>
      <c r="X1395" s="80"/>
      <c r="Y1395" s="80"/>
      <c r="Z1395" s="80"/>
      <c r="AA1395"/>
    </row>
    <row r="1396" spans="1:34">
      <c r="A1396" s="834" t="s">
        <v>137</v>
      </c>
      <c r="B1396" s="835">
        <v>1393</v>
      </c>
      <c r="C1396" s="840" t="s">
        <v>1895</v>
      </c>
      <c r="D1396" s="838" t="s">
        <v>1965</v>
      </c>
      <c r="E1396" s="839">
        <v>45961</v>
      </c>
      <c r="F1396" s="838" t="s">
        <v>140</v>
      </c>
      <c r="G1396" s="838"/>
      <c r="H1396" s="838" t="s">
        <v>1077</v>
      </c>
      <c r="I1396" s="838" t="s">
        <v>1138</v>
      </c>
      <c r="J1396" s="838"/>
      <c r="K1396" s="838"/>
      <c r="L1396" s="214"/>
      <c r="M1396" s="22"/>
      <c r="N1396" s="23"/>
      <c r="O1396" s="240"/>
      <c r="P1396" s="848"/>
      <c r="Q1396" s="23"/>
      <c r="R1396" s="79"/>
      <c r="S1396" s="22"/>
      <c r="T1396" s="22"/>
      <c r="U1396" s="24"/>
      <c r="V1396" s="23"/>
      <c r="W1396" s="96"/>
      <c r="X1396" s="96"/>
      <c r="Y1396" s="96"/>
      <c r="Z1396" s="96"/>
      <c r="AA1396"/>
    </row>
    <row r="1397" spans="1:34">
      <c r="A1397" s="834" t="s">
        <v>137</v>
      </c>
      <c r="B1397" s="835">
        <v>1394</v>
      </c>
      <c r="C1397" s="840" t="s">
        <v>1896</v>
      </c>
      <c r="D1397" s="838" t="s">
        <v>43</v>
      </c>
      <c r="E1397" s="839">
        <v>45961</v>
      </c>
      <c r="F1397" s="838" t="s">
        <v>140</v>
      </c>
      <c r="G1397" s="838"/>
      <c r="H1397" s="838" t="s">
        <v>127</v>
      </c>
      <c r="I1397" s="838" t="s">
        <v>36</v>
      </c>
      <c r="J1397" s="838"/>
      <c r="K1397" s="838"/>
      <c r="L1397" s="214"/>
      <c r="M1397" s="22"/>
      <c r="N1397" s="23"/>
      <c r="O1397" s="240"/>
      <c r="P1397" s="23"/>
      <c r="Q1397" s="23"/>
      <c r="R1397" s="79"/>
      <c r="S1397" s="22"/>
      <c r="T1397" s="22"/>
      <c r="U1397" s="24"/>
      <c r="V1397" s="23"/>
      <c r="W1397" s="91"/>
      <c r="X1397" s="91"/>
      <c r="Y1397" s="96"/>
      <c r="Z1397" s="102"/>
      <c r="AA1397"/>
    </row>
    <row r="1398" spans="1:34">
      <c r="A1398" s="834" t="s">
        <v>137</v>
      </c>
      <c r="B1398" s="835">
        <v>1395</v>
      </c>
      <c r="C1398" s="840" t="s">
        <v>1897</v>
      </c>
      <c r="D1398" s="838" t="s">
        <v>26</v>
      </c>
      <c r="E1398" s="839">
        <v>45961</v>
      </c>
      <c r="F1398" s="838" t="s">
        <v>140</v>
      </c>
      <c r="G1398" s="838"/>
      <c r="H1398" s="838" t="s">
        <v>1077</v>
      </c>
      <c r="I1398" s="838" t="s">
        <v>1138</v>
      </c>
      <c r="J1398" s="838"/>
      <c r="K1398" s="838"/>
      <c r="L1398" s="834"/>
      <c r="M1398" s="22"/>
      <c r="N1398" s="23"/>
      <c r="O1398" s="848"/>
      <c r="P1398" s="23"/>
      <c r="Q1398" s="23"/>
      <c r="R1398" s="79"/>
      <c r="S1398" s="22"/>
      <c r="T1398" s="22"/>
      <c r="U1398" s="24"/>
      <c r="V1398" s="23"/>
      <c r="W1398" s="80"/>
      <c r="X1398" s="96"/>
      <c r="Y1398" s="96"/>
      <c r="Z1398" s="80"/>
      <c r="AA1398"/>
    </row>
    <row r="1399" spans="1:34">
      <c r="A1399" s="834" t="s">
        <v>137</v>
      </c>
      <c r="B1399" s="835">
        <v>1396</v>
      </c>
      <c r="C1399" s="840" t="s">
        <v>1899</v>
      </c>
      <c r="D1399" s="838" t="s">
        <v>50</v>
      </c>
      <c r="E1399" s="839">
        <v>45961</v>
      </c>
      <c r="F1399" s="838" t="s">
        <v>140</v>
      </c>
      <c r="G1399" s="838"/>
      <c r="H1399" s="838" t="s">
        <v>1077</v>
      </c>
      <c r="I1399" s="838" t="s">
        <v>1138</v>
      </c>
      <c r="J1399" s="838"/>
      <c r="K1399" s="838"/>
      <c r="L1399" s="834"/>
      <c r="M1399" s="22"/>
      <c r="N1399" s="23"/>
      <c r="O1399" s="240"/>
      <c r="P1399" s="23"/>
      <c r="Q1399" s="23"/>
      <c r="R1399" s="79"/>
      <c r="S1399" s="22"/>
      <c r="T1399" s="22"/>
      <c r="U1399" s="24"/>
      <c r="V1399" s="23"/>
      <c r="W1399" s="91"/>
      <c r="X1399" s="80"/>
      <c r="Y1399" s="80"/>
      <c r="Z1399" s="102"/>
      <c r="AA1399"/>
    </row>
    <row r="1400" spans="1:34">
      <c r="A1400" s="834" t="s">
        <v>137</v>
      </c>
      <c r="B1400" s="835">
        <v>1397</v>
      </c>
      <c r="C1400" s="840" t="s">
        <v>1900</v>
      </c>
      <c r="D1400" s="838" t="s">
        <v>1131</v>
      </c>
      <c r="E1400" s="839">
        <v>45961</v>
      </c>
      <c r="F1400" s="838" t="s">
        <v>140</v>
      </c>
      <c r="G1400" s="838"/>
      <c r="H1400" s="838" t="s">
        <v>1721</v>
      </c>
      <c r="I1400" s="838" t="s">
        <v>1638</v>
      </c>
      <c r="J1400" s="838"/>
      <c r="K1400" s="838"/>
      <c r="L1400" s="21"/>
      <c r="M1400" s="22"/>
      <c r="N1400" s="23"/>
      <c r="O1400" s="848"/>
      <c r="P1400" s="23"/>
      <c r="Q1400" s="23"/>
      <c r="R1400" s="79"/>
      <c r="S1400" s="22"/>
      <c r="T1400" s="22"/>
      <c r="U1400" s="24"/>
      <c r="V1400" s="23"/>
      <c r="W1400" s="80"/>
      <c r="X1400" s="80"/>
      <c r="Y1400" s="80"/>
      <c r="Z1400" s="80"/>
      <c r="AA1400"/>
    </row>
    <row r="1401" spans="1:34">
      <c r="A1401" s="834" t="s">
        <v>137</v>
      </c>
      <c r="B1401" s="835">
        <v>1398</v>
      </c>
      <c r="C1401" s="840" t="s">
        <v>1901</v>
      </c>
      <c r="D1401" s="838" t="s">
        <v>102</v>
      </c>
      <c r="E1401" s="839">
        <v>45961</v>
      </c>
      <c r="F1401" s="838" t="s">
        <v>140</v>
      </c>
      <c r="G1401" s="838"/>
      <c r="H1401" s="838" t="s">
        <v>1725</v>
      </c>
      <c r="I1401" s="838" t="s">
        <v>47</v>
      </c>
      <c r="J1401" s="838"/>
      <c r="K1401" s="838"/>
      <c r="L1401" s="21"/>
      <c r="M1401" s="22"/>
      <c r="N1401" s="23"/>
      <c r="O1401" s="240"/>
      <c r="P1401" s="23"/>
      <c r="Q1401" s="23"/>
      <c r="R1401" s="79"/>
      <c r="S1401" s="22"/>
      <c r="T1401" s="22"/>
      <c r="U1401" s="24"/>
      <c r="V1401" s="23"/>
      <c r="W1401" s="80"/>
      <c r="X1401" s="96"/>
      <c r="Y1401" s="96"/>
      <c r="Z1401" s="96"/>
      <c r="AA1401"/>
      <c r="AB1401" s="776"/>
      <c r="AC1401" s="776"/>
      <c r="AD1401" s="776"/>
      <c r="AE1401" s="776"/>
    </row>
    <row r="1402" spans="1:34">
      <c r="A1402" s="834" t="s">
        <v>137</v>
      </c>
      <c r="B1402" s="835">
        <v>1399</v>
      </c>
      <c r="C1402" s="840" t="s">
        <v>1903</v>
      </c>
      <c r="D1402" s="838" t="s">
        <v>43</v>
      </c>
      <c r="E1402" s="839">
        <v>45961</v>
      </c>
      <c r="F1402" s="838" t="s">
        <v>140</v>
      </c>
      <c r="G1402" s="838"/>
      <c r="H1402" s="838" t="s">
        <v>1721</v>
      </c>
      <c r="I1402" s="838" t="s">
        <v>1638</v>
      </c>
      <c r="J1402" s="98"/>
      <c r="K1402" s="838"/>
      <c r="L1402" s="21"/>
      <c r="M1402" s="22"/>
      <c r="N1402" s="23"/>
      <c r="O1402" s="848"/>
      <c r="P1402" s="23"/>
      <c r="Q1402" s="23"/>
      <c r="R1402" s="79"/>
      <c r="S1402" s="22"/>
      <c r="T1402" s="22"/>
      <c r="U1402" s="24"/>
      <c r="V1402" s="23"/>
      <c r="W1402" s="80"/>
      <c r="X1402" s="80"/>
      <c r="Y1402" s="80"/>
      <c r="Z1402" s="80"/>
      <c r="AA1402"/>
      <c r="AF1402" s="71"/>
      <c r="AG1402" s="92"/>
      <c r="AH1402" s="92"/>
    </row>
    <row r="1403" spans="1:34">
      <c r="A1403" s="834" t="s">
        <v>137</v>
      </c>
      <c r="B1403" s="835">
        <v>1400</v>
      </c>
      <c r="C1403" s="840" t="s">
        <v>1905</v>
      </c>
      <c r="D1403" s="838" t="s">
        <v>34</v>
      </c>
      <c r="E1403" s="839">
        <v>45961</v>
      </c>
      <c r="F1403" s="838" t="s">
        <v>140</v>
      </c>
      <c r="G1403" s="838"/>
      <c r="H1403" s="838" t="s">
        <v>127</v>
      </c>
      <c r="I1403" s="838" t="s">
        <v>36</v>
      </c>
      <c r="J1403" s="838"/>
      <c r="K1403" s="838"/>
      <c r="L1403" s="21"/>
      <c r="M1403" s="22"/>
      <c r="N1403" s="23"/>
      <c r="O1403" s="240"/>
      <c r="P1403" s="23"/>
      <c r="Q1403" s="23"/>
      <c r="R1403" s="79"/>
      <c r="S1403" s="22"/>
      <c r="T1403" s="22"/>
      <c r="U1403" s="24"/>
      <c r="V1403" s="23"/>
      <c r="W1403" s="80"/>
      <c r="X1403" s="96"/>
      <c r="Y1403" s="96"/>
      <c r="Z1403" s="80"/>
      <c r="AA1403"/>
    </row>
    <row r="1404" spans="1:34">
      <c r="A1404" s="834" t="s">
        <v>137</v>
      </c>
      <c r="B1404" s="835">
        <v>1401</v>
      </c>
      <c r="C1404" s="840" t="s">
        <v>1906</v>
      </c>
      <c r="D1404" s="838" t="s">
        <v>234</v>
      </c>
      <c r="E1404" s="839">
        <v>45961</v>
      </c>
      <c r="F1404" s="838" t="s">
        <v>140</v>
      </c>
      <c r="G1404" s="838"/>
      <c r="H1404" s="838" t="s">
        <v>127</v>
      </c>
      <c r="I1404" s="838" t="s">
        <v>36</v>
      </c>
      <c r="J1404" s="838"/>
      <c r="K1404" s="838"/>
      <c r="L1404" s="21"/>
      <c r="M1404" s="22"/>
      <c r="N1404" s="23"/>
      <c r="O1404" s="23"/>
      <c r="P1404" s="23"/>
      <c r="Q1404" s="23"/>
      <c r="R1404" s="79"/>
      <c r="S1404" s="22"/>
      <c r="T1404" s="22"/>
      <c r="U1404" s="24"/>
      <c r="V1404" s="23"/>
      <c r="W1404" s="80"/>
      <c r="X1404" s="80"/>
      <c r="Y1404" s="96"/>
      <c r="Z1404" s="102"/>
      <c r="AA1404"/>
    </row>
    <row r="1405" spans="1:34">
      <c r="A1405" s="834" t="s">
        <v>137</v>
      </c>
      <c r="B1405" s="835">
        <v>1402</v>
      </c>
      <c r="C1405" s="840" t="s">
        <v>1907</v>
      </c>
      <c r="D1405" s="838" t="s">
        <v>34</v>
      </c>
      <c r="E1405" s="839">
        <v>45961</v>
      </c>
      <c r="F1405" s="838" t="s">
        <v>140</v>
      </c>
      <c r="G1405" s="838"/>
      <c r="H1405" s="838" t="s">
        <v>127</v>
      </c>
      <c r="I1405" s="838" t="s">
        <v>36</v>
      </c>
      <c r="J1405" s="838"/>
      <c r="K1405" s="838"/>
      <c r="L1405" s="21"/>
      <c r="M1405" s="22"/>
      <c r="N1405" s="23"/>
      <c r="O1405" s="848"/>
      <c r="P1405" s="23"/>
      <c r="Q1405" s="23"/>
      <c r="R1405" s="79"/>
      <c r="S1405" s="22"/>
      <c r="T1405" s="22"/>
      <c r="U1405" s="24"/>
      <c r="V1405" s="23"/>
      <c r="W1405" s="80"/>
      <c r="X1405" s="96"/>
      <c r="Y1405" s="96"/>
      <c r="Z1405" s="102"/>
      <c r="AA1405"/>
      <c r="AF1405" s="71"/>
      <c r="AG1405" s="92"/>
      <c r="AH1405" s="92"/>
    </row>
    <row r="1406" spans="1:34">
      <c r="A1406" s="834" t="s">
        <v>137</v>
      </c>
      <c r="B1406" s="835">
        <v>1403</v>
      </c>
      <c r="C1406" s="840" t="s">
        <v>1909</v>
      </c>
      <c r="D1406" s="838" t="s">
        <v>34</v>
      </c>
      <c r="E1406" s="839">
        <v>45961</v>
      </c>
      <c r="F1406" s="838" t="s">
        <v>140</v>
      </c>
      <c r="G1406" s="838"/>
      <c r="H1406" s="838" t="s">
        <v>127</v>
      </c>
      <c r="I1406" s="838" t="s">
        <v>36</v>
      </c>
      <c r="J1406" s="838"/>
      <c r="K1406" s="838"/>
      <c r="L1406" s="214"/>
      <c r="M1406" s="22"/>
      <c r="N1406" s="23"/>
      <c r="O1406" s="240"/>
      <c r="P1406" s="23"/>
      <c r="Q1406" s="23"/>
      <c r="R1406" s="79"/>
      <c r="S1406" s="22"/>
      <c r="T1406" s="22"/>
      <c r="U1406" s="24"/>
      <c r="V1406" s="23"/>
      <c r="W1406" s="80"/>
      <c r="X1406" s="96"/>
      <c r="Y1406" s="96"/>
      <c r="Z1406" s="80"/>
      <c r="AA1406"/>
    </row>
    <row r="1407" spans="1:34">
      <c r="A1407" s="834" t="s">
        <v>137</v>
      </c>
      <c r="B1407" s="835">
        <v>1404</v>
      </c>
      <c r="C1407" s="840" t="s">
        <v>1910</v>
      </c>
      <c r="D1407" s="838" t="s">
        <v>102</v>
      </c>
      <c r="E1407" s="839">
        <v>45961</v>
      </c>
      <c r="F1407" s="838" t="s">
        <v>140</v>
      </c>
      <c r="G1407" s="838"/>
      <c r="H1407" s="838" t="s">
        <v>1721</v>
      </c>
      <c r="I1407" s="838" t="s">
        <v>1638</v>
      </c>
      <c r="J1407" s="838"/>
      <c r="K1407" s="838"/>
      <c r="L1407" s="214"/>
      <c r="M1407" s="22"/>
      <c r="N1407" s="23"/>
      <c r="O1407" s="848"/>
      <c r="P1407" s="23"/>
      <c r="Q1407" s="23"/>
      <c r="R1407" s="79"/>
      <c r="S1407" s="22"/>
      <c r="T1407" s="22"/>
      <c r="U1407" s="24"/>
      <c r="V1407" s="23"/>
      <c r="W1407" s="80"/>
      <c r="X1407" s="80"/>
      <c r="Y1407" s="80"/>
      <c r="Z1407" s="80"/>
      <c r="AA1407"/>
    </row>
    <row r="1408" spans="1:34">
      <c r="A1408" s="834" t="s">
        <v>137</v>
      </c>
      <c r="B1408" s="835">
        <v>1405</v>
      </c>
      <c r="C1408" s="840" t="s">
        <v>1911</v>
      </c>
      <c r="D1408" s="838" t="s">
        <v>43</v>
      </c>
      <c r="E1408" s="839">
        <v>45961</v>
      </c>
      <c r="F1408" s="838" t="s">
        <v>140</v>
      </c>
      <c r="G1408" s="838"/>
      <c r="H1408" s="838" t="s">
        <v>1721</v>
      </c>
      <c r="I1408" s="838" t="s">
        <v>1638</v>
      </c>
      <c r="J1408" s="838"/>
      <c r="K1408" s="838"/>
      <c r="L1408" s="214"/>
      <c r="M1408" s="22"/>
      <c r="N1408" s="23"/>
      <c r="O1408" s="848"/>
      <c r="P1408" s="23"/>
      <c r="Q1408" s="23"/>
      <c r="R1408" s="79"/>
      <c r="S1408" s="22"/>
      <c r="T1408" s="22"/>
      <c r="U1408" s="24"/>
      <c r="V1408" s="23"/>
      <c r="W1408" s="80"/>
      <c r="X1408" s="80"/>
      <c r="Y1408" s="80"/>
      <c r="Z1408" s="80"/>
      <c r="AA1408"/>
    </row>
    <row r="1409" spans="1:34">
      <c r="A1409" s="834" t="s">
        <v>137</v>
      </c>
      <c r="B1409" s="835">
        <v>1406</v>
      </c>
      <c r="C1409" s="840" t="s">
        <v>1913</v>
      </c>
      <c r="D1409" s="838" t="s">
        <v>1617</v>
      </c>
      <c r="E1409" s="839">
        <v>45961</v>
      </c>
      <c r="F1409" s="838" t="s">
        <v>140</v>
      </c>
      <c r="G1409" s="838"/>
      <c r="H1409" s="838" t="s">
        <v>1721</v>
      </c>
      <c r="I1409" s="838" t="s">
        <v>1638</v>
      </c>
      <c r="J1409" s="838"/>
      <c r="K1409" s="838"/>
      <c r="L1409" s="215"/>
      <c r="M1409" s="22"/>
      <c r="N1409" s="23"/>
      <c r="O1409" s="848"/>
      <c r="P1409" s="23"/>
      <c r="Q1409" s="23"/>
      <c r="R1409" s="79"/>
      <c r="S1409" s="22"/>
      <c r="T1409" s="22"/>
      <c r="U1409" s="24"/>
      <c r="V1409" s="23"/>
      <c r="W1409" s="80"/>
      <c r="X1409" s="80"/>
      <c r="Y1409" s="96"/>
      <c r="Z1409" s="96"/>
      <c r="AA1409"/>
    </row>
    <row r="1410" spans="1:34">
      <c r="A1410" s="834" t="s">
        <v>137</v>
      </c>
      <c r="B1410" s="835">
        <v>1407</v>
      </c>
      <c r="C1410" s="840" t="s">
        <v>1914</v>
      </c>
      <c r="D1410" s="838" t="s">
        <v>374</v>
      </c>
      <c r="E1410" s="839">
        <v>45961</v>
      </c>
      <c r="F1410" s="838" t="s">
        <v>140</v>
      </c>
      <c r="G1410" s="838"/>
      <c r="H1410" s="838" t="s">
        <v>1725</v>
      </c>
      <c r="I1410" s="838" t="s">
        <v>47</v>
      </c>
      <c r="J1410" s="838"/>
      <c r="K1410" s="838"/>
      <c r="L1410" s="214"/>
      <c r="M1410" s="22"/>
      <c r="N1410" s="23"/>
      <c r="O1410" s="240"/>
      <c r="P1410" s="23"/>
      <c r="Q1410" s="23"/>
      <c r="R1410" s="79"/>
      <c r="S1410" s="22"/>
      <c r="T1410" s="22"/>
      <c r="U1410" s="24"/>
      <c r="V1410" s="23"/>
      <c r="W1410" s="91"/>
      <c r="X1410" s="91"/>
      <c r="Y1410" s="96"/>
      <c r="Z1410" s="102"/>
      <c r="AA1410"/>
    </row>
    <row r="1411" spans="1:34">
      <c r="A1411" s="834" t="s">
        <v>137</v>
      </c>
      <c r="B1411" s="835">
        <v>1408</v>
      </c>
      <c r="C1411" s="840" t="s">
        <v>1915</v>
      </c>
      <c r="D1411" s="838" t="s">
        <v>34</v>
      </c>
      <c r="E1411" s="839">
        <v>45961</v>
      </c>
      <c r="F1411" s="838" t="s">
        <v>140</v>
      </c>
      <c r="G1411" s="838"/>
      <c r="H1411" s="838" t="s">
        <v>1725</v>
      </c>
      <c r="I1411" s="838" t="s">
        <v>47</v>
      </c>
      <c r="J1411" s="838"/>
      <c r="K1411" s="838"/>
      <c r="L1411" s="21"/>
      <c r="M1411" s="22"/>
      <c r="N1411" s="23"/>
      <c r="O1411" s="240"/>
      <c r="P1411" s="23"/>
      <c r="Q1411" s="23"/>
      <c r="R1411" s="79"/>
      <c r="S1411" s="22"/>
      <c r="T1411" s="22"/>
      <c r="U1411" s="24"/>
      <c r="V1411" s="23"/>
      <c r="W1411" s="80"/>
      <c r="X1411" s="96"/>
      <c r="Y1411" s="80"/>
      <c r="Z1411" s="102"/>
      <c r="AA1411"/>
    </row>
    <row r="1412" spans="1:34">
      <c r="A1412" s="834" t="s">
        <v>137</v>
      </c>
      <c r="B1412" s="835">
        <v>1409</v>
      </c>
      <c r="C1412" s="840" t="s">
        <v>1916</v>
      </c>
      <c r="D1412" s="838" t="s">
        <v>34</v>
      </c>
      <c r="E1412" s="839">
        <v>45961</v>
      </c>
      <c r="F1412" s="838" t="s">
        <v>140</v>
      </c>
      <c r="G1412" s="838"/>
      <c r="H1412" s="838" t="s">
        <v>1725</v>
      </c>
      <c r="I1412" s="838" t="s">
        <v>47</v>
      </c>
      <c r="J1412" s="838"/>
      <c r="K1412" s="838"/>
      <c r="L1412" s="21"/>
      <c r="M1412" s="22"/>
      <c r="N1412" s="23"/>
      <c r="O1412" s="23"/>
      <c r="P1412" s="23"/>
      <c r="Q1412" s="23"/>
      <c r="R1412" s="79"/>
      <c r="S1412" s="22"/>
      <c r="T1412" s="22"/>
      <c r="U1412" s="24"/>
      <c r="V1412" s="23"/>
      <c r="W1412" s="80"/>
      <c r="X1412" s="80"/>
      <c r="Y1412" s="80"/>
      <c r="Z1412" s="80"/>
      <c r="AA1412"/>
    </row>
    <row r="1413" spans="1:34">
      <c r="A1413" s="834" t="s">
        <v>137</v>
      </c>
      <c r="B1413" s="835">
        <v>1410</v>
      </c>
      <c r="C1413" s="840" t="s">
        <v>1895</v>
      </c>
      <c r="D1413" s="838" t="s">
        <v>34</v>
      </c>
      <c r="E1413" s="839">
        <v>45961</v>
      </c>
      <c r="F1413" s="838" t="s">
        <v>140</v>
      </c>
      <c r="G1413" s="838"/>
      <c r="H1413" s="838" t="s">
        <v>1725</v>
      </c>
      <c r="I1413" s="838" t="s">
        <v>47</v>
      </c>
      <c r="J1413" s="838"/>
      <c r="K1413" s="838"/>
      <c r="L1413" s="21"/>
      <c r="M1413" s="22"/>
      <c r="N1413" s="23"/>
      <c r="O1413" s="848"/>
      <c r="P1413" s="23"/>
      <c r="Q1413" s="23"/>
      <c r="R1413" s="79"/>
      <c r="S1413" s="22"/>
      <c r="T1413" s="22"/>
      <c r="U1413" s="24"/>
      <c r="V1413" s="23"/>
      <c r="W1413" s="96"/>
      <c r="X1413" s="80"/>
      <c r="Y1413" s="80"/>
      <c r="Z1413" s="96"/>
      <c r="AA1413"/>
      <c r="AE1413" s="84"/>
      <c r="AF1413" s="71"/>
      <c r="AG1413" s="71"/>
      <c r="AH1413" s="71"/>
    </row>
    <row r="1414" spans="1:34">
      <c r="A1414" s="834" t="s">
        <v>137</v>
      </c>
      <c r="B1414" s="835">
        <v>1411</v>
      </c>
      <c r="C1414" s="840" t="s">
        <v>1896</v>
      </c>
      <c r="D1414" s="838" t="s">
        <v>425</v>
      </c>
      <c r="E1414" s="839">
        <v>45961</v>
      </c>
      <c r="F1414" s="838" t="s">
        <v>140</v>
      </c>
      <c r="G1414" s="838"/>
      <c r="H1414" s="838" t="s">
        <v>1725</v>
      </c>
      <c r="I1414" s="838" t="s">
        <v>47</v>
      </c>
      <c r="J1414" s="838"/>
      <c r="K1414" s="838"/>
      <c r="L1414" s="21"/>
      <c r="M1414" s="22"/>
      <c r="N1414" s="23"/>
      <c r="O1414" s="23"/>
      <c r="P1414" s="243"/>
      <c r="Q1414" s="23"/>
      <c r="R1414" s="79"/>
      <c r="S1414" s="22"/>
      <c r="T1414" s="22"/>
      <c r="U1414" s="24"/>
      <c r="V1414" s="23"/>
      <c r="W1414" s="80"/>
      <c r="X1414" s="96"/>
      <c r="Y1414" s="96"/>
      <c r="Z1414" s="80"/>
      <c r="AA1414"/>
    </row>
    <row r="1415" spans="1:34">
      <c r="A1415" s="834" t="s">
        <v>137</v>
      </c>
      <c r="B1415" s="835">
        <v>1412</v>
      </c>
      <c r="C1415" s="840" t="s">
        <v>1897</v>
      </c>
      <c r="D1415" s="838" t="s">
        <v>26</v>
      </c>
      <c r="E1415" s="839">
        <v>45961</v>
      </c>
      <c r="F1415" s="838" t="s">
        <v>140</v>
      </c>
      <c r="G1415" s="838"/>
      <c r="H1415" s="838" t="s">
        <v>1725</v>
      </c>
      <c r="I1415" s="838" t="s">
        <v>47</v>
      </c>
      <c r="J1415" s="838"/>
      <c r="K1415" s="838"/>
      <c r="L1415" s="21"/>
      <c r="M1415" s="22"/>
      <c r="N1415" s="23"/>
      <c r="O1415" s="23"/>
      <c r="P1415" s="23"/>
      <c r="Q1415" s="23"/>
      <c r="R1415" s="79"/>
      <c r="S1415" s="22"/>
      <c r="T1415" s="22"/>
      <c r="U1415" s="24"/>
      <c r="V1415" s="23"/>
      <c r="W1415" s="80"/>
      <c r="X1415" s="96"/>
      <c r="Y1415" s="80"/>
      <c r="Z1415" s="80"/>
      <c r="AA1415"/>
    </row>
    <row r="1416" spans="1:34">
      <c r="A1416" s="834" t="s">
        <v>137</v>
      </c>
      <c r="B1416" s="835">
        <v>1413</v>
      </c>
      <c r="C1416" s="840" t="s">
        <v>1899</v>
      </c>
      <c r="D1416" s="838" t="s">
        <v>64</v>
      </c>
      <c r="E1416" s="839">
        <v>45961</v>
      </c>
      <c r="F1416" s="838" t="s">
        <v>140</v>
      </c>
      <c r="G1416" s="838"/>
      <c r="H1416" s="838" t="s">
        <v>1077</v>
      </c>
      <c r="I1416" s="838" t="s">
        <v>1138</v>
      </c>
      <c r="J1416" s="838"/>
      <c r="K1416" s="838"/>
      <c r="L1416" s="21"/>
      <c r="M1416" s="22"/>
      <c r="N1416" s="23"/>
      <c r="O1416" s="848"/>
      <c r="P1416" s="23"/>
      <c r="Q1416" s="23"/>
      <c r="R1416" s="79"/>
      <c r="S1416" s="22"/>
      <c r="T1416" s="22"/>
      <c r="U1416" s="24"/>
      <c r="V1416" s="23"/>
      <c r="W1416" s="80"/>
      <c r="X1416" s="80"/>
      <c r="Y1416" s="80"/>
      <c r="Z1416" s="96"/>
      <c r="AA1416"/>
      <c r="AE1416" s="84"/>
      <c r="AF1416" s="71"/>
      <c r="AG1416" s="71"/>
      <c r="AH1416" s="71"/>
    </row>
    <row r="1417" spans="1:34">
      <c r="A1417" s="834" t="s">
        <v>137</v>
      </c>
      <c r="B1417" s="835">
        <v>1414</v>
      </c>
      <c r="C1417" s="840" t="s">
        <v>1900</v>
      </c>
      <c r="D1417" s="838" t="s">
        <v>43</v>
      </c>
      <c r="E1417" s="839">
        <v>45961</v>
      </c>
      <c r="F1417" s="838" t="s">
        <v>140</v>
      </c>
      <c r="G1417" s="838"/>
      <c r="H1417" s="838" t="s">
        <v>1077</v>
      </c>
      <c r="I1417" s="838" t="s">
        <v>1138</v>
      </c>
      <c r="J1417" s="838"/>
      <c r="K1417" s="838"/>
      <c r="L1417" s="21"/>
      <c r="M1417" s="22"/>
      <c r="N1417" s="23"/>
      <c r="O1417" s="848"/>
      <c r="P1417" s="23"/>
      <c r="Q1417" s="23"/>
      <c r="R1417" s="79"/>
      <c r="S1417" s="22"/>
      <c r="T1417" s="22"/>
      <c r="U1417" s="24"/>
      <c r="V1417" s="23"/>
      <c r="W1417" s="80"/>
      <c r="X1417" s="96"/>
      <c r="Y1417" s="96"/>
      <c r="Z1417" s="80"/>
      <c r="AA1417"/>
      <c r="AB1417" s="776"/>
      <c r="AC1417" s="776"/>
      <c r="AD1417" s="776"/>
      <c r="AE1417" s="776"/>
    </row>
    <row r="1418" spans="1:34">
      <c r="A1418" s="834" t="s">
        <v>137</v>
      </c>
      <c r="B1418" s="835">
        <v>1415</v>
      </c>
      <c r="C1418" s="840" t="s">
        <v>1901</v>
      </c>
      <c r="D1418" s="838" t="s">
        <v>34</v>
      </c>
      <c r="E1418" s="839">
        <v>45961</v>
      </c>
      <c r="F1418" s="838" t="s">
        <v>140</v>
      </c>
      <c r="G1418" s="838"/>
      <c r="H1418" s="838" t="s">
        <v>1077</v>
      </c>
      <c r="I1418" s="838" t="s">
        <v>1138</v>
      </c>
      <c r="J1418" s="838"/>
      <c r="K1418" s="838"/>
      <c r="L1418" s="21"/>
      <c r="M1418" s="22"/>
      <c r="N1418" s="23"/>
      <c r="O1418" s="848"/>
      <c r="P1418" s="848"/>
      <c r="Q1418" s="23"/>
      <c r="R1418" s="79"/>
      <c r="S1418" s="22"/>
      <c r="T1418" s="22"/>
      <c r="U1418" s="24"/>
      <c r="V1418" s="23"/>
      <c r="W1418" s="80"/>
      <c r="X1418" s="80"/>
      <c r="Y1418" s="80"/>
      <c r="Z1418" s="80"/>
      <c r="AA1418"/>
      <c r="AF1418" s="71"/>
      <c r="AG1418" s="92"/>
      <c r="AH1418" s="92"/>
    </row>
    <row r="1419" spans="1:34">
      <c r="A1419" s="834" t="s">
        <v>137</v>
      </c>
      <c r="B1419" s="835">
        <v>1416</v>
      </c>
      <c r="C1419" s="840" t="s">
        <v>1903</v>
      </c>
      <c r="D1419" s="838" t="s">
        <v>1362</v>
      </c>
      <c r="E1419" s="839">
        <v>45961</v>
      </c>
      <c r="F1419" s="838" t="s">
        <v>140</v>
      </c>
      <c r="G1419" s="838"/>
      <c r="H1419" s="838" t="s">
        <v>1721</v>
      </c>
      <c r="I1419" s="838" t="s">
        <v>1638</v>
      </c>
      <c r="J1419" s="219"/>
      <c r="K1419" s="838"/>
      <c r="L1419" s="21"/>
      <c r="M1419" s="22"/>
      <c r="N1419" s="23"/>
      <c r="O1419" s="23"/>
      <c r="P1419" s="23"/>
      <c r="Q1419" s="23"/>
      <c r="R1419" s="79"/>
      <c r="S1419" s="22"/>
      <c r="T1419" s="22"/>
      <c r="U1419" s="24"/>
      <c r="V1419" s="23"/>
      <c r="W1419" s="91"/>
      <c r="X1419" s="80"/>
      <c r="Y1419" s="80"/>
      <c r="Z1419" s="96"/>
      <c r="AA1419"/>
      <c r="AB1419" s="776"/>
      <c r="AC1419" s="776"/>
      <c r="AD1419" s="776"/>
      <c r="AE1419" s="776"/>
    </row>
    <row r="1420" spans="1:34">
      <c r="A1420" s="834" t="s">
        <v>137</v>
      </c>
      <c r="B1420" s="835">
        <v>1417</v>
      </c>
      <c r="C1420" s="840" t="s">
        <v>1905</v>
      </c>
      <c r="D1420" s="838" t="s">
        <v>64</v>
      </c>
      <c r="E1420" s="839">
        <v>45961</v>
      </c>
      <c r="F1420" s="838" t="s">
        <v>140</v>
      </c>
      <c r="G1420" s="838"/>
      <c r="H1420" s="838" t="s">
        <v>1721</v>
      </c>
      <c r="I1420" s="838" t="s">
        <v>1638</v>
      </c>
      <c r="J1420" s="219"/>
      <c r="K1420" s="838"/>
      <c r="L1420" s="21"/>
      <c r="M1420" s="22"/>
      <c r="N1420" s="23"/>
      <c r="O1420" s="23"/>
      <c r="P1420" s="23"/>
      <c r="Q1420" s="23"/>
      <c r="R1420" s="79"/>
      <c r="S1420" s="22"/>
      <c r="T1420" s="22"/>
      <c r="U1420" s="24"/>
      <c r="V1420" s="23"/>
      <c r="W1420" s="80"/>
      <c r="X1420" s="80"/>
      <c r="Y1420" s="96"/>
      <c r="Z1420" s="96"/>
      <c r="AA1420"/>
      <c r="AB1420" s="776"/>
      <c r="AC1420" s="776"/>
      <c r="AD1420" s="776"/>
      <c r="AE1420" s="776"/>
    </row>
    <row r="1421" spans="1:34">
      <c r="A1421" s="834" t="s">
        <v>137</v>
      </c>
      <c r="B1421" s="835">
        <v>1418</v>
      </c>
      <c r="C1421" s="840" t="s">
        <v>1906</v>
      </c>
      <c r="D1421" s="838" t="s">
        <v>129</v>
      </c>
      <c r="E1421" s="839">
        <v>45961</v>
      </c>
      <c r="F1421" s="838" t="s">
        <v>140</v>
      </c>
      <c r="G1421" s="838"/>
      <c r="H1421" s="838" t="s">
        <v>1721</v>
      </c>
      <c r="I1421" s="838" t="s">
        <v>1638</v>
      </c>
      <c r="J1421" s="219"/>
      <c r="K1421" s="838"/>
      <c r="L1421" s="21"/>
      <c r="M1421" s="22"/>
      <c r="N1421" s="23"/>
      <c r="O1421" s="23"/>
      <c r="P1421" s="243"/>
      <c r="Q1421" s="23"/>
      <c r="R1421" s="79"/>
      <c r="S1421" s="22"/>
      <c r="T1421" s="22"/>
      <c r="U1421" s="24"/>
      <c r="V1421" s="23"/>
      <c r="W1421" s="96"/>
      <c r="X1421" s="80"/>
      <c r="Y1421" s="80"/>
      <c r="Z1421" s="80"/>
      <c r="AA1421"/>
    </row>
    <row r="1422" spans="1:34">
      <c r="A1422" s="834" t="s">
        <v>137</v>
      </c>
      <c r="B1422" s="835">
        <v>1419</v>
      </c>
      <c r="C1422" s="840" t="s">
        <v>1907</v>
      </c>
      <c r="D1422" s="838" t="s">
        <v>129</v>
      </c>
      <c r="E1422" s="839">
        <v>45961</v>
      </c>
      <c r="F1422" s="838" t="s">
        <v>140</v>
      </c>
      <c r="G1422" s="838"/>
      <c r="H1422" s="838" t="s">
        <v>1721</v>
      </c>
      <c r="I1422" s="838" t="s">
        <v>1638</v>
      </c>
      <c r="J1422" s="838"/>
      <c r="K1422" s="838"/>
      <c r="L1422" s="21"/>
      <c r="M1422" s="22"/>
      <c r="N1422" s="23"/>
      <c r="O1422" s="848"/>
      <c r="P1422" s="243"/>
      <c r="Q1422" s="23"/>
      <c r="R1422" s="79"/>
      <c r="S1422" s="22"/>
      <c r="T1422" s="22"/>
      <c r="U1422" s="24"/>
      <c r="V1422" s="23"/>
      <c r="W1422" s="80"/>
      <c r="X1422" s="80"/>
      <c r="Y1422" s="80"/>
      <c r="Z1422" s="80"/>
      <c r="AA1422"/>
    </row>
    <row r="1423" spans="1:34">
      <c r="A1423" s="834" t="s">
        <v>137</v>
      </c>
      <c r="B1423" s="835">
        <v>1420</v>
      </c>
      <c r="C1423" s="840" t="s">
        <v>1909</v>
      </c>
      <c r="D1423" s="838" t="s">
        <v>477</v>
      </c>
      <c r="E1423" s="839">
        <v>45961</v>
      </c>
      <c r="F1423" s="838" t="s">
        <v>140</v>
      </c>
      <c r="G1423" s="838"/>
      <c r="H1423" s="838" t="s">
        <v>127</v>
      </c>
      <c r="I1423" s="838" t="s">
        <v>36</v>
      </c>
      <c r="J1423" s="838"/>
      <c r="K1423" s="838"/>
      <c r="L1423" s="21"/>
      <c r="M1423" s="22"/>
      <c r="N1423" s="23"/>
      <c r="O1423" s="848"/>
      <c r="P1423" s="23"/>
      <c r="Q1423" s="23"/>
      <c r="R1423" s="79"/>
      <c r="S1423" s="22"/>
      <c r="T1423" s="22"/>
      <c r="U1423" s="24"/>
      <c r="V1423" s="23"/>
      <c r="W1423" s="96"/>
      <c r="X1423" s="96"/>
      <c r="Y1423" s="96"/>
      <c r="Z1423" s="80"/>
      <c r="AA1423"/>
    </row>
    <row r="1424" spans="1:34">
      <c r="A1424" s="834" t="s">
        <v>137</v>
      </c>
      <c r="B1424" s="835">
        <v>1421</v>
      </c>
      <c r="C1424" s="840" t="s">
        <v>1910</v>
      </c>
      <c r="D1424" s="838" t="s">
        <v>129</v>
      </c>
      <c r="E1424" s="839">
        <v>45961</v>
      </c>
      <c r="F1424" s="838" t="s">
        <v>140</v>
      </c>
      <c r="G1424" s="838"/>
      <c r="H1424" s="838" t="s">
        <v>1721</v>
      </c>
      <c r="I1424" s="838" t="s">
        <v>1638</v>
      </c>
      <c r="J1424" s="838"/>
      <c r="K1424" s="838"/>
      <c r="L1424" s="21"/>
      <c r="M1424" s="22"/>
      <c r="N1424" s="23"/>
      <c r="O1424" s="23"/>
      <c r="P1424" s="23"/>
      <c r="Q1424" s="23"/>
      <c r="R1424" s="79"/>
      <c r="S1424" s="22"/>
      <c r="T1424" s="22"/>
      <c r="U1424" s="24"/>
      <c r="V1424" s="23"/>
      <c r="W1424" s="80"/>
      <c r="X1424" s="96"/>
      <c r="Y1424" s="80"/>
      <c r="Z1424" s="80"/>
      <c r="AA1424"/>
    </row>
    <row r="1425" spans="1:35">
      <c r="A1425" s="834" t="s">
        <v>137</v>
      </c>
      <c r="B1425" s="835">
        <v>1422</v>
      </c>
      <c r="C1425" s="840" t="s">
        <v>1911</v>
      </c>
      <c r="D1425" s="838" t="s">
        <v>406</v>
      </c>
      <c r="E1425" s="839">
        <v>45961</v>
      </c>
      <c r="F1425" s="838" t="s">
        <v>140</v>
      </c>
      <c r="G1425" s="838"/>
      <c r="H1425" s="838" t="s">
        <v>1725</v>
      </c>
      <c r="I1425" s="838" t="s">
        <v>47</v>
      </c>
      <c r="J1425" s="98"/>
      <c r="K1425" s="838"/>
      <c r="L1425" s="21"/>
      <c r="M1425" s="22"/>
      <c r="N1425" s="23"/>
      <c r="O1425" s="848"/>
      <c r="P1425" s="23"/>
      <c r="Q1425" s="23"/>
      <c r="R1425" s="79"/>
      <c r="S1425" s="22"/>
      <c r="T1425" s="22"/>
      <c r="U1425" s="24"/>
      <c r="V1425" s="23"/>
      <c r="W1425" s="221"/>
      <c r="X1425" s="221"/>
      <c r="Y1425" s="80"/>
      <c r="Z1425" s="96"/>
      <c r="AA1425" s="87"/>
      <c r="AB1425" s="87"/>
      <c r="AF1425" s="71"/>
      <c r="AG1425" s="92"/>
      <c r="AH1425" s="92"/>
    </row>
    <row r="1426" spans="1:35">
      <c r="A1426" s="834" t="s">
        <v>137</v>
      </c>
      <c r="B1426" s="835">
        <v>1423</v>
      </c>
      <c r="C1426" s="840" t="s">
        <v>1913</v>
      </c>
      <c r="D1426" s="838" t="s">
        <v>406</v>
      </c>
      <c r="E1426" s="839">
        <v>45961</v>
      </c>
      <c r="F1426" s="838" t="s">
        <v>140</v>
      </c>
      <c r="G1426" s="838"/>
      <c r="H1426" s="838" t="s">
        <v>1725</v>
      </c>
      <c r="I1426" s="838" t="s">
        <v>47</v>
      </c>
      <c r="J1426" s="838"/>
      <c r="K1426" s="838"/>
      <c r="L1426" s="21"/>
      <c r="M1426" s="22"/>
      <c r="N1426" s="23"/>
      <c r="O1426" s="23"/>
      <c r="P1426" s="117"/>
      <c r="Q1426" s="23"/>
      <c r="R1426" s="79"/>
      <c r="S1426" s="22"/>
      <c r="T1426" s="22"/>
      <c r="U1426" s="24"/>
      <c r="V1426" s="23"/>
      <c r="W1426" s="221"/>
      <c r="X1426" s="96"/>
      <c r="Y1426" s="80"/>
      <c r="Z1426" s="96"/>
      <c r="AA1426"/>
      <c r="AF1426" s="71"/>
      <c r="AG1426" s="92"/>
      <c r="AH1426" s="92"/>
    </row>
    <row r="1427" spans="1:35">
      <c r="A1427" s="834" t="s">
        <v>137</v>
      </c>
      <c r="B1427" s="835">
        <v>1424</v>
      </c>
      <c r="C1427" s="840" t="s">
        <v>1914</v>
      </c>
      <c r="D1427" s="838" t="s">
        <v>1131</v>
      </c>
      <c r="E1427" s="839">
        <v>45961</v>
      </c>
      <c r="F1427" s="838" t="s">
        <v>140</v>
      </c>
      <c r="G1427" s="838"/>
      <c r="H1427" s="838" t="s">
        <v>1721</v>
      </c>
      <c r="I1427" s="838" t="s">
        <v>1638</v>
      </c>
      <c r="J1427" s="838"/>
      <c r="K1427" s="838"/>
      <c r="L1427" s="21"/>
      <c r="M1427" s="22"/>
      <c r="N1427" s="23"/>
      <c r="O1427" s="848"/>
      <c r="P1427" s="23"/>
      <c r="Q1427" s="23"/>
      <c r="R1427" s="79"/>
      <c r="S1427" s="22"/>
      <c r="T1427" s="22"/>
      <c r="U1427" s="24"/>
      <c r="V1427" s="23"/>
      <c r="W1427" s="80"/>
      <c r="X1427" s="80"/>
      <c r="Y1427" s="80"/>
      <c r="Z1427" s="80"/>
      <c r="AA1427" s="87"/>
      <c r="AB1427" s="87"/>
      <c r="AF1427" s="71"/>
      <c r="AG1427" s="92"/>
      <c r="AH1427" s="92"/>
    </row>
    <row r="1428" spans="1:35">
      <c r="A1428" s="834" t="s">
        <v>137</v>
      </c>
      <c r="B1428" s="835">
        <v>1425</v>
      </c>
      <c r="C1428" s="840" t="s">
        <v>1915</v>
      </c>
      <c r="D1428" s="838" t="s">
        <v>2001</v>
      </c>
      <c r="E1428" s="839">
        <v>45961</v>
      </c>
      <c r="F1428" s="838" t="s">
        <v>140</v>
      </c>
      <c r="G1428" s="838"/>
      <c r="H1428" s="838" t="s">
        <v>1077</v>
      </c>
      <c r="I1428" s="838" t="s">
        <v>1138</v>
      </c>
      <c r="J1428" s="838"/>
      <c r="K1428" s="838"/>
      <c r="L1428" s="21"/>
      <c r="M1428" s="22"/>
      <c r="N1428" s="23"/>
      <c r="O1428" s="848"/>
      <c r="P1428" s="23"/>
      <c r="Q1428" s="23"/>
      <c r="R1428" s="79"/>
      <c r="S1428" s="22"/>
      <c r="T1428" s="22"/>
      <c r="U1428" s="24"/>
      <c r="V1428" s="23"/>
      <c r="W1428" s="80"/>
      <c r="X1428" s="96"/>
      <c r="Y1428" s="96"/>
      <c r="Z1428" s="96"/>
      <c r="AA1428"/>
      <c r="AF1428" s="71"/>
      <c r="AG1428" s="92"/>
      <c r="AH1428" s="92"/>
    </row>
    <row r="1429" spans="1:35">
      <c r="A1429" s="834" t="s">
        <v>137</v>
      </c>
      <c r="B1429" s="835">
        <v>1426</v>
      </c>
      <c r="C1429" s="840" t="s">
        <v>1916</v>
      </c>
      <c r="D1429" s="838" t="s">
        <v>43</v>
      </c>
      <c r="E1429" s="839">
        <v>45961</v>
      </c>
      <c r="F1429" s="838" t="s">
        <v>140</v>
      </c>
      <c r="G1429" s="838"/>
      <c r="H1429" s="838" t="s">
        <v>127</v>
      </c>
      <c r="I1429" s="838" t="s">
        <v>36</v>
      </c>
      <c r="J1429" s="838"/>
      <c r="K1429" s="838"/>
      <c r="L1429" s="21"/>
      <c r="M1429" s="22"/>
      <c r="N1429" s="23"/>
      <c r="O1429" s="23"/>
      <c r="P1429" s="23"/>
      <c r="Q1429" s="23"/>
      <c r="R1429" s="79"/>
      <c r="S1429" s="22"/>
      <c r="T1429" s="22"/>
      <c r="U1429" s="24"/>
      <c r="V1429" s="23"/>
      <c r="W1429" s="221"/>
      <c r="X1429" s="96"/>
      <c r="Y1429" s="96"/>
      <c r="Z1429" s="96"/>
      <c r="AA1429"/>
    </row>
    <row r="1430" spans="1:35">
      <c r="A1430" s="834" t="s">
        <v>137</v>
      </c>
      <c r="B1430" s="835">
        <v>1427</v>
      </c>
      <c r="C1430" s="840" t="s">
        <v>1895</v>
      </c>
      <c r="D1430" s="838" t="s">
        <v>34</v>
      </c>
      <c r="E1430" s="839">
        <v>45961</v>
      </c>
      <c r="F1430" s="838" t="s">
        <v>140</v>
      </c>
      <c r="G1430" s="838"/>
      <c r="H1430" s="838" t="s">
        <v>127</v>
      </c>
      <c r="I1430" s="838" t="s">
        <v>36</v>
      </c>
      <c r="J1430" s="838"/>
      <c r="K1430" s="838"/>
      <c r="L1430" s="21"/>
      <c r="M1430" s="22"/>
      <c r="N1430" s="23"/>
      <c r="O1430" s="61"/>
      <c r="P1430" s="23"/>
      <c r="Q1430" s="23"/>
      <c r="R1430" s="79"/>
      <c r="S1430" s="22"/>
      <c r="T1430" s="22"/>
      <c r="U1430" s="24"/>
      <c r="V1430" s="23"/>
      <c r="W1430" s="80"/>
      <c r="X1430" s="80"/>
      <c r="Y1430" s="80"/>
      <c r="Z1430" s="80"/>
      <c r="AA1430"/>
      <c r="AF1430" s="71"/>
      <c r="AG1430" s="92"/>
      <c r="AH1430" s="92"/>
    </row>
    <row r="1431" spans="1:35">
      <c r="A1431" s="834" t="s">
        <v>137</v>
      </c>
      <c r="B1431" s="835">
        <v>1428</v>
      </c>
      <c r="C1431" s="840" t="s">
        <v>1896</v>
      </c>
      <c r="D1431" s="838" t="s">
        <v>34</v>
      </c>
      <c r="E1431" s="839">
        <v>45961</v>
      </c>
      <c r="F1431" s="838" t="s">
        <v>140</v>
      </c>
      <c r="G1431" s="838"/>
      <c r="H1431" s="838" t="s">
        <v>127</v>
      </c>
      <c r="I1431" s="838" t="s">
        <v>36</v>
      </c>
      <c r="J1431" s="220"/>
      <c r="K1431" s="838"/>
      <c r="L1431" s="21"/>
      <c r="M1431" s="22"/>
      <c r="N1431" s="23"/>
      <c r="O1431" s="61"/>
      <c r="P1431" s="243"/>
      <c r="Q1431" s="23"/>
      <c r="R1431" s="79"/>
      <c r="S1431" s="22"/>
      <c r="T1431" s="22"/>
      <c r="U1431" s="24"/>
      <c r="V1431" s="23"/>
      <c r="W1431" s="80"/>
      <c r="X1431" s="96"/>
      <c r="Y1431" s="80"/>
      <c r="Z1431" s="80"/>
      <c r="AA1431"/>
      <c r="AF1431" s="71"/>
      <c r="AG1431" s="92"/>
      <c r="AH1431" s="92"/>
    </row>
    <row r="1432" spans="1:35">
      <c r="A1432" s="834" t="s">
        <v>137</v>
      </c>
      <c r="B1432" s="835">
        <v>1429</v>
      </c>
      <c r="C1432" s="840" t="s">
        <v>1897</v>
      </c>
      <c r="D1432" s="838" t="s">
        <v>34</v>
      </c>
      <c r="E1432" s="839">
        <v>45961</v>
      </c>
      <c r="F1432" s="838" t="s">
        <v>140</v>
      </c>
      <c r="G1432" s="838"/>
      <c r="H1432" s="838" t="s">
        <v>127</v>
      </c>
      <c r="I1432" s="838" t="s">
        <v>36</v>
      </c>
      <c r="J1432" s="838"/>
      <c r="K1432" s="838"/>
      <c r="L1432" s="21"/>
      <c r="M1432" s="22"/>
      <c r="N1432" s="23"/>
      <c r="O1432" s="848"/>
      <c r="P1432" s="243"/>
      <c r="Q1432" s="23"/>
      <c r="R1432" s="79"/>
      <c r="S1432" s="22"/>
      <c r="T1432" s="22"/>
      <c r="U1432" s="24"/>
      <c r="V1432" s="23"/>
      <c r="W1432" s="221"/>
      <c r="X1432" s="96"/>
      <c r="Y1432" s="96"/>
      <c r="Z1432" s="96"/>
      <c r="AA1432"/>
    </row>
    <row r="1433" spans="1:35">
      <c r="A1433" s="834" t="s">
        <v>137</v>
      </c>
      <c r="B1433" s="835">
        <v>1430</v>
      </c>
      <c r="C1433" s="840" t="s">
        <v>1899</v>
      </c>
      <c r="D1433" s="838" t="s">
        <v>34</v>
      </c>
      <c r="E1433" s="839">
        <v>45961</v>
      </c>
      <c r="F1433" s="838" t="s">
        <v>140</v>
      </c>
      <c r="G1433" s="838"/>
      <c r="H1433" s="838" t="s">
        <v>127</v>
      </c>
      <c r="I1433" s="838" t="s">
        <v>36</v>
      </c>
      <c r="J1433" s="220"/>
      <c r="K1433" s="838"/>
      <c r="L1433" s="21"/>
      <c r="M1433" s="22"/>
      <c r="N1433" s="23"/>
      <c r="O1433" s="23"/>
      <c r="P1433" s="23"/>
      <c r="Q1433" s="23"/>
      <c r="R1433" s="79"/>
      <c r="S1433" s="22"/>
      <c r="T1433" s="22"/>
      <c r="U1433" s="24"/>
      <c r="V1433" s="23"/>
      <c r="W1433" s="80"/>
      <c r="X1433" s="80"/>
      <c r="Y1433" s="80"/>
      <c r="Z1433" s="80"/>
      <c r="AA1433"/>
    </row>
    <row r="1434" spans="1:35">
      <c r="A1434" s="834" t="s">
        <v>137</v>
      </c>
      <c r="B1434" s="835">
        <v>1431</v>
      </c>
      <c r="C1434" s="840" t="s">
        <v>1900</v>
      </c>
      <c r="D1434" s="838" t="s">
        <v>34</v>
      </c>
      <c r="E1434" s="839">
        <v>45961</v>
      </c>
      <c r="F1434" s="838" t="s">
        <v>140</v>
      </c>
      <c r="G1434" s="838"/>
      <c r="H1434" s="838" t="s">
        <v>1721</v>
      </c>
      <c r="I1434" s="838" t="s">
        <v>36</v>
      </c>
      <c r="J1434" s="838"/>
      <c r="K1434" s="838"/>
      <c r="L1434" s="21"/>
      <c r="M1434" s="22"/>
      <c r="N1434" s="23"/>
      <c r="O1434" s="848"/>
      <c r="P1434" s="23"/>
      <c r="Q1434" s="23"/>
      <c r="R1434" s="79"/>
      <c r="S1434" s="22"/>
      <c r="T1434" s="22"/>
      <c r="U1434" s="24"/>
      <c r="V1434" s="23"/>
      <c r="W1434" s="80"/>
      <c r="X1434" s="80"/>
      <c r="Y1434" s="80"/>
      <c r="Z1434" s="80"/>
      <c r="AA1434"/>
      <c r="AE1434" s="84"/>
      <c r="AF1434" s="71"/>
      <c r="AG1434" s="71"/>
      <c r="AH1434" s="71"/>
    </row>
    <row r="1435" spans="1:35">
      <c r="A1435" s="834" t="s">
        <v>137</v>
      </c>
      <c r="B1435" s="835">
        <v>1432</v>
      </c>
      <c r="C1435" s="840" t="s">
        <v>1901</v>
      </c>
      <c r="D1435" s="838" t="s">
        <v>102</v>
      </c>
      <c r="E1435" s="839">
        <v>45961</v>
      </c>
      <c r="F1435" s="838" t="s">
        <v>140</v>
      </c>
      <c r="G1435" s="838"/>
      <c r="H1435" s="838" t="s">
        <v>1721</v>
      </c>
      <c r="I1435" s="838" t="s">
        <v>1638</v>
      </c>
      <c r="J1435" s="838"/>
      <c r="K1435" s="838"/>
      <c r="L1435" s="21"/>
      <c r="M1435" s="22"/>
      <c r="N1435" s="23"/>
      <c r="O1435" s="848"/>
      <c r="P1435" s="243"/>
      <c r="Q1435" s="23"/>
      <c r="R1435" s="79"/>
      <c r="S1435" s="22"/>
      <c r="T1435" s="22"/>
      <c r="U1435" s="24"/>
      <c r="V1435" s="23"/>
      <c r="W1435" s="80"/>
      <c r="X1435" s="80"/>
      <c r="Y1435" s="80"/>
      <c r="Z1435" s="80"/>
      <c r="AA1435"/>
      <c r="AF1435" s="71"/>
      <c r="AG1435" s="92"/>
      <c r="AH1435" s="92"/>
    </row>
    <row r="1436" spans="1:35">
      <c r="A1436" s="834" t="s">
        <v>137</v>
      </c>
      <c r="B1436" s="835">
        <v>1433</v>
      </c>
      <c r="C1436" s="840" t="s">
        <v>1903</v>
      </c>
      <c r="D1436" s="838" t="s">
        <v>64</v>
      </c>
      <c r="E1436" s="839">
        <v>45961</v>
      </c>
      <c r="F1436" s="838" t="s">
        <v>140</v>
      </c>
      <c r="G1436" s="838"/>
      <c r="H1436" s="838" t="s">
        <v>1077</v>
      </c>
      <c r="I1436" s="838" t="s">
        <v>1138</v>
      </c>
      <c r="J1436" s="838"/>
      <c r="K1436" s="838"/>
      <c r="L1436" s="21"/>
      <c r="M1436" s="22"/>
      <c r="N1436" s="23"/>
      <c r="O1436" s="23"/>
      <c r="P1436" s="23"/>
      <c r="Q1436" s="23"/>
      <c r="R1436" s="79"/>
      <c r="S1436" s="22"/>
      <c r="T1436" s="22"/>
      <c r="U1436" s="24"/>
      <c r="V1436" s="23"/>
      <c r="W1436" s="80"/>
      <c r="X1436" s="96"/>
      <c r="Y1436" s="96"/>
      <c r="Z1436" s="96"/>
      <c r="AA1436"/>
    </row>
    <row r="1437" spans="1:35">
      <c r="A1437" s="834" t="s">
        <v>137</v>
      </c>
      <c r="B1437" s="835">
        <v>1434</v>
      </c>
      <c r="C1437" s="840" t="s">
        <v>1905</v>
      </c>
      <c r="D1437" s="838" t="s">
        <v>64</v>
      </c>
      <c r="E1437" s="839">
        <v>45961</v>
      </c>
      <c r="F1437" s="838" t="s">
        <v>140</v>
      </c>
      <c r="G1437" s="838"/>
      <c r="H1437" s="838" t="s">
        <v>1077</v>
      </c>
      <c r="I1437" s="838" t="s">
        <v>1138</v>
      </c>
      <c r="J1437" s="838"/>
      <c r="K1437" s="838"/>
      <c r="L1437" s="21"/>
      <c r="M1437" s="22"/>
      <c r="N1437" s="23"/>
      <c r="O1437" s="23"/>
      <c r="P1437" s="23"/>
      <c r="Q1437" s="23"/>
      <c r="R1437" s="79"/>
      <c r="S1437" s="22"/>
      <c r="T1437" s="22"/>
      <c r="U1437" s="24"/>
      <c r="V1437" s="23"/>
      <c r="W1437" s="96"/>
      <c r="X1437" s="96"/>
      <c r="Y1437" s="96"/>
      <c r="Z1437" s="96"/>
      <c r="AA1437"/>
    </row>
    <row r="1438" spans="1:35">
      <c r="A1438" s="834" t="s">
        <v>137</v>
      </c>
      <c r="B1438" s="835">
        <v>1435</v>
      </c>
      <c r="C1438" s="840" t="s">
        <v>1906</v>
      </c>
      <c r="D1438" s="838" t="s">
        <v>50</v>
      </c>
      <c r="E1438" s="839">
        <v>45961</v>
      </c>
      <c r="F1438" s="838" t="s">
        <v>140</v>
      </c>
      <c r="G1438" s="838"/>
      <c r="H1438" s="838" t="s">
        <v>1077</v>
      </c>
      <c r="I1438" s="838" t="s">
        <v>1138</v>
      </c>
      <c r="J1438" s="838"/>
      <c r="K1438" s="838"/>
      <c r="L1438" s="21"/>
      <c r="M1438" s="22"/>
      <c r="N1438" s="23"/>
      <c r="O1438" s="848"/>
      <c r="P1438" s="23"/>
      <c r="Q1438" s="23"/>
      <c r="R1438" s="79"/>
      <c r="S1438" s="22"/>
      <c r="T1438" s="22"/>
      <c r="U1438" s="24"/>
      <c r="V1438" s="23"/>
      <c r="W1438" s="80"/>
      <c r="X1438" s="80"/>
      <c r="Y1438" s="80"/>
      <c r="Z1438" s="96"/>
      <c r="AA1438" s="6">
        <v>1</v>
      </c>
      <c r="AB1438" s="6">
        <v>0</v>
      </c>
      <c r="AC1438" s="6">
        <v>20</v>
      </c>
      <c r="AD1438" s="6">
        <v>1</v>
      </c>
      <c r="AE1438" s="6">
        <f>SUM(AA1438:AD1438)</f>
        <v>22</v>
      </c>
      <c r="AF1438" s="104">
        <f>+AA1438/AE1438*AF$1</f>
        <v>0</v>
      </c>
      <c r="AG1438" s="105">
        <f>+AB1438/AE1438*AG$1</f>
        <v>0</v>
      </c>
      <c r="AH1438" s="105">
        <f>+AC1438/AE1438*AH$1</f>
        <v>0</v>
      </c>
      <c r="AI1438" s="105">
        <f>+AD1438/AE1438*AI$1</f>
        <v>0</v>
      </c>
    </row>
    <row r="1439" spans="1:35">
      <c r="A1439" s="834" t="s">
        <v>137</v>
      </c>
      <c r="B1439" s="835">
        <v>1436</v>
      </c>
      <c r="C1439" s="840" t="s">
        <v>1907</v>
      </c>
      <c r="D1439" s="838" t="s">
        <v>64</v>
      </c>
      <c r="E1439" s="839">
        <v>45961</v>
      </c>
      <c r="F1439" s="838" t="s">
        <v>140</v>
      </c>
      <c r="G1439" s="838"/>
      <c r="H1439" s="838" t="s">
        <v>1077</v>
      </c>
      <c r="I1439" s="838" t="s">
        <v>1138</v>
      </c>
      <c r="J1439" s="838"/>
      <c r="K1439" s="838"/>
      <c r="L1439" s="21"/>
      <c r="M1439" s="22"/>
      <c r="N1439" s="23"/>
      <c r="O1439" s="848"/>
      <c r="P1439" s="23"/>
      <c r="Q1439" s="23"/>
      <c r="R1439" s="79"/>
      <c r="S1439" s="22"/>
      <c r="T1439" s="22"/>
      <c r="U1439" s="24"/>
      <c r="V1439" s="23"/>
      <c r="W1439" s="80"/>
      <c r="X1439" s="80"/>
      <c r="Y1439" s="80"/>
      <c r="Z1439" s="80"/>
      <c r="AA1439"/>
      <c r="AB1439" s="776"/>
      <c r="AC1439" s="776"/>
      <c r="AD1439" s="776"/>
      <c r="AE1439" s="776"/>
      <c r="AI1439" s="105"/>
    </row>
    <row r="1440" spans="1:35">
      <c r="A1440" s="834" t="s">
        <v>137</v>
      </c>
      <c r="B1440" s="835">
        <v>1437</v>
      </c>
      <c r="C1440" s="840" t="s">
        <v>1909</v>
      </c>
      <c r="D1440" s="838" t="s">
        <v>34</v>
      </c>
      <c r="E1440" s="839">
        <v>45961</v>
      </c>
      <c r="F1440" s="838" t="s">
        <v>140</v>
      </c>
      <c r="G1440" s="838"/>
      <c r="H1440" s="838" t="s">
        <v>1077</v>
      </c>
      <c r="I1440" s="838" t="s">
        <v>1138</v>
      </c>
      <c r="J1440" s="838"/>
      <c r="K1440" s="838"/>
      <c r="L1440" s="21"/>
      <c r="M1440" s="22"/>
      <c r="N1440" s="23"/>
      <c r="O1440" s="848"/>
      <c r="P1440" s="23"/>
      <c r="Q1440" s="23"/>
      <c r="R1440" s="79"/>
      <c r="S1440" s="22"/>
      <c r="T1440" s="22"/>
      <c r="U1440" s="24"/>
      <c r="V1440" s="23"/>
      <c r="W1440" s="80"/>
      <c r="X1440" s="80"/>
      <c r="Y1440" s="80"/>
      <c r="Z1440" s="80"/>
      <c r="AA1440"/>
      <c r="AF1440" s="71"/>
      <c r="AG1440" s="92"/>
      <c r="AH1440" s="92"/>
      <c r="AI1440" s="105"/>
    </row>
    <row r="1441" spans="1:44">
      <c r="A1441" s="834" t="s">
        <v>137</v>
      </c>
      <c r="B1441" s="835">
        <v>1438</v>
      </c>
      <c r="C1441" s="840" t="s">
        <v>1910</v>
      </c>
      <c r="D1441" s="838" t="s">
        <v>477</v>
      </c>
      <c r="E1441" s="839">
        <v>45961</v>
      </c>
      <c r="F1441" s="838" t="s">
        <v>140</v>
      </c>
      <c r="G1441" s="838"/>
      <c r="H1441" s="838" t="s">
        <v>1721</v>
      </c>
      <c r="I1441" s="838" t="s">
        <v>1638</v>
      </c>
      <c r="J1441" s="838"/>
      <c r="K1441" s="838"/>
      <c r="L1441" s="21"/>
      <c r="M1441" s="22"/>
      <c r="N1441" s="23"/>
      <c r="O1441" s="23"/>
      <c r="P1441" s="23"/>
      <c r="Q1441" s="23"/>
      <c r="R1441" s="79"/>
      <c r="S1441" s="22"/>
      <c r="T1441" s="22"/>
      <c r="U1441" s="24"/>
      <c r="V1441" s="23"/>
      <c r="W1441" s="80"/>
      <c r="X1441" s="80"/>
      <c r="Y1441" s="80"/>
      <c r="Z1441" s="80"/>
      <c r="AA1441"/>
      <c r="AB1441" s="776"/>
      <c r="AC1441" s="776"/>
      <c r="AD1441" s="776"/>
      <c r="AE1441" s="776"/>
      <c r="AI1441" s="105"/>
    </row>
    <row r="1442" spans="1:44">
      <c r="A1442" s="834" t="s">
        <v>137</v>
      </c>
      <c r="B1442" s="835">
        <v>1439</v>
      </c>
      <c r="C1442" s="840" t="s">
        <v>1911</v>
      </c>
      <c r="D1442" s="838" t="s">
        <v>34</v>
      </c>
      <c r="E1442" s="839">
        <v>45961</v>
      </c>
      <c r="F1442" s="838" t="s">
        <v>140</v>
      </c>
      <c r="G1442" s="838"/>
      <c r="H1442" s="838" t="s">
        <v>1721</v>
      </c>
      <c r="I1442" s="838" t="s">
        <v>1638</v>
      </c>
      <c r="J1442" s="838"/>
      <c r="K1442" s="838"/>
      <c r="L1442" s="21"/>
      <c r="M1442" s="22"/>
      <c r="N1442" s="23"/>
      <c r="O1442" s="23"/>
      <c r="P1442" s="243"/>
      <c r="Q1442" s="23"/>
      <c r="R1442" s="79"/>
      <c r="S1442" s="22"/>
      <c r="T1442" s="22"/>
      <c r="U1442" s="24"/>
      <c r="V1442" s="23"/>
      <c r="W1442" s="80"/>
      <c r="X1442" s="80"/>
      <c r="Y1442" s="80"/>
      <c r="Z1442" s="80"/>
      <c r="AA1442"/>
      <c r="AB1442" s="776"/>
      <c r="AC1442" s="776"/>
      <c r="AD1442" s="776"/>
      <c r="AE1442" s="776"/>
      <c r="AI1442" s="105"/>
    </row>
    <row r="1443" spans="1:44">
      <c r="A1443" s="834" t="s">
        <v>137</v>
      </c>
      <c r="B1443" s="835">
        <v>1440</v>
      </c>
      <c r="C1443" s="840" t="s">
        <v>1913</v>
      </c>
      <c r="D1443" s="838" t="s">
        <v>34</v>
      </c>
      <c r="E1443" s="839">
        <v>45961</v>
      </c>
      <c r="F1443" s="838" t="s">
        <v>140</v>
      </c>
      <c r="G1443" s="838"/>
      <c r="H1443" s="838" t="s">
        <v>1721</v>
      </c>
      <c r="I1443" s="838" t="s">
        <v>1638</v>
      </c>
      <c r="J1443" s="838"/>
      <c r="K1443" s="838"/>
      <c r="L1443" s="21"/>
      <c r="M1443" s="22"/>
      <c r="N1443" s="23"/>
      <c r="O1443" s="848"/>
      <c r="P1443" s="243"/>
      <c r="Q1443" s="23"/>
      <c r="R1443" s="79"/>
      <c r="S1443" s="22"/>
      <c r="T1443" s="22"/>
      <c r="U1443" s="24"/>
      <c r="V1443" s="23"/>
      <c r="W1443" s="80"/>
      <c r="X1443" s="80"/>
      <c r="Y1443" s="80"/>
      <c r="Z1443" s="80"/>
      <c r="AA1443" s="6">
        <v>6</v>
      </c>
      <c r="AB1443" s="6">
        <v>0</v>
      </c>
      <c r="AC1443" s="6">
        <v>10</v>
      </c>
      <c r="AD1443" s="6">
        <v>1</v>
      </c>
      <c r="AE1443" s="6">
        <f>SUM(AA1443:AD1443)</f>
        <v>17</v>
      </c>
      <c r="AF1443" s="104">
        <f>+AA1443/AE1443*AF$1</f>
        <v>0</v>
      </c>
      <c r="AG1443" s="105">
        <f>+AB1443/AE1443*AG$1</f>
        <v>0</v>
      </c>
      <c r="AH1443" s="105">
        <f>+AC1443/AE1443*AH$1</f>
        <v>0</v>
      </c>
      <c r="AI1443" s="105">
        <f>+AD1443/AE1443*AI$1</f>
        <v>0</v>
      </c>
    </row>
    <row r="1444" spans="1:44">
      <c r="A1444" s="834" t="s">
        <v>137</v>
      </c>
      <c r="B1444" s="835">
        <v>1441</v>
      </c>
      <c r="C1444" s="840" t="s">
        <v>1914</v>
      </c>
      <c r="D1444" s="838" t="s">
        <v>2022</v>
      </c>
      <c r="E1444" s="839">
        <v>45961</v>
      </c>
      <c r="F1444" s="838" t="s">
        <v>140</v>
      </c>
      <c r="G1444" s="838"/>
      <c r="H1444" s="838" t="s">
        <v>1721</v>
      </c>
      <c r="I1444" s="838" t="s">
        <v>1638</v>
      </c>
      <c r="J1444" s="838"/>
      <c r="K1444" s="838"/>
      <c r="L1444" s="21"/>
      <c r="M1444" s="22"/>
      <c r="N1444" s="23"/>
      <c r="O1444" s="848"/>
      <c r="P1444" s="243"/>
      <c r="Q1444" s="23"/>
      <c r="R1444" s="79"/>
      <c r="S1444" s="22"/>
      <c r="T1444" s="22"/>
      <c r="U1444" s="24"/>
      <c r="V1444" s="23"/>
      <c r="W1444" s="96"/>
      <c r="X1444" s="96"/>
      <c r="Y1444" s="96"/>
      <c r="Z1444" s="96"/>
      <c r="AA1444"/>
      <c r="AI1444" s="105"/>
    </row>
    <row r="1445" spans="1:44">
      <c r="A1445" s="834" t="s">
        <v>137</v>
      </c>
      <c r="B1445" s="835">
        <v>1442</v>
      </c>
      <c r="C1445" s="840" t="s">
        <v>1905</v>
      </c>
      <c r="D1445" s="838" t="s">
        <v>34</v>
      </c>
      <c r="E1445" s="839">
        <v>45961</v>
      </c>
      <c r="F1445" s="838" t="s">
        <v>140</v>
      </c>
      <c r="G1445" s="838"/>
      <c r="H1445" s="838" t="s">
        <v>1721</v>
      </c>
      <c r="I1445" s="838" t="s">
        <v>1638</v>
      </c>
      <c r="J1445" s="838"/>
      <c r="K1445" s="838"/>
      <c r="L1445" s="21"/>
      <c r="M1445" s="22"/>
      <c r="N1445" s="23"/>
      <c r="O1445" s="848"/>
      <c r="P1445" s="243"/>
      <c r="Q1445" s="23"/>
      <c r="R1445" s="79"/>
      <c r="S1445" s="22"/>
      <c r="T1445" s="22"/>
      <c r="U1445" s="24"/>
      <c r="V1445" s="23"/>
      <c r="W1445" s="80"/>
      <c r="X1445" s="80"/>
      <c r="Y1445" s="80"/>
      <c r="Z1445" s="80"/>
      <c r="AA1445"/>
      <c r="AI1445" s="105"/>
    </row>
    <row r="1446" spans="1:44">
      <c r="A1446" s="834" t="s">
        <v>137</v>
      </c>
      <c r="B1446" s="835">
        <v>1443</v>
      </c>
      <c r="C1446" s="840" t="s">
        <v>1906</v>
      </c>
      <c r="D1446" s="838" t="s">
        <v>34</v>
      </c>
      <c r="E1446" s="839">
        <v>45961</v>
      </c>
      <c r="F1446" s="838" t="s">
        <v>140</v>
      </c>
      <c r="G1446" s="838"/>
      <c r="H1446" s="838" t="s">
        <v>1725</v>
      </c>
      <c r="I1446" s="838" t="s">
        <v>47</v>
      </c>
      <c r="J1446" s="838"/>
      <c r="K1446" s="838"/>
      <c r="L1446" s="21"/>
      <c r="M1446" s="22"/>
      <c r="N1446" s="23"/>
      <c r="O1446" s="23"/>
      <c r="P1446" s="23"/>
      <c r="Q1446" s="23"/>
      <c r="R1446" s="79"/>
      <c r="S1446" s="22"/>
      <c r="T1446" s="22"/>
      <c r="U1446" s="24"/>
      <c r="V1446" s="23"/>
      <c r="W1446" s="80"/>
      <c r="X1446" s="80"/>
      <c r="Y1446" s="80"/>
      <c r="Z1446" s="80"/>
      <c r="AA1446"/>
      <c r="AI1446" s="105"/>
    </row>
    <row r="1447" spans="1:44">
      <c r="A1447" s="834" t="s">
        <v>137</v>
      </c>
      <c r="B1447" s="835">
        <v>1444</v>
      </c>
      <c r="C1447" s="840" t="s">
        <v>1907</v>
      </c>
      <c r="D1447" s="838" t="s">
        <v>34</v>
      </c>
      <c r="E1447" s="839">
        <v>45961</v>
      </c>
      <c r="F1447" s="838" t="s">
        <v>140</v>
      </c>
      <c r="G1447" s="838"/>
      <c r="H1447" s="838" t="s">
        <v>1725</v>
      </c>
      <c r="I1447" s="838" t="s">
        <v>47</v>
      </c>
      <c r="J1447" s="838"/>
      <c r="K1447" s="838"/>
      <c r="L1447" s="21"/>
      <c r="M1447" s="22"/>
      <c r="N1447" s="23"/>
      <c r="O1447" s="848"/>
      <c r="P1447" s="117"/>
      <c r="Q1447" s="23"/>
      <c r="R1447" s="79"/>
      <c r="S1447" s="22"/>
      <c r="T1447" s="22"/>
      <c r="U1447" s="24"/>
      <c r="V1447" s="23"/>
      <c r="W1447" s="80"/>
      <c r="X1447" s="80"/>
      <c r="Y1447" s="80"/>
      <c r="Z1447" s="80"/>
      <c r="AA1447" s="87"/>
      <c r="AB1447" s="87"/>
      <c r="AF1447" s="71"/>
      <c r="AG1447" s="92"/>
      <c r="AH1447" s="92"/>
      <c r="AI1447" s="105"/>
    </row>
    <row r="1448" spans="1:44">
      <c r="A1448" s="834" t="s">
        <v>137</v>
      </c>
      <c r="B1448" s="835">
        <v>1445</v>
      </c>
      <c r="C1448" s="840" t="s">
        <v>1909</v>
      </c>
      <c r="D1448" s="838" t="s">
        <v>34</v>
      </c>
      <c r="E1448" s="839">
        <v>45961</v>
      </c>
      <c r="F1448" s="838" t="s">
        <v>140</v>
      </c>
      <c r="G1448" s="838"/>
      <c r="H1448" s="838" t="s">
        <v>1725</v>
      </c>
      <c r="I1448" s="838" t="s">
        <v>47</v>
      </c>
      <c r="J1448" s="838"/>
      <c r="K1448" s="838"/>
      <c r="L1448" s="21"/>
      <c r="M1448" s="22"/>
      <c r="N1448" s="23"/>
      <c r="O1448" s="23"/>
      <c r="P1448" s="22"/>
      <c r="Q1448" s="23"/>
      <c r="R1448" s="79"/>
      <c r="S1448" s="22"/>
      <c r="U1448" s="24"/>
      <c r="V1448" s="23"/>
      <c r="W1448" s="96"/>
      <c r="X1448" s="80"/>
      <c r="Y1448" s="80"/>
      <c r="Z1448" s="80"/>
      <c r="AA1448"/>
      <c r="AF1448" s="71"/>
      <c r="AG1448" s="92"/>
      <c r="AH1448" s="92"/>
      <c r="AI1448" s="105"/>
    </row>
    <row r="1449" spans="1:44">
      <c r="A1449" s="834" t="s">
        <v>137</v>
      </c>
      <c r="B1449" s="835">
        <v>1446</v>
      </c>
      <c r="C1449" s="840" t="s">
        <v>1910</v>
      </c>
      <c r="D1449" s="838" t="s">
        <v>34</v>
      </c>
      <c r="E1449" s="839">
        <v>45961</v>
      </c>
      <c r="F1449" s="838" t="s">
        <v>140</v>
      </c>
      <c r="G1449" s="838"/>
      <c r="H1449" s="838" t="s">
        <v>1725</v>
      </c>
      <c r="I1449" s="838" t="s">
        <v>47</v>
      </c>
      <c r="J1449" s="838"/>
      <c r="K1449" s="838"/>
      <c r="L1449" s="21"/>
      <c r="M1449" s="22"/>
      <c r="N1449" s="23"/>
      <c r="O1449" s="848"/>
      <c r="P1449" s="23"/>
      <c r="Q1449" s="23"/>
      <c r="R1449" s="79"/>
      <c r="S1449" s="22"/>
      <c r="T1449" s="22"/>
      <c r="U1449" s="24"/>
      <c r="V1449" s="23"/>
      <c r="W1449" s="80"/>
      <c r="X1449" s="96"/>
      <c r="Y1449" s="80"/>
      <c r="Z1449" s="80"/>
      <c r="AA1449" s="87"/>
      <c r="AB1449" s="87"/>
      <c r="AF1449" s="71"/>
      <c r="AG1449" s="92"/>
      <c r="AH1449" s="92"/>
      <c r="AI1449" s="105"/>
    </row>
    <row r="1450" spans="1:44">
      <c r="A1450" s="834" t="s">
        <v>137</v>
      </c>
      <c r="B1450" s="835">
        <v>1447</v>
      </c>
      <c r="C1450" s="840" t="s">
        <v>1911</v>
      </c>
      <c r="D1450" s="838" t="s">
        <v>34</v>
      </c>
      <c r="E1450" s="839">
        <v>45961</v>
      </c>
      <c r="F1450" s="838" t="s">
        <v>140</v>
      </c>
      <c r="G1450" s="838"/>
      <c r="H1450" s="838" t="s">
        <v>1725</v>
      </c>
      <c r="I1450" s="838" t="s">
        <v>47</v>
      </c>
      <c r="J1450" s="838"/>
      <c r="K1450" s="838"/>
      <c r="L1450" s="21"/>
      <c r="M1450" s="22"/>
      <c r="N1450" s="23"/>
      <c r="O1450" s="23"/>
      <c r="P1450" s="23"/>
      <c r="Q1450" s="23"/>
      <c r="R1450" s="79"/>
      <c r="S1450" s="22"/>
      <c r="T1450" s="22"/>
      <c r="U1450" s="24"/>
      <c r="V1450" s="23"/>
      <c r="W1450" s="80"/>
      <c r="X1450" s="96"/>
      <c r="Y1450" s="80"/>
      <c r="Z1450" s="80"/>
      <c r="AA1450"/>
      <c r="AI1450" s="105"/>
    </row>
    <row r="1451" spans="1:44">
      <c r="A1451" s="834" t="s">
        <v>137</v>
      </c>
      <c r="B1451" s="835">
        <v>1448</v>
      </c>
      <c r="C1451" s="840" t="s">
        <v>1913</v>
      </c>
      <c r="D1451" s="838" t="s">
        <v>34</v>
      </c>
      <c r="E1451" s="839">
        <v>45961</v>
      </c>
      <c r="F1451" s="838" t="s">
        <v>140</v>
      </c>
      <c r="G1451" s="838"/>
      <c r="H1451" s="838" t="s">
        <v>1725</v>
      </c>
      <c r="I1451" s="838" t="s">
        <v>47</v>
      </c>
      <c r="J1451" s="838"/>
      <c r="K1451" s="838"/>
      <c r="L1451" s="21"/>
      <c r="M1451" s="22"/>
      <c r="N1451" s="23"/>
      <c r="O1451" s="848"/>
      <c r="P1451" s="23"/>
      <c r="Q1451" s="23"/>
      <c r="R1451" s="79"/>
      <c r="S1451" s="22"/>
      <c r="T1451" s="22"/>
      <c r="U1451" s="24"/>
      <c r="V1451" s="23"/>
      <c r="W1451" s="80"/>
      <c r="X1451" s="96"/>
      <c r="Y1451" s="80"/>
      <c r="Z1451" s="80"/>
      <c r="AA1451"/>
      <c r="AE1451" s="84"/>
      <c r="AF1451" s="71"/>
      <c r="AG1451" s="71"/>
      <c r="AH1451" s="71"/>
      <c r="AI1451" s="105"/>
    </row>
    <row r="1452" spans="1:44">
      <c r="A1452" s="834" t="s">
        <v>137</v>
      </c>
      <c r="B1452" s="835">
        <v>1449</v>
      </c>
      <c r="C1452" s="840" t="s">
        <v>1914</v>
      </c>
      <c r="D1452" s="838" t="s">
        <v>34</v>
      </c>
      <c r="E1452" s="839">
        <v>45961</v>
      </c>
      <c r="F1452" s="838" t="s">
        <v>140</v>
      </c>
      <c r="G1452" s="838"/>
      <c r="H1452" s="838" t="s">
        <v>1725</v>
      </c>
      <c r="I1452" s="838" t="s">
        <v>47</v>
      </c>
      <c r="J1452" s="838"/>
      <c r="K1452" s="838"/>
      <c r="L1452" s="21"/>
      <c r="M1452" s="22"/>
      <c r="N1452" s="23"/>
      <c r="O1452" s="23"/>
      <c r="P1452" s="243"/>
      <c r="Q1452" s="23"/>
      <c r="R1452" s="79"/>
      <c r="S1452" s="22"/>
      <c r="T1452" s="22"/>
      <c r="U1452" s="24"/>
      <c r="V1452" s="23"/>
      <c r="W1452" s="80"/>
      <c r="X1452" s="96"/>
      <c r="Y1452" s="96"/>
      <c r="Z1452" s="80"/>
      <c r="AA1452"/>
      <c r="AI1452" s="105"/>
    </row>
    <row r="1453" spans="1:44">
      <c r="A1453" s="834" t="s">
        <v>137</v>
      </c>
      <c r="B1453" s="835">
        <v>1450</v>
      </c>
      <c r="C1453" s="840" t="s">
        <v>1914</v>
      </c>
      <c r="D1453" s="838" t="s">
        <v>34</v>
      </c>
      <c r="E1453" s="839">
        <v>45961</v>
      </c>
      <c r="F1453" s="838" t="s">
        <v>140</v>
      </c>
      <c r="G1453" s="838"/>
      <c r="H1453" s="838" t="s">
        <v>1725</v>
      </c>
      <c r="I1453" s="838" t="s">
        <v>47</v>
      </c>
      <c r="J1453" s="838"/>
      <c r="K1453" s="838"/>
      <c r="L1453" s="21"/>
      <c r="M1453" s="22"/>
      <c r="N1453" s="23"/>
      <c r="O1453" s="23"/>
      <c r="P1453" s="23"/>
      <c r="Q1453" s="23"/>
      <c r="R1453" s="79"/>
      <c r="S1453" s="22"/>
      <c r="T1453" s="22"/>
      <c r="U1453" s="24"/>
      <c r="V1453" s="23"/>
      <c r="W1453" s="80"/>
      <c r="X1453" s="80"/>
      <c r="Y1453" s="80"/>
      <c r="Z1453" s="80"/>
      <c r="AA1453"/>
      <c r="AI1453" s="105"/>
    </row>
    <row r="1454" spans="1:44">
      <c r="A1454" s="834" t="s">
        <v>137</v>
      </c>
      <c r="B1454" s="835">
        <v>1451</v>
      </c>
      <c r="C1454" s="840" t="s">
        <v>1914</v>
      </c>
      <c r="D1454" s="838" t="s">
        <v>34</v>
      </c>
      <c r="E1454" s="839">
        <v>45961</v>
      </c>
      <c r="F1454" s="838" t="s">
        <v>140</v>
      </c>
      <c r="G1454" s="838"/>
      <c r="H1454" s="838" t="s">
        <v>1725</v>
      </c>
      <c r="I1454" s="838" t="s">
        <v>47</v>
      </c>
      <c r="J1454" s="838"/>
      <c r="K1454" s="838"/>
      <c r="L1454" s="21"/>
      <c r="M1454" s="22"/>
      <c r="N1454" s="23"/>
      <c r="O1454" s="848"/>
      <c r="P1454" s="23"/>
      <c r="Q1454" s="23"/>
      <c r="R1454" s="79"/>
      <c r="S1454" s="22"/>
      <c r="T1454" s="22"/>
      <c r="U1454" s="24"/>
      <c r="V1454" s="23"/>
      <c r="W1454" s="80"/>
      <c r="X1454" s="96"/>
      <c r="Y1454" s="80"/>
      <c r="Z1454" s="80"/>
      <c r="AA1454"/>
      <c r="AE1454" s="84"/>
      <c r="AF1454" s="71"/>
      <c r="AG1454" s="71"/>
      <c r="AH1454" s="71"/>
      <c r="AI1454" s="105"/>
    </row>
    <row r="1455" spans="1:44">
      <c r="A1455" s="834" t="s">
        <v>24</v>
      </c>
      <c r="B1455" s="835">
        <v>1452</v>
      </c>
      <c r="C1455" s="838" t="s">
        <v>2045</v>
      </c>
      <c r="D1455" s="838" t="s">
        <v>26</v>
      </c>
      <c r="E1455" s="839">
        <v>45965</v>
      </c>
      <c r="F1455" s="838" t="s">
        <v>2046</v>
      </c>
      <c r="G1455" s="838">
        <v>13</v>
      </c>
      <c r="H1455" s="838" t="s">
        <v>1077</v>
      </c>
      <c r="I1455" s="838" t="s">
        <v>1138</v>
      </c>
      <c r="J1455" s="838"/>
      <c r="K1455" s="834" t="s">
        <v>2047</v>
      </c>
      <c r="L1455" s="834" t="s">
        <v>2048</v>
      </c>
      <c r="M1455" s="834" t="s">
        <v>2049</v>
      </c>
      <c r="N1455" s="136" t="s">
        <v>2050</v>
      </c>
      <c r="O1455" s="848" t="s">
        <v>32</v>
      </c>
      <c r="P1455" s="848" t="s">
        <v>1091</v>
      </c>
      <c r="Q1455" s="24">
        <v>45994</v>
      </c>
      <c r="R1455" s="241" t="s">
        <v>1138</v>
      </c>
      <c r="S1455" s="834" t="s">
        <v>32</v>
      </c>
      <c r="T1455" s="834">
        <v>13</v>
      </c>
      <c r="U1455" s="24" t="s">
        <v>2051</v>
      </c>
      <c r="V1455" s="24">
        <v>45994</v>
      </c>
      <c r="W1455" s="96" t="s">
        <v>30</v>
      </c>
      <c r="X1455" s="96" t="s">
        <v>30</v>
      </c>
      <c r="Y1455" s="96" t="s">
        <v>30</v>
      </c>
      <c r="Z1455" s="96" t="s">
        <v>30</v>
      </c>
      <c r="AA1455" s="96" t="s">
        <v>30</v>
      </c>
      <c r="AB1455" s="96" t="s">
        <v>30</v>
      </c>
      <c r="AC1455" s="96" t="s">
        <v>30</v>
      </c>
      <c r="AD1455" s="96" t="s">
        <v>30</v>
      </c>
      <c r="AE1455" s="96" t="s">
        <v>30</v>
      </c>
      <c r="AF1455" s="96" t="s">
        <v>30</v>
      </c>
      <c r="AG1455" s="96" t="s">
        <v>30</v>
      </c>
      <c r="AH1455" s="107" t="s">
        <v>30</v>
      </c>
      <c r="AI1455" s="107" t="s">
        <v>30</v>
      </c>
      <c r="AJ1455" s="107" t="s">
        <v>30</v>
      </c>
      <c r="AK1455" s="107" t="s">
        <v>30</v>
      </c>
      <c r="AL1455" s="96" t="s">
        <v>30</v>
      </c>
      <c r="AM1455" s="840"/>
      <c r="AO1455" s="776"/>
      <c r="AP1455" s="776"/>
      <c r="AQ1455" s="776"/>
      <c r="AR1455" s="776"/>
    </row>
    <row r="1456" spans="1:44">
      <c r="A1456" s="834" t="s">
        <v>24</v>
      </c>
      <c r="B1456" s="835">
        <v>1453</v>
      </c>
      <c r="C1456" s="838" t="s">
        <v>1332</v>
      </c>
      <c r="D1456" s="838" t="s">
        <v>34</v>
      </c>
      <c r="E1456" s="839">
        <v>45965</v>
      </c>
      <c r="F1456" s="838" t="s">
        <v>412</v>
      </c>
      <c r="G1456" s="838">
        <v>11</v>
      </c>
      <c r="H1456" s="838" t="s">
        <v>1077</v>
      </c>
      <c r="I1456" s="838" t="s">
        <v>1138</v>
      </c>
      <c r="J1456" s="838"/>
      <c r="K1456" s="834" t="s">
        <v>2052</v>
      </c>
      <c r="L1456" s="834" t="s">
        <v>2048</v>
      </c>
      <c r="M1456" s="834" t="s">
        <v>2053</v>
      </c>
      <c r="N1456" s="834" t="s">
        <v>2050</v>
      </c>
      <c r="O1456" s="848" t="s">
        <v>32</v>
      </c>
      <c r="P1456" s="848" t="s">
        <v>1091</v>
      </c>
      <c r="Q1456" s="24">
        <v>46009</v>
      </c>
      <c r="R1456" s="241" t="s">
        <v>1138</v>
      </c>
      <c r="S1456" s="834" t="s">
        <v>32</v>
      </c>
      <c r="T1456" s="834">
        <v>11</v>
      </c>
      <c r="U1456" s="24" t="s">
        <v>1138</v>
      </c>
      <c r="V1456" s="24">
        <v>46009</v>
      </c>
      <c r="W1456" s="96" t="s">
        <v>30</v>
      </c>
      <c r="X1456" s="96" t="s">
        <v>30</v>
      </c>
      <c r="Y1456" s="96" t="s">
        <v>30</v>
      </c>
      <c r="Z1456" s="96" t="s">
        <v>30</v>
      </c>
      <c r="AA1456" s="96" t="s">
        <v>30</v>
      </c>
      <c r="AB1456" s="96" t="s">
        <v>30</v>
      </c>
      <c r="AC1456" s="96" t="s">
        <v>30</v>
      </c>
      <c r="AD1456" s="96" t="s">
        <v>30</v>
      </c>
      <c r="AE1456" s="96" t="s">
        <v>30</v>
      </c>
      <c r="AF1456" s="96" t="s">
        <v>30</v>
      </c>
      <c r="AG1456" s="96" t="s">
        <v>30</v>
      </c>
      <c r="AH1456" s="107" t="s">
        <v>30</v>
      </c>
      <c r="AI1456" s="107" t="s">
        <v>30</v>
      </c>
      <c r="AJ1456" s="107" t="s">
        <v>30</v>
      </c>
      <c r="AK1456" s="108" t="s">
        <v>30</v>
      </c>
      <c r="AL1456" s="96" t="s">
        <v>30</v>
      </c>
      <c r="AM1456" s="840"/>
      <c r="AO1456" s="776"/>
      <c r="AP1456" s="776"/>
      <c r="AQ1456" s="776"/>
      <c r="AR1456" s="776"/>
    </row>
    <row r="1457" spans="1:44">
      <c r="A1457" s="834" t="s">
        <v>24</v>
      </c>
      <c r="B1457" s="835">
        <v>1454</v>
      </c>
      <c r="C1457" s="838" t="s">
        <v>2054</v>
      </c>
      <c r="D1457" s="838" t="s">
        <v>50</v>
      </c>
      <c r="E1457" s="839">
        <v>45965</v>
      </c>
      <c r="F1457" s="838" t="s">
        <v>506</v>
      </c>
      <c r="G1457" s="838">
        <v>29</v>
      </c>
      <c r="H1457" s="838" t="s">
        <v>1721</v>
      </c>
      <c r="I1457" s="838" t="s">
        <v>2055</v>
      </c>
      <c r="J1457" s="838"/>
      <c r="K1457" s="834" t="s">
        <v>2056</v>
      </c>
      <c r="L1457" s="834" t="s">
        <v>2057</v>
      </c>
      <c r="M1457" s="834" t="s">
        <v>2057</v>
      </c>
      <c r="N1457" s="834" t="s">
        <v>2058</v>
      </c>
      <c r="O1457" s="113" t="s">
        <v>30</v>
      </c>
      <c r="P1457" s="848" t="s">
        <v>1091</v>
      </c>
      <c r="Q1457" s="24">
        <v>46021</v>
      </c>
      <c r="R1457" s="79" t="s">
        <v>1638</v>
      </c>
      <c r="S1457" s="834" t="s">
        <v>32</v>
      </c>
      <c r="T1457" s="834">
        <v>26</v>
      </c>
      <c r="U1457" s="24" t="s">
        <v>1638</v>
      </c>
      <c r="V1457" s="24">
        <v>46021</v>
      </c>
      <c r="W1457" s="96" t="s">
        <v>30</v>
      </c>
      <c r="X1457" s="96" t="s">
        <v>30</v>
      </c>
      <c r="Y1457" s="96" t="s">
        <v>30</v>
      </c>
      <c r="Z1457" s="96" t="s">
        <v>30</v>
      </c>
      <c r="AA1457" s="96" t="s">
        <v>30</v>
      </c>
      <c r="AB1457" s="96" t="s">
        <v>30</v>
      </c>
      <c r="AC1457" s="96" t="s">
        <v>30</v>
      </c>
      <c r="AD1457" s="96" t="s">
        <v>30</v>
      </c>
      <c r="AE1457" s="96" t="s">
        <v>30</v>
      </c>
      <c r="AF1457" s="96" t="s">
        <v>30</v>
      </c>
      <c r="AG1457" s="96" t="s">
        <v>30</v>
      </c>
      <c r="AH1457" s="96" t="s">
        <v>30</v>
      </c>
      <c r="AI1457" s="96" t="s">
        <v>30</v>
      </c>
      <c r="AJ1457" s="96" t="s">
        <v>30</v>
      </c>
      <c r="AK1457" s="96" t="s">
        <v>30</v>
      </c>
      <c r="AL1457" s="91" t="s">
        <v>32</v>
      </c>
      <c r="AM1457" s="840" t="s">
        <v>2059</v>
      </c>
      <c r="AO1457" s="776"/>
      <c r="AP1457" s="776"/>
      <c r="AQ1457" s="776"/>
      <c r="AR1457" s="776"/>
    </row>
    <row r="1458" spans="1:44">
      <c r="A1458" s="834" t="s">
        <v>24</v>
      </c>
      <c r="B1458" s="835">
        <v>1455</v>
      </c>
      <c r="C1458" s="838" t="s">
        <v>2060</v>
      </c>
      <c r="D1458" s="838" t="s">
        <v>26</v>
      </c>
      <c r="E1458" s="839">
        <v>45966</v>
      </c>
      <c r="F1458" s="838" t="s">
        <v>97</v>
      </c>
      <c r="G1458" s="838">
        <v>18</v>
      </c>
      <c r="H1458" s="838" t="s">
        <v>1721</v>
      </c>
      <c r="I1458" s="838" t="s">
        <v>1638</v>
      </c>
      <c r="J1458" s="838"/>
      <c r="K1458" s="834" t="s">
        <v>2061</v>
      </c>
      <c r="L1458" s="834" t="s">
        <v>2062</v>
      </c>
      <c r="M1458" s="834" t="s">
        <v>2062</v>
      </c>
      <c r="N1458" s="834" t="s">
        <v>2050</v>
      </c>
      <c r="O1458" s="113" t="s">
        <v>30</v>
      </c>
      <c r="P1458" s="848" t="s">
        <v>1091</v>
      </c>
      <c r="Q1458" s="24">
        <v>46021</v>
      </c>
      <c r="R1458" s="79" t="s">
        <v>1638</v>
      </c>
      <c r="S1458" s="834" t="s">
        <v>32</v>
      </c>
      <c r="T1458" s="834">
        <v>8</v>
      </c>
      <c r="U1458" s="24" t="s">
        <v>1638</v>
      </c>
      <c r="V1458" s="24">
        <v>46021</v>
      </c>
      <c r="W1458" s="96" t="s">
        <v>30</v>
      </c>
      <c r="X1458" s="90" t="s">
        <v>30</v>
      </c>
      <c r="Y1458" s="90" t="s">
        <v>30</v>
      </c>
      <c r="Z1458" s="96" t="s">
        <v>30</v>
      </c>
      <c r="AA1458" s="96" t="s">
        <v>30</v>
      </c>
      <c r="AB1458" s="96" t="s">
        <v>30</v>
      </c>
      <c r="AC1458" s="96" t="s">
        <v>30</v>
      </c>
      <c r="AD1458" s="96" t="s">
        <v>30</v>
      </c>
      <c r="AE1458" s="96" t="s">
        <v>30</v>
      </c>
      <c r="AF1458" s="96" t="s">
        <v>30</v>
      </c>
      <c r="AG1458" s="96" t="s">
        <v>30</v>
      </c>
      <c r="AH1458" s="107" t="s">
        <v>30</v>
      </c>
      <c r="AI1458" s="90" t="s">
        <v>30</v>
      </c>
      <c r="AJ1458" s="90" t="s">
        <v>30</v>
      </c>
      <c r="AK1458" s="90" t="s">
        <v>30</v>
      </c>
      <c r="AL1458" s="91" t="s">
        <v>32</v>
      </c>
      <c r="AM1458" s="840"/>
      <c r="AO1458" s="776"/>
      <c r="AP1458" s="776"/>
      <c r="AQ1458" s="776"/>
      <c r="AR1458" s="776"/>
    </row>
    <row r="1459" spans="1:44">
      <c r="A1459" s="834" t="s">
        <v>24</v>
      </c>
      <c r="B1459" s="835">
        <v>1456</v>
      </c>
      <c r="C1459" s="838" t="s">
        <v>2063</v>
      </c>
      <c r="D1459" s="838" t="s">
        <v>26</v>
      </c>
      <c r="E1459" s="839">
        <v>45967</v>
      </c>
      <c r="F1459" s="838" t="s">
        <v>97</v>
      </c>
      <c r="G1459" s="838">
        <v>18</v>
      </c>
      <c r="H1459" s="838" t="s">
        <v>1721</v>
      </c>
      <c r="I1459" s="838" t="s">
        <v>1638</v>
      </c>
      <c r="J1459" s="838"/>
      <c r="K1459" s="834" t="s">
        <v>2061</v>
      </c>
      <c r="L1459" s="834" t="s">
        <v>2062</v>
      </c>
      <c r="M1459" s="834" t="s">
        <v>2062</v>
      </c>
      <c r="N1459" s="834" t="s">
        <v>2050</v>
      </c>
      <c r="O1459" s="113" t="s">
        <v>30</v>
      </c>
      <c r="P1459" s="848" t="s">
        <v>1091</v>
      </c>
      <c r="Q1459" s="24">
        <v>46021</v>
      </c>
      <c r="R1459" s="79" t="s">
        <v>1638</v>
      </c>
      <c r="S1459" s="834" t="s">
        <v>1140</v>
      </c>
      <c r="T1459" s="834">
        <v>8</v>
      </c>
      <c r="U1459" s="24" t="s">
        <v>1638</v>
      </c>
      <c r="V1459" s="24">
        <v>46021</v>
      </c>
      <c r="W1459" s="96" t="s">
        <v>30</v>
      </c>
      <c r="X1459" s="90" t="s">
        <v>30</v>
      </c>
      <c r="Y1459" s="90" t="s">
        <v>30</v>
      </c>
      <c r="Z1459" s="96" t="s">
        <v>30</v>
      </c>
      <c r="AA1459" s="96" t="s">
        <v>30</v>
      </c>
      <c r="AB1459" s="96" t="s">
        <v>30</v>
      </c>
      <c r="AC1459" s="96" t="s">
        <v>30</v>
      </c>
      <c r="AD1459" s="96" t="s">
        <v>30</v>
      </c>
      <c r="AE1459" s="96" t="s">
        <v>30</v>
      </c>
      <c r="AF1459" s="96" t="s">
        <v>30</v>
      </c>
      <c r="AG1459" s="96" t="s">
        <v>30</v>
      </c>
      <c r="AH1459" s="107" t="s">
        <v>30</v>
      </c>
      <c r="AI1459" s="107" t="s">
        <v>30</v>
      </c>
      <c r="AJ1459" s="107" t="s">
        <v>30</v>
      </c>
      <c r="AK1459" s="107" t="s">
        <v>30</v>
      </c>
      <c r="AL1459" s="91" t="s">
        <v>32</v>
      </c>
      <c r="AM1459" s="840"/>
    </row>
    <row r="1460" spans="1:44">
      <c r="A1460" s="834" t="s">
        <v>24</v>
      </c>
      <c r="B1460" s="835">
        <v>1457</v>
      </c>
      <c r="C1460" s="838" t="s">
        <v>2064</v>
      </c>
      <c r="D1460" s="838" t="s">
        <v>102</v>
      </c>
      <c r="E1460" s="839">
        <v>45967</v>
      </c>
      <c r="F1460" s="838" t="s">
        <v>1124</v>
      </c>
      <c r="G1460" s="838">
        <v>11</v>
      </c>
      <c r="H1460" s="838" t="s">
        <v>1077</v>
      </c>
      <c r="I1460" s="838" t="s">
        <v>2065</v>
      </c>
      <c r="J1460" s="838"/>
      <c r="K1460" s="834" t="s">
        <v>2066</v>
      </c>
      <c r="L1460" s="834" t="s">
        <v>2067</v>
      </c>
      <c r="M1460" s="834" t="s">
        <v>2053</v>
      </c>
      <c r="N1460" s="834" t="s">
        <v>2058</v>
      </c>
      <c r="O1460" s="848" t="s">
        <v>32</v>
      </c>
      <c r="P1460" s="848" t="s">
        <v>1091</v>
      </c>
      <c r="Q1460" s="24">
        <v>46010</v>
      </c>
      <c r="R1460" s="241" t="s">
        <v>1138</v>
      </c>
      <c r="S1460" s="834" t="s">
        <v>32</v>
      </c>
      <c r="T1460" s="834">
        <v>11</v>
      </c>
      <c r="U1460" s="24" t="s">
        <v>1138</v>
      </c>
      <c r="V1460" s="24">
        <v>46010</v>
      </c>
      <c r="W1460" s="96" t="s">
        <v>30</v>
      </c>
      <c r="X1460" s="96" t="s">
        <v>30</v>
      </c>
      <c r="Y1460" s="96" t="s">
        <v>30</v>
      </c>
      <c r="Z1460" s="96" t="s">
        <v>30</v>
      </c>
      <c r="AA1460" s="91" t="s">
        <v>32</v>
      </c>
      <c r="AB1460" s="91" t="s">
        <v>32</v>
      </c>
      <c r="AC1460" s="96" t="s">
        <v>30</v>
      </c>
      <c r="AD1460" s="96" t="s">
        <v>30</v>
      </c>
      <c r="AE1460" s="96" t="s">
        <v>30</v>
      </c>
      <c r="AF1460" s="96" t="s">
        <v>30</v>
      </c>
      <c r="AG1460" s="96" t="s">
        <v>30</v>
      </c>
      <c r="AH1460" s="96" t="s">
        <v>30</v>
      </c>
      <c r="AI1460" s="96" t="s">
        <v>30</v>
      </c>
      <c r="AJ1460" s="96" t="s">
        <v>30</v>
      </c>
      <c r="AK1460" s="96" t="s">
        <v>30</v>
      </c>
      <c r="AL1460" s="96" t="s">
        <v>30</v>
      </c>
      <c r="AM1460" s="840" t="s">
        <v>2068</v>
      </c>
      <c r="AO1460" s="776"/>
      <c r="AP1460" s="776"/>
      <c r="AQ1460" s="776"/>
      <c r="AR1460" s="776"/>
    </row>
    <row r="1461" spans="1:44">
      <c r="A1461" s="834" t="s">
        <v>24</v>
      </c>
      <c r="B1461" s="835">
        <v>1458</v>
      </c>
      <c r="C1461" s="838" t="s">
        <v>2069</v>
      </c>
      <c r="D1461" s="838" t="s">
        <v>102</v>
      </c>
      <c r="E1461" s="839">
        <v>45968</v>
      </c>
      <c r="F1461" s="838" t="s">
        <v>282</v>
      </c>
      <c r="G1461" s="838">
        <v>11</v>
      </c>
      <c r="H1461" s="838" t="s">
        <v>127</v>
      </c>
      <c r="I1461" s="838" t="s">
        <v>178</v>
      </c>
      <c r="J1461" s="838"/>
      <c r="K1461" s="834" t="s">
        <v>2056</v>
      </c>
      <c r="L1461" s="834" t="s">
        <v>2070</v>
      </c>
      <c r="M1461" s="834" t="s">
        <v>2070</v>
      </c>
      <c r="N1461" s="834" t="s">
        <v>2058</v>
      </c>
      <c r="O1461" s="848" t="s">
        <v>32</v>
      </c>
      <c r="P1461" s="848" t="s">
        <v>1091</v>
      </c>
      <c r="Q1461" s="24">
        <v>46002</v>
      </c>
      <c r="R1461" s="79" t="s">
        <v>28</v>
      </c>
      <c r="S1461" s="834" t="s">
        <v>32</v>
      </c>
      <c r="T1461" s="834">
        <v>8</v>
      </c>
      <c r="U1461" s="24" t="s">
        <v>28</v>
      </c>
      <c r="V1461" s="24">
        <v>46002</v>
      </c>
      <c r="W1461" s="96" t="s">
        <v>30</v>
      </c>
      <c r="X1461" s="96" t="s">
        <v>30</v>
      </c>
      <c r="Y1461" s="96" t="s">
        <v>30</v>
      </c>
      <c r="Z1461" s="96" t="s">
        <v>30</v>
      </c>
      <c r="AA1461" s="96" t="s">
        <v>30</v>
      </c>
      <c r="AB1461" s="96" t="s">
        <v>30</v>
      </c>
      <c r="AC1461" s="96" t="s">
        <v>30</v>
      </c>
      <c r="AD1461" s="96" t="s">
        <v>30</v>
      </c>
      <c r="AE1461" s="96" t="s">
        <v>30</v>
      </c>
      <c r="AF1461" s="96" t="s">
        <v>30</v>
      </c>
      <c r="AG1461" s="96" t="s">
        <v>30</v>
      </c>
      <c r="AH1461" s="107" t="s">
        <v>30</v>
      </c>
      <c r="AI1461" s="96" t="s">
        <v>30</v>
      </c>
      <c r="AJ1461" s="96" t="s">
        <v>30</v>
      </c>
      <c r="AK1461" s="96" t="s">
        <v>30</v>
      </c>
      <c r="AL1461" s="96" t="s">
        <v>30</v>
      </c>
      <c r="AM1461" s="840" t="s">
        <v>2071</v>
      </c>
      <c r="AO1461" s="776"/>
      <c r="AP1461" s="776"/>
      <c r="AQ1461" s="776"/>
      <c r="AR1461" s="776"/>
    </row>
    <row r="1462" spans="1:44">
      <c r="A1462" s="834" t="s">
        <v>24</v>
      </c>
      <c r="B1462" s="835">
        <v>1459</v>
      </c>
      <c r="C1462" s="838" t="s">
        <v>2072</v>
      </c>
      <c r="D1462" s="838" t="s">
        <v>43</v>
      </c>
      <c r="E1462" s="839">
        <v>45968</v>
      </c>
      <c r="F1462" s="838" t="s">
        <v>439</v>
      </c>
      <c r="G1462" s="838">
        <v>13</v>
      </c>
      <c r="H1462" s="838" t="s">
        <v>127</v>
      </c>
      <c r="I1462" s="838" t="s">
        <v>178</v>
      </c>
      <c r="J1462" s="98" t="s">
        <v>2073</v>
      </c>
      <c r="K1462" s="834" t="s">
        <v>2074</v>
      </c>
      <c r="L1462" s="834" t="s">
        <v>2062</v>
      </c>
      <c r="M1462" s="834" t="s">
        <v>2062</v>
      </c>
      <c r="N1462" s="834" t="s">
        <v>2050</v>
      </c>
      <c r="O1462" s="848" t="s">
        <v>32</v>
      </c>
      <c r="P1462" s="848"/>
      <c r="Q1462" s="24"/>
      <c r="R1462" s="79" t="s">
        <v>28</v>
      </c>
      <c r="S1462" s="834"/>
      <c r="T1462" s="834"/>
      <c r="U1462" s="24"/>
      <c r="V1462" s="24"/>
      <c r="W1462" s="96" t="s">
        <v>30</v>
      </c>
      <c r="X1462" s="96" t="s">
        <v>30</v>
      </c>
      <c r="Y1462" s="96" t="s">
        <v>30</v>
      </c>
      <c r="Z1462" s="96" t="s">
        <v>30</v>
      </c>
      <c r="AA1462" s="96" t="s">
        <v>30</v>
      </c>
      <c r="AB1462" s="96" t="s">
        <v>30</v>
      </c>
      <c r="AC1462" s="96" t="s">
        <v>30</v>
      </c>
      <c r="AD1462" s="96" t="s">
        <v>30</v>
      </c>
      <c r="AE1462" s="96" t="s">
        <v>30</v>
      </c>
      <c r="AF1462" s="96" t="s">
        <v>30</v>
      </c>
      <c r="AG1462" s="96" t="s">
        <v>30</v>
      </c>
      <c r="AH1462" s="107" t="s">
        <v>30</v>
      </c>
      <c r="AI1462" s="110" t="s">
        <v>32</v>
      </c>
      <c r="AJ1462" s="110" t="s">
        <v>32</v>
      </c>
      <c r="AK1462" s="96" t="s">
        <v>30</v>
      </c>
      <c r="AL1462" s="91" t="s">
        <v>32</v>
      </c>
      <c r="AM1462" s="840" t="s">
        <v>2059</v>
      </c>
      <c r="AO1462" s="776"/>
      <c r="AP1462" s="776"/>
      <c r="AQ1462" s="776"/>
      <c r="AR1462" s="776"/>
    </row>
    <row r="1463" spans="1:44">
      <c r="A1463" s="834" t="s">
        <v>24</v>
      </c>
      <c r="B1463" s="835">
        <v>1460</v>
      </c>
      <c r="C1463" s="838" t="s">
        <v>2075</v>
      </c>
      <c r="D1463" s="838" t="s">
        <v>26</v>
      </c>
      <c r="E1463" s="839">
        <v>45968</v>
      </c>
      <c r="F1463" s="838" t="s">
        <v>1495</v>
      </c>
      <c r="G1463" s="838">
        <v>15</v>
      </c>
      <c r="H1463" s="838" t="s">
        <v>1077</v>
      </c>
      <c r="I1463" s="838" t="s">
        <v>1721</v>
      </c>
      <c r="J1463" s="838"/>
      <c r="K1463" s="834" t="s">
        <v>2076</v>
      </c>
      <c r="L1463" s="834" t="s">
        <v>2062</v>
      </c>
      <c r="M1463" s="834" t="s">
        <v>2077</v>
      </c>
      <c r="N1463" s="834" t="s">
        <v>2050</v>
      </c>
      <c r="O1463" s="113" t="s">
        <v>30</v>
      </c>
      <c r="P1463" s="848" t="s">
        <v>1091</v>
      </c>
      <c r="Q1463" s="24">
        <v>45995</v>
      </c>
      <c r="R1463" s="241" t="s">
        <v>1138</v>
      </c>
      <c r="S1463" s="834" t="s">
        <v>32</v>
      </c>
      <c r="T1463" s="834">
        <v>15</v>
      </c>
      <c r="U1463" s="24" t="s">
        <v>1138</v>
      </c>
      <c r="V1463" s="24">
        <v>45995</v>
      </c>
      <c r="W1463" s="96" t="s">
        <v>30</v>
      </c>
      <c r="X1463" s="96" t="s">
        <v>30</v>
      </c>
      <c r="Y1463" s="96" t="s">
        <v>30</v>
      </c>
      <c r="Z1463" s="96" t="s">
        <v>30</v>
      </c>
      <c r="AA1463" s="96" t="s">
        <v>30</v>
      </c>
      <c r="AB1463" s="96" t="s">
        <v>30</v>
      </c>
      <c r="AC1463" s="96" t="s">
        <v>30</v>
      </c>
      <c r="AD1463" s="96" t="s">
        <v>30</v>
      </c>
      <c r="AE1463" s="96" t="s">
        <v>30</v>
      </c>
      <c r="AF1463" s="96" t="s">
        <v>30</v>
      </c>
      <c r="AG1463" s="96" t="s">
        <v>30</v>
      </c>
      <c r="AH1463" s="107" t="s">
        <v>30</v>
      </c>
      <c r="AI1463" s="96" t="s">
        <v>30</v>
      </c>
      <c r="AJ1463" s="96" t="s">
        <v>30</v>
      </c>
      <c r="AK1463" s="96" t="s">
        <v>30</v>
      </c>
      <c r="AL1463" s="96" t="s">
        <v>30</v>
      </c>
      <c r="AM1463" s="840"/>
    </row>
    <row r="1464" spans="1:44">
      <c r="A1464" s="834" t="s">
        <v>24</v>
      </c>
      <c r="B1464" s="835">
        <v>1461</v>
      </c>
      <c r="C1464" s="838" t="s">
        <v>2078</v>
      </c>
      <c r="D1464" s="838" t="s">
        <v>102</v>
      </c>
      <c r="E1464" s="839">
        <v>45968</v>
      </c>
      <c r="F1464" s="838" t="s">
        <v>430</v>
      </c>
      <c r="G1464" s="838">
        <v>10</v>
      </c>
      <c r="H1464" s="838" t="s">
        <v>1077</v>
      </c>
      <c r="I1464" s="838" t="s">
        <v>1138</v>
      </c>
      <c r="J1464" s="838"/>
      <c r="K1464" s="834" t="s">
        <v>2066</v>
      </c>
      <c r="L1464" s="834" t="s">
        <v>2062</v>
      </c>
      <c r="M1464" s="834" t="s">
        <v>2062</v>
      </c>
      <c r="N1464" s="834" t="s">
        <v>2050</v>
      </c>
      <c r="O1464" s="848" t="s">
        <v>32</v>
      </c>
      <c r="P1464" s="848" t="s">
        <v>1091</v>
      </c>
      <c r="Q1464" s="24">
        <v>46002</v>
      </c>
      <c r="R1464" s="241" t="s">
        <v>1138</v>
      </c>
      <c r="S1464" s="834" t="s">
        <v>32</v>
      </c>
      <c r="T1464" s="834">
        <v>2</v>
      </c>
      <c r="U1464" s="24" t="s">
        <v>1138</v>
      </c>
      <c r="V1464" s="24">
        <v>46002</v>
      </c>
      <c r="W1464" s="96" t="s">
        <v>30</v>
      </c>
      <c r="X1464" s="96" t="s">
        <v>30</v>
      </c>
      <c r="Y1464" s="96" t="s">
        <v>30</v>
      </c>
      <c r="Z1464" s="96" t="s">
        <v>30</v>
      </c>
      <c r="AA1464" s="91" t="s">
        <v>32</v>
      </c>
      <c r="AB1464" s="91" t="s">
        <v>32</v>
      </c>
      <c r="AC1464" s="96" t="s">
        <v>30</v>
      </c>
      <c r="AD1464" s="96" t="s">
        <v>30</v>
      </c>
      <c r="AE1464" s="96" t="s">
        <v>30</v>
      </c>
      <c r="AF1464" s="96" t="s">
        <v>30</v>
      </c>
      <c r="AG1464" s="96" t="s">
        <v>30</v>
      </c>
      <c r="AH1464" s="96" t="s">
        <v>30</v>
      </c>
      <c r="AI1464" s="96" t="s">
        <v>30</v>
      </c>
      <c r="AJ1464" s="96" t="s">
        <v>30</v>
      </c>
      <c r="AK1464" s="110" t="s">
        <v>32</v>
      </c>
      <c r="AL1464" s="96" t="s">
        <v>30</v>
      </c>
      <c r="AM1464" s="840" t="s">
        <v>2068</v>
      </c>
    </row>
    <row r="1465" spans="1:44">
      <c r="A1465" s="834" t="s">
        <v>24</v>
      </c>
      <c r="B1465" s="835">
        <v>1462</v>
      </c>
      <c r="C1465" s="838" t="s">
        <v>2079</v>
      </c>
      <c r="D1465" s="838" t="s">
        <v>102</v>
      </c>
      <c r="E1465" s="839">
        <v>45968</v>
      </c>
      <c r="F1465" s="838" t="s">
        <v>430</v>
      </c>
      <c r="G1465" s="838">
        <v>2</v>
      </c>
      <c r="H1465" s="838" t="s">
        <v>1077</v>
      </c>
      <c r="I1465" s="838" t="s">
        <v>1138</v>
      </c>
      <c r="J1465" s="838"/>
      <c r="K1465" s="834" t="s">
        <v>2066</v>
      </c>
      <c r="L1465" s="834" t="s">
        <v>401</v>
      </c>
      <c r="M1465" s="834" t="s">
        <v>401</v>
      </c>
      <c r="N1465" s="834" t="s">
        <v>401</v>
      </c>
      <c r="O1465" s="848" t="s">
        <v>32</v>
      </c>
      <c r="P1465" s="848" t="s">
        <v>1091</v>
      </c>
      <c r="Q1465" s="24">
        <v>46001</v>
      </c>
      <c r="R1465" s="241" t="s">
        <v>1138</v>
      </c>
      <c r="S1465" s="834" t="s">
        <v>32</v>
      </c>
      <c r="T1465" s="834">
        <v>10</v>
      </c>
      <c r="U1465" s="24" t="s">
        <v>1138</v>
      </c>
      <c r="V1465" s="24">
        <v>46001</v>
      </c>
      <c r="W1465" s="96" t="s">
        <v>30</v>
      </c>
      <c r="X1465" s="96" t="s">
        <v>30</v>
      </c>
      <c r="Y1465" s="96" t="s">
        <v>30</v>
      </c>
      <c r="Z1465" s="96" t="s">
        <v>30</v>
      </c>
      <c r="AA1465" s="91" t="s">
        <v>32</v>
      </c>
      <c r="AB1465" s="91" t="s">
        <v>32</v>
      </c>
      <c r="AC1465" s="96" t="s">
        <v>30</v>
      </c>
      <c r="AD1465" s="96" t="s">
        <v>30</v>
      </c>
      <c r="AE1465" s="96" t="s">
        <v>30</v>
      </c>
      <c r="AF1465" s="96" t="s">
        <v>30</v>
      </c>
      <c r="AG1465" s="96" t="s">
        <v>30</v>
      </c>
      <c r="AH1465" s="107" t="s">
        <v>30</v>
      </c>
      <c r="AI1465" s="110" t="s">
        <v>32</v>
      </c>
      <c r="AJ1465" s="96" t="s">
        <v>30</v>
      </c>
      <c r="AK1465" s="110" t="s">
        <v>32</v>
      </c>
      <c r="AL1465" s="96" t="s">
        <v>30</v>
      </c>
      <c r="AM1465" s="840" t="s">
        <v>2080</v>
      </c>
    </row>
    <row r="1466" spans="1:44">
      <c r="A1466" s="834" t="s">
        <v>24</v>
      </c>
      <c r="B1466" s="835">
        <v>1463</v>
      </c>
      <c r="C1466" s="838" t="s">
        <v>2081</v>
      </c>
      <c r="D1466" s="838" t="s">
        <v>403</v>
      </c>
      <c r="E1466" s="839">
        <v>45968</v>
      </c>
      <c r="F1466" s="838" t="s">
        <v>1608</v>
      </c>
      <c r="G1466" s="838">
        <v>14</v>
      </c>
      <c r="H1466" s="838" t="s">
        <v>67</v>
      </c>
      <c r="I1466" s="838" t="s">
        <v>47</v>
      </c>
      <c r="J1466" s="838"/>
      <c r="K1466" s="834" t="s">
        <v>2082</v>
      </c>
      <c r="L1466" s="834" t="s">
        <v>2062</v>
      </c>
      <c r="M1466" s="834" t="s">
        <v>2077</v>
      </c>
      <c r="N1466" s="834" t="s">
        <v>2083</v>
      </c>
      <c r="O1466" s="848" t="s">
        <v>32</v>
      </c>
      <c r="P1466" s="848" t="s">
        <v>1091</v>
      </c>
      <c r="Q1466" s="24">
        <v>46011</v>
      </c>
      <c r="R1466" s="79" t="s">
        <v>47</v>
      </c>
      <c r="S1466" s="834" t="s">
        <v>32</v>
      </c>
      <c r="T1466" s="834">
        <v>14</v>
      </c>
      <c r="U1466" s="24" t="s">
        <v>47</v>
      </c>
      <c r="V1466" s="24">
        <v>46011</v>
      </c>
      <c r="W1466" s="96" t="s">
        <v>30</v>
      </c>
      <c r="X1466" s="96" t="s">
        <v>30</v>
      </c>
      <c r="Y1466" s="96" t="s">
        <v>30</v>
      </c>
      <c r="Z1466" s="96" t="s">
        <v>30</v>
      </c>
      <c r="AA1466" s="96" t="s">
        <v>30</v>
      </c>
      <c r="AB1466" s="96" t="s">
        <v>30</v>
      </c>
      <c r="AC1466" s="96" t="s">
        <v>30</v>
      </c>
      <c r="AD1466" s="96" t="s">
        <v>30</v>
      </c>
      <c r="AE1466" s="96" t="s">
        <v>30</v>
      </c>
      <c r="AF1466" s="91" t="s">
        <v>32</v>
      </c>
      <c r="AG1466" s="91" t="s">
        <v>32</v>
      </c>
      <c r="AH1466" s="107" t="s">
        <v>30</v>
      </c>
      <c r="AI1466" s="107" t="s">
        <v>30</v>
      </c>
      <c r="AJ1466" s="107" t="s">
        <v>30</v>
      </c>
      <c r="AK1466" s="107" t="s">
        <v>30</v>
      </c>
      <c r="AL1466" s="96" t="s">
        <v>30</v>
      </c>
      <c r="AM1466" s="840" t="s">
        <v>2080</v>
      </c>
      <c r="AN1466" s="6"/>
    </row>
    <row r="1467" spans="1:44">
      <c r="A1467" s="834" t="s">
        <v>24</v>
      </c>
      <c r="B1467" s="835">
        <v>1464</v>
      </c>
      <c r="C1467" s="838" t="s">
        <v>2084</v>
      </c>
      <c r="D1467" s="838" t="s">
        <v>83</v>
      </c>
      <c r="E1467" s="839">
        <v>45969</v>
      </c>
      <c r="F1467" s="838" t="s">
        <v>106</v>
      </c>
      <c r="G1467" s="838">
        <v>17</v>
      </c>
      <c r="H1467" s="838" t="s">
        <v>127</v>
      </c>
      <c r="I1467" s="838" t="s">
        <v>178</v>
      </c>
      <c r="J1467" s="838"/>
      <c r="K1467" s="834" t="s">
        <v>2085</v>
      </c>
      <c r="L1467" s="834" t="s">
        <v>2062</v>
      </c>
      <c r="M1467" s="834" t="s">
        <v>2070</v>
      </c>
      <c r="N1467" s="834" t="s">
        <v>2050</v>
      </c>
      <c r="O1467" s="113" t="s">
        <v>30</v>
      </c>
      <c r="P1467" s="848" t="s">
        <v>1091</v>
      </c>
      <c r="Q1467" s="24">
        <v>46008</v>
      </c>
      <c r="R1467" s="79" t="s">
        <v>28</v>
      </c>
      <c r="S1467" s="834" t="s">
        <v>1140</v>
      </c>
      <c r="T1467" s="834">
        <v>17</v>
      </c>
      <c r="U1467" s="24" t="s">
        <v>28</v>
      </c>
      <c r="V1467" s="24">
        <v>46008</v>
      </c>
      <c r="W1467" s="96" t="s">
        <v>30</v>
      </c>
      <c r="X1467" s="96" t="s">
        <v>30</v>
      </c>
      <c r="Y1467" s="96" t="s">
        <v>30</v>
      </c>
      <c r="Z1467" s="96" t="s">
        <v>30</v>
      </c>
      <c r="AA1467" s="96" t="s">
        <v>30</v>
      </c>
      <c r="AB1467" s="96" t="s">
        <v>30</v>
      </c>
      <c r="AC1467" s="96" t="s">
        <v>30</v>
      </c>
      <c r="AD1467" s="96" t="s">
        <v>30</v>
      </c>
      <c r="AE1467" s="96" t="s">
        <v>30</v>
      </c>
      <c r="AF1467" s="96" t="s">
        <v>30</v>
      </c>
      <c r="AG1467" s="96" t="s">
        <v>30</v>
      </c>
      <c r="AH1467" s="107" t="s">
        <v>30</v>
      </c>
      <c r="AI1467" s="96" t="s">
        <v>30</v>
      </c>
      <c r="AJ1467" s="96" t="s">
        <v>30</v>
      </c>
      <c r="AK1467" s="96" t="s">
        <v>30</v>
      </c>
      <c r="AL1467" s="96" t="s">
        <v>30</v>
      </c>
      <c r="AM1467" s="840"/>
    </row>
    <row r="1468" spans="1:44">
      <c r="A1468" s="834" t="s">
        <v>24</v>
      </c>
      <c r="B1468" s="835">
        <v>1465</v>
      </c>
      <c r="C1468" s="838" t="s">
        <v>2086</v>
      </c>
      <c r="D1468" s="838" t="s">
        <v>34</v>
      </c>
      <c r="E1468" s="839">
        <v>45969</v>
      </c>
      <c r="F1468" s="838" t="s">
        <v>106</v>
      </c>
      <c r="G1468" s="838">
        <v>7</v>
      </c>
      <c r="H1468" s="838" t="s">
        <v>127</v>
      </c>
      <c r="I1468" s="838" t="s">
        <v>178</v>
      </c>
      <c r="J1468" s="840"/>
      <c r="K1468" s="834" t="s">
        <v>2087</v>
      </c>
      <c r="L1468" s="834" t="s">
        <v>2070</v>
      </c>
      <c r="M1468" s="834" t="s">
        <v>2070</v>
      </c>
      <c r="N1468" s="834" t="s">
        <v>2088</v>
      </c>
      <c r="O1468" s="113" t="s">
        <v>30</v>
      </c>
      <c r="P1468" s="848" t="s">
        <v>1091</v>
      </c>
      <c r="Q1468" s="24">
        <v>46010</v>
      </c>
      <c r="R1468" s="79" t="s">
        <v>28</v>
      </c>
      <c r="S1468" s="834" t="s">
        <v>32</v>
      </c>
      <c r="T1468" s="834">
        <v>7</v>
      </c>
      <c r="U1468" s="24" t="s">
        <v>28</v>
      </c>
      <c r="V1468" s="24">
        <v>46010</v>
      </c>
      <c r="W1468" s="96" t="s">
        <v>30</v>
      </c>
      <c r="X1468" s="96" t="s">
        <v>30</v>
      </c>
      <c r="Y1468" s="96" t="s">
        <v>30</v>
      </c>
      <c r="Z1468" s="91" t="s">
        <v>32</v>
      </c>
      <c r="AA1468" s="91" t="s">
        <v>32</v>
      </c>
      <c r="AB1468" s="91" t="s">
        <v>32</v>
      </c>
      <c r="AC1468" s="96" t="s">
        <v>30</v>
      </c>
      <c r="AD1468" s="96" t="s">
        <v>30</v>
      </c>
      <c r="AE1468" s="96" t="s">
        <v>30</v>
      </c>
      <c r="AF1468" s="96" t="s">
        <v>30</v>
      </c>
      <c r="AG1468" s="96" t="s">
        <v>30</v>
      </c>
      <c r="AH1468" s="107" t="s">
        <v>30</v>
      </c>
      <c r="AI1468" s="96" t="s">
        <v>30</v>
      </c>
      <c r="AJ1468" s="96" t="s">
        <v>30</v>
      </c>
      <c r="AK1468" s="96" t="s">
        <v>30</v>
      </c>
      <c r="AL1468" s="96" t="s">
        <v>30</v>
      </c>
      <c r="AM1468" s="840" t="s">
        <v>2089</v>
      </c>
    </row>
    <row r="1469" spans="1:44">
      <c r="A1469" s="834" t="s">
        <v>24</v>
      </c>
      <c r="B1469" s="835">
        <v>1466</v>
      </c>
      <c r="C1469" s="838" t="s">
        <v>2090</v>
      </c>
      <c r="D1469" s="838" t="s">
        <v>34</v>
      </c>
      <c r="E1469" s="839">
        <v>45969</v>
      </c>
      <c r="F1469" s="838" t="s">
        <v>106</v>
      </c>
      <c r="G1469" s="838">
        <v>9</v>
      </c>
      <c r="H1469" s="838" t="s">
        <v>127</v>
      </c>
      <c r="I1469" s="838" t="s">
        <v>178</v>
      </c>
      <c r="J1469" s="838"/>
      <c r="K1469" s="834" t="s">
        <v>2087</v>
      </c>
      <c r="L1469" s="834" t="s">
        <v>401</v>
      </c>
      <c r="M1469" s="834" t="s">
        <v>401</v>
      </c>
      <c r="N1469" s="834" t="s">
        <v>401</v>
      </c>
      <c r="O1469" s="848" t="s">
        <v>401</v>
      </c>
      <c r="P1469" s="848" t="s">
        <v>1091</v>
      </c>
      <c r="Q1469" s="24">
        <v>46021</v>
      </c>
      <c r="R1469" s="79" t="s">
        <v>28</v>
      </c>
      <c r="S1469" s="834" t="s">
        <v>1140</v>
      </c>
      <c r="T1469" s="834">
        <v>8</v>
      </c>
      <c r="U1469" s="24" t="s">
        <v>28</v>
      </c>
      <c r="V1469" s="24">
        <v>46021</v>
      </c>
      <c r="W1469" s="96" t="s">
        <v>30</v>
      </c>
      <c r="X1469" s="96" t="s">
        <v>30</v>
      </c>
      <c r="Y1469" s="96" t="s">
        <v>30</v>
      </c>
      <c r="Z1469" s="91" t="s">
        <v>32</v>
      </c>
      <c r="AA1469" s="91" t="s">
        <v>32</v>
      </c>
      <c r="AB1469" s="91" t="s">
        <v>32</v>
      </c>
      <c r="AC1469" s="96" t="s">
        <v>30</v>
      </c>
      <c r="AD1469" s="96" t="s">
        <v>30</v>
      </c>
      <c r="AE1469" s="96" t="s">
        <v>30</v>
      </c>
      <c r="AF1469" s="96" t="s">
        <v>30</v>
      </c>
      <c r="AG1469" s="96" t="s">
        <v>30</v>
      </c>
      <c r="AH1469" s="107" t="s">
        <v>30</v>
      </c>
      <c r="AI1469" s="96" t="s">
        <v>30</v>
      </c>
      <c r="AJ1469" s="96" t="s">
        <v>30</v>
      </c>
      <c r="AK1469" s="96" t="s">
        <v>30</v>
      </c>
      <c r="AL1469" s="91" t="s">
        <v>32</v>
      </c>
      <c r="AM1469" s="840" t="s">
        <v>2089</v>
      </c>
    </row>
    <row r="1470" spans="1:44">
      <c r="A1470" s="834" t="s">
        <v>24</v>
      </c>
      <c r="B1470" s="835">
        <v>1467</v>
      </c>
      <c r="C1470" s="838" t="s">
        <v>2091</v>
      </c>
      <c r="D1470" s="838" t="s">
        <v>34</v>
      </c>
      <c r="E1470" s="839">
        <v>45969</v>
      </c>
      <c r="F1470" s="838" t="s">
        <v>117</v>
      </c>
      <c r="G1470" s="838">
        <v>4</v>
      </c>
      <c r="H1470" s="838" t="s">
        <v>127</v>
      </c>
      <c r="I1470" s="838" t="s">
        <v>178</v>
      </c>
      <c r="J1470" s="838"/>
      <c r="K1470" s="834" t="s">
        <v>2092</v>
      </c>
      <c r="L1470" s="834" t="s">
        <v>2070</v>
      </c>
      <c r="M1470" s="834" t="s">
        <v>2093</v>
      </c>
      <c r="N1470" s="834" t="s">
        <v>2050</v>
      </c>
      <c r="O1470" s="848" t="s">
        <v>32</v>
      </c>
      <c r="P1470" s="848" t="s">
        <v>1091</v>
      </c>
      <c r="Q1470" s="24">
        <v>46010</v>
      </c>
      <c r="R1470" s="79" t="s">
        <v>28</v>
      </c>
      <c r="S1470" s="834" t="s">
        <v>32</v>
      </c>
      <c r="T1470" s="834">
        <v>4</v>
      </c>
      <c r="U1470" s="24" t="s">
        <v>28</v>
      </c>
      <c r="V1470" s="24">
        <v>46010</v>
      </c>
      <c r="W1470" s="96" t="s">
        <v>30</v>
      </c>
      <c r="X1470" s="96" t="s">
        <v>30</v>
      </c>
      <c r="Y1470" s="96" t="s">
        <v>30</v>
      </c>
      <c r="Z1470" s="91" t="s">
        <v>32</v>
      </c>
      <c r="AA1470" s="91" t="s">
        <v>32</v>
      </c>
      <c r="AB1470" s="91" t="s">
        <v>32</v>
      </c>
      <c r="AC1470" s="96" t="s">
        <v>30</v>
      </c>
      <c r="AD1470" s="96" t="s">
        <v>30</v>
      </c>
      <c r="AE1470" s="96" t="s">
        <v>30</v>
      </c>
      <c r="AF1470" s="96" t="s">
        <v>30</v>
      </c>
      <c r="AG1470" s="96" t="s">
        <v>30</v>
      </c>
      <c r="AH1470" s="96" t="s">
        <v>30</v>
      </c>
      <c r="AI1470" s="96" t="s">
        <v>30</v>
      </c>
      <c r="AJ1470" s="96" t="s">
        <v>30</v>
      </c>
      <c r="AK1470" s="107" t="s">
        <v>30</v>
      </c>
      <c r="AL1470" s="96" t="s">
        <v>30</v>
      </c>
      <c r="AM1470" s="840" t="s">
        <v>2089</v>
      </c>
    </row>
    <row r="1471" spans="1:44">
      <c r="A1471" s="834" t="s">
        <v>24</v>
      </c>
      <c r="B1471" s="835">
        <v>1468</v>
      </c>
      <c r="C1471" s="838" t="s">
        <v>2094</v>
      </c>
      <c r="D1471" s="838" t="s">
        <v>34</v>
      </c>
      <c r="E1471" s="839">
        <v>45969</v>
      </c>
      <c r="F1471" s="838" t="s">
        <v>401</v>
      </c>
      <c r="G1471" s="838">
        <v>7</v>
      </c>
      <c r="H1471" s="838" t="s">
        <v>127</v>
      </c>
      <c r="I1471" s="838" t="s">
        <v>178</v>
      </c>
      <c r="J1471" s="838"/>
      <c r="K1471" s="834" t="s">
        <v>2092</v>
      </c>
      <c r="L1471" s="834" t="s">
        <v>401</v>
      </c>
      <c r="M1471" s="115" t="s">
        <v>401</v>
      </c>
      <c r="N1471" s="834" t="s">
        <v>401</v>
      </c>
      <c r="O1471" s="848" t="s">
        <v>32</v>
      </c>
      <c r="P1471" s="848" t="s">
        <v>1091</v>
      </c>
      <c r="Q1471" s="24">
        <v>46017</v>
      </c>
      <c r="R1471" s="79" t="s">
        <v>28</v>
      </c>
      <c r="S1471" s="834" t="s">
        <v>32</v>
      </c>
      <c r="T1471" s="834">
        <v>7</v>
      </c>
      <c r="U1471" s="24" t="s">
        <v>28</v>
      </c>
      <c r="V1471" s="24">
        <v>46017</v>
      </c>
      <c r="W1471" s="96" t="s">
        <v>30</v>
      </c>
      <c r="X1471" s="96" t="s">
        <v>30</v>
      </c>
      <c r="Y1471" s="96" t="s">
        <v>30</v>
      </c>
      <c r="Z1471" s="91" t="s">
        <v>32</v>
      </c>
      <c r="AA1471" s="91" t="s">
        <v>32</v>
      </c>
      <c r="AB1471" s="91" t="s">
        <v>32</v>
      </c>
      <c r="AC1471" s="96" t="s">
        <v>30</v>
      </c>
      <c r="AD1471" s="96" t="s">
        <v>30</v>
      </c>
      <c r="AE1471" s="96" t="s">
        <v>30</v>
      </c>
      <c r="AF1471" s="96" t="s">
        <v>30</v>
      </c>
      <c r="AG1471" s="96" t="s">
        <v>30</v>
      </c>
      <c r="AH1471" s="96" t="s">
        <v>30</v>
      </c>
      <c r="AI1471" s="96" t="s">
        <v>30</v>
      </c>
      <c r="AJ1471" s="96" t="s">
        <v>30</v>
      </c>
      <c r="AK1471" s="107" t="s">
        <v>30</v>
      </c>
      <c r="AL1471" s="96" t="s">
        <v>30</v>
      </c>
      <c r="AM1471" s="840" t="s">
        <v>2089</v>
      </c>
      <c r="AO1471" s="776"/>
      <c r="AP1471" s="776"/>
      <c r="AQ1471" s="776"/>
      <c r="AR1471" s="776"/>
    </row>
    <row r="1472" spans="1:44">
      <c r="A1472" s="834" t="s">
        <v>24</v>
      </c>
      <c r="B1472" s="835">
        <v>1469</v>
      </c>
      <c r="C1472" s="838" t="s">
        <v>2095</v>
      </c>
      <c r="D1472" s="838" t="s">
        <v>57</v>
      </c>
      <c r="E1472" s="839">
        <v>45969</v>
      </c>
      <c r="F1472" s="838" t="s">
        <v>644</v>
      </c>
      <c r="G1472" s="838">
        <v>19</v>
      </c>
      <c r="H1472" s="838" t="s">
        <v>127</v>
      </c>
      <c r="I1472" s="838" t="s">
        <v>178</v>
      </c>
      <c r="J1472" s="838"/>
      <c r="K1472" s="834" t="s">
        <v>2096</v>
      </c>
      <c r="L1472" s="834" t="s">
        <v>2049</v>
      </c>
      <c r="M1472" s="834" t="s">
        <v>2049</v>
      </c>
      <c r="N1472" s="834" t="s">
        <v>2050</v>
      </c>
      <c r="O1472" s="113" t="s">
        <v>30</v>
      </c>
      <c r="P1472" s="848" t="s">
        <v>1091</v>
      </c>
      <c r="Q1472" s="24">
        <v>46001</v>
      </c>
      <c r="R1472" s="79" t="s">
        <v>28</v>
      </c>
      <c r="S1472" s="834" t="s">
        <v>32</v>
      </c>
      <c r="T1472" s="834">
        <v>19</v>
      </c>
      <c r="U1472" s="24" t="s">
        <v>28</v>
      </c>
      <c r="V1472" s="24">
        <v>46001</v>
      </c>
      <c r="W1472" s="103" t="s">
        <v>32</v>
      </c>
      <c r="X1472" s="91" t="s">
        <v>32</v>
      </c>
      <c r="Y1472" s="91" t="s">
        <v>32</v>
      </c>
      <c r="Z1472" s="96" t="s">
        <v>30</v>
      </c>
      <c r="AA1472" s="96" t="s">
        <v>30</v>
      </c>
      <c r="AB1472" s="96" t="s">
        <v>30</v>
      </c>
      <c r="AC1472" s="96" t="s">
        <v>30</v>
      </c>
      <c r="AD1472" s="96" t="s">
        <v>30</v>
      </c>
      <c r="AE1472" s="96" t="s">
        <v>30</v>
      </c>
      <c r="AF1472" s="80" t="s">
        <v>30</v>
      </c>
      <c r="AG1472" s="96" t="s">
        <v>30</v>
      </c>
      <c r="AH1472" s="110" t="s">
        <v>32</v>
      </c>
      <c r="AI1472" s="96" t="s">
        <v>30</v>
      </c>
      <c r="AJ1472" s="96" t="s">
        <v>30</v>
      </c>
      <c r="AK1472" s="96" t="s">
        <v>30</v>
      </c>
      <c r="AL1472" s="96" t="s">
        <v>30</v>
      </c>
      <c r="AM1472" s="840"/>
      <c r="AO1472" s="776"/>
      <c r="AP1472" s="776"/>
      <c r="AQ1472" s="776"/>
      <c r="AR1472" s="776"/>
    </row>
    <row r="1473" spans="1:47">
      <c r="A1473" s="834" t="s">
        <v>24</v>
      </c>
      <c r="B1473" s="835">
        <v>1470</v>
      </c>
      <c r="C1473" s="838" t="s">
        <v>2097</v>
      </c>
      <c r="D1473" s="838" t="s">
        <v>1131</v>
      </c>
      <c r="E1473" s="839">
        <v>45969</v>
      </c>
      <c r="F1473" s="838" t="s">
        <v>35</v>
      </c>
      <c r="G1473" s="838">
        <v>15</v>
      </c>
      <c r="H1473" s="838" t="s">
        <v>1721</v>
      </c>
      <c r="I1473" s="838" t="s">
        <v>1638</v>
      </c>
      <c r="J1473" s="838"/>
      <c r="K1473" s="834" t="s">
        <v>2098</v>
      </c>
      <c r="L1473" s="834" t="s">
        <v>2077</v>
      </c>
      <c r="M1473" s="834" t="s">
        <v>2070</v>
      </c>
      <c r="N1473" s="834" t="s">
        <v>2050</v>
      </c>
      <c r="O1473" s="113" t="s">
        <v>30</v>
      </c>
      <c r="P1473" s="848" t="s">
        <v>1091</v>
      </c>
      <c r="Q1473" s="24">
        <v>45995</v>
      </c>
      <c r="R1473" s="79" t="s">
        <v>1638</v>
      </c>
      <c r="S1473" s="834" t="s">
        <v>32</v>
      </c>
      <c r="T1473" s="834">
        <v>16</v>
      </c>
      <c r="U1473" s="24" t="s">
        <v>1638</v>
      </c>
      <c r="V1473" s="24">
        <v>45995</v>
      </c>
      <c r="W1473" s="96" t="s">
        <v>30</v>
      </c>
      <c r="X1473" s="96" t="s">
        <v>30</v>
      </c>
      <c r="Y1473" s="96" t="s">
        <v>30</v>
      </c>
      <c r="Z1473" s="96" t="s">
        <v>30</v>
      </c>
      <c r="AA1473" s="96" t="s">
        <v>30</v>
      </c>
      <c r="AB1473" s="96" t="s">
        <v>30</v>
      </c>
      <c r="AC1473" s="96" t="s">
        <v>30</v>
      </c>
      <c r="AD1473" s="96" t="s">
        <v>30</v>
      </c>
      <c r="AE1473" s="96" t="s">
        <v>30</v>
      </c>
      <c r="AF1473" s="91" t="s">
        <v>32</v>
      </c>
      <c r="AG1473" s="96" t="s">
        <v>30</v>
      </c>
      <c r="AH1473" s="107" t="s">
        <v>30</v>
      </c>
      <c r="AI1473" s="96" t="s">
        <v>30</v>
      </c>
      <c r="AJ1473" s="96" t="s">
        <v>30</v>
      </c>
      <c r="AK1473" s="96" t="s">
        <v>30</v>
      </c>
      <c r="AL1473" s="96" t="s">
        <v>30</v>
      </c>
      <c r="AM1473" s="840"/>
      <c r="AO1473" s="776"/>
      <c r="AP1473" s="776"/>
      <c r="AQ1473" s="776"/>
      <c r="AR1473" s="776"/>
    </row>
    <row r="1474" spans="1:47">
      <c r="A1474" s="834" t="s">
        <v>24</v>
      </c>
      <c r="B1474" s="835">
        <v>1471</v>
      </c>
      <c r="C1474" s="838" t="s">
        <v>2099</v>
      </c>
      <c r="D1474" s="838" t="s">
        <v>64</v>
      </c>
      <c r="E1474" s="839">
        <v>45969</v>
      </c>
      <c r="F1474" s="838" t="s">
        <v>1921</v>
      </c>
      <c r="G1474" s="838">
        <v>15</v>
      </c>
      <c r="H1474" s="838" t="s">
        <v>1721</v>
      </c>
      <c r="I1474" s="838" t="s">
        <v>1638</v>
      </c>
      <c r="J1474" s="838"/>
      <c r="K1474" s="834" t="s">
        <v>2100</v>
      </c>
      <c r="L1474" s="834" t="s">
        <v>2062</v>
      </c>
      <c r="M1474" s="834" t="s">
        <v>2070</v>
      </c>
      <c r="N1474" s="834" t="s">
        <v>2050</v>
      </c>
      <c r="O1474" s="113" t="s">
        <v>30</v>
      </c>
      <c r="P1474" s="848" t="s">
        <v>1091</v>
      </c>
      <c r="Q1474" s="24">
        <v>46015</v>
      </c>
      <c r="R1474" s="79" t="s">
        <v>1638</v>
      </c>
      <c r="S1474" s="22" t="s">
        <v>1140</v>
      </c>
      <c r="T1474" s="834">
        <v>15</v>
      </c>
      <c r="U1474" s="24" t="s">
        <v>1638</v>
      </c>
      <c r="V1474" s="24">
        <v>46015</v>
      </c>
      <c r="W1474" s="96" t="s">
        <v>30</v>
      </c>
      <c r="X1474" s="96" t="s">
        <v>30</v>
      </c>
      <c r="Y1474" s="96" t="s">
        <v>30</v>
      </c>
      <c r="Z1474" s="96" t="s">
        <v>30</v>
      </c>
      <c r="AA1474" s="96" t="s">
        <v>30</v>
      </c>
      <c r="AB1474" s="96" t="s">
        <v>30</v>
      </c>
      <c r="AC1474" s="96" t="s">
        <v>30</v>
      </c>
      <c r="AD1474" s="96" t="s">
        <v>30</v>
      </c>
      <c r="AE1474" s="96" t="s">
        <v>30</v>
      </c>
      <c r="AF1474" s="96" t="s">
        <v>30</v>
      </c>
      <c r="AG1474" s="96" t="s">
        <v>30</v>
      </c>
      <c r="AH1474" s="96" t="s">
        <v>30</v>
      </c>
      <c r="AI1474" s="96" t="s">
        <v>30</v>
      </c>
      <c r="AJ1474" s="96" t="s">
        <v>30</v>
      </c>
      <c r="AK1474" s="96" t="s">
        <v>30</v>
      </c>
      <c r="AL1474" s="96" t="s">
        <v>30</v>
      </c>
      <c r="AM1474" s="840" t="s">
        <v>2080</v>
      </c>
    </row>
    <row r="1475" spans="1:47">
      <c r="A1475" s="834" t="s">
        <v>24</v>
      </c>
      <c r="B1475" s="835">
        <v>1472</v>
      </c>
      <c r="C1475" s="838" t="s">
        <v>2101</v>
      </c>
      <c r="D1475" s="838" t="s">
        <v>34</v>
      </c>
      <c r="E1475" s="839">
        <v>45969</v>
      </c>
      <c r="F1475" s="838" t="s">
        <v>364</v>
      </c>
      <c r="G1475" s="838">
        <v>15</v>
      </c>
      <c r="H1475" s="838" t="s">
        <v>1721</v>
      </c>
      <c r="I1475" s="838" t="s">
        <v>1638</v>
      </c>
      <c r="J1475" s="838"/>
      <c r="K1475" s="840" t="s">
        <v>2102</v>
      </c>
      <c r="L1475" s="834" t="s">
        <v>2062</v>
      </c>
      <c r="M1475" s="834" t="s">
        <v>2070</v>
      </c>
      <c r="N1475" s="834" t="s">
        <v>2050</v>
      </c>
      <c r="O1475" s="113" t="s">
        <v>30</v>
      </c>
      <c r="P1475" s="848" t="s">
        <v>1091</v>
      </c>
      <c r="Q1475" s="24">
        <v>46006</v>
      </c>
      <c r="R1475" s="79" t="s">
        <v>1638</v>
      </c>
      <c r="S1475" s="834" t="s">
        <v>32</v>
      </c>
      <c r="T1475" s="834">
        <v>15</v>
      </c>
      <c r="U1475" s="24" t="s">
        <v>1638</v>
      </c>
      <c r="V1475" s="24">
        <v>46006</v>
      </c>
      <c r="W1475" s="96" t="s">
        <v>30</v>
      </c>
      <c r="X1475" s="96" t="s">
        <v>30</v>
      </c>
      <c r="Y1475" s="96" t="s">
        <v>30</v>
      </c>
      <c r="Z1475" s="96" t="s">
        <v>30</v>
      </c>
      <c r="AA1475" s="96" t="s">
        <v>30</v>
      </c>
      <c r="AB1475" s="96" t="s">
        <v>30</v>
      </c>
      <c r="AC1475" s="96" t="s">
        <v>30</v>
      </c>
      <c r="AD1475" s="96" t="s">
        <v>30</v>
      </c>
      <c r="AE1475" s="96" t="s">
        <v>30</v>
      </c>
      <c r="AF1475" s="96" t="s">
        <v>30</v>
      </c>
      <c r="AG1475" s="96" t="s">
        <v>30</v>
      </c>
      <c r="AH1475" s="96" t="s">
        <v>30</v>
      </c>
      <c r="AI1475" s="96" t="s">
        <v>30</v>
      </c>
      <c r="AJ1475" s="96" t="s">
        <v>30</v>
      </c>
      <c r="AK1475" s="107" t="s">
        <v>30</v>
      </c>
      <c r="AL1475" s="96" t="s">
        <v>30</v>
      </c>
      <c r="AM1475" s="840"/>
    </row>
    <row r="1476" spans="1:47">
      <c r="A1476" s="834" t="s">
        <v>24</v>
      </c>
      <c r="B1476" s="835">
        <v>1473</v>
      </c>
      <c r="C1476" s="838" t="s">
        <v>2103</v>
      </c>
      <c r="D1476" s="838" t="s">
        <v>34</v>
      </c>
      <c r="E1476" s="839">
        <v>45969</v>
      </c>
      <c r="F1476" s="838" t="s">
        <v>165</v>
      </c>
      <c r="G1476" s="838">
        <v>22</v>
      </c>
      <c r="H1476" s="838" t="s">
        <v>1077</v>
      </c>
      <c r="I1476" s="838" t="s">
        <v>1138</v>
      </c>
      <c r="J1476" s="98" t="s">
        <v>2104</v>
      </c>
      <c r="K1476" s="834" t="s">
        <v>2052</v>
      </c>
      <c r="L1476" s="834" t="s">
        <v>2070</v>
      </c>
      <c r="M1476" s="834" t="s">
        <v>2093</v>
      </c>
      <c r="N1476" s="834" t="s">
        <v>2105</v>
      </c>
      <c r="O1476" s="113" t="s">
        <v>30</v>
      </c>
      <c r="P1476" s="848"/>
      <c r="Q1476" s="24"/>
      <c r="R1476" s="241" t="s">
        <v>1138</v>
      </c>
      <c r="S1476" s="834"/>
      <c r="T1476" s="834"/>
      <c r="U1476" s="24"/>
      <c r="V1476" s="24"/>
      <c r="W1476" s="90" t="s">
        <v>30</v>
      </c>
      <c r="X1476" s="96" t="s">
        <v>30</v>
      </c>
      <c r="Y1476" s="96" t="s">
        <v>30</v>
      </c>
      <c r="Z1476" s="96" t="s">
        <v>30</v>
      </c>
      <c r="AA1476" s="96" t="s">
        <v>30</v>
      </c>
      <c r="AB1476" s="96" t="s">
        <v>30</v>
      </c>
      <c r="AC1476" s="96" t="s">
        <v>30</v>
      </c>
      <c r="AD1476" s="96" t="s">
        <v>30</v>
      </c>
      <c r="AE1476" s="96" t="s">
        <v>30</v>
      </c>
      <c r="AF1476" s="96" t="s">
        <v>30</v>
      </c>
      <c r="AG1476" s="96" t="s">
        <v>30</v>
      </c>
      <c r="AH1476" s="96" t="s">
        <v>30</v>
      </c>
      <c r="AI1476" s="96" t="s">
        <v>30</v>
      </c>
      <c r="AJ1476" s="96" t="s">
        <v>30</v>
      </c>
      <c r="AK1476" s="107" t="s">
        <v>30</v>
      </c>
      <c r="AL1476" s="91" t="s">
        <v>32</v>
      </c>
      <c r="AM1476" s="840"/>
    </row>
    <row r="1477" spans="1:47">
      <c r="A1477" s="834" t="s">
        <v>24</v>
      </c>
      <c r="B1477" s="835">
        <v>1474</v>
      </c>
      <c r="C1477" s="838" t="s">
        <v>2106</v>
      </c>
      <c r="D1477" s="838" t="s">
        <v>26</v>
      </c>
      <c r="E1477" s="839">
        <v>45969</v>
      </c>
      <c r="F1477" s="838" t="s">
        <v>2107</v>
      </c>
      <c r="G1477" s="838">
        <v>17</v>
      </c>
      <c r="H1477" s="838" t="s">
        <v>1077</v>
      </c>
      <c r="I1477" s="838" t="s">
        <v>1138</v>
      </c>
      <c r="J1477" s="838"/>
      <c r="K1477" s="834" t="s">
        <v>2108</v>
      </c>
      <c r="L1477" s="834" t="s">
        <v>2062</v>
      </c>
      <c r="M1477" s="834" t="s">
        <v>2070</v>
      </c>
      <c r="N1477" s="834" t="s">
        <v>2050</v>
      </c>
      <c r="O1477" s="113" t="s">
        <v>30</v>
      </c>
      <c r="P1477" s="848" t="s">
        <v>1091</v>
      </c>
      <c r="Q1477" s="24">
        <v>46007</v>
      </c>
      <c r="R1477" s="241" t="s">
        <v>1138</v>
      </c>
      <c r="S1477" s="834" t="s">
        <v>1140</v>
      </c>
      <c r="T1477" s="834">
        <v>17</v>
      </c>
      <c r="U1477" s="24" t="s">
        <v>1138</v>
      </c>
      <c r="V1477" s="24">
        <v>46007</v>
      </c>
      <c r="W1477" s="90" t="s">
        <v>30</v>
      </c>
      <c r="X1477" s="90" t="s">
        <v>30</v>
      </c>
      <c r="Y1477" s="90" t="s">
        <v>30</v>
      </c>
      <c r="Z1477" s="96" t="s">
        <v>30</v>
      </c>
      <c r="AA1477" s="96" t="s">
        <v>30</v>
      </c>
      <c r="AB1477" s="96" t="s">
        <v>30</v>
      </c>
      <c r="AC1477" s="96" t="s">
        <v>30</v>
      </c>
      <c r="AD1477" s="96" t="s">
        <v>30</v>
      </c>
      <c r="AE1477" s="96" t="s">
        <v>30</v>
      </c>
      <c r="AF1477" s="96" t="s">
        <v>30</v>
      </c>
      <c r="AG1477" s="96" t="s">
        <v>30</v>
      </c>
      <c r="AH1477" s="107" t="s">
        <v>30</v>
      </c>
      <c r="AI1477" s="107" t="s">
        <v>30</v>
      </c>
      <c r="AJ1477" s="107" t="s">
        <v>30</v>
      </c>
      <c r="AK1477" s="107" t="s">
        <v>30</v>
      </c>
      <c r="AL1477" s="80" t="s">
        <v>30</v>
      </c>
      <c r="AM1477" s="840"/>
    </row>
    <row r="1478" spans="1:47">
      <c r="A1478" s="834" t="s">
        <v>24</v>
      </c>
      <c r="B1478" s="835">
        <v>1475</v>
      </c>
      <c r="C1478" s="838" t="s">
        <v>2109</v>
      </c>
      <c r="D1478" s="838" t="s">
        <v>102</v>
      </c>
      <c r="E1478" s="839">
        <v>45969</v>
      </c>
      <c r="F1478" s="838" t="s">
        <v>1054</v>
      </c>
      <c r="G1478" s="838">
        <v>19</v>
      </c>
      <c r="H1478" s="838" t="s">
        <v>67</v>
      </c>
      <c r="I1478" s="838" t="s">
        <v>47</v>
      </c>
      <c r="J1478" s="98" t="s">
        <v>2110</v>
      </c>
      <c r="K1478" s="834" t="s">
        <v>2066</v>
      </c>
      <c r="L1478" s="834" t="s">
        <v>2077</v>
      </c>
      <c r="M1478" s="834" t="s">
        <v>2070</v>
      </c>
      <c r="N1478" s="834" t="s">
        <v>2111</v>
      </c>
      <c r="O1478" s="113" t="s">
        <v>30</v>
      </c>
      <c r="P1478" s="848" t="s">
        <v>1091</v>
      </c>
      <c r="Q1478" s="24">
        <v>46022</v>
      </c>
      <c r="R1478" s="79" t="s">
        <v>47</v>
      </c>
      <c r="S1478" s="834" t="s">
        <v>32</v>
      </c>
      <c r="T1478" s="834">
        <v>17</v>
      </c>
      <c r="U1478" s="24" t="s">
        <v>47</v>
      </c>
      <c r="V1478" s="24">
        <v>46022</v>
      </c>
      <c r="W1478" s="96" t="s">
        <v>30</v>
      </c>
      <c r="X1478" s="96" t="s">
        <v>30</v>
      </c>
      <c r="Y1478" s="96" t="s">
        <v>30</v>
      </c>
      <c r="Z1478" s="96" t="s">
        <v>30</v>
      </c>
      <c r="AA1478" s="91" t="s">
        <v>32</v>
      </c>
      <c r="AB1478" s="91" t="s">
        <v>32</v>
      </c>
      <c r="AC1478" s="96" t="s">
        <v>30</v>
      </c>
      <c r="AD1478" s="96" t="s">
        <v>30</v>
      </c>
      <c r="AE1478" s="96" t="s">
        <v>30</v>
      </c>
      <c r="AF1478" s="96" t="s">
        <v>30</v>
      </c>
      <c r="AG1478" s="96" t="s">
        <v>30</v>
      </c>
      <c r="AH1478" s="107" t="s">
        <v>30</v>
      </c>
      <c r="AI1478" s="110" t="s">
        <v>32</v>
      </c>
      <c r="AJ1478" s="96" t="s">
        <v>30</v>
      </c>
      <c r="AK1478" s="96" t="s">
        <v>30</v>
      </c>
      <c r="AL1478" s="91" t="s">
        <v>32</v>
      </c>
      <c r="AM1478" s="840" t="s">
        <v>2068</v>
      </c>
    </row>
    <row r="1479" spans="1:47">
      <c r="A1479" s="834" t="s">
        <v>24</v>
      </c>
      <c r="B1479" s="835">
        <v>1476</v>
      </c>
      <c r="C1479" s="838" t="s">
        <v>2112</v>
      </c>
      <c r="D1479" s="838" t="s">
        <v>50</v>
      </c>
      <c r="E1479" s="839">
        <v>45969</v>
      </c>
      <c r="F1479" s="838" t="s">
        <v>1972</v>
      </c>
      <c r="G1479" s="838">
        <v>13</v>
      </c>
      <c r="H1479" s="838" t="s">
        <v>67</v>
      </c>
      <c r="I1479" s="838" t="s">
        <v>47</v>
      </c>
      <c r="J1479" s="838"/>
      <c r="K1479" s="834" t="s">
        <v>2113</v>
      </c>
      <c r="L1479" s="834" t="s">
        <v>2077</v>
      </c>
      <c r="M1479" s="834" t="s">
        <v>2070</v>
      </c>
      <c r="N1479" s="834" t="s">
        <v>2050</v>
      </c>
      <c r="O1479" s="848" t="s">
        <v>32</v>
      </c>
      <c r="P1479" s="848" t="s">
        <v>1091</v>
      </c>
      <c r="Q1479" s="24">
        <v>46011</v>
      </c>
      <c r="R1479" s="79" t="s">
        <v>47</v>
      </c>
      <c r="S1479" s="834" t="s">
        <v>1140</v>
      </c>
      <c r="T1479" s="834">
        <v>12</v>
      </c>
      <c r="U1479" s="24" t="s">
        <v>47</v>
      </c>
      <c r="V1479" s="24">
        <v>46011</v>
      </c>
      <c r="W1479" s="90" t="s">
        <v>30</v>
      </c>
      <c r="X1479" s="80" t="s">
        <v>30</v>
      </c>
      <c r="Y1479" s="80" t="s">
        <v>30</v>
      </c>
      <c r="Z1479" s="96" t="s">
        <v>30</v>
      </c>
      <c r="AA1479" s="96" t="s">
        <v>30</v>
      </c>
      <c r="AB1479" s="96" t="s">
        <v>30</v>
      </c>
      <c r="AC1479" s="96" t="s">
        <v>30</v>
      </c>
      <c r="AD1479" s="96" t="s">
        <v>30</v>
      </c>
      <c r="AE1479" s="96" t="s">
        <v>30</v>
      </c>
      <c r="AF1479" s="96" t="s">
        <v>30</v>
      </c>
      <c r="AG1479" s="96" t="s">
        <v>30</v>
      </c>
      <c r="AH1479" s="107" t="s">
        <v>30</v>
      </c>
      <c r="AI1479" s="96" t="s">
        <v>30</v>
      </c>
      <c r="AJ1479" s="96" t="s">
        <v>30</v>
      </c>
      <c r="AK1479" s="96" t="s">
        <v>30</v>
      </c>
      <c r="AL1479" s="91" t="s">
        <v>32</v>
      </c>
      <c r="AM1479" s="840"/>
    </row>
    <row r="1480" spans="1:47">
      <c r="A1480" s="834" t="s">
        <v>24</v>
      </c>
      <c r="B1480" s="835">
        <v>1477</v>
      </c>
      <c r="C1480" s="838" t="s">
        <v>2114</v>
      </c>
      <c r="D1480" s="838" t="s">
        <v>34</v>
      </c>
      <c r="E1480" s="839">
        <v>45969</v>
      </c>
      <c r="F1480" s="838" t="s">
        <v>1608</v>
      </c>
      <c r="G1480" s="838">
        <v>19</v>
      </c>
      <c r="H1480" s="838" t="s">
        <v>67</v>
      </c>
      <c r="I1480" s="838" t="s">
        <v>47</v>
      </c>
      <c r="J1480" s="838"/>
      <c r="K1480" s="834" t="s">
        <v>2115</v>
      </c>
      <c r="L1480" s="834" t="s">
        <v>2077</v>
      </c>
      <c r="M1480" s="834" t="s">
        <v>2070</v>
      </c>
      <c r="N1480" s="834" t="s">
        <v>2116</v>
      </c>
      <c r="O1480" s="113" t="s">
        <v>30</v>
      </c>
      <c r="P1480" s="848" t="s">
        <v>1091</v>
      </c>
      <c r="Q1480" s="24">
        <v>46022</v>
      </c>
      <c r="R1480" s="79" t="s">
        <v>47</v>
      </c>
      <c r="S1480" s="834" t="s">
        <v>32</v>
      </c>
      <c r="T1480" s="834">
        <v>6</v>
      </c>
      <c r="U1480" s="24" t="s">
        <v>47</v>
      </c>
      <c r="V1480" s="24">
        <v>46022</v>
      </c>
      <c r="W1480" s="96" t="s">
        <v>30</v>
      </c>
      <c r="X1480" s="96" t="s">
        <v>30</v>
      </c>
      <c r="Y1480" s="96" t="s">
        <v>30</v>
      </c>
      <c r="Z1480" s="91" t="s">
        <v>32</v>
      </c>
      <c r="AA1480" s="91" t="s">
        <v>32</v>
      </c>
      <c r="AB1480" s="91" t="s">
        <v>32</v>
      </c>
      <c r="AC1480" s="96" t="s">
        <v>30</v>
      </c>
      <c r="AD1480" s="96" t="s">
        <v>30</v>
      </c>
      <c r="AE1480" s="96" t="s">
        <v>30</v>
      </c>
      <c r="AF1480" s="96" t="s">
        <v>30</v>
      </c>
      <c r="AG1480" s="96" t="s">
        <v>30</v>
      </c>
      <c r="AH1480" s="107" t="s">
        <v>30</v>
      </c>
      <c r="AI1480" s="107" t="s">
        <v>30</v>
      </c>
      <c r="AJ1480" s="107" t="s">
        <v>30</v>
      </c>
      <c r="AK1480" s="107" t="s">
        <v>30</v>
      </c>
      <c r="AL1480" s="80" t="s">
        <v>30</v>
      </c>
      <c r="AM1480" s="840" t="s">
        <v>2089</v>
      </c>
    </row>
    <row r="1481" spans="1:47">
      <c r="A1481" s="834" t="s">
        <v>24</v>
      </c>
      <c r="B1481" s="835">
        <v>1478</v>
      </c>
      <c r="C1481" s="838" t="s">
        <v>2117</v>
      </c>
      <c r="D1481" s="838" t="s">
        <v>34</v>
      </c>
      <c r="E1481" s="839">
        <v>45969</v>
      </c>
      <c r="F1481" s="838" t="s">
        <v>401</v>
      </c>
      <c r="G1481" s="838" t="s">
        <v>401</v>
      </c>
      <c r="H1481" s="838" t="s">
        <v>67</v>
      </c>
      <c r="I1481" s="838" t="s">
        <v>47</v>
      </c>
      <c r="J1481" s="838"/>
      <c r="K1481" s="834" t="s">
        <v>2115</v>
      </c>
      <c r="L1481" s="834" t="s">
        <v>401</v>
      </c>
      <c r="M1481" s="115" t="s">
        <v>401</v>
      </c>
      <c r="N1481" s="834"/>
      <c r="O1481" s="848" t="s">
        <v>401</v>
      </c>
      <c r="P1481" s="848" t="s">
        <v>1091</v>
      </c>
      <c r="Q1481" s="24">
        <v>46012</v>
      </c>
      <c r="R1481" s="79" t="s">
        <v>47</v>
      </c>
      <c r="S1481" s="834" t="s">
        <v>32</v>
      </c>
      <c r="T1481" s="834">
        <v>12</v>
      </c>
      <c r="U1481" s="24" t="s">
        <v>47</v>
      </c>
      <c r="V1481" s="24">
        <v>46012</v>
      </c>
      <c r="W1481" s="96" t="s">
        <v>30</v>
      </c>
      <c r="X1481" s="96" t="s">
        <v>30</v>
      </c>
      <c r="Y1481" s="96" t="s">
        <v>30</v>
      </c>
      <c r="Z1481" s="91" t="s">
        <v>32</v>
      </c>
      <c r="AA1481" s="91" t="s">
        <v>32</v>
      </c>
      <c r="AB1481" s="91" t="s">
        <v>32</v>
      </c>
      <c r="AC1481" s="96" t="s">
        <v>30</v>
      </c>
      <c r="AD1481" s="96" t="s">
        <v>30</v>
      </c>
      <c r="AE1481" s="96" t="s">
        <v>30</v>
      </c>
      <c r="AF1481" s="96" t="s">
        <v>30</v>
      </c>
      <c r="AG1481" s="96" t="s">
        <v>30</v>
      </c>
      <c r="AH1481" s="107" t="s">
        <v>30</v>
      </c>
      <c r="AI1481" s="107" t="s">
        <v>30</v>
      </c>
      <c r="AJ1481" s="107" t="s">
        <v>30</v>
      </c>
      <c r="AK1481" s="107" t="s">
        <v>30</v>
      </c>
      <c r="AL1481" s="80" t="s">
        <v>30</v>
      </c>
      <c r="AM1481" s="840" t="s">
        <v>2089</v>
      </c>
    </row>
    <row r="1482" spans="1:47">
      <c r="A1482" s="834" t="s">
        <v>24</v>
      </c>
      <c r="B1482" s="835">
        <v>1479</v>
      </c>
      <c r="C1482" s="838" t="s">
        <v>2118</v>
      </c>
      <c r="D1482" s="838" t="s">
        <v>34</v>
      </c>
      <c r="E1482" s="839">
        <v>45969</v>
      </c>
      <c r="F1482" s="838" t="s">
        <v>688</v>
      </c>
      <c r="G1482" s="838">
        <v>13</v>
      </c>
      <c r="H1482" s="838" t="s">
        <v>67</v>
      </c>
      <c r="I1482" s="838" t="s">
        <v>47</v>
      </c>
      <c r="J1482" s="838"/>
      <c r="K1482" s="834" t="s">
        <v>2119</v>
      </c>
      <c r="L1482" s="834" t="s">
        <v>2070</v>
      </c>
      <c r="M1482" s="834" t="s">
        <v>2070</v>
      </c>
      <c r="N1482" s="834" t="s">
        <v>2120</v>
      </c>
      <c r="O1482" s="848" t="s">
        <v>32</v>
      </c>
      <c r="P1482" s="848" t="s">
        <v>1091</v>
      </c>
      <c r="Q1482" s="24">
        <v>46022</v>
      </c>
      <c r="R1482" s="79" t="s">
        <v>47</v>
      </c>
      <c r="S1482" s="834" t="s">
        <v>32</v>
      </c>
      <c r="T1482" s="834">
        <v>11</v>
      </c>
      <c r="U1482" s="24" t="s">
        <v>47</v>
      </c>
      <c r="V1482" s="24">
        <v>46022</v>
      </c>
      <c r="W1482" s="96" t="s">
        <v>30</v>
      </c>
      <c r="X1482" s="96" t="s">
        <v>30</v>
      </c>
      <c r="Y1482" s="96" t="s">
        <v>30</v>
      </c>
      <c r="Z1482" s="91" t="s">
        <v>32</v>
      </c>
      <c r="AA1482" s="91" t="s">
        <v>32</v>
      </c>
      <c r="AB1482" s="91" t="s">
        <v>32</v>
      </c>
      <c r="AC1482" s="96" t="s">
        <v>30</v>
      </c>
      <c r="AD1482" s="96" t="s">
        <v>30</v>
      </c>
      <c r="AE1482" s="96" t="s">
        <v>30</v>
      </c>
      <c r="AF1482" s="96" t="s">
        <v>30</v>
      </c>
      <c r="AG1482" s="96" t="s">
        <v>30</v>
      </c>
      <c r="AH1482" s="107" t="s">
        <v>30</v>
      </c>
      <c r="AI1482" s="107" t="s">
        <v>30</v>
      </c>
      <c r="AJ1482" s="107" t="s">
        <v>30</v>
      </c>
      <c r="AK1482" s="107" t="s">
        <v>30</v>
      </c>
      <c r="AL1482" s="91" t="s">
        <v>32</v>
      </c>
      <c r="AM1482" s="840" t="s">
        <v>2089</v>
      </c>
      <c r="AO1482" s="776"/>
      <c r="AP1482" s="776"/>
      <c r="AQ1482" s="776"/>
      <c r="AR1482" s="776"/>
    </row>
    <row r="1483" spans="1:47">
      <c r="A1483" s="834" t="s">
        <v>24</v>
      </c>
      <c r="B1483" s="835">
        <v>1480</v>
      </c>
      <c r="C1483" s="838" t="s">
        <v>2121</v>
      </c>
      <c r="D1483" s="838" t="s">
        <v>178</v>
      </c>
      <c r="E1483" s="839">
        <v>45969</v>
      </c>
      <c r="F1483" s="838" t="s">
        <v>187</v>
      </c>
      <c r="G1483" s="838">
        <v>9</v>
      </c>
      <c r="H1483" s="838" t="s">
        <v>67</v>
      </c>
      <c r="I1483" s="838" t="s">
        <v>47</v>
      </c>
      <c r="J1483" s="98" t="s">
        <v>2122</v>
      </c>
      <c r="K1483" s="834" t="s">
        <v>2123</v>
      </c>
      <c r="L1483" s="834" t="s">
        <v>2077</v>
      </c>
      <c r="M1483" s="834" t="s">
        <v>2093</v>
      </c>
      <c r="N1483" s="834" t="s">
        <v>2050</v>
      </c>
      <c r="O1483" s="848" t="s">
        <v>32</v>
      </c>
      <c r="P1483" s="848"/>
      <c r="Q1483" s="24"/>
      <c r="R1483" s="79" t="s">
        <v>47</v>
      </c>
      <c r="S1483" s="834"/>
      <c r="T1483" s="834"/>
      <c r="U1483" s="24"/>
      <c r="V1483" s="24"/>
      <c r="W1483" s="96" t="s">
        <v>30</v>
      </c>
      <c r="X1483" s="96" t="s">
        <v>30</v>
      </c>
      <c r="Y1483" s="96" t="s">
        <v>30</v>
      </c>
      <c r="Z1483" s="96" t="s">
        <v>30</v>
      </c>
      <c r="AA1483" s="96" t="s">
        <v>30</v>
      </c>
      <c r="AB1483" s="96" t="s">
        <v>30</v>
      </c>
      <c r="AC1483" s="96" t="s">
        <v>30</v>
      </c>
      <c r="AD1483" s="96" t="s">
        <v>30</v>
      </c>
      <c r="AE1483" s="96" t="s">
        <v>30</v>
      </c>
      <c r="AF1483" s="96" t="s">
        <v>30</v>
      </c>
      <c r="AG1483" s="96" t="s">
        <v>30</v>
      </c>
      <c r="AH1483" s="107" t="s">
        <v>30</v>
      </c>
      <c r="AI1483" s="96" t="s">
        <v>30</v>
      </c>
      <c r="AJ1483" s="96" t="s">
        <v>30</v>
      </c>
      <c r="AK1483" s="96" t="s">
        <v>30</v>
      </c>
      <c r="AL1483" s="91" t="s">
        <v>32</v>
      </c>
      <c r="AM1483" s="840"/>
      <c r="AS1483" s="71"/>
      <c r="AT1483" s="92"/>
      <c r="AU1483" s="92"/>
    </row>
    <row r="1484" spans="1:47">
      <c r="A1484" s="834" t="s">
        <v>24</v>
      </c>
      <c r="B1484" s="835">
        <v>1481</v>
      </c>
      <c r="C1484" s="838" t="s">
        <v>2124</v>
      </c>
      <c r="D1484" s="838" t="s">
        <v>34</v>
      </c>
      <c r="E1484" s="839">
        <v>45969</v>
      </c>
      <c r="F1484" s="838" t="s">
        <v>1342</v>
      </c>
      <c r="G1484" s="838">
        <v>10</v>
      </c>
      <c r="H1484" s="838" t="s">
        <v>67</v>
      </c>
      <c r="I1484" s="838" t="s">
        <v>47</v>
      </c>
      <c r="J1484" s="98" t="s">
        <v>2125</v>
      </c>
      <c r="K1484" s="834" t="s">
        <v>2126</v>
      </c>
      <c r="L1484" s="834" t="s">
        <v>2077</v>
      </c>
      <c r="M1484" s="834" t="s">
        <v>2070</v>
      </c>
      <c r="N1484" s="834" t="s">
        <v>2050</v>
      </c>
      <c r="O1484" s="113" t="s">
        <v>30</v>
      </c>
      <c r="P1484" s="848"/>
      <c r="Q1484" s="24"/>
      <c r="R1484" s="79" t="s">
        <v>47</v>
      </c>
      <c r="S1484" s="834"/>
      <c r="T1484" s="834"/>
      <c r="U1484" s="24"/>
      <c r="V1484" s="24"/>
      <c r="W1484" s="96" t="s">
        <v>30</v>
      </c>
      <c r="X1484" s="96" t="s">
        <v>30</v>
      </c>
      <c r="Y1484" s="96" t="s">
        <v>30</v>
      </c>
      <c r="Z1484" s="90" t="s">
        <v>30</v>
      </c>
      <c r="AA1484" s="90" t="s">
        <v>30</v>
      </c>
      <c r="AB1484" s="96" t="s">
        <v>30</v>
      </c>
      <c r="AC1484" s="96" t="s">
        <v>30</v>
      </c>
      <c r="AD1484" s="96" t="s">
        <v>30</v>
      </c>
      <c r="AE1484" s="96" t="s">
        <v>30</v>
      </c>
      <c r="AF1484" s="96" t="s">
        <v>30</v>
      </c>
      <c r="AG1484" s="96" t="s">
        <v>30</v>
      </c>
      <c r="AH1484" s="107" t="s">
        <v>30</v>
      </c>
      <c r="AI1484" s="96" t="s">
        <v>30</v>
      </c>
      <c r="AJ1484" s="96" t="s">
        <v>30</v>
      </c>
      <c r="AK1484" s="96" t="s">
        <v>30</v>
      </c>
      <c r="AL1484" s="91" t="s">
        <v>32</v>
      </c>
      <c r="AM1484" s="840"/>
      <c r="AO1484" s="776"/>
      <c r="AP1484" s="776"/>
      <c r="AQ1484" s="776"/>
      <c r="AR1484" s="776"/>
    </row>
    <row r="1485" spans="1:47">
      <c r="A1485" s="834" t="s">
        <v>24</v>
      </c>
      <c r="B1485" s="835">
        <v>1482</v>
      </c>
      <c r="C1485" s="838" t="s">
        <v>2127</v>
      </c>
      <c r="D1485" s="838" t="s">
        <v>34</v>
      </c>
      <c r="E1485" s="839">
        <v>45969</v>
      </c>
      <c r="F1485" s="838" t="s">
        <v>401</v>
      </c>
      <c r="G1485" s="838">
        <v>11</v>
      </c>
      <c r="H1485" s="838" t="s">
        <v>67</v>
      </c>
      <c r="I1485" s="838" t="s">
        <v>47</v>
      </c>
      <c r="J1485" s="838"/>
      <c r="K1485" s="834" t="s">
        <v>2126</v>
      </c>
      <c r="L1485" s="834" t="s">
        <v>401</v>
      </c>
      <c r="M1485" s="115" t="s">
        <v>401</v>
      </c>
      <c r="N1485" s="834" t="s">
        <v>401</v>
      </c>
      <c r="O1485" s="848" t="s">
        <v>401</v>
      </c>
      <c r="P1485" s="848" t="s">
        <v>1091</v>
      </c>
      <c r="Q1485" s="24">
        <v>46022</v>
      </c>
      <c r="R1485" s="79" t="s">
        <v>47</v>
      </c>
      <c r="S1485" s="834" t="s">
        <v>32</v>
      </c>
      <c r="T1485" s="834">
        <v>11</v>
      </c>
      <c r="U1485" s="24" t="s">
        <v>47</v>
      </c>
      <c r="V1485" s="24">
        <v>46022</v>
      </c>
      <c r="W1485" s="96" t="s">
        <v>30</v>
      </c>
      <c r="X1485" s="96" t="s">
        <v>30</v>
      </c>
      <c r="Y1485" s="96" t="s">
        <v>30</v>
      </c>
      <c r="Z1485" s="90" t="s">
        <v>30</v>
      </c>
      <c r="AA1485" s="90" t="s">
        <v>30</v>
      </c>
      <c r="AB1485" s="96" t="s">
        <v>30</v>
      </c>
      <c r="AC1485" s="96" t="s">
        <v>30</v>
      </c>
      <c r="AD1485" s="96" t="s">
        <v>30</v>
      </c>
      <c r="AE1485" s="96" t="s">
        <v>30</v>
      </c>
      <c r="AF1485" s="96" t="s">
        <v>30</v>
      </c>
      <c r="AG1485" s="96" t="s">
        <v>30</v>
      </c>
      <c r="AH1485" s="107" t="s">
        <v>30</v>
      </c>
      <c r="AI1485" s="107" t="s">
        <v>30</v>
      </c>
      <c r="AJ1485" s="107" t="s">
        <v>30</v>
      </c>
      <c r="AK1485" s="107" t="s">
        <v>30</v>
      </c>
      <c r="AL1485" s="91" t="s">
        <v>32</v>
      </c>
      <c r="AM1485" s="840"/>
      <c r="AO1485" s="776"/>
      <c r="AP1485" s="776"/>
      <c r="AQ1485" s="776"/>
      <c r="AR1485" s="776"/>
    </row>
    <row r="1486" spans="1:47">
      <c r="A1486" s="834" t="s">
        <v>24</v>
      </c>
      <c r="B1486" s="835">
        <v>1483</v>
      </c>
      <c r="C1486" s="838" t="s">
        <v>2128</v>
      </c>
      <c r="D1486" s="838" t="s">
        <v>83</v>
      </c>
      <c r="E1486" s="839">
        <v>45969</v>
      </c>
      <c r="F1486" s="838" t="s">
        <v>2129</v>
      </c>
      <c r="G1486" s="838">
        <v>34</v>
      </c>
      <c r="H1486" s="838" t="s">
        <v>67</v>
      </c>
      <c r="I1486" s="838" t="s">
        <v>47</v>
      </c>
      <c r="J1486" s="838"/>
      <c r="K1486" s="834" t="s">
        <v>2130</v>
      </c>
      <c r="L1486" s="834" t="s">
        <v>2070</v>
      </c>
      <c r="M1486" s="834" t="s">
        <v>2070</v>
      </c>
      <c r="N1486" s="834" t="s">
        <v>2131</v>
      </c>
      <c r="O1486" s="113" t="s">
        <v>30</v>
      </c>
      <c r="P1486" s="848" t="s">
        <v>1091</v>
      </c>
      <c r="Q1486" s="24">
        <v>46021</v>
      </c>
      <c r="R1486" s="79" t="s">
        <v>1138</v>
      </c>
      <c r="S1486" s="834" t="s">
        <v>32</v>
      </c>
      <c r="T1486" s="834">
        <v>31</v>
      </c>
      <c r="U1486" s="24" t="s">
        <v>1138</v>
      </c>
      <c r="V1486" s="24">
        <v>46021</v>
      </c>
      <c r="W1486" s="90" t="s">
        <v>30</v>
      </c>
      <c r="X1486" s="90" t="s">
        <v>30</v>
      </c>
      <c r="Y1486" s="90" t="s">
        <v>30</v>
      </c>
      <c r="Z1486" s="91" t="s">
        <v>32</v>
      </c>
      <c r="AA1486" s="91" t="s">
        <v>32</v>
      </c>
      <c r="AB1486" s="96" t="s">
        <v>30</v>
      </c>
      <c r="AC1486" s="96" t="s">
        <v>30</v>
      </c>
      <c r="AD1486" s="96" t="s">
        <v>30</v>
      </c>
      <c r="AE1486" s="96" t="s">
        <v>30</v>
      </c>
      <c r="AF1486" s="96" t="s">
        <v>30</v>
      </c>
      <c r="AG1486" s="96" t="s">
        <v>30</v>
      </c>
      <c r="AH1486" s="107" t="s">
        <v>30</v>
      </c>
      <c r="AI1486" s="96" t="s">
        <v>30</v>
      </c>
      <c r="AJ1486" s="110" t="s">
        <v>32</v>
      </c>
      <c r="AK1486" s="96" t="s">
        <v>30</v>
      </c>
      <c r="AL1486" s="91" t="s">
        <v>32</v>
      </c>
      <c r="AM1486" s="840" t="s">
        <v>2080</v>
      </c>
    </row>
    <row r="1487" spans="1:47">
      <c r="A1487" s="834" t="s">
        <v>24</v>
      </c>
      <c r="B1487" s="835">
        <v>1484</v>
      </c>
      <c r="C1487" s="838" t="s">
        <v>2132</v>
      </c>
      <c r="D1487" s="838" t="s">
        <v>43</v>
      </c>
      <c r="E1487" s="839">
        <v>45971</v>
      </c>
      <c r="F1487" s="838" t="s">
        <v>165</v>
      </c>
      <c r="G1487" s="838">
        <v>18</v>
      </c>
      <c r="H1487" s="838" t="s">
        <v>1077</v>
      </c>
      <c r="I1487" s="838" t="s">
        <v>1138</v>
      </c>
      <c r="J1487" s="838"/>
      <c r="K1487" s="834" t="s">
        <v>2076</v>
      </c>
      <c r="L1487" s="834" t="s">
        <v>2070</v>
      </c>
      <c r="M1487" s="834" t="s">
        <v>2093</v>
      </c>
      <c r="N1487" s="834" t="s">
        <v>2105</v>
      </c>
      <c r="O1487" s="113" t="s">
        <v>30</v>
      </c>
      <c r="P1487" s="848" t="s">
        <v>1091</v>
      </c>
      <c r="Q1487" s="24">
        <v>46008</v>
      </c>
      <c r="R1487" s="241" t="s">
        <v>1138</v>
      </c>
      <c r="S1487" s="834" t="s">
        <v>1140</v>
      </c>
      <c r="T1487" s="834">
        <v>4</v>
      </c>
      <c r="U1487" s="24" t="s">
        <v>1138</v>
      </c>
      <c r="V1487" s="24">
        <v>46008</v>
      </c>
      <c r="W1487" s="96" t="s">
        <v>30</v>
      </c>
      <c r="X1487" s="96" t="s">
        <v>30</v>
      </c>
      <c r="Y1487" s="96" t="s">
        <v>30</v>
      </c>
      <c r="Z1487" s="96" t="s">
        <v>30</v>
      </c>
      <c r="AA1487" s="96" t="s">
        <v>30</v>
      </c>
      <c r="AB1487" s="96" t="s">
        <v>30</v>
      </c>
      <c r="AC1487" s="96" t="s">
        <v>30</v>
      </c>
      <c r="AD1487" s="96" t="s">
        <v>30</v>
      </c>
      <c r="AE1487" s="96" t="s">
        <v>30</v>
      </c>
      <c r="AF1487" s="96" t="s">
        <v>30</v>
      </c>
      <c r="AG1487" s="96" t="s">
        <v>30</v>
      </c>
      <c r="AH1487" s="107" t="s">
        <v>30</v>
      </c>
      <c r="AI1487" s="110" t="s">
        <v>32</v>
      </c>
      <c r="AJ1487" s="110" t="s">
        <v>32</v>
      </c>
      <c r="AK1487" s="110" t="s">
        <v>32</v>
      </c>
      <c r="AL1487" s="80" t="s">
        <v>30</v>
      </c>
      <c r="AM1487" s="840" t="s">
        <v>2080</v>
      </c>
    </row>
    <row r="1488" spans="1:47">
      <c r="A1488" s="834" t="s">
        <v>24</v>
      </c>
      <c r="B1488" s="835">
        <v>1485</v>
      </c>
      <c r="C1488" s="838" t="s">
        <v>2133</v>
      </c>
      <c r="D1488" s="838" t="s">
        <v>43</v>
      </c>
      <c r="E1488" s="839">
        <v>45971</v>
      </c>
      <c r="F1488" s="838" t="s">
        <v>401</v>
      </c>
      <c r="G1488" s="838" t="s">
        <v>401</v>
      </c>
      <c r="H1488" s="838" t="s">
        <v>1077</v>
      </c>
      <c r="I1488" s="838" t="s">
        <v>1138</v>
      </c>
      <c r="J1488" s="838"/>
      <c r="K1488" s="834" t="s">
        <v>2076</v>
      </c>
      <c r="L1488" s="834" t="s">
        <v>401</v>
      </c>
      <c r="M1488" s="834" t="s">
        <v>401</v>
      </c>
      <c r="N1488" s="834" t="s">
        <v>401</v>
      </c>
      <c r="O1488" s="848" t="s">
        <v>32</v>
      </c>
      <c r="P1488" s="848" t="s">
        <v>1091</v>
      </c>
      <c r="Q1488" s="24">
        <v>46009</v>
      </c>
      <c r="R1488" s="241" t="s">
        <v>1138</v>
      </c>
      <c r="S1488" s="834" t="s">
        <v>32</v>
      </c>
      <c r="T1488" s="834">
        <v>13</v>
      </c>
      <c r="U1488" s="24" t="s">
        <v>1138</v>
      </c>
      <c r="V1488" s="24">
        <v>46009</v>
      </c>
      <c r="W1488" s="96" t="s">
        <v>30</v>
      </c>
      <c r="X1488" s="96" t="s">
        <v>30</v>
      </c>
      <c r="Y1488" s="96" t="s">
        <v>30</v>
      </c>
      <c r="Z1488" s="96" t="s">
        <v>30</v>
      </c>
      <c r="AA1488" s="96" t="s">
        <v>30</v>
      </c>
      <c r="AB1488" s="96" t="s">
        <v>30</v>
      </c>
      <c r="AC1488" s="96" t="s">
        <v>30</v>
      </c>
      <c r="AD1488" s="96" t="s">
        <v>30</v>
      </c>
      <c r="AE1488" s="96" t="s">
        <v>30</v>
      </c>
      <c r="AF1488" s="96" t="s">
        <v>30</v>
      </c>
      <c r="AG1488" s="96" t="s">
        <v>30</v>
      </c>
      <c r="AH1488" s="96" t="s">
        <v>30</v>
      </c>
      <c r="AI1488" s="96" t="s">
        <v>30</v>
      </c>
      <c r="AJ1488" s="96" t="s">
        <v>30</v>
      </c>
      <c r="AK1488" s="110" t="s">
        <v>32</v>
      </c>
      <c r="AL1488" s="80" t="s">
        <v>30</v>
      </c>
      <c r="AM1488" s="840" t="s">
        <v>2080</v>
      </c>
    </row>
    <row r="1489" spans="1:47">
      <c r="A1489" s="834" t="s">
        <v>24</v>
      </c>
      <c r="B1489" s="835">
        <v>1486</v>
      </c>
      <c r="C1489" s="838" t="s">
        <v>2134</v>
      </c>
      <c r="D1489" s="838" t="s">
        <v>34</v>
      </c>
      <c r="E1489" s="839">
        <v>45971</v>
      </c>
      <c r="F1489" s="838" t="s">
        <v>1128</v>
      </c>
      <c r="G1489" s="838">
        <v>14</v>
      </c>
      <c r="H1489" s="838" t="s">
        <v>1077</v>
      </c>
      <c r="I1489" s="838" t="s">
        <v>1138</v>
      </c>
      <c r="J1489" s="838"/>
      <c r="K1489" s="834" t="s">
        <v>2135</v>
      </c>
      <c r="L1489" s="834" t="s">
        <v>2070</v>
      </c>
      <c r="M1489" s="834" t="s">
        <v>2093</v>
      </c>
      <c r="N1489" s="834" t="s">
        <v>2136</v>
      </c>
      <c r="O1489" s="848" t="s">
        <v>32</v>
      </c>
      <c r="P1489" s="848" t="s">
        <v>1091</v>
      </c>
      <c r="Q1489" s="24">
        <v>46008</v>
      </c>
      <c r="R1489" s="241" t="s">
        <v>1138</v>
      </c>
      <c r="S1489" s="834" t="s">
        <v>1140</v>
      </c>
      <c r="T1489" s="834">
        <v>13</v>
      </c>
      <c r="U1489" s="24" t="s">
        <v>1138</v>
      </c>
      <c r="V1489" s="24">
        <v>46008</v>
      </c>
      <c r="W1489" s="96" t="s">
        <v>30</v>
      </c>
      <c r="X1489" s="96" t="s">
        <v>30</v>
      </c>
      <c r="Y1489" s="96" t="s">
        <v>30</v>
      </c>
      <c r="Z1489" s="91" t="s">
        <v>32</v>
      </c>
      <c r="AA1489" s="91" t="s">
        <v>32</v>
      </c>
      <c r="AB1489" s="91" t="s">
        <v>32</v>
      </c>
      <c r="AC1489" s="96" t="s">
        <v>30</v>
      </c>
      <c r="AD1489" s="96" t="s">
        <v>30</v>
      </c>
      <c r="AE1489" s="96" t="s">
        <v>30</v>
      </c>
      <c r="AF1489" s="96" t="s">
        <v>30</v>
      </c>
      <c r="AG1489" s="96" t="s">
        <v>30</v>
      </c>
      <c r="AH1489" s="96" t="s">
        <v>30</v>
      </c>
      <c r="AI1489" s="96" t="s">
        <v>30</v>
      </c>
      <c r="AJ1489" s="96" t="s">
        <v>30</v>
      </c>
      <c r="AK1489" s="96" t="s">
        <v>30</v>
      </c>
      <c r="AL1489" s="80" t="s">
        <v>30</v>
      </c>
      <c r="AM1489" s="840" t="s">
        <v>2089</v>
      </c>
    </row>
    <row r="1490" spans="1:47">
      <c r="A1490" s="834" t="s">
        <v>24</v>
      </c>
      <c r="B1490" s="835">
        <v>1487</v>
      </c>
      <c r="C1490" s="838" t="s">
        <v>1936</v>
      </c>
      <c r="D1490" s="838" t="s">
        <v>34</v>
      </c>
      <c r="E1490" s="839">
        <v>45972</v>
      </c>
      <c r="F1490" s="838" t="s">
        <v>412</v>
      </c>
      <c r="G1490" s="838">
        <v>8</v>
      </c>
      <c r="H1490" s="838" t="s">
        <v>1077</v>
      </c>
      <c r="I1490" s="838" t="s">
        <v>1138</v>
      </c>
      <c r="J1490" s="838"/>
      <c r="K1490" s="834" t="s">
        <v>2052</v>
      </c>
      <c r="L1490" s="834" t="s">
        <v>2070</v>
      </c>
      <c r="M1490" s="834" t="s">
        <v>2070</v>
      </c>
      <c r="N1490" s="834" t="s">
        <v>2083</v>
      </c>
      <c r="O1490" s="848" t="s">
        <v>32</v>
      </c>
      <c r="P1490" s="848" t="s">
        <v>1091</v>
      </c>
      <c r="Q1490" s="24">
        <v>46013</v>
      </c>
      <c r="R1490" s="241" t="s">
        <v>1138</v>
      </c>
      <c r="S1490" s="834" t="s">
        <v>32</v>
      </c>
      <c r="T1490" s="834">
        <v>8</v>
      </c>
      <c r="U1490" s="24" t="s">
        <v>1138</v>
      </c>
      <c r="V1490" s="24">
        <v>46013</v>
      </c>
      <c r="W1490" s="96" t="s">
        <v>30</v>
      </c>
      <c r="X1490" s="96" t="s">
        <v>30</v>
      </c>
      <c r="Y1490" s="96" t="s">
        <v>30</v>
      </c>
      <c r="Z1490" s="96" t="s">
        <v>30</v>
      </c>
      <c r="AA1490" s="96" t="s">
        <v>30</v>
      </c>
      <c r="AB1490" s="96" t="s">
        <v>30</v>
      </c>
      <c r="AC1490" s="96" t="s">
        <v>30</v>
      </c>
      <c r="AD1490" s="96" t="s">
        <v>30</v>
      </c>
      <c r="AE1490" s="96" t="s">
        <v>30</v>
      </c>
      <c r="AF1490" s="96" t="s">
        <v>30</v>
      </c>
      <c r="AG1490" s="96" t="s">
        <v>30</v>
      </c>
      <c r="AH1490" s="96" t="s">
        <v>30</v>
      </c>
      <c r="AI1490" s="96" t="s">
        <v>30</v>
      </c>
      <c r="AJ1490" s="96" t="s">
        <v>30</v>
      </c>
      <c r="AK1490" s="108" t="s">
        <v>30</v>
      </c>
      <c r="AL1490" s="80" t="s">
        <v>30</v>
      </c>
      <c r="AM1490" s="840"/>
    </row>
    <row r="1491" spans="1:47">
      <c r="A1491" s="834" t="s">
        <v>24</v>
      </c>
      <c r="B1491" s="835">
        <v>1488</v>
      </c>
      <c r="C1491" s="838" t="s">
        <v>2137</v>
      </c>
      <c r="D1491" s="838" t="s">
        <v>43</v>
      </c>
      <c r="E1491" s="839">
        <v>45972</v>
      </c>
      <c r="F1491" s="838" t="s">
        <v>183</v>
      </c>
      <c r="G1491" s="838">
        <v>20</v>
      </c>
      <c r="H1491" s="838" t="s">
        <v>1077</v>
      </c>
      <c r="I1491" s="838" t="s">
        <v>1138</v>
      </c>
      <c r="J1491" s="838"/>
      <c r="K1491" s="834" t="s">
        <v>2076</v>
      </c>
      <c r="L1491" s="834" t="s">
        <v>2093</v>
      </c>
      <c r="M1491" s="834" t="s">
        <v>2093</v>
      </c>
      <c r="N1491" s="834" t="s">
        <v>2050</v>
      </c>
      <c r="O1491" s="113" t="s">
        <v>30</v>
      </c>
      <c r="P1491" s="848" t="s">
        <v>1091</v>
      </c>
      <c r="Q1491" s="24">
        <v>46010</v>
      </c>
      <c r="R1491" s="241" t="s">
        <v>1138</v>
      </c>
      <c r="S1491" s="834" t="s">
        <v>32</v>
      </c>
      <c r="T1491" s="834">
        <v>17</v>
      </c>
      <c r="U1491" s="24" t="s">
        <v>1138</v>
      </c>
      <c r="V1491" s="24">
        <v>46010</v>
      </c>
      <c r="W1491" s="96" t="s">
        <v>30</v>
      </c>
      <c r="X1491" s="96" t="s">
        <v>30</v>
      </c>
      <c r="Y1491" s="96" t="s">
        <v>30</v>
      </c>
      <c r="Z1491" s="96" t="s">
        <v>30</v>
      </c>
      <c r="AA1491" s="96" t="s">
        <v>30</v>
      </c>
      <c r="AB1491" s="96" t="s">
        <v>30</v>
      </c>
      <c r="AC1491" s="96" t="s">
        <v>30</v>
      </c>
      <c r="AD1491" s="96" t="s">
        <v>30</v>
      </c>
      <c r="AE1491" s="96" t="s">
        <v>30</v>
      </c>
      <c r="AF1491" s="96" t="s">
        <v>30</v>
      </c>
      <c r="AG1491" s="96" t="s">
        <v>30</v>
      </c>
      <c r="AH1491" s="96" t="s">
        <v>30</v>
      </c>
      <c r="AI1491" s="96" t="s">
        <v>30</v>
      </c>
      <c r="AJ1491" s="96" t="s">
        <v>30</v>
      </c>
      <c r="AK1491" s="110" t="s">
        <v>32</v>
      </c>
      <c r="AL1491" s="80" t="s">
        <v>30</v>
      </c>
      <c r="AM1491" s="840" t="s">
        <v>2080</v>
      </c>
    </row>
    <row r="1492" spans="1:47">
      <c r="A1492" s="834" t="s">
        <v>24</v>
      </c>
      <c r="B1492" s="835">
        <v>1489</v>
      </c>
      <c r="C1492" s="838" t="s">
        <v>2138</v>
      </c>
      <c r="D1492" s="838" t="s">
        <v>102</v>
      </c>
      <c r="E1492" s="839">
        <v>45973</v>
      </c>
      <c r="F1492" s="838" t="s">
        <v>1105</v>
      </c>
      <c r="G1492" s="838">
        <v>12</v>
      </c>
      <c r="H1492" s="838" t="s">
        <v>1721</v>
      </c>
      <c r="I1492" s="838" t="s">
        <v>1638</v>
      </c>
      <c r="J1492" s="838"/>
      <c r="K1492" s="834" t="s">
        <v>2061</v>
      </c>
      <c r="L1492" s="834" t="s">
        <v>2093</v>
      </c>
      <c r="M1492" s="834" t="s">
        <v>2093</v>
      </c>
      <c r="N1492" s="834" t="s">
        <v>2058</v>
      </c>
      <c r="O1492" s="848" t="s">
        <v>32</v>
      </c>
      <c r="P1492" s="848" t="s">
        <v>1091</v>
      </c>
      <c r="Q1492" s="24">
        <v>46013</v>
      </c>
      <c r="R1492" s="79" t="s">
        <v>1638</v>
      </c>
      <c r="S1492" s="22" t="s">
        <v>1140</v>
      </c>
      <c r="T1492" s="22">
        <v>12</v>
      </c>
      <c r="U1492" s="24" t="s">
        <v>1638</v>
      </c>
      <c r="V1492" s="24">
        <v>46013</v>
      </c>
      <c r="W1492" s="96" t="s">
        <v>30</v>
      </c>
      <c r="X1492" s="96" t="s">
        <v>30</v>
      </c>
      <c r="Y1492" s="96" t="s">
        <v>30</v>
      </c>
      <c r="Z1492" s="96" t="s">
        <v>30</v>
      </c>
      <c r="AA1492" s="96" t="s">
        <v>30</v>
      </c>
      <c r="AB1492" s="96" t="s">
        <v>30</v>
      </c>
      <c r="AC1492" s="96" t="s">
        <v>30</v>
      </c>
      <c r="AD1492" s="96" t="s">
        <v>30</v>
      </c>
      <c r="AE1492" s="96" t="s">
        <v>30</v>
      </c>
      <c r="AF1492" s="96" t="s">
        <v>30</v>
      </c>
      <c r="AG1492" s="96" t="s">
        <v>30</v>
      </c>
      <c r="AH1492" s="107" t="s">
        <v>30</v>
      </c>
      <c r="AI1492" s="96" t="s">
        <v>30</v>
      </c>
      <c r="AJ1492" s="96" t="s">
        <v>30</v>
      </c>
      <c r="AK1492" s="96" t="s">
        <v>30</v>
      </c>
      <c r="AL1492" s="80" t="s">
        <v>30</v>
      </c>
      <c r="AM1492" s="840"/>
      <c r="AO1492" s="776"/>
      <c r="AP1492" s="776"/>
      <c r="AQ1492" s="776"/>
      <c r="AR1492" s="776"/>
    </row>
    <row r="1493" spans="1:47">
      <c r="A1493" s="834" t="s">
        <v>24</v>
      </c>
      <c r="B1493" s="835">
        <v>1490</v>
      </c>
      <c r="C1493" s="838" t="s">
        <v>2139</v>
      </c>
      <c r="D1493" s="838" t="s">
        <v>43</v>
      </c>
      <c r="E1493" s="839">
        <v>45973</v>
      </c>
      <c r="F1493" s="838" t="s">
        <v>412</v>
      </c>
      <c r="G1493" s="838">
        <v>10</v>
      </c>
      <c r="H1493" s="838" t="s">
        <v>1077</v>
      </c>
      <c r="I1493" s="838" t="s">
        <v>1138</v>
      </c>
      <c r="J1493" s="838"/>
      <c r="K1493" s="834" t="s">
        <v>2140</v>
      </c>
      <c r="L1493" s="834" t="s">
        <v>2093</v>
      </c>
      <c r="M1493" s="834" t="s">
        <v>2093</v>
      </c>
      <c r="N1493" s="834" t="s">
        <v>2050</v>
      </c>
      <c r="O1493" s="848" t="s">
        <v>32</v>
      </c>
      <c r="P1493" s="848" t="s">
        <v>1091</v>
      </c>
      <c r="Q1493" s="24">
        <v>46010</v>
      </c>
      <c r="R1493" s="241" t="s">
        <v>1138</v>
      </c>
      <c r="S1493" s="834" t="s">
        <v>32</v>
      </c>
      <c r="T1493" s="834">
        <v>10</v>
      </c>
      <c r="U1493" s="24" t="s">
        <v>1138</v>
      </c>
      <c r="V1493" s="24">
        <v>46010</v>
      </c>
      <c r="W1493" s="96" t="s">
        <v>30</v>
      </c>
      <c r="X1493" s="96" t="s">
        <v>30</v>
      </c>
      <c r="Y1493" s="96" t="s">
        <v>30</v>
      </c>
      <c r="Z1493" s="96" t="s">
        <v>30</v>
      </c>
      <c r="AA1493" s="91" t="s">
        <v>32</v>
      </c>
      <c r="AB1493" s="96" t="s">
        <v>30</v>
      </c>
      <c r="AC1493" s="96" t="s">
        <v>30</v>
      </c>
      <c r="AD1493" s="96" t="s">
        <v>30</v>
      </c>
      <c r="AE1493" s="96" t="s">
        <v>30</v>
      </c>
      <c r="AF1493" s="96" t="s">
        <v>30</v>
      </c>
      <c r="AG1493" s="96" t="s">
        <v>30</v>
      </c>
      <c r="AH1493" s="96" t="s">
        <v>30</v>
      </c>
      <c r="AI1493" s="96" t="s">
        <v>30</v>
      </c>
      <c r="AJ1493" s="96" t="s">
        <v>30</v>
      </c>
      <c r="AK1493" s="110" t="s">
        <v>32</v>
      </c>
      <c r="AL1493" s="80" t="s">
        <v>30</v>
      </c>
      <c r="AM1493" s="840" t="s">
        <v>2080</v>
      </c>
      <c r="AS1493" s="71"/>
      <c r="AT1493" s="92"/>
      <c r="AU1493" s="92"/>
    </row>
    <row r="1494" spans="1:47">
      <c r="A1494" s="834" t="s">
        <v>24</v>
      </c>
      <c r="B1494" s="835">
        <v>1491</v>
      </c>
      <c r="C1494" s="838" t="s">
        <v>2141</v>
      </c>
      <c r="D1494" s="838" t="s">
        <v>57</v>
      </c>
      <c r="E1494" s="839">
        <v>45973</v>
      </c>
      <c r="F1494" s="838" t="s">
        <v>506</v>
      </c>
      <c r="G1494" s="838">
        <v>5</v>
      </c>
      <c r="H1494" s="838" t="s">
        <v>1721</v>
      </c>
      <c r="I1494" s="838" t="s">
        <v>1638</v>
      </c>
      <c r="J1494" s="838"/>
      <c r="K1494" s="834" t="s">
        <v>2142</v>
      </c>
      <c r="L1494" s="834" t="s">
        <v>2093</v>
      </c>
      <c r="M1494" s="834" t="s">
        <v>2093</v>
      </c>
      <c r="N1494" s="834" t="s">
        <v>2050</v>
      </c>
      <c r="O1494" s="848" t="s">
        <v>32</v>
      </c>
      <c r="P1494" s="23" t="s">
        <v>1091</v>
      </c>
      <c r="Q1494" s="24">
        <v>45659</v>
      </c>
      <c r="R1494" s="79" t="s">
        <v>1638</v>
      </c>
      <c r="S1494" s="22" t="s">
        <v>32</v>
      </c>
      <c r="T1494" s="22">
        <v>5</v>
      </c>
      <c r="U1494" s="24" t="s">
        <v>1638</v>
      </c>
      <c r="V1494" s="24">
        <v>45659</v>
      </c>
      <c r="W1494" s="96" t="s">
        <v>30</v>
      </c>
      <c r="X1494" s="96" t="s">
        <v>30</v>
      </c>
      <c r="Y1494" s="96" t="s">
        <v>30</v>
      </c>
      <c r="Z1494" s="91" t="s">
        <v>32</v>
      </c>
      <c r="AA1494" s="91" t="s">
        <v>32</v>
      </c>
      <c r="AB1494" s="96" t="s">
        <v>30</v>
      </c>
      <c r="AC1494" s="96" t="s">
        <v>30</v>
      </c>
      <c r="AD1494" s="96" t="s">
        <v>30</v>
      </c>
      <c r="AE1494" s="96" t="s">
        <v>30</v>
      </c>
      <c r="AF1494" s="96" t="s">
        <v>30</v>
      </c>
      <c r="AG1494" s="96" t="s">
        <v>30</v>
      </c>
      <c r="AH1494" s="96" t="s">
        <v>30</v>
      </c>
      <c r="AI1494" s="96" t="s">
        <v>30</v>
      </c>
      <c r="AJ1494" s="96" t="s">
        <v>30</v>
      </c>
      <c r="AK1494" s="110" t="s">
        <v>32</v>
      </c>
      <c r="AL1494" s="91" t="s">
        <v>32</v>
      </c>
      <c r="AM1494" s="840" t="s">
        <v>2080</v>
      </c>
    </row>
    <row r="1495" spans="1:47">
      <c r="A1495" s="834" t="s">
        <v>24</v>
      </c>
      <c r="B1495" s="835">
        <v>1492</v>
      </c>
      <c r="C1495" s="838" t="s">
        <v>2143</v>
      </c>
      <c r="D1495" s="838" t="s">
        <v>406</v>
      </c>
      <c r="E1495" s="839">
        <v>45974</v>
      </c>
      <c r="F1495" s="838" t="s">
        <v>1124</v>
      </c>
      <c r="G1495" s="838">
        <v>11</v>
      </c>
      <c r="H1495" s="838" t="s">
        <v>1077</v>
      </c>
      <c r="I1495" s="838" t="s">
        <v>1138</v>
      </c>
      <c r="J1495" s="838"/>
      <c r="K1495" s="834" t="s">
        <v>2066</v>
      </c>
      <c r="L1495" s="834" t="s">
        <v>2049</v>
      </c>
      <c r="M1495" s="834" t="s">
        <v>2053</v>
      </c>
      <c r="N1495" s="834" t="s">
        <v>2058</v>
      </c>
      <c r="O1495" s="848" t="s">
        <v>32</v>
      </c>
      <c r="P1495" s="848" t="s">
        <v>1091</v>
      </c>
      <c r="Q1495" s="24">
        <v>46014</v>
      </c>
      <c r="R1495" s="241" t="s">
        <v>1138</v>
      </c>
      <c r="S1495" s="834" t="s">
        <v>32</v>
      </c>
      <c r="T1495" s="834">
        <v>10</v>
      </c>
      <c r="U1495" s="24" t="s">
        <v>1138</v>
      </c>
      <c r="V1495" s="24">
        <v>46014</v>
      </c>
      <c r="W1495" s="96" t="s">
        <v>30</v>
      </c>
      <c r="X1495" s="96" t="s">
        <v>30</v>
      </c>
      <c r="Y1495" s="96" t="s">
        <v>30</v>
      </c>
      <c r="Z1495" s="96" t="s">
        <v>30</v>
      </c>
      <c r="AA1495" s="91" t="s">
        <v>32</v>
      </c>
      <c r="AB1495" s="91" t="s">
        <v>32</v>
      </c>
      <c r="AC1495" s="96" t="s">
        <v>30</v>
      </c>
      <c r="AD1495" s="96" t="s">
        <v>30</v>
      </c>
      <c r="AE1495" s="96" t="s">
        <v>30</v>
      </c>
      <c r="AF1495" s="96" t="s">
        <v>30</v>
      </c>
      <c r="AG1495" s="96" t="s">
        <v>30</v>
      </c>
      <c r="AH1495" s="96" t="s">
        <v>30</v>
      </c>
      <c r="AI1495" s="96" t="s">
        <v>30</v>
      </c>
      <c r="AJ1495" s="96" t="s">
        <v>30</v>
      </c>
      <c r="AK1495" s="110" t="s">
        <v>32</v>
      </c>
      <c r="AL1495" s="80" t="s">
        <v>30</v>
      </c>
      <c r="AM1495" s="840" t="s">
        <v>2068</v>
      </c>
    </row>
    <row r="1496" spans="1:47">
      <c r="A1496" s="834" t="s">
        <v>24</v>
      </c>
      <c r="B1496" s="835">
        <v>1493</v>
      </c>
      <c r="C1496" s="838" t="s">
        <v>2144</v>
      </c>
      <c r="D1496" s="838" t="s">
        <v>50</v>
      </c>
      <c r="E1496" s="839">
        <v>45974</v>
      </c>
      <c r="F1496" s="838" t="s">
        <v>1295</v>
      </c>
      <c r="G1496" s="838">
        <v>12</v>
      </c>
      <c r="H1496" s="838" t="s">
        <v>67</v>
      </c>
      <c r="I1496" s="838" t="s">
        <v>47</v>
      </c>
      <c r="J1496" s="838"/>
      <c r="K1496" s="834" t="s">
        <v>2145</v>
      </c>
      <c r="L1496" s="834" t="s">
        <v>2146</v>
      </c>
      <c r="M1496" s="834" t="s">
        <v>2146</v>
      </c>
      <c r="N1496" s="834" t="s">
        <v>2050</v>
      </c>
      <c r="O1496" s="848" t="s">
        <v>32</v>
      </c>
      <c r="P1496" s="848" t="s">
        <v>1091</v>
      </c>
      <c r="Q1496" s="24">
        <v>46022</v>
      </c>
      <c r="R1496" s="79" t="s">
        <v>1138</v>
      </c>
      <c r="S1496" s="22" t="s">
        <v>2147</v>
      </c>
      <c r="T1496" s="22">
        <v>10</v>
      </c>
      <c r="U1496" s="24" t="s">
        <v>1138</v>
      </c>
      <c r="V1496" s="24">
        <v>46022</v>
      </c>
      <c r="W1496" s="96" t="s">
        <v>30</v>
      </c>
      <c r="X1496" s="96" t="s">
        <v>30</v>
      </c>
      <c r="Y1496" s="96" t="s">
        <v>30</v>
      </c>
      <c r="Z1496" s="96" t="s">
        <v>30</v>
      </c>
      <c r="AA1496" s="96" t="s">
        <v>30</v>
      </c>
      <c r="AB1496" s="96" t="s">
        <v>30</v>
      </c>
      <c r="AC1496" s="96" t="s">
        <v>30</v>
      </c>
      <c r="AD1496" s="96" t="s">
        <v>30</v>
      </c>
      <c r="AE1496" s="96" t="s">
        <v>30</v>
      </c>
      <c r="AF1496" s="96" t="s">
        <v>30</v>
      </c>
      <c r="AG1496" s="96" t="s">
        <v>30</v>
      </c>
      <c r="AH1496" s="96" t="s">
        <v>30</v>
      </c>
      <c r="AI1496" s="96" t="s">
        <v>30</v>
      </c>
      <c r="AJ1496" s="96" t="s">
        <v>30</v>
      </c>
      <c r="AK1496" s="96" t="s">
        <v>30</v>
      </c>
      <c r="AL1496" s="91" t="s">
        <v>32</v>
      </c>
      <c r="AM1496" s="840"/>
      <c r="AS1496" s="71"/>
      <c r="AT1496" s="92"/>
      <c r="AU1496" s="92"/>
    </row>
    <row r="1497" spans="1:47">
      <c r="A1497" s="834" t="s">
        <v>24</v>
      </c>
      <c r="B1497" s="835">
        <v>1494</v>
      </c>
      <c r="C1497" s="838" t="s">
        <v>2148</v>
      </c>
      <c r="D1497" s="838" t="s">
        <v>923</v>
      </c>
      <c r="E1497" s="839">
        <v>45974</v>
      </c>
      <c r="F1497" s="838" t="s">
        <v>1966</v>
      </c>
      <c r="G1497" s="838">
        <v>10</v>
      </c>
      <c r="H1497" s="838" t="s">
        <v>1077</v>
      </c>
      <c r="I1497" s="838" t="s">
        <v>1138</v>
      </c>
      <c r="J1497" s="838"/>
      <c r="K1497" s="834" t="s">
        <v>2082</v>
      </c>
      <c r="L1497" s="834" t="s">
        <v>2146</v>
      </c>
      <c r="M1497" s="834" t="s">
        <v>2146</v>
      </c>
      <c r="N1497" s="834" t="s">
        <v>2050</v>
      </c>
      <c r="O1497" s="848" t="s">
        <v>32</v>
      </c>
      <c r="P1497" s="848" t="s">
        <v>1091</v>
      </c>
      <c r="Q1497" s="24">
        <v>46013</v>
      </c>
      <c r="R1497" s="241" t="s">
        <v>1138</v>
      </c>
      <c r="S1497" s="834" t="s">
        <v>32</v>
      </c>
      <c r="T1497" s="834">
        <v>10</v>
      </c>
      <c r="U1497" s="24" t="s">
        <v>1138</v>
      </c>
      <c r="V1497" s="24">
        <v>46013</v>
      </c>
      <c r="W1497" s="96" t="s">
        <v>30</v>
      </c>
      <c r="X1497" s="96" t="s">
        <v>30</v>
      </c>
      <c r="Y1497" s="96" t="s">
        <v>30</v>
      </c>
      <c r="Z1497" s="96" t="s">
        <v>30</v>
      </c>
      <c r="AA1497" s="96" t="s">
        <v>30</v>
      </c>
      <c r="AB1497" s="96" t="s">
        <v>30</v>
      </c>
      <c r="AC1497" s="96" t="s">
        <v>30</v>
      </c>
      <c r="AD1497" s="96" t="s">
        <v>30</v>
      </c>
      <c r="AE1497" s="96" t="s">
        <v>30</v>
      </c>
      <c r="AF1497" s="96" t="s">
        <v>30</v>
      </c>
      <c r="AG1497" s="96" t="s">
        <v>30</v>
      </c>
      <c r="AH1497" s="107" t="s">
        <v>30</v>
      </c>
      <c r="AI1497" s="107" t="s">
        <v>30</v>
      </c>
      <c r="AJ1497" s="107" t="s">
        <v>30</v>
      </c>
      <c r="AK1497" s="107" t="s">
        <v>30</v>
      </c>
      <c r="AL1497" s="80" t="s">
        <v>30</v>
      </c>
      <c r="AM1497" s="840" t="s">
        <v>2080</v>
      </c>
    </row>
    <row r="1498" spans="1:47">
      <c r="A1498" s="834" t="s">
        <v>24</v>
      </c>
      <c r="B1498" s="835">
        <v>1495</v>
      </c>
      <c r="C1498" s="838" t="s">
        <v>2149</v>
      </c>
      <c r="D1498" s="838" t="s">
        <v>57</v>
      </c>
      <c r="E1498" s="839">
        <v>45973</v>
      </c>
      <c r="F1498" s="838" t="s">
        <v>506</v>
      </c>
      <c r="G1498" s="838">
        <v>5</v>
      </c>
      <c r="H1498" s="838" t="s">
        <v>1721</v>
      </c>
      <c r="I1498" s="838" t="s">
        <v>1638</v>
      </c>
      <c r="J1498" s="838"/>
      <c r="K1498" s="834" t="s">
        <v>2142</v>
      </c>
      <c r="L1498" s="834" t="s">
        <v>2093</v>
      </c>
      <c r="M1498" s="834" t="s">
        <v>2093</v>
      </c>
      <c r="N1498" s="834" t="s">
        <v>2050</v>
      </c>
      <c r="O1498" s="848" t="s">
        <v>32</v>
      </c>
      <c r="P1498" s="23" t="s">
        <v>1091</v>
      </c>
      <c r="Q1498" s="24">
        <v>45659</v>
      </c>
      <c r="R1498" s="79" t="s">
        <v>1638</v>
      </c>
      <c r="S1498" s="22" t="s">
        <v>32</v>
      </c>
      <c r="T1498" s="22">
        <v>4</v>
      </c>
      <c r="U1498" s="24" t="s">
        <v>1638</v>
      </c>
      <c r="V1498" s="24">
        <v>45659</v>
      </c>
      <c r="W1498" s="96" t="s">
        <v>30</v>
      </c>
      <c r="X1498" s="96" t="s">
        <v>30</v>
      </c>
      <c r="Y1498" s="96" t="s">
        <v>30</v>
      </c>
      <c r="Z1498" s="91" t="s">
        <v>32</v>
      </c>
      <c r="AA1498" s="91" t="s">
        <v>32</v>
      </c>
      <c r="AB1498" s="96" t="s">
        <v>30</v>
      </c>
      <c r="AC1498" s="96" t="s">
        <v>30</v>
      </c>
      <c r="AD1498" s="96" t="s">
        <v>30</v>
      </c>
      <c r="AE1498" s="96" t="s">
        <v>30</v>
      </c>
      <c r="AF1498" s="96" t="s">
        <v>30</v>
      </c>
      <c r="AG1498" s="96" t="s">
        <v>30</v>
      </c>
      <c r="AH1498" s="107" t="s">
        <v>30</v>
      </c>
      <c r="AI1498" s="110" t="s">
        <v>32</v>
      </c>
      <c r="AJ1498" s="110" t="s">
        <v>32</v>
      </c>
      <c r="AK1498" s="96" t="s">
        <v>30</v>
      </c>
      <c r="AL1498" s="91" t="s">
        <v>32</v>
      </c>
      <c r="AM1498" s="840" t="s">
        <v>2080</v>
      </c>
    </row>
    <row r="1499" spans="1:47">
      <c r="A1499" s="834" t="s">
        <v>24</v>
      </c>
      <c r="B1499" s="835">
        <v>1496</v>
      </c>
      <c r="C1499" s="838" t="s">
        <v>2150</v>
      </c>
      <c r="D1499" s="838" t="s">
        <v>102</v>
      </c>
      <c r="E1499" s="839">
        <v>45975</v>
      </c>
      <c r="F1499" s="838" t="s">
        <v>324</v>
      </c>
      <c r="G1499" s="838">
        <v>12</v>
      </c>
      <c r="H1499" s="838" t="s">
        <v>67</v>
      </c>
      <c r="I1499" s="838" t="s">
        <v>47</v>
      </c>
      <c r="J1499" s="838"/>
      <c r="K1499" s="834" t="s">
        <v>2123</v>
      </c>
      <c r="L1499" s="834" t="s">
        <v>2146</v>
      </c>
      <c r="M1499" s="834" t="s">
        <v>2146</v>
      </c>
      <c r="N1499" s="834" t="s">
        <v>2050</v>
      </c>
      <c r="O1499" s="848" t="s">
        <v>32</v>
      </c>
      <c r="P1499" s="848" t="s">
        <v>1091</v>
      </c>
      <c r="Q1499" s="24">
        <v>45999</v>
      </c>
      <c r="R1499" s="79" t="s">
        <v>47</v>
      </c>
      <c r="S1499" s="22" t="s">
        <v>32</v>
      </c>
      <c r="T1499" s="22">
        <v>11</v>
      </c>
      <c r="U1499" s="24" t="s">
        <v>47</v>
      </c>
      <c r="V1499" s="24">
        <v>45999</v>
      </c>
      <c r="W1499" s="96" t="s">
        <v>30</v>
      </c>
      <c r="X1499" s="96" t="s">
        <v>30</v>
      </c>
      <c r="Y1499" s="96" t="s">
        <v>30</v>
      </c>
      <c r="Z1499" s="96" t="s">
        <v>30</v>
      </c>
      <c r="AA1499" s="96" t="s">
        <v>30</v>
      </c>
      <c r="AB1499" s="96" t="s">
        <v>30</v>
      </c>
      <c r="AC1499" s="96" t="s">
        <v>30</v>
      </c>
      <c r="AD1499" s="96" t="s">
        <v>30</v>
      </c>
      <c r="AE1499" s="96" t="s">
        <v>30</v>
      </c>
      <c r="AF1499" s="96" t="s">
        <v>30</v>
      </c>
      <c r="AG1499" s="96" t="s">
        <v>30</v>
      </c>
      <c r="AH1499" s="107" t="s">
        <v>30</v>
      </c>
      <c r="AI1499" s="96" t="s">
        <v>30</v>
      </c>
      <c r="AJ1499" s="96" t="s">
        <v>30</v>
      </c>
      <c r="AK1499" s="96" t="s">
        <v>30</v>
      </c>
      <c r="AL1499" s="91" t="s">
        <v>32</v>
      </c>
      <c r="AM1499" s="840"/>
    </row>
    <row r="1500" spans="1:47">
      <c r="A1500" s="834" t="s">
        <v>24</v>
      </c>
      <c r="B1500" s="835">
        <v>1497</v>
      </c>
      <c r="C1500" s="838" t="s">
        <v>2151</v>
      </c>
      <c r="D1500" s="838" t="s">
        <v>406</v>
      </c>
      <c r="E1500" s="839">
        <v>45975</v>
      </c>
      <c r="F1500" s="838" t="s">
        <v>187</v>
      </c>
      <c r="G1500" s="838">
        <v>19</v>
      </c>
      <c r="H1500" s="838" t="s">
        <v>67</v>
      </c>
      <c r="I1500" s="838" t="s">
        <v>47</v>
      </c>
      <c r="J1500" s="838"/>
      <c r="K1500" s="834" t="s">
        <v>2126</v>
      </c>
      <c r="L1500" s="834" t="s">
        <v>2146</v>
      </c>
      <c r="M1500" s="834" t="s">
        <v>2152</v>
      </c>
      <c r="N1500" s="834" t="s">
        <v>2050</v>
      </c>
      <c r="O1500" s="113" t="s">
        <v>30</v>
      </c>
      <c r="P1500" s="848" t="s">
        <v>1091</v>
      </c>
      <c r="Q1500" s="24">
        <v>46008</v>
      </c>
      <c r="R1500" s="79" t="s">
        <v>47</v>
      </c>
      <c r="S1500" s="22" t="s">
        <v>32</v>
      </c>
      <c r="T1500" s="22">
        <v>17</v>
      </c>
      <c r="U1500" s="24" t="s">
        <v>47</v>
      </c>
      <c r="V1500" s="24">
        <v>46008</v>
      </c>
      <c r="W1500" s="96" t="s">
        <v>30</v>
      </c>
      <c r="X1500" s="96" t="s">
        <v>30</v>
      </c>
      <c r="Y1500" s="96" t="s">
        <v>30</v>
      </c>
      <c r="Z1500" s="96" t="s">
        <v>30</v>
      </c>
      <c r="AA1500" s="96" t="s">
        <v>30</v>
      </c>
      <c r="AB1500" s="96" t="s">
        <v>30</v>
      </c>
      <c r="AC1500" s="96" t="s">
        <v>30</v>
      </c>
      <c r="AD1500" s="96" t="s">
        <v>30</v>
      </c>
      <c r="AE1500" s="96" t="s">
        <v>30</v>
      </c>
      <c r="AF1500" s="96" t="s">
        <v>30</v>
      </c>
      <c r="AG1500" s="96" t="s">
        <v>30</v>
      </c>
      <c r="AH1500" s="107" t="s">
        <v>30</v>
      </c>
      <c r="AI1500" s="96" t="s">
        <v>30</v>
      </c>
      <c r="AJ1500" s="96" t="s">
        <v>30</v>
      </c>
      <c r="AK1500" s="108" t="s">
        <v>30</v>
      </c>
      <c r="AL1500" s="80" t="s">
        <v>30</v>
      </c>
      <c r="AM1500" s="840"/>
    </row>
    <row r="1501" spans="1:47">
      <c r="A1501" s="834" t="s">
        <v>24</v>
      </c>
      <c r="B1501" s="835">
        <v>1498</v>
      </c>
      <c r="C1501" s="838" t="s">
        <v>2153</v>
      </c>
      <c r="D1501" s="838" t="s">
        <v>64</v>
      </c>
      <c r="E1501" s="839">
        <v>45975</v>
      </c>
      <c r="F1501" s="838" t="s">
        <v>106</v>
      </c>
      <c r="G1501" s="838">
        <v>12</v>
      </c>
      <c r="H1501" s="838" t="s">
        <v>1721</v>
      </c>
      <c r="I1501" s="838" t="s">
        <v>1638</v>
      </c>
      <c r="J1501" s="838"/>
      <c r="K1501" s="834" t="s">
        <v>2085</v>
      </c>
      <c r="L1501" s="834" t="s">
        <v>2152</v>
      </c>
      <c r="M1501" s="834" t="s">
        <v>2152</v>
      </c>
      <c r="N1501" s="834" t="s">
        <v>2050</v>
      </c>
      <c r="O1501" s="113" t="s">
        <v>30</v>
      </c>
      <c r="P1501" s="848" t="s">
        <v>1091</v>
      </c>
      <c r="Q1501" s="24">
        <v>46014</v>
      </c>
      <c r="R1501" s="79" t="s">
        <v>1638</v>
      </c>
      <c r="S1501" s="22" t="s">
        <v>32</v>
      </c>
      <c r="T1501" s="244">
        <v>11</v>
      </c>
      <c r="U1501" s="24" t="s">
        <v>1638</v>
      </c>
      <c r="V1501" s="24">
        <v>46014</v>
      </c>
      <c r="W1501" s="96" t="s">
        <v>30</v>
      </c>
      <c r="X1501" s="96" t="s">
        <v>30</v>
      </c>
      <c r="Y1501" s="96" t="s">
        <v>30</v>
      </c>
      <c r="Z1501" s="96" t="s">
        <v>30</v>
      </c>
      <c r="AA1501" s="96" t="s">
        <v>30</v>
      </c>
      <c r="AB1501" s="96" t="s">
        <v>30</v>
      </c>
      <c r="AC1501" s="96" t="s">
        <v>30</v>
      </c>
      <c r="AD1501" s="96" t="s">
        <v>30</v>
      </c>
      <c r="AE1501" s="96" t="s">
        <v>30</v>
      </c>
      <c r="AF1501" s="96" t="s">
        <v>30</v>
      </c>
      <c r="AG1501" s="96" t="s">
        <v>30</v>
      </c>
      <c r="AH1501" s="107" t="s">
        <v>30</v>
      </c>
      <c r="AI1501" s="96" t="s">
        <v>30</v>
      </c>
      <c r="AJ1501" s="96" t="s">
        <v>30</v>
      </c>
      <c r="AK1501" s="96" t="s">
        <v>30</v>
      </c>
      <c r="AL1501" s="80" t="s">
        <v>30</v>
      </c>
      <c r="AM1501" s="840"/>
    </row>
    <row r="1502" spans="1:47">
      <c r="A1502" s="834" t="s">
        <v>24</v>
      </c>
      <c r="B1502" s="835">
        <v>1499</v>
      </c>
      <c r="C1502" s="838" t="s">
        <v>2154</v>
      </c>
      <c r="D1502" s="838" t="s">
        <v>50</v>
      </c>
      <c r="E1502" s="839">
        <v>45975</v>
      </c>
      <c r="F1502" s="838" t="s">
        <v>106</v>
      </c>
      <c r="G1502" s="838">
        <v>12</v>
      </c>
      <c r="H1502" s="838" t="s">
        <v>1721</v>
      </c>
      <c r="I1502" s="838" t="s">
        <v>1638</v>
      </c>
      <c r="J1502" s="838"/>
      <c r="K1502" s="834" t="s">
        <v>2085</v>
      </c>
      <c r="L1502" s="834" t="s">
        <v>401</v>
      </c>
      <c r="M1502" s="834" t="s">
        <v>401</v>
      </c>
      <c r="N1502" s="834" t="s">
        <v>401</v>
      </c>
      <c r="O1502" s="838" t="s">
        <v>401</v>
      </c>
      <c r="P1502" s="848" t="s">
        <v>1091</v>
      </c>
      <c r="Q1502" s="24">
        <v>46015</v>
      </c>
      <c r="R1502" s="79" t="s">
        <v>1638</v>
      </c>
      <c r="S1502" s="22" t="s">
        <v>32</v>
      </c>
      <c r="T1502" s="22">
        <v>12</v>
      </c>
      <c r="U1502" s="24" t="s">
        <v>1638</v>
      </c>
      <c r="V1502" s="24">
        <v>46015</v>
      </c>
      <c r="W1502" s="96" t="s">
        <v>30</v>
      </c>
      <c r="X1502" s="96" t="s">
        <v>30</v>
      </c>
      <c r="Y1502" s="96" t="s">
        <v>30</v>
      </c>
      <c r="Z1502" s="96" t="s">
        <v>30</v>
      </c>
      <c r="AA1502" s="96" t="s">
        <v>30</v>
      </c>
      <c r="AB1502" s="96" t="s">
        <v>30</v>
      </c>
      <c r="AC1502" s="96" t="s">
        <v>30</v>
      </c>
      <c r="AD1502" s="96" t="s">
        <v>30</v>
      </c>
      <c r="AE1502" s="96" t="s">
        <v>30</v>
      </c>
      <c r="AF1502" s="96" t="s">
        <v>30</v>
      </c>
      <c r="AG1502" s="96" t="s">
        <v>30</v>
      </c>
      <c r="AH1502" s="107" t="s">
        <v>30</v>
      </c>
      <c r="AI1502" s="96" t="s">
        <v>30</v>
      </c>
      <c r="AJ1502" s="96" t="s">
        <v>30</v>
      </c>
      <c r="AK1502" s="96" t="s">
        <v>30</v>
      </c>
      <c r="AL1502" s="91" t="s">
        <v>32</v>
      </c>
      <c r="AM1502" s="840"/>
    </row>
    <row r="1503" spans="1:47">
      <c r="A1503" s="834" t="s">
        <v>24</v>
      </c>
      <c r="B1503" s="835">
        <v>1500</v>
      </c>
      <c r="C1503" s="838" t="s">
        <v>2155</v>
      </c>
      <c r="D1503" s="838" t="s">
        <v>43</v>
      </c>
      <c r="E1503" s="839">
        <v>45975</v>
      </c>
      <c r="F1503" s="838" t="s">
        <v>2042</v>
      </c>
      <c r="G1503" s="838">
        <v>9</v>
      </c>
      <c r="H1503" s="838" t="s">
        <v>1077</v>
      </c>
      <c r="I1503" s="838" t="s">
        <v>1138</v>
      </c>
      <c r="J1503" s="838"/>
      <c r="K1503" s="834" t="s">
        <v>2140</v>
      </c>
      <c r="L1503" s="834" t="s">
        <v>2146</v>
      </c>
      <c r="M1503" s="834" t="s">
        <v>2146</v>
      </c>
      <c r="N1503" s="834" t="s">
        <v>2050</v>
      </c>
      <c r="O1503" s="848" t="s">
        <v>32</v>
      </c>
      <c r="P1503" s="848" t="s">
        <v>1091</v>
      </c>
      <c r="Q1503" s="24">
        <v>45996</v>
      </c>
      <c r="R1503" s="241" t="s">
        <v>1138</v>
      </c>
      <c r="S1503" s="834" t="s">
        <v>32</v>
      </c>
      <c r="T1503" s="834">
        <v>9</v>
      </c>
      <c r="U1503" s="24" t="s">
        <v>1138</v>
      </c>
      <c r="V1503" s="24">
        <v>45996</v>
      </c>
      <c r="W1503" s="96" t="s">
        <v>30</v>
      </c>
      <c r="X1503" s="96" t="s">
        <v>30</v>
      </c>
      <c r="Y1503" s="96" t="s">
        <v>30</v>
      </c>
      <c r="Z1503" s="96" t="s">
        <v>30</v>
      </c>
      <c r="AA1503" s="91" t="s">
        <v>32</v>
      </c>
      <c r="AB1503" s="96" t="s">
        <v>30</v>
      </c>
      <c r="AC1503" s="96" t="s">
        <v>30</v>
      </c>
      <c r="AD1503" s="96" t="s">
        <v>30</v>
      </c>
      <c r="AE1503" s="96" t="s">
        <v>30</v>
      </c>
      <c r="AF1503" s="96" t="s">
        <v>30</v>
      </c>
      <c r="AG1503" s="96" t="s">
        <v>30</v>
      </c>
      <c r="AH1503" s="107" t="s">
        <v>30</v>
      </c>
      <c r="AI1503" s="110" t="s">
        <v>32</v>
      </c>
      <c r="AJ1503" s="110" t="s">
        <v>32</v>
      </c>
      <c r="AK1503" s="110" t="s">
        <v>32</v>
      </c>
      <c r="AL1503" s="80" t="s">
        <v>30</v>
      </c>
      <c r="AM1503" s="840" t="s">
        <v>2080</v>
      </c>
    </row>
    <row r="1504" spans="1:47">
      <c r="A1504" s="834" t="s">
        <v>24</v>
      </c>
      <c r="B1504" s="835">
        <v>1501</v>
      </c>
      <c r="C1504" s="838" t="s">
        <v>2156</v>
      </c>
      <c r="D1504" s="838" t="s">
        <v>64</v>
      </c>
      <c r="E1504" s="839">
        <v>45975</v>
      </c>
      <c r="F1504" s="838" t="s">
        <v>412</v>
      </c>
      <c r="G1504" s="838">
        <v>17</v>
      </c>
      <c r="H1504" s="838" t="s">
        <v>1077</v>
      </c>
      <c r="I1504" s="838" t="s">
        <v>1138</v>
      </c>
      <c r="J1504" s="838"/>
      <c r="K1504" s="834" t="s">
        <v>2076</v>
      </c>
      <c r="L1504" s="834" t="s">
        <v>2152</v>
      </c>
      <c r="M1504" s="834" t="s">
        <v>2152</v>
      </c>
      <c r="N1504" s="834" t="s">
        <v>2157</v>
      </c>
      <c r="O1504" s="113" t="s">
        <v>30</v>
      </c>
      <c r="P1504" s="848" t="s">
        <v>1091</v>
      </c>
      <c r="Q1504" s="24">
        <v>46014</v>
      </c>
      <c r="R1504" s="241" t="s">
        <v>1138</v>
      </c>
      <c r="S1504" s="834" t="s">
        <v>32</v>
      </c>
      <c r="T1504" s="834">
        <v>17</v>
      </c>
      <c r="U1504" s="24" t="s">
        <v>1138</v>
      </c>
      <c r="V1504" s="24">
        <v>46014</v>
      </c>
      <c r="W1504" s="96" t="s">
        <v>30</v>
      </c>
      <c r="X1504" s="96" t="s">
        <v>30</v>
      </c>
      <c r="Y1504" s="96" t="s">
        <v>30</v>
      </c>
      <c r="Z1504" s="96" t="s">
        <v>30</v>
      </c>
      <c r="AA1504" s="96" t="s">
        <v>30</v>
      </c>
      <c r="AB1504" s="96" t="s">
        <v>30</v>
      </c>
      <c r="AC1504" s="96" t="s">
        <v>30</v>
      </c>
      <c r="AD1504" s="96" t="s">
        <v>30</v>
      </c>
      <c r="AE1504" s="96" t="s">
        <v>30</v>
      </c>
      <c r="AF1504" s="96" t="s">
        <v>30</v>
      </c>
      <c r="AG1504" s="96" t="s">
        <v>30</v>
      </c>
      <c r="AH1504" s="96" t="s">
        <v>30</v>
      </c>
      <c r="AI1504" s="96" t="s">
        <v>30</v>
      </c>
      <c r="AJ1504" s="96" t="s">
        <v>30</v>
      </c>
      <c r="AK1504" s="110" t="s">
        <v>32</v>
      </c>
      <c r="AL1504" s="80" t="s">
        <v>30</v>
      </c>
      <c r="AM1504" s="840" t="s">
        <v>2080</v>
      </c>
      <c r="AR1504" s="84"/>
      <c r="AS1504" s="71"/>
      <c r="AT1504" s="71"/>
      <c r="AU1504" s="71"/>
    </row>
    <row r="1505" spans="1:47">
      <c r="A1505" s="834" t="s">
        <v>24</v>
      </c>
      <c r="B1505" s="835">
        <v>1502</v>
      </c>
      <c r="C1505" s="838" t="s">
        <v>2158</v>
      </c>
      <c r="D1505" s="838" t="s">
        <v>34</v>
      </c>
      <c r="E1505" s="839">
        <v>45975</v>
      </c>
      <c r="F1505" s="838" t="s">
        <v>2159</v>
      </c>
      <c r="G1505" s="838">
        <v>6</v>
      </c>
      <c r="H1505" s="838" t="s">
        <v>127</v>
      </c>
      <c r="I1505" s="838" t="s">
        <v>178</v>
      </c>
      <c r="J1505" s="838"/>
      <c r="K1505" s="834" t="s">
        <v>2087</v>
      </c>
      <c r="L1505" s="834" t="s">
        <v>2152</v>
      </c>
      <c r="M1505" s="834" t="s">
        <v>2152</v>
      </c>
      <c r="N1505" s="834" t="s">
        <v>2050</v>
      </c>
      <c r="O1505" s="848" t="s">
        <v>32</v>
      </c>
      <c r="P1505" s="23" t="s">
        <v>1091</v>
      </c>
      <c r="Q1505" s="24">
        <v>46020</v>
      </c>
      <c r="R1505" s="79" t="s">
        <v>28</v>
      </c>
      <c r="S1505" s="22" t="s">
        <v>1140</v>
      </c>
      <c r="T1505" s="22">
        <v>6</v>
      </c>
      <c r="U1505" s="24" t="s">
        <v>28</v>
      </c>
      <c r="V1505" s="24">
        <v>46020</v>
      </c>
      <c r="W1505" s="96" t="s">
        <v>30</v>
      </c>
      <c r="X1505" s="96" t="s">
        <v>30</v>
      </c>
      <c r="Y1505" s="96" t="s">
        <v>30</v>
      </c>
      <c r="Z1505" s="91" t="s">
        <v>32</v>
      </c>
      <c r="AA1505" s="91" t="s">
        <v>32</v>
      </c>
      <c r="AB1505" s="91" t="s">
        <v>32</v>
      </c>
      <c r="AC1505" s="96" t="s">
        <v>30</v>
      </c>
      <c r="AD1505" s="96" t="s">
        <v>30</v>
      </c>
      <c r="AE1505" s="96" t="s">
        <v>30</v>
      </c>
      <c r="AF1505" s="96" t="s">
        <v>30</v>
      </c>
      <c r="AG1505" s="96" t="s">
        <v>30</v>
      </c>
      <c r="AH1505" s="107" t="s">
        <v>30</v>
      </c>
      <c r="AI1505" s="96" t="s">
        <v>30</v>
      </c>
      <c r="AJ1505" s="96" t="s">
        <v>30</v>
      </c>
      <c r="AK1505" s="96" t="s">
        <v>30</v>
      </c>
      <c r="AL1505" s="96" t="s">
        <v>30</v>
      </c>
      <c r="AM1505" s="840" t="s">
        <v>2089</v>
      </c>
    </row>
    <row r="1506" spans="1:47">
      <c r="A1506" s="834" t="s">
        <v>24</v>
      </c>
      <c r="B1506" s="835">
        <v>1503</v>
      </c>
      <c r="C1506" s="838" t="s">
        <v>2160</v>
      </c>
      <c r="D1506" s="838" t="s">
        <v>43</v>
      </c>
      <c r="E1506" s="839">
        <v>45976</v>
      </c>
      <c r="F1506" s="838" t="s">
        <v>2161</v>
      </c>
      <c r="G1506" s="838">
        <v>12</v>
      </c>
      <c r="H1506" s="838" t="s">
        <v>1077</v>
      </c>
      <c r="I1506" s="838" t="s">
        <v>1138</v>
      </c>
      <c r="J1506" s="838"/>
      <c r="K1506" s="834" t="s">
        <v>2162</v>
      </c>
      <c r="L1506" s="834" t="s">
        <v>2146</v>
      </c>
      <c r="M1506" s="834" t="s">
        <v>2163</v>
      </c>
      <c r="N1506" s="834" t="s">
        <v>2050</v>
      </c>
      <c r="O1506" s="848" t="s">
        <v>32</v>
      </c>
      <c r="P1506" s="848" t="s">
        <v>1091</v>
      </c>
      <c r="Q1506" s="24">
        <v>46020</v>
      </c>
      <c r="R1506" s="241" t="s">
        <v>1138</v>
      </c>
      <c r="S1506" s="834" t="s">
        <v>32</v>
      </c>
      <c r="T1506" s="834">
        <v>10</v>
      </c>
      <c r="U1506" s="24" t="s">
        <v>1138</v>
      </c>
      <c r="V1506" s="24">
        <v>46020</v>
      </c>
      <c r="W1506" s="96" t="s">
        <v>30</v>
      </c>
      <c r="X1506" s="96" t="s">
        <v>30</v>
      </c>
      <c r="Y1506" s="96" t="s">
        <v>30</v>
      </c>
      <c r="Z1506" s="96" t="s">
        <v>30</v>
      </c>
      <c r="AA1506" s="96" t="s">
        <v>30</v>
      </c>
      <c r="AB1506" s="96" t="s">
        <v>30</v>
      </c>
      <c r="AC1506" s="96" t="s">
        <v>30</v>
      </c>
      <c r="AD1506" s="96" t="s">
        <v>30</v>
      </c>
      <c r="AE1506" s="96" t="s">
        <v>30</v>
      </c>
      <c r="AF1506" s="96" t="s">
        <v>30</v>
      </c>
      <c r="AG1506" s="96" t="s">
        <v>30</v>
      </c>
      <c r="AH1506" s="107" t="s">
        <v>30</v>
      </c>
      <c r="AI1506" s="96" t="s">
        <v>30</v>
      </c>
      <c r="AJ1506" s="96" t="s">
        <v>30</v>
      </c>
      <c r="AK1506" s="96" t="s">
        <v>30</v>
      </c>
      <c r="AL1506" s="91" t="s">
        <v>32</v>
      </c>
      <c r="AM1506" s="840"/>
    </row>
    <row r="1507" spans="1:47">
      <c r="A1507" s="834" t="s">
        <v>24</v>
      </c>
      <c r="B1507" s="835">
        <v>1504</v>
      </c>
      <c r="C1507" s="838" t="s">
        <v>2164</v>
      </c>
      <c r="D1507" s="838" t="s">
        <v>34</v>
      </c>
      <c r="E1507" s="839">
        <v>45976</v>
      </c>
      <c r="F1507" s="838" t="s">
        <v>65</v>
      </c>
      <c r="G1507" s="838">
        <v>24</v>
      </c>
      <c r="H1507" s="838" t="s">
        <v>1077</v>
      </c>
      <c r="I1507" s="838" t="s">
        <v>1138</v>
      </c>
      <c r="J1507" s="98" t="s">
        <v>2165</v>
      </c>
      <c r="K1507" s="834" t="s">
        <v>2052</v>
      </c>
      <c r="L1507" s="834" t="s">
        <v>2146</v>
      </c>
      <c r="M1507" s="834" t="s">
        <v>2152</v>
      </c>
      <c r="N1507" s="834" t="s">
        <v>2166</v>
      </c>
      <c r="O1507" s="113" t="s">
        <v>30</v>
      </c>
      <c r="P1507" s="848"/>
      <c r="Q1507" s="24"/>
      <c r="R1507" s="241" t="s">
        <v>1138</v>
      </c>
      <c r="S1507" s="834"/>
      <c r="T1507" s="834"/>
      <c r="U1507" s="24"/>
      <c r="V1507" s="24"/>
      <c r="W1507" s="90" t="s">
        <v>30</v>
      </c>
      <c r="X1507" s="96" t="s">
        <v>30</v>
      </c>
      <c r="Y1507" s="90" t="s">
        <v>30</v>
      </c>
      <c r="Z1507" s="96" t="s">
        <v>30</v>
      </c>
      <c r="AA1507" s="96" t="s">
        <v>30</v>
      </c>
      <c r="AB1507" s="96" t="s">
        <v>30</v>
      </c>
      <c r="AC1507" s="96" t="s">
        <v>30</v>
      </c>
      <c r="AD1507" s="96" t="s">
        <v>30</v>
      </c>
      <c r="AE1507" s="96" t="s">
        <v>30</v>
      </c>
      <c r="AF1507" s="96" t="s">
        <v>30</v>
      </c>
      <c r="AG1507" s="96" t="s">
        <v>30</v>
      </c>
      <c r="AH1507" s="107" t="s">
        <v>30</v>
      </c>
      <c r="AI1507" s="96" t="s">
        <v>30</v>
      </c>
      <c r="AJ1507" s="96" t="s">
        <v>30</v>
      </c>
      <c r="AK1507" s="96" t="s">
        <v>30</v>
      </c>
      <c r="AL1507" s="91" t="s">
        <v>32</v>
      </c>
      <c r="AM1507" s="840"/>
      <c r="AR1507" s="84"/>
      <c r="AS1507" s="71"/>
      <c r="AT1507" s="71"/>
      <c r="AU1507" s="71"/>
    </row>
    <row r="1508" spans="1:47">
      <c r="A1508" s="834" t="s">
        <v>24</v>
      </c>
      <c r="B1508" s="835">
        <v>1505</v>
      </c>
      <c r="C1508" s="838" t="s">
        <v>2167</v>
      </c>
      <c r="D1508" s="838" t="s">
        <v>34</v>
      </c>
      <c r="E1508" s="839">
        <v>45976</v>
      </c>
      <c r="F1508" s="838" t="s">
        <v>65</v>
      </c>
      <c r="G1508" s="838">
        <v>1</v>
      </c>
      <c r="H1508" s="838" t="s">
        <v>1077</v>
      </c>
      <c r="I1508" s="838" t="s">
        <v>1138</v>
      </c>
      <c r="J1508" s="838"/>
      <c r="K1508" s="834" t="s">
        <v>2052</v>
      </c>
      <c r="L1508" s="834" t="s">
        <v>401</v>
      </c>
      <c r="M1508" s="834" t="s">
        <v>401</v>
      </c>
      <c r="N1508" s="834" t="s">
        <v>401</v>
      </c>
      <c r="O1508" s="113" t="s">
        <v>401</v>
      </c>
      <c r="P1508" s="848" t="s">
        <v>1091</v>
      </c>
      <c r="Q1508" s="24">
        <v>46020</v>
      </c>
      <c r="R1508" s="241" t="s">
        <v>1138</v>
      </c>
      <c r="S1508" s="834" t="s">
        <v>32</v>
      </c>
      <c r="T1508" s="834">
        <v>1</v>
      </c>
      <c r="U1508" s="24" t="s">
        <v>1138</v>
      </c>
      <c r="V1508" s="24">
        <v>46020</v>
      </c>
      <c r="W1508" s="90" t="s">
        <v>30</v>
      </c>
      <c r="X1508" s="96" t="s">
        <v>30</v>
      </c>
      <c r="Y1508" s="90" t="s">
        <v>30</v>
      </c>
      <c r="Z1508" s="96" t="s">
        <v>30</v>
      </c>
      <c r="AA1508" s="96" t="s">
        <v>30</v>
      </c>
      <c r="AB1508" s="96" t="s">
        <v>30</v>
      </c>
      <c r="AC1508" s="110" t="s">
        <v>32</v>
      </c>
      <c r="AD1508" s="96" t="s">
        <v>30</v>
      </c>
      <c r="AE1508" s="96" t="s">
        <v>30</v>
      </c>
      <c r="AF1508" s="96" t="s">
        <v>30</v>
      </c>
      <c r="AG1508" s="96" t="s">
        <v>30</v>
      </c>
      <c r="AH1508" s="110"/>
      <c r="AI1508" s="96" t="s">
        <v>30</v>
      </c>
      <c r="AJ1508" s="96" t="s">
        <v>30</v>
      </c>
      <c r="AK1508" s="110" t="s">
        <v>32</v>
      </c>
      <c r="AL1508" s="91"/>
      <c r="AM1508" s="840" t="s">
        <v>2168</v>
      </c>
      <c r="AR1508" s="84"/>
      <c r="AS1508" s="71"/>
      <c r="AT1508" s="71"/>
      <c r="AU1508" s="71"/>
    </row>
    <row r="1509" spans="1:47">
      <c r="A1509" s="834" t="s">
        <v>24</v>
      </c>
      <c r="B1509" s="835">
        <v>1506</v>
      </c>
      <c r="C1509" s="838" t="s">
        <v>2169</v>
      </c>
      <c r="D1509" s="838" t="s">
        <v>34</v>
      </c>
      <c r="E1509" s="839">
        <v>45976</v>
      </c>
      <c r="F1509" s="838" t="s">
        <v>65</v>
      </c>
      <c r="G1509" s="838">
        <v>7</v>
      </c>
      <c r="H1509" s="838" t="s">
        <v>1077</v>
      </c>
      <c r="I1509" s="838" t="s">
        <v>1138</v>
      </c>
      <c r="J1509" s="838"/>
      <c r="K1509" s="834" t="s">
        <v>2170</v>
      </c>
      <c r="L1509" s="834" t="s">
        <v>2146</v>
      </c>
      <c r="M1509" s="834" t="s">
        <v>2152</v>
      </c>
      <c r="N1509" s="834" t="s">
        <v>2166</v>
      </c>
      <c r="O1509" s="848" t="s">
        <v>32</v>
      </c>
      <c r="P1509" s="848" t="s">
        <v>1091</v>
      </c>
      <c r="Q1509" s="24">
        <v>46014</v>
      </c>
      <c r="R1509" s="241" t="s">
        <v>1138</v>
      </c>
      <c r="S1509" s="834" t="s">
        <v>32</v>
      </c>
      <c r="T1509" s="834">
        <v>7</v>
      </c>
      <c r="U1509" s="24" t="s">
        <v>1138</v>
      </c>
      <c r="V1509" s="24">
        <v>46014</v>
      </c>
      <c r="W1509" s="90" t="s">
        <v>30</v>
      </c>
      <c r="X1509" s="96" t="s">
        <v>30</v>
      </c>
      <c r="Y1509" s="96" t="s">
        <v>30</v>
      </c>
      <c r="Z1509" s="91" t="s">
        <v>32</v>
      </c>
      <c r="AA1509" s="91" t="s">
        <v>32</v>
      </c>
      <c r="AB1509" s="91" t="s">
        <v>32</v>
      </c>
      <c r="AC1509" s="96" t="s">
        <v>30</v>
      </c>
      <c r="AD1509" s="96" t="s">
        <v>30</v>
      </c>
      <c r="AE1509" s="96" t="s">
        <v>30</v>
      </c>
      <c r="AF1509" s="96" t="s">
        <v>30</v>
      </c>
      <c r="AG1509" s="96" t="s">
        <v>30</v>
      </c>
      <c r="AH1509" s="107" t="s">
        <v>30</v>
      </c>
      <c r="AI1509" s="108" t="s">
        <v>30</v>
      </c>
      <c r="AJ1509" s="108" t="s">
        <v>30</v>
      </c>
      <c r="AK1509" s="108" t="s">
        <v>30</v>
      </c>
      <c r="AL1509" s="80" t="s">
        <v>30</v>
      </c>
      <c r="AM1509" s="840"/>
      <c r="AO1509" s="776"/>
      <c r="AP1509" s="776"/>
      <c r="AQ1509" s="776"/>
      <c r="AR1509" s="776"/>
    </row>
    <row r="1510" spans="1:47">
      <c r="A1510" s="834" t="s">
        <v>24</v>
      </c>
      <c r="B1510" s="835">
        <v>1507</v>
      </c>
      <c r="C1510" s="838" t="s">
        <v>2171</v>
      </c>
      <c r="D1510" s="838" t="s">
        <v>446</v>
      </c>
      <c r="E1510" s="839">
        <v>45976</v>
      </c>
      <c r="F1510" s="838" t="s">
        <v>439</v>
      </c>
      <c r="G1510" s="838">
        <v>11</v>
      </c>
      <c r="H1510" s="838" t="s">
        <v>127</v>
      </c>
      <c r="I1510" s="838" t="s">
        <v>178</v>
      </c>
      <c r="J1510" s="98"/>
      <c r="K1510" s="834" t="s">
        <v>2142</v>
      </c>
      <c r="L1510" s="834" t="s">
        <v>2152</v>
      </c>
      <c r="M1510" s="834" t="s">
        <v>2152</v>
      </c>
      <c r="N1510" s="834" t="s">
        <v>2050</v>
      </c>
      <c r="O1510" s="848" t="s">
        <v>32</v>
      </c>
      <c r="P1510" s="848" t="s">
        <v>1091</v>
      </c>
      <c r="Q1510" s="24">
        <v>46010</v>
      </c>
      <c r="R1510" s="79" t="s">
        <v>28</v>
      </c>
      <c r="S1510" s="22" t="s">
        <v>32</v>
      </c>
      <c r="T1510" s="22">
        <v>11</v>
      </c>
      <c r="U1510" s="24" t="s">
        <v>28</v>
      </c>
      <c r="V1510" s="24">
        <v>46010</v>
      </c>
      <c r="W1510" s="96" t="s">
        <v>30</v>
      </c>
      <c r="X1510" s="96" t="s">
        <v>30</v>
      </c>
      <c r="Y1510" s="96" t="s">
        <v>30</v>
      </c>
      <c r="Z1510" s="91" t="s">
        <v>32</v>
      </c>
      <c r="AA1510" s="91" t="s">
        <v>32</v>
      </c>
      <c r="AB1510" s="96" t="s">
        <v>30</v>
      </c>
      <c r="AC1510" s="96" t="s">
        <v>30</v>
      </c>
      <c r="AD1510" s="96" t="s">
        <v>30</v>
      </c>
      <c r="AE1510" s="96" t="s">
        <v>30</v>
      </c>
      <c r="AF1510" s="96" t="s">
        <v>30</v>
      </c>
      <c r="AG1510" s="96" t="s">
        <v>30</v>
      </c>
      <c r="AH1510" s="96" t="s">
        <v>30</v>
      </c>
      <c r="AI1510" s="96" t="s">
        <v>30</v>
      </c>
      <c r="AJ1510" s="96" t="s">
        <v>30</v>
      </c>
      <c r="AK1510" s="96" t="s">
        <v>30</v>
      </c>
      <c r="AL1510" s="80" t="s">
        <v>30</v>
      </c>
      <c r="AM1510" s="840" t="s">
        <v>2080</v>
      </c>
      <c r="AS1510" s="71"/>
      <c r="AT1510" s="92"/>
      <c r="AU1510" s="92"/>
    </row>
    <row r="1511" spans="1:47">
      <c r="A1511" s="834" t="s">
        <v>24</v>
      </c>
      <c r="B1511" s="835">
        <v>1508</v>
      </c>
      <c r="C1511" s="838" t="s">
        <v>2172</v>
      </c>
      <c r="D1511" s="838" t="s">
        <v>57</v>
      </c>
      <c r="E1511" s="839">
        <v>45976</v>
      </c>
      <c r="F1511" s="838" t="s">
        <v>644</v>
      </c>
      <c r="G1511" s="838">
        <v>18</v>
      </c>
      <c r="H1511" s="838" t="s">
        <v>127</v>
      </c>
      <c r="I1511" s="838" t="s">
        <v>36</v>
      </c>
      <c r="J1511" s="98"/>
      <c r="K1511" s="834" t="s">
        <v>2096</v>
      </c>
      <c r="L1511" s="834" t="s">
        <v>2049</v>
      </c>
      <c r="M1511" s="834" t="s">
        <v>2049</v>
      </c>
      <c r="N1511" s="834" t="s">
        <v>2050</v>
      </c>
      <c r="O1511" s="113" t="s">
        <v>30</v>
      </c>
      <c r="P1511" s="23" t="s">
        <v>1091</v>
      </c>
      <c r="Q1511" s="24">
        <v>46020</v>
      </c>
      <c r="R1511" s="79" t="s">
        <v>28</v>
      </c>
      <c r="S1511" s="22" t="s">
        <v>32</v>
      </c>
      <c r="T1511" s="22">
        <v>16</v>
      </c>
      <c r="U1511" s="24" t="s">
        <v>28</v>
      </c>
      <c r="V1511" s="24">
        <v>46020</v>
      </c>
      <c r="W1511" s="103" t="s">
        <v>32</v>
      </c>
      <c r="X1511" s="91" t="s">
        <v>32</v>
      </c>
      <c r="Y1511" s="91" t="s">
        <v>32</v>
      </c>
      <c r="Z1511" s="96" t="s">
        <v>30</v>
      </c>
      <c r="AA1511" s="96" t="s">
        <v>30</v>
      </c>
      <c r="AB1511" s="96" t="s">
        <v>30</v>
      </c>
      <c r="AC1511" s="96" t="s">
        <v>30</v>
      </c>
      <c r="AD1511" s="96" t="s">
        <v>30</v>
      </c>
      <c r="AE1511" s="96" t="s">
        <v>30</v>
      </c>
      <c r="AF1511" s="96" t="s">
        <v>30</v>
      </c>
      <c r="AG1511" s="96" t="s">
        <v>30</v>
      </c>
      <c r="AH1511" s="110" t="s">
        <v>32</v>
      </c>
      <c r="AI1511" s="96" t="s">
        <v>30</v>
      </c>
      <c r="AJ1511" s="96" t="s">
        <v>30</v>
      </c>
      <c r="AK1511" s="96" t="s">
        <v>30</v>
      </c>
      <c r="AL1511" s="80" t="s">
        <v>30</v>
      </c>
      <c r="AM1511" s="840"/>
      <c r="AO1511" s="776"/>
      <c r="AP1511" s="776"/>
      <c r="AQ1511" s="776"/>
      <c r="AR1511" s="776"/>
    </row>
    <row r="1512" spans="1:47">
      <c r="A1512" s="834" t="s">
        <v>24</v>
      </c>
      <c r="B1512" s="835">
        <v>1509</v>
      </c>
      <c r="C1512" s="838" t="s">
        <v>2173</v>
      </c>
      <c r="D1512" s="838" t="s">
        <v>83</v>
      </c>
      <c r="E1512" s="839">
        <v>45976</v>
      </c>
      <c r="F1512" s="838" t="s">
        <v>106</v>
      </c>
      <c r="G1512" s="838">
        <v>16</v>
      </c>
      <c r="H1512" s="838" t="s">
        <v>127</v>
      </c>
      <c r="I1512" s="838" t="s">
        <v>36</v>
      </c>
      <c r="J1512" s="219"/>
      <c r="K1512" s="834" t="s">
        <v>2085</v>
      </c>
      <c r="L1512" s="834" t="s">
        <v>2146</v>
      </c>
      <c r="M1512" s="834" t="s">
        <v>2146</v>
      </c>
      <c r="N1512" s="834" t="s">
        <v>2083</v>
      </c>
      <c r="O1512" s="113" t="s">
        <v>30</v>
      </c>
      <c r="P1512" s="23" t="s">
        <v>1091</v>
      </c>
      <c r="Q1512" s="24">
        <v>46011</v>
      </c>
      <c r="R1512" s="79" t="s">
        <v>28</v>
      </c>
      <c r="S1512" s="22" t="s">
        <v>32</v>
      </c>
      <c r="T1512" s="22">
        <v>15</v>
      </c>
      <c r="U1512" s="24" t="s">
        <v>28</v>
      </c>
      <c r="V1512" s="24">
        <v>46011</v>
      </c>
      <c r="W1512" s="96" t="s">
        <v>30</v>
      </c>
      <c r="X1512" s="96" t="s">
        <v>30</v>
      </c>
      <c r="Y1512" s="96" t="s">
        <v>30</v>
      </c>
      <c r="Z1512" s="96" t="s">
        <v>30</v>
      </c>
      <c r="AA1512" s="96" t="s">
        <v>30</v>
      </c>
      <c r="AB1512" s="96" t="s">
        <v>30</v>
      </c>
      <c r="AC1512" s="96" t="s">
        <v>30</v>
      </c>
      <c r="AD1512" s="96" t="s">
        <v>30</v>
      </c>
      <c r="AE1512" s="96" t="s">
        <v>30</v>
      </c>
      <c r="AF1512" s="96" t="s">
        <v>30</v>
      </c>
      <c r="AG1512" s="96" t="s">
        <v>30</v>
      </c>
      <c r="AH1512" s="107" t="s">
        <v>30</v>
      </c>
      <c r="AI1512" s="96" t="s">
        <v>30</v>
      </c>
      <c r="AJ1512" s="96" t="s">
        <v>30</v>
      </c>
      <c r="AK1512" s="96" t="s">
        <v>30</v>
      </c>
      <c r="AL1512" s="80" t="s">
        <v>30</v>
      </c>
      <c r="AM1512" s="840"/>
      <c r="AO1512" s="776"/>
      <c r="AP1512" s="776"/>
      <c r="AQ1512" s="776"/>
      <c r="AR1512" s="776"/>
    </row>
    <row r="1513" spans="1:47">
      <c r="A1513" s="834" t="s">
        <v>24</v>
      </c>
      <c r="B1513" s="835">
        <v>1510</v>
      </c>
      <c r="C1513" s="838" t="s">
        <v>2174</v>
      </c>
      <c r="D1513" s="838" t="s">
        <v>34</v>
      </c>
      <c r="E1513" s="839">
        <v>45976</v>
      </c>
      <c r="F1513" s="838" t="s">
        <v>167</v>
      </c>
      <c r="G1513" s="838">
        <v>17</v>
      </c>
      <c r="H1513" s="838" t="s">
        <v>127</v>
      </c>
      <c r="I1513" s="838" t="s">
        <v>36</v>
      </c>
      <c r="J1513" s="98" t="s">
        <v>2175</v>
      </c>
      <c r="K1513" s="834" t="s">
        <v>2092</v>
      </c>
      <c r="L1513" s="834" t="s">
        <v>2146</v>
      </c>
      <c r="M1513" s="834" t="s">
        <v>2146</v>
      </c>
      <c r="N1513" s="834" t="s">
        <v>2050</v>
      </c>
      <c r="O1513" s="113" t="s">
        <v>30</v>
      </c>
      <c r="P1513" s="23"/>
      <c r="Q1513" s="24"/>
      <c r="R1513" s="79" t="s">
        <v>28</v>
      </c>
      <c r="S1513" s="22"/>
      <c r="T1513" s="22"/>
      <c r="U1513" s="24"/>
      <c r="V1513" s="24"/>
      <c r="W1513" s="96" t="s">
        <v>30</v>
      </c>
      <c r="X1513" s="96" t="s">
        <v>30</v>
      </c>
      <c r="Y1513" s="96" t="s">
        <v>30</v>
      </c>
      <c r="Z1513" s="91" t="s">
        <v>32</v>
      </c>
      <c r="AA1513" s="91" t="s">
        <v>32</v>
      </c>
      <c r="AB1513" s="91" t="s">
        <v>32</v>
      </c>
      <c r="AC1513" s="96" t="s">
        <v>30</v>
      </c>
      <c r="AD1513" s="96" t="s">
        <v>30</v>
      </c>
      <c r="AE1513" s="96" t="s">
        <v>30</v>
      </c>
      <c r="AF1513" s="96" t="s">
        <v>30</v>
      </c>
      <c r="AG1513" s="96" t="s">
        <v>30</v>
      </c>
      <c r="AH1513" s="107" t="s">
        <v>30</v>
      </c>
      <c r="AI1513" s="96" t="s">
        <v>30</v>
      </c>
      <c r="AJ1513" s="96" t="s">
        <v>30</v>
      </c>
      <c r="AK1513" s="96" t="s">
        <v>30</v>
      </c>
      <c r="AL1513" s="91" t="s">
        <v>32</v>
      </c>
      <c r="AM1513" s="840" t="s">
        <v>2089</v>
      </c>
    </row>
    <row r="1514" spans="1:47">
      <c r="A1514" s="834" t="s">
        <v>24</v>
      </c>
      <c r="B1514" s="835">
        <v>1511</v>
      </c>
      <c r="C1514" s="838" t="s">
        <v>2176</v>
      </c>
      <c r="D1514" s="838" t="s">
        <v>34</v>
      </c>
      <c r="E1514" s="839">
        <v>45976</v>
      </c>
      <c r="F1514" s="838" t="s">
        <v>2177</v>
      </c>
      <c r="G1514" s="838">
        <v>11</v>
      </c>
      <c r="H1514" s="838" t="s">
        <v>127</v>
      </c>
      <c r="I1514" s="838" t="s">
        <v>36</v>
      </c>
      <c r="J1514" s="838"/>
      <c r="K1514" s="834" t="s">
        <v>2087</v>
      </c>
      <c r="L1514" s="834" t="s">
        <v>2152</v>
      </c>
      <c r="M1514" s="834" t="s">
        <v>2152</v>
      </c>
      <c r="N1514" s="834" t="s">
        <v>2050</v>
      </c>
      <c r="O1514" s="848" t="s">
        <v>32</v>
      </c>
      <c r="P1514" s="848" t="s">
        <v>1091</v>
      </c>
      <c r="Q1514" s="24">
        <v>46020</v>
      </c>
      <c r="R1514" s="79" t="s">
        <v>28</v>
      </c>
      <c r="S1514" s="22" t="s">
        <v>1140</v>
      </c>
      <c r="T1514" s="22">
        <v>11</v>
      </c>
      <c r="U1514" s="24" t="s">
        <v>28</v>
      </c>
      <c r="V1514" s="24">
        <v>46020</v>
      </c>
      <c r="W1514" s="96" t="s">
        <v>30</v>
      </c>
      <c r="X1514" s="96" t="s">
        <v>30</v>
      </c>
      <c r="Y1514" s="96" t="s">
        <v>30</v>
      </c>
      <c r="Z1514" s="91" t="s">
        <v>32</v>
      </c>
      <c r="AA1514" s="91" t="s">
        <v>32</v>
      </c>
      <c r="AB1514" s="91" t="s">
        <v>32</v>
      </c>
      <c r="AC1514" s="96" t="s">
        <v>30</v>
      </c>
      <c r="AD1514" s="96" t="s">
        <v>30</v>
      </c>
      <c r="AE1514" s="96" t="s">
        <v>30</v>
      </c>
      <c r="AF1514" s="96" t="s">
        <v>30</v>
      </c>
      <c r="AG1514" s="96" t="s">
        <v>30</v>
      </c>
      <c r="AH1514" s="107" t="s">
        <v>30</v>
      </c>
      <c r="AI1514" s="96" t="s">
        <v>30</v>
      </c>
      <c r="AJ1514" s="96" t="s">
        <v>30</v>
      </c>
      <c r="AK1514" s="96" t="s">
        <v>30</v>
      </c>
      <c r="AL1514" s="80" t="s">
        <v>30</v>
      </c>
      <c r="AM1514" s="840" t="s">
        <v>2089</v>
      </c>
    </row>
    <row r="1515" spans="1:47">
      <c r="A1515" s="834" t="s">
        <v>24</v>
      </c>
      <c r="B1515" s="835">
        <v>1512</v>
      </c>
      <c r="C1515" s="838" t="s">
        <v>2178</v>
      </c>
      <c r="D1515" s="838" t="s">
        <v>34</v>
      </c>
      <c r="E1515" s="839">
        <v>45976</v>
      </c>
      <c r="F1515" s="838" t="s">
        <v>2179</v>
      </c>
      <c r="G1515" s="838">
        <v>18</v>
      </c>
      <c r="H1515" s="838" t="s">
        <v>1795</v>
      </c>
      <c r="I1515" s="838" t="s">
        <v>1877</v>
      </c>
      <c r="J1515" s="838"/>
      <c r="K1515" s="834" t="s">
        <v>2180</v>
      </c>
      <c r="L1515" s="834" t="s">
        <v>2146</v>
      </c>
      <c r="M1515" s="834" t="s">
        <v>2152</v>
      </c>
      <c r="N1515" s="834" t="s">
        <v>2136</v>
      </c>
      <c r="O1515" s="113" t="s">
        <v>30</v>
      </c>
      <c r="P1515" s="848" t="s">
        <v>1091</v>
      </c>
      <c r="Q1515" s="24">
        <v>45994</v>
      </c>
      <c r="R1515" s="241" t="s">
        <v>1638</v>
      </c>
      <c r="S1515" s="834" t="s">
        <v>32</v>
      </c>
      <c r="T1515" s="834">
        <v>12</v>
      </c>
      <c r="U1515" s="24" t="s">
        <v>1638</v>
      </c>
      <c r="V1515" s="24">
        <v>45994</v>
      </c>
      <c r="W1515" s="96" t="s">
        <v>30</v>
      </c>
      <c r="X1515" s="96" t="s">
        <v>30</v>
      </c>
      <c r="Y1515" s="96" t="s">
        <v>30</v>
      </c>
      <c r="Z1515" s="91" t="s">
        <v>32</v>
      </c>
      <c r="AA1515" s="91" t="s">
        <v>32</v>
      </c>
      <c r="AB1515" s="91" t="s">
        <v>32</v>
      </c>
      <c r="AC1515" s="96" t="s">
        <v>30</v>
      </c>
      <c r="AD1515" s="96" t="s">
        <v>30</v>
      </c>
      <c r="AE1515" s="96" t="s">
        <v>30</v>
      </c>
      <c r="AF1515" s="96" t="s">
        <v>30</v>
      </c>
      <c r="AG1515" s="96" t="s">
        <v>30</v>
      </c>
      <c r="AH1515" s="96" t="s">
        <v>30</v>
      </c>
      <c r="AI1515" s="96" t="s">
        <v>30</v>
      </c>
      <c r="AJ1515" s="96" t="s">
        <v>30</v>
      </c>
      <c r="AK1515" s="96" t="s">
        <v>30</v>
      </c>
      <c r="AL1515" s="80" t="s">
        <v>30</v>
      </c>
      <c r="AM1515" s="840" t="s">
        <v>2089</v>
      </c>
    </row>
    <row r="1516" spans="1:47">
      <c r="A1516" s="834" t="s">
        <v>24</v>
      </c>
      <c r="B1516" s="835">
        <v>1513</v>
      </c>
      <c r="C1516" s="838" t="s">
        <v>2181</v>
      </c>
      <c r="D1516" s="838" t="s">
        <v>43</v>
      </c>
      <c r="E1516" s="839">
        <v>45976</v>
      </c>
      <c r="F1516" s="838" t="s">
        <v>2020</v>
      </c>
      <c r="G1516" s="838">
        <v>18</v>
      </c>
      <c r="H1516" s="838" t="s">
        <v>1721</v>
      </c>
      <c r="I1516" s="838" t="s">
        <v>1638</v>
      </c>
      <c r="J1516" s="838"/>
      <c r="K1516" s="834" t="s">
        <v>2100</v>
      </c>
      <c r="L1516" s="834" t="s">
        <v>2146</v>
      </c>
      <c r="M1516" s="834" t="s">
        <v>2146</v>
      </c>
      <c r="N1516" s="834" t="s">
        <v>2182</v>
      </c>
      <c r="O1516" s="113" t="s">
        <v>30</v>
      </c>
      <c r="P1516" s="848" t="s">
        <v>1091</v>
      </c>
      <c r="Q1516" s="24">
        <v>46017</v>
      </c>
      <c r="R1516" s="241" t="s">
        <v>1638</v>
      </c>
      <c r="S1516" s="834" t="s">
        <v>32</v>
      </c>
      <c r="T1516" s="834">
        <v>16</v>
      </c>
      <c r="U1516" s="24" t="s">
        <v>1638</v>
      </c>
      <c r="V1516" s="24">
        <v>46017</v>
      </c>
      <c r="W1516" s="96" t="s">
        <v>30</v>
      </c>
      <c r="X1516" s="96" t="s">
        <v>30</v>
      </c>
      <c r="Y1516" s="96" t="s">
        <v>30</v>
      </c>
      <c r="Z1516" s="96" t="s">
        <v>30</v>
      </c>
      <c r="AA1516" s="96" t="s">
        <v>30</v>
      </c>
      <c r="AB1516" s="96" t="s">
        <v>30</v>
      </c>
      <c r="AC1516" s="96" t="s">
        <v>30</v>
      </c>
      <c r="AD1516" s="96" t="s">
        <v>30</v>
      </c>
      <c r="AE1516" s="96" t="s">
        <v>30</v>
      </c>
      <c r="AF1516" s="96" t="s">
        <v>30</v>
      </c>
      <c r="AG1516" s="96" t="s">
        <v>30</v>
      </c>
      <c r="AH1516" s="107" t="s">
        <v>30</v>
      </c>
      <c r="AI1516" s="110" t="s">
        <v>32</v>
      </c>
      <c r="AJ1516" s="110" t="s">
        <v>32</v>
      </c>
      <c r="AK1516" s="96" t="s">
        <v>30</v>
      </c>
      <c r="AL1516" s="80" t="s">
        <v>30</v>
      </c>
      <c r="AM1516" s="840" t="s">
        <v>2080</v>
      </c>
    </row>
    <row r="1517" spans="1:47">
      <c r="A1517" s="834" t="s">
        <v>24</v>
      </c>
      <c r="B1517" s="835">
        <v>1514</v>
      </c>
      <c r="C1517" s="838" t="s">
        <v>2183</v>
      </c>
      <c r="D1517" s="838" t="s">
        <v>64</v>
      </c>
      <c r="E1517" s="839">
        <v>45976</v>
      </c>
      <c r="F1517" s="838" t="s">
        <v>2184</v>
      </c>
      <c r="G1517" s="838">
        <v>20</v>
      </c>
      <c r="H1517" s="838" t="s">
        <v>1721</v>
      </c>
      <c r="I1517" s="838" t="s">
        <v>1638</v>
      </c>
      <c r="J1517" s="838"/>
      <c r="K1517" s="840" t="s">
        <v>2102</v>
      </c>
      <c r="L1517" s="834" t="s">
        <v>2146</v>
      </c>
      <c r="M1517" s="834" t="s">
        <v>2146</v>
      </c>
      <c r="N1517" s="834" t="s">
        <v>2185</v>
      </c>
      <c r="O1517" s="113" t="s">
        <v>30</v>
      </c>
      <c r="P1517" s="848" t="s">
        <v>1091</v>
      </c>
      <c r="Q1517" s="24">
        <v>46021</v>
      </c>
      <c r="R1517" s="241" t="s">
        <v>1638</v>
      </c>
      <c r="S1517" s="834" t="s">
        <v>32</v>
      </c>
      <c r="T1517" s="834">
        <v>21</v>
      </c>
      <c r="U1517" s="24" t="s">
        <v>1638</v>
      </c>
      <c r="V1517" s="24">
        <v>46021</v>
      </c>
      <c r="W1517" s="96" t="s">
        <v>30</v>
      </c>
      <c r="X1517" s="96" t="s">
        <v>30</v>
      </c>
      <c r="Y1517" s="96" t="s">
        <v>30</v>
      </c>
      <c r="Z1517" s="96" t="s">
        <v>30</v>
      </c>
      <c r="AA1517" s="96" t="s">
        <v>30</v>
      </c>
      <c r="AB1517" s="96" t="s">
        <v>30</v>
      </c>
      <c r="AC1517" s="96" t="s">
        <v>30</v>
      </c>
      <c r="AD1517" s="96" t="s">
        <v>30</v>
      </c>
      <c r="AE1517" s="96" t="s">
        <v>30</v>
      </c>
      <c r="AF1517" s="96" t="s">
        <v>30</v>
      </c>
      <c r="AG1517" s="96" t="s">
        <v>30</v>
      </c>
      <c r="AH1517" s="107" t="s">
        <v>30</v>
      </c>
      <c r="AI1517" s="96" t="s">
        <v>30</v>
      </c>
      <c r="AJ1517" s="96" t="s">
        <v>30</v>
      </c>
      <c r="AK1517" s="107" t="s">
        <v>30</v>
      </c>
      <c r="AL1517" s="91" t="s">
        <v>32</v>
      </c>
      <c r="AM1517" s="840"/>
      <c r="AN1517" s="87"/>
      <c r="AO1517" s="87"/>
      <c r="AS1517" s="71"/>
      <c r="AT1517" s="92"/>
      <c r="AU1517" s="92"/>
    </row>
    <row r="1518" spans="1:47">
      <c r="A1518" s="834" t="s">
        <v>24</v>
      </c>
      <c r="B1518" s="835">
        <v>1515</v>
      </c>
      <c r="C1518" s="838" t="s">
        <v>2186</v>
      </c>
      <c r="D1518" s="838" t="s">
        <v>50</v>
      </c>
      <c r="E1518" s="839">
        <v>45976</v>
      </c>
      <c r="F1518" s="838" t="s">
        <v>1921</v>
      </c>
      <c r="G1518" s="838">
        <v>8</v>
      </c>
      <c r="H1518" s="838" t="s">
        <v>1721</v>
      </c>
      <c r="I1518" s="838" t="s">
        <v>1638</v>
      </c>
      <c r="J1518" s="838"/>
      <c r="K1518" s="834" t="s">
        <v>2126</v>
      </c>
      <c r="L1518" s="834" t="s">
        <v>2146</v>
      </c>
      <c r="M1518" s="834" t="s">
        <v>2152</v>
      </c>
      <c r="N1518" s="834" t="s">
        <v>2050</v>
      </c>
      <c r="O1518" s="848" t="s">
        <v>32</v>
      </c>
      <c r="P1518" s="848" t="s">
        <v>1091</v>
      </c>
      <c r="Q1518" s="24">
        <v>46010</v>
      </c>
      <c r="R1518" s="241" t="s">
        <v>1638</v>
      </c>
      <c r="S1518" s="834" t="s">
        <v>32</v>
      </c>
      <c r="T1518" s="830">
        <v>8</v>
      </c>
      <c r="U1518" s="24" t="s">
        <v>1638</v>
      </c>
      <c r="V1518" s="24">
        <v>46010</v>
      </c>
      <c r="W1518" s="96" t="s">
        <v>30</v>
      </c>
      <c r="X1518" s="96" t="s">
        <v>30</v>
      </c>
      <c r="Y1518" s="96" t="s">
        <v>30</v>
      </c>
      <c r="Z1518" s="96" t="s">
        <v>30</v>
      </c>
      <c r="AA1518" s="96" t="s">
        <v>30</v>
      </c>
      <c r="AB1518" s="96" t="s">
        <v>30</v>
      </c>
      <c r="AC1518" s="96" t="s">
        <v>30</v>
      </c>
      <c r="AD1518" s="96" t="s">
        <v>30</v>
      </c>
      <c r="AE1518" s="96" t="s">
        <v>30</v>
      </c>
      <c r="AF1518" s="96" t="s">
        <v>30</v>
      </c>
      <c r="AG1518" s="96" t="s">
        <v>30</v>
      </c>
      <c r="AH1518" s="107" t="s">
        <v>30</v>
      </c>
      <c r="AI1518" s="96" t="s">
        <v>30</v>
      </c>
      <c r="AJ1518" s="96" t="s">
        <v>30</v>
      </c>
      <c r="AK1518" s="96" t="s">
        <v>30</v>
      </c>
      <c r="AL1518" s="80" t="s">
        <v>30</v>
      </c>
      <c r="AM1518" s="840"/>
      <c r="AS1518" s="71"/>
      <c r="AT1518" s="92"/>
      <c r="AU1518" s="92"/>
    </row>
    <row r="1519" spans="1:47">
      <c r="A1519" s="834" t="s">
        <v>24</v>
      </c>
      <c r="B1519" s="835">
        <v>1516</v>
      </c>
      <c r="C1519" s="838" t="s">
        <v>2187</v>
      </c>
      <c r="D1519" s="838" t="s">
        <v>2188</v>
      </c>
      <c r="E1519" s="839">
        <v>45976</v>
      </c>
      <c r="F1519" s="838" t="s">
        <v>1749</v>
      </c>
      <c r="G1519" s="838">
        <v>13</v>
      </c>
      <c r="H1519" s="838" t="s">
        <v>67</v>
      </c>
      <c r="I1519" s="838" t="s">
        <v>47</v>
      </c>
      <c r="J1519" s="838"/>
      <c r="K1519" s="834" t="s">
        <v>2056</v>
      </c>
      <c r="L1519" s="834" t="s">
        <v>2146</v>
      </c>
      <c r="M1519" s="834" t="s">
        <v>2152</v>
      </c>
      <c r="N1519" s="834" t="s">
        <v>2058</v>
      </c>
      <c r="O1519" s="848" t="s">
        <v>32</v>
      </c>
      <c r="P1519" s="848" t="s">
        <v>1091</v>
      </c>
      <c r="Q1519" s="24">
        <v>46021</v>
      </c>
      <c r="R1519" s="79" t="s">
        <v>47</v>
      </c>
      <c r="S1519" s="22" t="s">
        <v>32</v>
      </c>
      <c r="T1519" s="22">
        <v>17</v>
      </c>
      <c r="U1519" s="24" t="s">
        <v>47</v>
      </c>
      <c r="V1519" s="24">
        <v>46021</v>
      </c>
      <c r="W1519" s="96" t="s">
        <v>30</v>
      </c>
      <c r="X1519" s="96" t="s">
        <v>30</v>
      </c>
      <c r="Y1519" s="96" t="s">
        <v>30</v>
      </c>
      <c r="Z1519" s="96" t="s">
        <v>30</v>
      </c>
      <c r="AA1519" s="96" t="s">
        <v>30</v>
      </c>
      <c r="AB1519" s="96" t="s">
        <v>30</v>
      </c>
      <c r="AC1519" s="96" t="s">
        <v>30</v>
      </c>
      <c r="AD1519" s="96" t="s">
        <v>30</v>
      </c>
      <c r="AE1519" s="96" t="s">
        <v>30</v>
      </c>
      <c r="AF1519" s="96" t="s">
        <v>30</v>
      </c>
      <c r="AG1519" s="96" t="s">
        <v>30</v>
      </c>
      <c r="AH1519" s="96" t="s">
        <v>30</v>
      </c>
      <c r="AI1519" s="96" t="s">
        <v>30</v>
      </c>
      <c r="AJ1519" s="96" t="s">
        <v>30</v>
      </c>
      <c r="AK1519" s="96" t="s">
        <v>30</v>
      </c>
      <c r="AL1519" s="91" t="s">
        <v>32</v>
      </c>
      <c r="AM1519" s="840"/>
      <c r="AN1519" s="87"/>
      <c r="AO1519" s="87"/>
      <c r="AS1519" s="71"/>
      <c r="AT1519" s="92"/>
      <c r="AU1519" s="92"/>
    </row>
    <row r="1520" spans="1:47">
      <c r="A1520" s="834" t="s">
        <v>24</v>
      </c>
      <c r="B1520" s="835">
        <v>1517</v>
      </c>
      <c r="C1520" s="838" t="s">
        <v>2189</v>
      </c>
      <c r="D1520" s="838" t="s">
        <v>178</v>
      </c>
      <c r="E1520" s="839">
        <v>45976</v>
      </c>
      <c r="F1520" s="838" t="s">
        <v>1314</v>
      </c>
      <c r="G1520" s="838">
        <v>12</v>
      </c>
      <c r="H1520" s="838" t="s">
        <v>67</v>
      </c>
      <c r="I1520" s="838" t="s">
        <v>47</v>
      </c>
      <c r="J1520" s="838"/>
      <c r="K1520" s="834" t="s">
        <v>2123</v>
      </c>
      <c r="L1520" s="834" t="s">
        <v>2146</v>
      </c>
      <c r="M1520" s="834" t="s">
        <v>2152</v>
      </c>
      <c r="N1520" s="834" t="s">
        <v>2185</v>
      </c>
      <c r="O1520" s="848" t="s">
        <v>32</v>
      </c>
      <c r="P1520" s="848" t="s">
        <v>1091</v>
      </c>
      <c r="Q1520" s="24">
        <v>46021</v>
      </c>
      <c r="R1520" s="79" t="s">
        <v>47</v>
      </c>
      <c r="S1520" s="22" t="s">
        <v>1140</v>
      </c>
      <c r="T1520" s="22">
        <v>12</v>
      </c>
      <c r="U1520" s="24" t="s">
        <v>47</v>
      </c>
      <c r="V1520" s="24">
        <v>46021</v>
      </c>
      <c r="W1520" s="96" t="s">
        <v>30</v>
      </c>
      <c r="X1520" s="96" t="s">
        <v>30</v>
      </c>
      <c r="Y1520" s="96" t="s">
        <v>30</v>
      </c>
      <c r="Z1520" s="96" t="s">
        <v>30</v>
      </c>
      <c r="AA1520" s="96" t="s">
        <v>30</v>
      </c>
      <c r="AB1520" s="96" t="s">
        <v>30</v>
      </c>
      <c r="AC1520" s="96" t="s">
        <v>30</v>
      </c>
      <c r="AD1520" s="96" t="s">
        <v>30</v>
      </c>
      <c r="AE1520" s="96" t="s">
        <v>30</v>
      </c>
      <c r="AF1520" s="96" t="s">
        <v>30</v>
      </c>
      <c r="AG1520" s="96" t="s">
        <v>30</v>
      </c>
      <c r="AH1520" s="107" t="s">
        <v>30</v>
      </c>
      <c r="AI1520" s="96" t="s">
        <v>30</v>
      </c>
      <c r="AJ1520" s="96" t="s">
        <v>30</v>
      </c>
      <c r="AK1520" s="96" t="s">
        <v>30</v>
      </c>
      <c r="AL1520" s="91" t="s">
        <v>32</v>
      </c>
      <c r="AM1520" s="840"/>
      <c r="AS1520" s="71"/>
      <c r="AT1520" s="92"/>
      <c r="AU1520" s="92"/>
    </row>
    <row r="1521" spans="1:48">
      <c r="A1521" s="834" t="s">
        <v>24</v>
      </c>
      <c r="B1521" s="835">
        <v>1518</v>
      </c>
      <c r="C1521" s="838" t="s">
        <v>2190</v>
      </c>
      <c r="D1521" s="838" t="s">
        <v>34</v>
      </c>
      <c r="E1521" s="839">
        <v>45976</v>
      </c>
      <c r="F1521" s="838" t="s">
        <v>236</v>
      </c>
      <c r="G1521" s="838">
        <v>18</v>
      </c>
      <c r="H1521" s="838" t="s">
        <v>67</v>
      </c>
      <c r="I1521" s="838" t="s">
        <v>47</v>
      </c>
      <c r="J1521" s="98" t="s">
        <v>2191</v>
      </c>
      <c r="K1521" s="834" t="s">
        <v>2098</v>
      </c>
      <c r="L1521" s="834" t="s">
        <v>2152</v>
      </c>
      <c r="M1521" s="834" t="s">
        <v>2152</v>
      </c>
      <c r="N1521" s="834" t="s">
        <v>2182</v>
      </c>
      <c r="O1521" s="113" t="s">
        <v>30</v>
      </c>
      <c r="P1521" s="23"/>
      <c r="Q1521" s="24"/>
      <c r="R1521" s="79" t="s">
        <v>1138</v>
      </c>
      <c r="S1521" s="22"/>
      <c r="T1521" s="22"/>
      <c r="U1521" s="24" t="s">
        <v>1138</v>
      </c>
      <c r="V1521" s="24"/>
      <c r="W1521" s="96" t="s">
        <v>30</v>
      </c>
      <c r="X1521" s="96" t="s">
        <v>30</v>
      </c>
      <c r="Y1521" s="96" t="s">
        <v>30</v>
      </c>
      <c r="Z1521" s="96" t="s">
        <v>30</v>
      </c>
      <c r="AA1521" s="96" t="s">
        <v>30</v>
      </c>
      <c r="AB1521" s="96" t="s">
        <v>30</v>
      </c>
      <c r="AC1521" s="96" t="s">
        <v>30</v>
      </c>
      <c r="AD1521" s="96" t="s">
        <v>30</v>
      </c>
      <c r="AE1521" s="96" t="s">
        <v>30</v>
      </c>
      <c r="AF1521" s="96" t="s">
        <v>30</v>
      </c>
      <c r="AG1521" s="96" t="s">
        <v>30</v>
      </c>
      <c r="AH1521" s="107" t="s">
        <v>30</v>
      </c>
      <c r="AI1521" s="96" t="s">
        <v>30</v>
      </c>
      <c r="AJ1521" s="96" t="s">
        <v>30</v>
      </c>
      <c r="AK1521" s="96" t="s">
        <v>30</v>
      </c>
      <c r="AL1521" s="91" t="s">
        <v>32</v>
      </c>
      <c r="AM1521" s="840"/>
    </row>
    <row r="1522" spans="1:48">
      <c r="A1522" s="834" t="s">
        <v>24</v>
      </c>
      <c r="B1522" s="835">
        <v>1519</v>
      </c>
      <c r="C1522" s="838" t="s">
        <v>2192</v>
      </c>
      <c r="D1522" s="838" t="s">
        <v>26</v>
      </c>
      <c r="E1522" s="839">
        <v>45976</v>
      </c>
      <c r="F1522" s="838" t="s">
        <v>1470</v>
      </c>
      <c r="G1522" s="838">
        <v>12</v>
      </c>
      <c r="H1522" s="838" t="s">
        <v>67</v>
      </c>
      <c r="I1522" s="838" t="s">
        <v>47</v>
      </c>
      <c r="J1522" s="838"/>
      <c r="K1522" s="834" t="s">
        <v>2113</v>
      </c>
      <c r="L1522" s="834" t="s">
        <v>2146</v>
      </c>
      <c r="M1522" s="834" t="s">
        <v>2146</v>
      </c>
      <c r="N1522" s="834" t="s">
        <v>2193</v>
      </c>
      <c r="O1522" s="848" t="s">
        <v>32</v>
      </c>
      <c r="P1522" s="116" t="s">
        <v>1091</v>
      </c>
      <c r="Q1522" s="24">
        <v>46002</v>
      </c>
      <c r="R1522" s="79" t="s">
        <v>47</v>
      </c>
      <c r="S1522" s="22" t="s">
        <v>32</v>
      </c>
      <c r="T1522" s="22">
        <v>11</v>
      </c>
      <c r="U1522" s="24" t="s">
        <v>47</v>
      </c>
      <c r="V1522" s="24">
        <v>46002</v>
      </c>
      <c r="W1522" s="96" t="s">
        <v>30</v>
      </c>
      <c r="X1522" s="96" t="s">
        <v>30</v>
      </c>
      <c r="Y1522" s="96" t="s">
        <v>30</v>
      </c>
      <c r="Z1522" s="96" t="s">
        <v>30</v>
      </c>
      <c r="AA1522" s="96" t="s">
        <v>30</v>
      </c>
      <c r="AB1522" s="96" t="s">
        <v>30</v>
      </c>
      <c r="AC1522" s="96" t="s">
        <v>30</v>
      </c>
      <c r="AD1522" s="96" t="s">
        <v>30</v>
      </c>
      <c r="AE1522" s="96" t="s">
        <v>30</v>
      </c>
      <c r="AF1522" s="96" t="s">
        <v>30</v>
      </c>
      <c r="AG1522" s="96" t="s">
        <v>30</v>
      </c>
      <c r="AH1522" s="107" t="s">
        <v>30</v>
      </c>
      <c r="AI1522" s="96" t="s">
        <v>30</v>
      </c>
      <c r="AJ1522" s="96" t="s">
        <v>30</v>
      </c>
      <c r="AK1522" s="96" t="s">
        <v>30</v>
      </c>
      <c r="AL1522" s="80" t="s">
        <v>30</v>
      </c>
      <c r="AM1522" s="840"/>
      <c r="AS1522" s="71"/>
      <c r="AT1522" s="92"/>
      <c r="AU1522" s="92"/>
    </row>
    <row r="1523" spans="1:48">
      <c r="A1523" s="834" t="s">
        <v>24</v>
      </c>
      <c r="B1523" s="835">
        <v>1520</v>
      </c>
      <c r="C1523" s="838" t="s">
        <v>2194</v>
      </c>
      <c r="D1523" s="838" t="s">
        <v>34</v>
      </c>
      <c r="E1523" s="839">
        <v>45976</v>
      </c>
      <c r="F1523" s="838" t="s">
        <v>631</v>
      </c>
      <c r="G1523" s="838">
        <v>13</v>
      </c>
      <c r="H1523" s="838" t="s">
        <v>67</v>
      </c>
      <c r="I1523" s="838" t="s">
        <v>47</v>
      </c>
      <c r="J1523" s="838"/>
      <c r="K1523" s="834" t="s">
        <v>2195</v>
      </c>
      <c r="L1523" s="834" t="s">
        <v>2146</v>
      </c>
      <c r="M1523" s="834" t="s">
        <v>2152</v>
      </c>
      <c r="N1523" s="834" t="s">
        <v>2050</v>
      </c>
      <c r="O1523" s="848" t="s">
        <v>32</v>
      </c>
      <c r="P1523" s="116" t="s">
        <v>1091</v>
      </c>
      <c r="Q1523" s="24">
        <v>46022</v>
      </c>
      <c r="R1523" s="79" t="s">
        <v>1138</v>
      </c>
      <c r="S1523" s="22" t="s">
        <v>32</v>
      </c>
      <c r="T1523" s="22">
        <v>13</v>
      </c>
      <c r="U1523" s="24" t="s">
        <v>1138</v>
      </c>
      <c r="V1523" s="24">
        <v>46022</v>
      </c>
      <c r="W1523" s="96" t="s">
        <v>30</v>
      </c>
      <c r="X1523" s="96" t="s">
        <v>30</v>
      </c>
      <c r="Y1523" s="96" t="s">
        <v>30</v>
      </c>
      <c r="Z1523" s="96" t="s">
        <v>30</v>
      </c>
      <c r="AA1523" s="96" t="s">
        <v>30</v>
      </c>
      <c r="AB1523" s="96" t="s">
        <v>30</v>
      </c>
      <c r="AC1523" s="96" t="s">
        <v>30</v>
      </c>
      <c r="AD1523" s="96" t="s">
        <v>30</v>
      </c>
      <c r="AE1523" s="96" t="s">
        <v>30</v>
      </c>
      <c r="AF1523" s="96" t="s">
        <v>30</v>
      </c>
      <c r="AG1523" s="96" t="s">
        <v>30</v>
      </c>
      <c r="AH1523" s="96" t="s">
        <v>30</v>
      </c>
      <c r="AI1523" s="96" t="s">
        <v>30</v>
      </c>
      <c r="AJ1523" s="96" t="s">
        <v>30</v>
      </c>
      <c r="AK1523" s="96" t="s">
        <v>30</v>
      </c>
      <c r="AL1523" s="91" t="s">
        <v>32</v>
      </c>
      <c r="AM1523" s="840"/>
      <c r="AS1523" s="71"/>
      <c r="AT1523" s="92"/>
      <c r="AU1523" s="92"/>
    </row>
    <row r="1524" spans="1:48">
      <c r="A1524" s="834" t="s">
        <v>24</v>
      </c>
      <c r="B1524" s="835">
        <v>1521</v>
      </c>
      <c r="C1524" s="838" t="s">
        <v>2196</v>
      </c>
      <c r="D1524" s="838" t="s">
        <v>469</v>
      </c>
      <c r="E1524" s="839">
        <v>45976</v>
      </c>
      <c r="F1524" s="838" t="s">
        <v>653</v>
      </c>
      <c r="G1524" s="838">
        <v>14</v>
      </c>
      <c r="H1524" s="838" t="s">
        <v>67</v>
      </c>
      <c r="I1524" s="838" t="s">
        <v>47</v>
      </c>
      <c r="J1524" s="838"/>
      <c r="K1524" s="834" t="s">
        <v>2066</v>
      </c>
      <c r="L1524" s="834" t="s">
        <v>2146</v>
      </c>
      <c r="M1524" s="834" t="s">
        <v>2152</v>
      </c>
      <c r="N1524" s="834" t="s">
        <v>2050</v>
      </c>
      <c r="O1524" s="848" t="s">
        <v>32</v>
      </c>
      <c r="P1524" s="848" t="s">
        <v>1091</v>
      </c>
      <c r="Q1524" s="24">
        <v>46021</v>
      </c>
      <c r="R1524" s="79" t="s">
        <v>47</v>
      </c>
      <c r="S1524" s="22" t="s">
        <v>32</v>
      </c>
      <c r="T1524" s="22">
        <v>8</v>
      </c>
      <c r="U1524" s="24" t="s">
        <v>47</v>
      </c>
      <c r="V1524" s="24">
        <v>46021</v>
      </c>
      <c r="W1524" s="96" t="s">
        <v>30</v>
      </c>
      <c r="X1524" s="96" t="s">
        <v>30</v>
      </c>
      <c r="Y1524" s="96" t="s">
        <v>30</v>
      </c>
      <c r="Z1524" s="96" t="s">
        <v>30</v>
      </c>
      <c r="AA1524" s="91" t="s">
        <v>32</v>
      </c>
      <c r="AB1524" s="91" t="s">
        <v>32</v>
      </c>
      <c r="AC1524" s="96" t="s">
        <v>30</v>
      </c>
      <c r="AD1524" s="96" t="s">
        <v>30</v>
      </c>
      <c r="AE1524" s="96" t="s">
        <v>30</v>
      </c>
      <c r="AF1524" s="96" t="s">
        <v>30</v>
      </c>
      <c r="AG1524" s="96" t="s">
        <v>30</v>
      </c>
      <c r="AH1524" s="107" t="s">
        <v>30</v>
      </c>
      <c r="AI1524" s="96" t="s">
        <v>30</v>
      </c>
      <c r="AJ1524" s="96" t="s">
        <v>30</v>
      </c>
      <c r="AK1524" s="96" t="s">
        <v>30</v>
      </c>
      <c r="AL1524" s="91" t="s">
        <v>32</v>
      </c>
      <c r="AM1524" s="840" t="s">
        <v>2068</v>
      </c>
    </row>
    <row r="1525" spans="1:48">
      <c r="A1525" s="834" t="s">
        <v>24</v>
      </c>
      <c r="B1525" s="835">
        <v>1522</v>
      </c>
      <c r="C1525" s="838" t="s">
        <v>2197</v>
      </c>
      <c r="D1525" s="838" t="s">
        <v>34</v>
      </c>
      <c r="E1525" s="839">
        <v>45976</v>
      </c>
      <c r="F1525" s="838" t="s">
        <v>1943</v>
      </c>
      <c r="G1525" s="838">
        <v>12</v>
      </c>
      <c r="H1525" s="838" t="s">
        <v>127</v>
      </c>
      <c r="I1525" s="838" t="s">
        <v>36</v>
      </c>
      <c r="J1525" s="98" t="s">
        <v>2198</v>
      </c>
      <c r="K1525" s="834" t="s">
        <v>2130</v>
      </c>
      <c r="L1525" s="834" t="s">
        <v>2146</v>
      </c>
      <c r="M1525" s="834" t="s">
        <v>2146</v>
      </c>
      <c r="N1525" s="834" t="s">
        <v>2050</v>
      </c>
      <c r="O1525" s="848" t="s">
        <v>32</v>
      </c>
      <c r="P1525" s="23"/>
      <c r="Q1525" s="24"/>
      <c r="R1525" s="79" t="s">
        <v>28</v>
      </c>
      <c r="S1525" s="22"/>
      <c r="T1525" s="22"/>
      <c r="U1525" s="24"/>
      <c r="V1525" s="24"/>
      <c r="W1525" s="90" t="s">
        <v>30</v>
      </c>
      <c r="X1525" s="96" t="s">
        <v>30</v>
      </c>
      <c r="Y1525" s="96" t="s">
        <v>30</v>
      </c>
      <c r="Z1525" s="91" t="s">
        <v>32</v>
      </c>
      <c r="AA1525" s="91" t="s">
        <v>32</v>
      </c>
      <c r="AB1525" s="96" t="s">
        <v>30</v>
      </c>
      <c r="AC1525" s="96" t="s">
        <v>30</v>
      </c>
      <c r="AD1525" s="96" t="s">
        <v>30</v>
      </c>
      <c r="AE1525" s="96" t="s">
        <v>30</v>
      </c>
      <c r="AF1525" s="96" t="s">
        <v>30</v>
      </c>
      <c r="AG1525" s="96" t="s">
        <v>30</v>
      </c>
      <c r="AH1525" s="96" t="s">
        <v>30</v>
      </c>
      <c r="AI1525" s="96" t="s">
        <v>30</v>
      </c>
      <c r="AJ1525" s="96" t="s">
        <v>30</v>
      </c>
      <c r="AK1525" s="96" t="s">
        <v>30</v>
      </c>
      <c r="AL1525" s="91" t="s">
        <v>32</v>
      </c>
      <c r="AM1525" s="840" t="s">
        <v>2080</v>
      </c>
    </row>
    <row r="1526" spans="1:48">
      <c r="A1526" s="834" t="s">
        <v>24</v>
      </c>
      <c r="B1526" s="835">
        <v>1523</v>
      </c>
      <c r="C1526" s="838" t="s">
        <v>2199</v>
      </c>
      <c r="D1526" s="838" t="s">
        <v>102</v>
      </c>
      <c r="E1526" s="839">
        <v>45978</v>
      </c>
      <c r="F1526" s="838" t="s">
        <v>187</v>
      </c>
      <c r="G1526" s="838">
        <v>16</v>
      </c>
      <c r="H1526" s="838" t="s">
        <v>67</v>
      </c>
      <c r="I1526" s="838" t="s">
        <v>47</v>
      </c>
      <c r="J1526" s="838"/>
      <c r="K1526" s="834" t="s">
        <v>2066</v>
      </c>
      <c r="L1526" s="834" t="s">
        <v>2200</v>
      </c>
      <c r="M1526" s="834" t="s">
        <v>2152</v>
      </c>
      <c r="N1526" s="834" t="s">
        <v>2058</v>
      </c>
      <c r="O1526" s="113" t="s">
        <v>30</v>
      </c>
      <c r="P1526" s="23" t="s">
        <v>1091</v>
      </c>
      <c r="Q1526" s="24">
        <v>46024</v>
      </c>
      <c r="R1526" s="79" t="s">
        <v>1138</v>
      </c>
      <c r="S1526" s="22" t="s">
        <v>32</v>
      </c>
      <c r="T1526" s="22">
        <v>16</v>
      </c>
      <c r="U1526" s="24" t="s">
        <v>1138</v>
      </c>
      <c r="V1526" s="24">
        <v>46024</v>
      </c>
      <c r="W1526" s="96" t="s">
        <v>30</v>
      </c>
      <c r="X1526" s="96" t="s">
        <v>30</v>
      </c>
      <c r="Y1526" s="96" t="s">
        <v>30</v>
      </c>
      <c r="Z1526" s="96" t="s">
        <v>30</v>
      </c>
      <c r="AA1526" s="91" t="s">
        <v>32</v>
      </c>
      <c r="AB1526" s="91" t="s">
        <v>32</v>
      </c>
      <c r="AC1526" s="96" t="s">
        <v>30</v>
      </c>
      <c r="AD1526" s="96" t="s">
        <v>30</v>
      </c>
      <c r="AE1526" s="96" t="s">
        <v>30</v>
      </c>
      <c r="AF1526" s="96" t="s">
        <v>30</v>
      </c>
      <c r="AG1526" s="96" t="s">
        <v>30</v>
      </c>
      <c r="AH1526" s="107" t="s">
        <v>30</v>
      </c>
      <c r="AI1526" s="110" t="s">
        <v>32</v>
      </c>
      <c r="AJ1526" s="96" t="s">
        <v>30</v>
      </c>
      <c r="AK1526" s="110" t="s">
        <v>32</v>
      </c>
      <c r="AL1526" s="110" t="s">
        <v>32</v>
      </c>
      <c r="AM1526" s="840" t="s">
        <v>2080</v>
      </c>
      <c r="AR1526" s="84"/>
      <c r="AS1526" s="71"/>
      <c r="AT1526" s="71"/>
      <c r="AU1526" s="71"/>
    </row>
    <row r="1527" spans="1:48">
      <c r="A1527" s="834" t="s">
        <v>24</v>
      </c>
      <c r="B1527" s="835">
        <v>1524</v>
      </c>
      <c r="C1527" s="838" t="s">
        <v>2201</v>
      </c>
      <c r="D1527" s="838" t="s">
        <v>50</v>
      </c>
      <c r="E1527" s="839">
        <v>45978</v>
      </c>
      <c r="F1527" s="838" t="s">
        <v>2202</v>
      </c>
      <c r="G1527" s="838">
        <v>18</v>
      </c>
      <c r="H1527" s="838" t="s">
        <v>1077</v>
      </c>
      <c r="I1527" s="838" t="s">
        <v>1138</v>
      </c>
      <c r="J1527" s="98"/>
      <c r="K1527" s="834" t="s">
        <v>2203</v>
      </c>
      <c r="L1527" s="834" t="s">
        <v>2200</v>
      </c>
      <c r="M1527" s="834" t="s">
        <v>2200</v>
      </c>
      <c r="N1527" s="834" t="s">
        <v>2083</v>
      </c>
      <c r="O1527" s="113" t="s">
        <v>30</v>
      </c>
      <c r="P1527" s="848" t="s">
        <v>1091</v>
      </c>
      <c r="Q1527" s="24">
        <v>46021</v>
      </c>
      <c r="R1527" s="241" t="s">
        <v>1138</v>
      </c>
      <c r="S1527" s="834" t="s">
        <v>32</v>
      </c>
      <c r="T1527" s="834">
        <v>18</v>
      </c>
      <c r="U1527" s="24" t="s">
        <v>1138</v>
      </c>
      <c r="V1527" s="24">
        <v>46021</v>
      </c>
      <c r="W1527" s="96" t="s">
        <v>30</v>
      </c>
      <c r="X1527" s="103" t="s">
        <v>32</v>
      </c>
      <c r="Y1527" s="96" t="s">
        <v>30</v>
      </c>
      <c r="Z1527" s="96" t="s">
        <v>30</v>
      </c>
      <c r="AA1527" s="103" t="s">
        <v>32</v>
      </c>
      <c r="AB1527" s="96" t="s">
        <v>30</v>
      </c>
      <c r="AC1527" s="96" t="s">
        <v>30</v>
      </c>
      <c r="AD1527" s="96" t="s">
        <v>30</v>
      </c>
      <c r="AE1527" s="96" t="s">
        <v>30</v>
      </c>
      <c r="AF1527" s="96" t="s">
        <v>30</v>
      </c>
      <c r="AG1527" s="96" t="s">
        <v>30</v>
      </c>
      <c r="AH1527" s="96" t="s">
        <v>30</v>
      </c>
      <c r="AI1527" s="110" t="s">
        <v>32</v>
      </c>
      <c r="AJ1527" s="110" t="s">
        <v>32</v>
      </c>
      <c r="AK1527" s="110" t="s">
        <v>32</v>
      </c>
      <c r="AL1527" s="110" t="s">
        <v>32</v>
      </c>
      <c r="AM1527" s="840" t="s">
        <v>2080</v>
      </c>
      <c r="AS1527" s="71"/>
      <c r="AT1527" s="92"/>
      <c r="AU1527" s="92"/>
    </row>
    <row r="1528" spans="1:48">
      <c r="A1528" s="834" t="s">
        <v>24</v>
      </c>
      <c r="B1528" s="835">
        <v>1525</v>
      </c>
      <c r="C1528" s="838" t="s">
        <v>2204</v>
      </c>
      <c r="D1528" s="838" t="s">
        <v>1965</v>
      </c>
      <c r="E1528" s="839">
        <v>45978</v>
      </c>
      <c r="F1528" s="838" t="s">
        <v>324</v>
      </c>
      <c r="G1528" s="838">
        <v>16</v>
      </c>
      <c r="H1528" s="838" t="s">
        <v>67</v>
      </c>
      <c r="I1528" s="838" t="s">
        <v>47</v>
      </c>
      <c r="J1528" s="838"/>
      <c r="K1528" s="834" t="s">
        <v>2205</v>
      </c>
      <c r="L1528" s="834" t="s">
        <v>2200</v>
      </c>
      <c r="M1528" s="834" t="s">
        <v>2200</v>
      </c>
      <c r="N1528" s="834" t="s">
        <v>2206</v>
      </c>
      <c r="O1528" s="113" t="s">
        <v>30</v>
      </c>
      <c r="P1528" s="23" t="s">
        <v>1091</v>
      </c>
      <c r="Q1528" s="24">
        <v>46024</v>
      </c>
      <c r="R1528" s="79" t="s">
        <v>1138</v>
      </c>
      <c r="S1528" s="22" t="s">
        <v>32</v>
      </c>
      <c r="T1528" s="22">
        <v>11</v>
      </c>
      <c r="U1528" s="24" t="s">
        <v>1138</v>
      </c>
      <c r="V1528" s="24">
        <v>46024</v>
      </c>
      <c r="W1528" s="96" t="s">
        <v>30</v>
      </c>
      <c r="X1528" s="96" t="s">
        <v>30</v>
      </c>
      <c r="Y1528" s="96" t="s">
        <v>30</v>
      </c>
      <c r="Z1528" s="96" t="s">
        <v>30</v>
      </c>
      <c r="AA1528" s="96" t="s">
        <v>30</v>
      </c>
      <c r="AB1528" s="96" t="s">
        <v>30</v>
      </c>
      <c r="AC1528" s="96" t="s">
        <v>30</v>
      </c>
      <c r="AD1528" s="96" t="s">
        <v>30</v>
      </c>
      <c r="AE1528" s="96" t="s">
        <v>30</v>
      </c>
      <c r="AF1528" s="96" t="s">
        <v>30</v>
      </c>
      <c r="AG1528" s="96" t="s">
        <v>30</v>
      </c>
      <c r="AH1528" s="107" t="s">
        <v>30</v>
      </c>
      <c r="AI1528" s="96" t="s">
        <v>30</v>
      </c>
      <c r="AJ1528" s="96" t="s">
        <v>30</v>
      </c>
      <c r="AK1528" s="96" t="s">
        <v>30</v>
      </c>
      <c r="AL1528" s="110" t="s">
        <v>32</v>
      </c>
      <c r="AM1528" s="840"/>
    </row>
    <row r="1529" spans="1:48">
      <c r="A1529" s="834" t="s">
        <v>24</v>
      </c>
      <c r="B1529" s="835">
        <v>1526</v>
      </c>
      <c r="C1529" s="838" t="s">
        <v>2207</v>
      </c>
      <c r="D1529" s="838" t="s">
        <v>34</v>
      </c>
      <c r="E1529" s="839">
        <v>45979</v>
      </c>
      <c r="F1529" s="838" t="s">
        <v>412</v>
      </c>
      <c r="G1529" s="838">
        <v>9</v>
      </c>
      <c r="H1529" s="838" t="s">
        <v>1077</v>
      </c>
      <c r="I1529" s="838" t="s">
        <v>1138</v>
      </c>
      <c r="J1529" s="838"/>
      <c r="K1529" s="834" t="s">
        <v>2052</v>
      </c>
      <c r="L1529" s="834" t="s">
        <v>2048</v>
      </c>
      <c r="M1529" s="834" t="s">
        <v>2200</v>
      </c>
      <c r="N1529" s="834" t="s">
        <v>2050</v>
      </c>
      <c r="O1529" s="848" t="s">
        <v>32</v>
      </c>
      <c r="P1529" s="848" t="s">
        <v>1091</v>
      </c>
      <c r="Q1529" s="24">
        <v>46015</v>
      </c>
      <c r="R1529" s="241" t="s">
        <v>1138</v>
      </c>
      <c r="S1529" s="834" t="s">
        <v>32</v>
      </c>
      <c r="T1529" s="834">
        <v>9</v>
      </c>
      <c r="U1529" s="24" t="s">
        <v>1138</v>
      </c>
      <c r="V1529" s="24">
        <v>46015</v>
      </c>
      <c r="W1529" s="90" t="s">
        <v>30</v>
      </c>
      <c r="X1529" s="96" t="s">
        <v>30</v>
      </c>
      <c r="Y1529" s="90" t="s">
        <v>30</v>
      </c>
      <c r="Z1529" s="96" t="s">
        <v>30</v>
      </c>
      <c r="AA1529" s="96" t="s">
        <v>30</v>
      </c>
      <c r="AB1529" s="96" t="s">
        <v>30</v>
      </c>
      <c r="AC1529" s="110" t="s">
        <v>32</v>
      </c>
      <c r="AD1529" s="96" t="s">
        <v>30</v>
      </c>
      <c r="AE1529" s="96" t="s">
        <v>30</v>
      </c>
      <c r="AF1529" s="96" t="s">
        <v>30</v>
      </c>
      <c r="AG1529" s="96" t="s">
        <v>30</v>
      </c>
      <c r="AH1529" s="96" t="s">
        <v>30</v>
      </c>
      <c r="AI1529" s="96" t="s">
        <v>30</v>
      </c>
      <c r="AJ1529" s="96" t="s">
        <v>30</v>
      </c>
      <c r="AK1529" s="110" t="s">
        <v>32</v>
      </c>
      <c r="AL1529" s="110" t="s">
        <v>32</v>
      </c>
      <c r="AM1529" s="840" t="s">
        <v>2168</v>
      </c>
    </row>
    <row r="1530" spans="1:48">
      <c r="A1530" s="834" t="s">
        <v>24</v>
      </c>
      <c r="B1530" s="835">
        <v>1527</v>
      </c>
      <c r="C1530" s="838" t="s">
        <v>2208</v>
      </c>
      <c r="D1530" s="838" t="s">
        <v>425</v>
      </c>
      <c r="E1530" s="839">
        <v>45979</v>
      </c>
      <c r="F1530" s="838" t="s">
        <v>1105</v>
      </c>
      <c r="G1530" s="838">
        <v>12</v>
      </c>
      <c r="H1530" s="838" t="s">
        <v>1721</v>
      </c>
      <c r="I1530" s="838" t="s">
        <v>1638</v>
      </c>
      <c r="J1530" s="838"/>
      <c r="K1530" s="834" t="s">
        <v>2098</v>
      </c>
      <c r="L1530" s="834" t="s">
        <v>2200</v>
      </c>
      <c r="M1530" s="834" t="s">
        <v>2200</v>
      </c>
      <c r="N1530" s="834" t="s">
        <v>2050</v>
      </c>
      <c r="O1530" s="848" t="s">
        <v>32</v>
      </c>
      <c r="P1530" s="848" t="s">
        <v>1091</v>
      </c>
      <c r="Q1530" s="24">
        <v>46017</v>
      </c>
      <c r="R1530" s="241" t="s">
        <v>1638</v>
      </c>
      <c r="S1530" s="834" t="s">
        <v>1140</v>
      </c>
      <c r="T1530" s="834">
        <v>12</v>
      </c>
      <c r="U1530" s="24" t="s">
        <v>1638</v>
      </c>
      <c r="V1530" s="24">
        <v>46017</v>
      </c>
      <c r="W1530" s="96" t="s">
        <v>30</v>
      </c>
      <c r="X1530" s="96" t="s">
        <v>30</v>
      </c>
      <c r="Y1530" s="96" t="s">
        <v>30</v>
      </c>
      <c r="Z1530" s="96" t="s">
        <v>30</v>
      </c>
      <c r="AA1530" s="96" t="s">
        <v>30</v>
      </c>
      <c r="AB1530" s="96" t="s">
        <v>30</v>
      </c>
      <c r="AC1530" s="96" t="s">
        <v>30</v>
      </c>
      <c r="AD1530" s="96" t="s">
        <v>30</v>
      </c>
      <c r="AE1530" s="96" t="s">
        <v>30</v>
      </c>
      <c r="AF1530" s="96" t="s">
        <v>30</v>
      </c>
      <c r="AG1530" s="96" t="s">
        <v>30</v>
      </c>
      <c r="AH1530" s="107" t="s">
        <v>30</v>
      </c>
      <c r="AI1530" s="96" t="s">
        <v>30</v>
      </c>
      <c r="AJ1530" s="96" t="s">
        <v>30</v>
      </c>
      <c r="AK1530" s="96" t="s">
        <v>30</v>
      </c>
      <c r="AL1530" s="80" t="s">
        <v>30</v>
      </c>
      <c r="AM1530" s="840"/>
      <c r="AO1530" s="776"/>
      <c r="AP1530" s="776"/>
      <c r="AQ1530" s="776"/>
      <c r="AR1530" s="776"/>
      <c r="AV1530" s="105"/>
    </row>
    <row r="1531" spans="1:48">
      <c r="A1531" s="834" t="s">
        <v>24</v>
      </c>
      <c r="B1531" s="835">
        <v>1528</v>
      </c>
      <c r="C1531" s="838" t="s">
        <v>2209</v>
      </c>
      <c r="D1531" s="838" t="s">
        <v>34</v>
      </c>
      <c r="E1531" s="839">
        <v>45979</v>
      </c>
      <c r="F1531" s="838" t="s">
        <v>1061</v>
      </c>
      <c r="G1531" s="838">
        <v>7</v>
      </c>
      <c r="H1531" s="838" t="s">
        <v>67</v>
      </c>
      <c r="I1531" s="838" t="s">
        <v>47</v>
      </c>
      <c r="J1531" s="838"/>
      <c r="K1531" s="834" t="s">
        <v>2126</v>
      </c>
      <c r="L1531" s="834" t="s">
        <v>2210</v>
      </c>
      <c r="M1531" s="834" t="s">
        <v>2211</v>
      </c>
      <c r="N1531" s="834" t="s">
        <v>2050</v>
      </c>
      <c r="O1531" s="848" t="s">
        <v>32</v>
      </c>
      <c r="P1531" s="848" t="s">
        <v>1091</v>
      </c>
      <c r="Q1531" s="24">
        <v>46026</v>
      </c>
      <c r="R1531" s="79" t="s">
        <v>127</v>
      </c>
      <c r="S1531" s="22" t="s">
        <v>32</v>
      </c>
      <c r="T1531" s="22">
        <v>4</v>
      </c>
      <c r="U1531" s="24" t="s">
        <v>127</v>
      </c>
      <c r="V1531" s="24">
        <v>46026</v>
      </c>
      <c r="W1531" s="96" t="s">
        <v>30</v>
      </c>
      <c r="X1531" s="96" t="s">
        <v>30</v>
      </c>
      <c r="Y1531" s="96" t="s">
        <v>30</v>
      </c>
      <c r="Z1531" s="96" t="s">
        <v>30</v>
      </c>
      <c r="AA1531" s="96" t="s">
        <v>30</v>
      </c>
      <c r="AB1531" s="96" t="s">
        <v>30</v>
      </c>
      <c r="AC1531" s="96" t="s">
        <v>30</v>
      </c>
      <c r="AD1531" s="96" t="s">
        <v>30</v>
      </c>
      <c r="AE1531" s="96" t="s">
        <v>30</v>
      </c>
      <c r="AF1531" s="96" t="s">
        <v>30</v>
      </c>
      <c r="AG1531" s="96" t="s">
        <v>30</v>
      </c>
      <c r="AH1531" s="96" t="s">
        <v>30</v>
      </c>
      <c r="AI1531" s="96" t="s">
        <v>30</v>
      </c>
      <c r="AJ1531" s="96" t="s">
        <v>30</v>
      </c>
      <c r="AK1531" s="107" t="s">
        <v>30</v>
      </c>
      <c r="AL1531" s="110" t="s">
        <v>32</v>
      </c>
      <c r="AM1531" s="840"/>
      <c r="AS1531" s="71"/>
      <c r="AT1531" s="92"/>
      <c r="AU1531" s="92"/>
      <c r="AV1531" s="105"/>
    </row>
    <row r="1532" spans="1:48">
      <c r="A1532" s="834" t="s">
        <v>24</v>
      </c>
      <c r="B1532" s="835">
        <v>1529</v>
      </c>
      <c r="C1532" s="838" t="s">
        <v>2212</v>
      </c>
      <c r="D1532" s="838" t="s">
        <v>234</v>
      </c>
      <c r="E1532" s="839">
        <v>45979</v>
      </c>
      <c r="F1532" s="838" t="s">
        <v>1061</v>
      </c>
      <c r="G1532" s="838">
        <v>7</v>
      </c>
      <c r="H1532" s="838" t="s">
        <v>67</v>
      </c>
      <c r="I1532" s="838" t="s">
        <v>47</v>
      </c>
      <c r="J1532" s="838"/>
      <c r="K1532" s="834" t="s">
        <v>2126</v>
      </c>
      <c r="L1532" s="834" t="s">
        <v>401</v>
      </c>
      <c r="M1532" s="834" t="s">
        <v>401</v>
      </c>
      <c r="N1532" s="834"/>
      <c r="O1532" s="848" t="s">
        <v>401</v>
      </c>
      <c r="P1532" s="23" t="s">
        <v>1091</v>
      </c>
      <c r="Q1532" s="24">
        <v>46024</v>
      </c>
      <c r="R1532" s="79" t="s">
        <v>1721</v>
      </c>
      <c r="S1532" s="22" t="s">
        <v>32</v>
      </c>
      <c r="T1532" s="22">
        <v>6</v>
      </c>
      <c r="U1532" s="24" t="s">
        <v>1721</v>
      </c>
      <c r="V1532" s="24">
        <v>46024</v>
      </c>
      <c r="W1532" s="96" t="s">
        <v>30</v>
      </c>
      <c r="X1532" s="96" t="s">
        <v>30</v>
      </c>
      <c r="Y1532" s="96" t="s">
        <v>30</v>
      </c>
      <c r="Z1532" s="96" t="s">
        <v>30</v>
      </c>
      <c r="AA1532" s="96" t="s">
        <v>30</v>
      </c>
      <c r="AB1532" s="96" t="s">
        <v>30</v>
      </c>
      <c r="AC1532" s="96" t="s">
        <v>30</v>
      </c>
      <c r="AD1532" s="96" t="s">
        <v>30</v>
      </c>
      <c r="AE1532" s="96" t="s">
        <v>30</v>
      </c>
      <c r="AF1532" s="96" t="s">
        <v>30</v>
      </c>
      <c r="AG1532" s="96" t="s">
        <v>30</v>
      </c>
      <c r="AH1532" s="107" t="s">
        <v>30</v>
      </c>
      <c r="AI1532" s="110" t="s">
        <v>32</v>
      </c>
      <c r="AJ1532" s="110" t="s">
        <v>32</v>
      </c>
      <c r="AK1532" s="110" t="s">
        <v>32</v>
      </c>
      <c r="AL1532" s="110" t="s">
        <v>32</v>
      </c>
      <c r="AM1532" s="840" t="s">
        <v>2213</v>
      </c>
      <c r="AO1532" s="776"/>
      <c r="AP1532" s="776"/>
      <c r="AQ1532" s="776"/>
      <c r="AR1532" s="776"/>
      <c r="AV1532" s="105"/>
    </row>
    <row r="1533" spans="1:48">
      <c r="A1533" s="834" t="s">
        <v>24</v>
      </c>
      <c r="B1533" s="835">
        <v>1530</v>
      </c>
      <c r="C1533" s="838" t="s">
        <v>2214</v>
      </c>
      <c r="D1533" s="838" t="s">
        <v>50</v>
      </c>
      <c r="E1533" s="839">
        <v>45980</v>
      </c>
      <c r="F1533" s="838" t="s">
        <v>412</v>
      </c>
      <c r="G1533" s="838">
        <v>11</v>
      </c>
      <c r="H1533" s="838" t="s">
        <v>1077</v>
      </c>
      <c r="I1533" s="838" t="s">
        <v>1138</v>
      </c>
      <c r="J1533" s="838"/>
      <c r="K1533" s="834" t="s">
        <v>2203</v>
      </c>
      <c r="L1533" s="834" t="s">
        <v>2211</v>
      </c>
      <c r="M1533" s="834" t="s">
        <v>2211</v>
      </c>
      <c r="N1533" s="834" t="s">
        <v>2050</v>
      </c>
      <c r="O1533" s="848" t="s">
        <v>32</v>
      </c>
      <c r="P1533" s="848" t="s">
        <v>1091</v>
      </c>
      <c r="Q1533" s="24">
        <v>46017</v>
      </c>
      <c r="R1533" s="241" t="s">
        <v>1138</v>
      </c>
      <c r="S1533" s="834" t="s">
        <v>32</v>
      </c>
      <c r="T1533" s="834">
        <v>10</v>
      </c>
      <c r="U1533" s="24" t="s">
        <v>1138</v>
      </c>
      <c r="V1533" s="24">
        <v>46017</v>
      </c>
      <c r="W1533" s="96" t="s">
        <v>30</v>
      </c>
      <c r="X1533" s="96" t="s">
        <v>30</v>
      </c>
      <c r="Y1533" s="96" t="s">
        <v>30</v>
      </c>
      <c r="Z1533" s="96" t="s">
        <v>30</v>
      </c>
      <c r="AA1533" s="103" t="s">
        <v>32</v>
      </c>
      <c r="AB1533" s="96" t="s">
        <v>30</v>
      </c>
      <c r="AC1533" s="96" t="s">
        <v>30</v>
      </c>
      <c r="AD1533" s="96" t="s">
        <v>30</v>
      </c>
      <c r="AE1533" s="96" t="s">
        <v>30</v>
      </c>
      <c r="AF1533" s="96" t="s">
        <v>30</v>
      </c>
      <c r="AG1533" s="96" t="s">
        <v>30</v>
      </c>
      <c r="AH1533" s="96" t="s">
        <v>30</v>
      </c>
      <c r="AI1533" s="110" t="s">
        <v>32</v>
      </c>
      <c r="AJ1533" s="110" t="s">
        <v>32</v>
      </c>
      <c r="AK1533" s="96" t="s">
        <v>30</v>
      </c>
      <c r="AL1533" s="110" t="s">
        <v>32</v>
      </c>
      <c r="AM1533" s="840" t="s">
        <v>2080</v>
      </c>
      <c r="AO1533" s="776"/>
      <c r="AP1533" s="776"/>
      <c r="AQ1533" s="776"/>
      <c r="AR1533" s="776"/>
      <c r="AV1533" s="105"/>
    </row>
    <row r="1534" spans="1:48">
      <c r="A1534" s="834" t="s">
        <v>24</v>
      </c>
      <c r="B1534" s="835">
        <v>1531</v>
      </c>
      <c r="C1534" s="838" t="s">
        <v>2215</v>
      </c>
      <c r="D1534" s="838" t="s">
        <v>50</v>
      </c>
      <c r="E1534" s="839">
        <v>45981</v>
      </c>
      <c r="F1534" s="838" t="s">
        <v>412</v>
      </c>
      <c r="G1534" s="838">
        <v>12</v>
      </c>
      <c r="H1534" s="838" t="s">
        <v>1077</v>
      </c>
      <c r="I1534" s="838" t="s">
        <v>1138</v>
      </c>
      <c r="J1534" s="838"/>
      <c r="K1534" s="834" t="s">
        <v>2203</v>
      </c>
      <c r="L1534" s="834" t="s">
        <v>2200</v>
      </c>
      <c r="M1534" s="834" t="s">
        <v>2211</v>
      </c>
      <c r="N1534" s="834" t="s">
        <v>2157</v>
      </c>
      <c r="O1534" s="848" t="s">
        <v>32</v>
      </c>
      <c r="P1534" s="848" t="s">
        <v>1091</v>
      </c>
      <c r="Q1534" s="24">
        <v>46021</v>
      </c>
      <c r="R1534" s="241" t="s">
        <v>1138</v>
      </c>
      <c r="S1534" s="834" t="s">
        <v>32</v>
      </c>
      <c r="T1534" s="834">
        <v>12</v>
      </c>
      <c r="U1534" s="24" t="s">
        <v>1138</v>
      </c>
      <c r="V1534" s="24">
        <v>46021</v>
      </c>
      <c r="W1534" s="96" t="s">
        <v>30</v>
      </c>
      <c r="X1534" s="96" t="s">
        <v>30</v>
      </c>
      <c r="Y1534" s="96" t="s">
        <v>30</v>
      </c>
      <c r="Z1534" s="96" t="s">
        <v>30</v>
      </c>
      <c r="AA1534" s="103" t="s">
        <v>32</v>
      </c>
      <c r="AB1534" s="96" t="s">
        <v>30</v>
      </c>
      <c r="AC1534" s="96" t="s">
        <v>30</v>
      </c>
      <c r="AD1534" s="96" t="s">
        <v>30</v>
      </c>
      <c r="AE1534" s="96" t="s">
        <v>30</v>
      </c>
      <c r="AF1534" s="96" t="s">
        <v>30</v>
      </c>
      <c r="AG1534" s="96" t="s">
        <v>30</v>
      </c>
      <c r="AH1534" s="96" t="s">
        <v>30</v>
      </c>
      <c r="AI1534" s="110" t="s">
        <v>32</v>
      </c>
      <c r="AJ1534" s="110" t="s">
        <v>32</v>
      </c>
      <c r="AK1534" s="107" t="s">
        <v>30</v>
      </c>
      <c r="AL1534" s="110" t="s">
        <v>32</v>
      </c>
      <c r="AM1534" s="840" t="s">
        <v>2080</v>
      </c>
      <c r="AN1534" s="6"/>
      <c r="AO1534" s="6"/>
      <c r="AP1534" s="6"/>
      <c r="AQ1534" s="6"/>
      <c r="AR1534" s="6"/>
      <c r="AS1534" s="104"/>
      <c r="AT1534" s="105"/>
      <c r="AU1534" s="105"/>
      <c r="AV1534" s="105"/>
    </row>
    <row r="1535" spans="1:48">
      <c r="A1535" s="834" t="s">
        <v>24</v>
      </c>
      <c r="B1535" s="835">
        <v>1532</v>
      </c>
      <c r="C1535" s="838" t="s">
        <v>2216</v>
      </c>
      <c r="D1535" s="838" t="s">
        <v>43</v>
      </c>
      <c r="E1535" s="839">
        <v>45981</v>
      </c>
      <c r="F1535" s="838" t="s">
        <v>65</v>
      </c>
      <c r="G1535" s="838">
        <v>11</v>
      </c>
      <c r="H1535" s="838" t="s">
        <v>1077</v>
      </c>
      <c r="I1535" s="838" t="s">
        <v>1138</v>
      </c>
      <c r="J1535" s="838"/>
      <c r="K1535" s="834" t="s">
        <v>2076</v>
      </c>
      <c r="L1535" s="834" t="s">
        <v>2200</v>
      </c>
      <c r="M1535" s="834" t="s">
        <v>2217</v>
      </c>
      <c r="N1535" s="834" t="s">
        <v>2166</v>
      </c>
      <c r="O1535" s="848" t="s">
        <v>32</v>
      </c>
      <c r="P1535" s="848" t="s">
        <v>1091</v>
      </c>
      <c r="Q1535" s="24">
        <v>46021</v>
      </c>
      <c r="R1535" s="79" t="s">
        <v>48</v>
      </c>
      <c r="S1535" s="22" t="s">
        <v>1140</v>
      </c>
      <c r="T1535" s="22">
        <v>11</v>
      </c>
      <c r="U1535" s="24" t="s">
        <v>48</v>
      </c>
      <c r="V1535" s="24">
        <v>46021</v>
      </c>
      <c r="W1535" s="96" t="s">
        <v>30</v>
      </c>
      <c r="X1535" s="96" t="s">
        <v>30</v>
      </c>
      <c r="Y1535" s="96" t="s">
        <v>30</v>
      </c>
      <c r="Z1535" s="96" t="s">
        <v>30</v>
      </c>
      <c r="AA1535" s="96" t="s">
        <v>30</v>
      </c>
      <c r="AB1535" s="96" t="s">
        <v>30</v>
      </c>
      <c r="AC1535" s="96" t="s">
        <v>30</v>
      </c>
      <c r="AD1535" s="96" t="s">
        <v>30</v>
      </c>
      <c r="AE1535" s="96" t="s">
        <v>30</v>
      </c>
      <c r="AF1535" s="96" t="s">
        <v>30</v>
      </c>
      <c r="AG1535" s="96" t="s">
        <v>30</v>
      </c>
      <c r="AH1535" s="96" t="s">
        <v>30</v>
      </c>
      <c r="AI1535" s="110" t="s">
        <v>32</v>
      </c>
      <c r="AJ1535" s="110" t="s">
        <v>32</v>
      </c>
      <c r="AK1535" s="110" t="s">
        <v>32</v>
      </c>
      <c r="AL1535" s="110" t="s">
        <v>32</v>
      </c>
      <c r="AM1535" s="840" t="s">
        <v>2080</v>
      </c>
      <c r="AV1535" s="105"/>
    </row>
    <row r="1536" spans="1:48">
      <c r="A1536" s="834" t="s">
        <v>24</v>
      </c>
      <c r="B1536" s="835">
        <v>1533</v>
      </c>
      <c r="C1536" s="838" t="s">
        <v>2218</v>
      </c>
      <c r="D1536" s="838" t="s">
        <v>34</v>
      </c>
      <c r="E1536" s="839">
        <v>45981</v>
      </c>
      <c r="F1536" s="838" t="s">
        <v>1105</v>
      </c>
      <c r="G1536" s="838">
        <v>12</v>
      </c>
      <c r="H1536" s="838" t="s">
        <v>127</v>
      </c>
      <c r="I1536" s="838" t="s">
        <v>36</v>
      </c>
      <c r="J1536" s="838"/>
      <c r="K1536" s="834" t="s">
        <v>2092</v>
      </c>
      <c r="L1536" s="834" t="s">
        <v>2200</v>
      </c>
      <c r="M1536" s="834" t="s">
        <v>2200</v>
      </c>
      <c r="N1536" s="834" t="s">
        <v>2050</v>
      </c>
      <c r="O1536" s="848" t="s">
        <v>32</v>
      </c>
      <c r="P1536" s="848" t="s">
        <v>1091</v>
      </c>
      <c r="Q1536" s="24">
        <v>46014</v>
      </c>
      <c r="R1536" s="79" t="s">
        <v>28</v>
      </c>
      <c r="S1536" s="22" t="s">
        <v>32</v>
      </c>
      <c r="T1536" s="22">
        <v>10</v>
      </c>
      <c r="U1536" s="24" t="s">
        <v>28</v>
      </c>
      <c r="V1536" s="24">
        <v>46014</v>
      </c>
      <c r="W1536" s="96" t="s">
        <v>30</v>
      </c>
      <c r="X1536" s="96" t="s">
        <v>30</v>
      </c>
      <c r="Y1536" s="96" t="s">
        <v>30</v>
      </c>
      <c r="Z1536" s="91" t="s">
        <v>32</v>
      </c>
      <c r="AA1536" s="91" t="s">
        <v>32</v>
      </c>
      <c r="AB1536" s="91" t="s">
        <v>32</v>
      </c>
      <c r="AC1536" s="96" t="s">
        <v>30</v>
      </c>
      <c r="AD1536" s="96" t="s">
        <v>30</v>
      </c>
      <c r="AE1536" s="96" t="s">
        <v>30</v>
      </c>
      <c r="AF1536" s="96" t="s">
        <v>30</v>
      </c>
      <c r="AG1536" s="96" t="s">
        <v>30</v>
      </c>
      <c r="AH1536" s="107" t="s">
        <v>30</v>
      </c>
      <c r="AI1536" s="107" t="s">
        <v>30</v>
      </c>
      <c r="AJ1536" s="107" t="s">
        <v>30</v>
      </c>
      <c r="AK1536" s="107" t="s">
        <v>30</v>
      </c>
      <c r="AL1536" s="80" t="s">
        <v>30</v>
      </c>
      <c r="AM1536" s="840" t="s">
        <v>2089</v>
      </c>
      <c r="AV1536" s="105"/>
    </row>
    <row r="1537" spans="1:48">
      <c r="A1537" s="834" t="s">
        <v>24</v>
      </c>
      <c r="B1537" s="835">
        <v>1534</v>
      </c>
      <c r="C1537" s="838" t="s">
        <v>2219</v>
      </c>
      <c r="D1537" s="838" t="s">
        <v>469</v>
      </c>
      <c r="E1537" s="839">
        <v>45981</v>
      </c>
      <c r="F1537" s="838" t="s">
        <v>1124</v>
      </c>
      <c r="G1537" s="838">
        <v>15</v>
      </c>
      <c r="H1537" s="838" t="s">
        <v>1077</v>
      </c>
      <c r="I1537" s="838" t="s">
        <v>1138</v>
      </c>
      <c r="J1537" s="838"/>
      <c r="K1537" s="834" t="s">
        <v>2066</v>
      </c>
      <c r="L1537" s="834" t="s">
        <v>2067</v>
      </c>
      <c r="M1537" s="834" t="s">
        <v>2053</v>
      </c>
      <c r="N1537" s="834" t="s">
        <v>2050</v>
      </c>
      <c r="O1537" s="113" t="s">
        <v>30</v>
      </c>
      <c r="P1537" s="848" t="s">
        <v>1091</v>
      </c>
      <c r="Q1537" s="24">
        <v>46021</v>
      </c>
      <c r="R1537" s="79" t="s">
        <v>48</v>
      </c>
      <c r="S1537" s="22" t="s">
        <v>1140</v>
      </c>
      <c r="T1537" s="22">
        <v>11</v>
      </c>
      <c r="U1537" s="24" t="s">
        <v>48</v>
      </c>
      <c r="V1537" s="24">
        <v>46021</v>
      </c>
      <c r="W1537" s="96" t="s">
        <v>30</v>
      </c>
      <c r="X1537" s="96" t="s">
        <v>30</v>
      </c>
      <c r="Y1537" s="96" t="s">
        <v>30</v>
      </c>
      <c r="Z1537" s="96" t="s">
        <v>30</v>
      </c>
      <c r="AA1537" s="91" t="s">
        <v>32</v>
      </c>
      <c r="AB1537" s="91" t="s">
        <v>32</v>
      </c>
      <c r="AC1537" s="96" t="s">
        <v>30</v>
      </c>
      <c r="AD1537" s="96"/>
      <c r="AE1537" s="96"/>
      <c r="AF1537" s="96" t="s">
        <v>30</v>
      </c>
      <c r="AG1537" s="96" t="s">
        <v>30</v>
      </c>
      <c r="AH1537" s="96" t="s">
        <v>30</v>
      </c>
      <c r="AI1537" s="96" t="s">
        <v>30</v>
      </c>
      <c r="AJ1537" s="96" t="s">
        <v>30</v>
      </c>
      <c r="AK1537" s="110" t="s">
        <v>32</v>
      </c>
      <c r="AL1537" s="110"/>
      <c r="AM1537" s="840" t="s">
        <v>2080</v>
      </c>
      <c r="AV1537" s="105"/>
    </row>
    <row r="1538" spans="1:48">
      <c r="A1538" s="834" t="s">
        <v>24</v>
      </c>
      <c r="B1538" s="835">
        <v>1535</v>
      </c>
      <c r="C1538" s="838" t="s">
        <v>2220</v>
      </c>
      <c r="D1538" s="838" t="s">
        <v>432</v>
      </c>
      <c r="E1538" s="839">
        <v>45982</v>
      </c>
      <c r="F1538" s="838" t="s">
        <v>2221</v>
      </c>
      <c r="G1538" s="838">
        <v>17</v>
      </c>
      <c r="H1538" s="838" t="s">
        <v>127</v>
      </c>
      <c r="I1538" s="838" t="s">
        <v>36</v>
      </c>
      <c r="J1538" s="838"/>
      <c r="K1538" s="834" t="s">
        <v>2222</v>
      </c>
      <c r="L1538" s="834" t="s">
        <v>2200</v>
      </c>
      <c r="M1538" s="834" t="s">
        <v>2200</v>
      </c>
      <c r="N1538" s="834" t="s">
        <v>2050</v>
      </c>
      <c r="O1538" s="113" t="s">
        <v>30</v>
      </c>
      <c r="P1538" s="23" t="s">
        <v>1091</v>
      </c>
      <c r="Q1538" s="24">
        <v>46012</v>
      </c>
      <c r="R1538" s="79" t="s">
        <v>28</v>
      </c>
      <c r="S1538" s="22" t="s">
        <v>32</v>
      </c>
      <c r="T1538" s="22">
        <v>17</v>
      </c>
      <c r="U1538" s="24" t="s">
        <v>28</v>
      </c>
      <c r="V1538" s="24">
        <v>46012</v>
      </c>
      <c r="W1538" s="96" t="s">
        <v>30</v>
      </c>
      <c r="X1538" s="96" t="s">
        <v>30</v>
      </c>
      <c r="Y1538" s="96" t="s">
        <v>30</v>
      </c>
      <c r="Z1538" s="96" t="s">
        <v>30</v>
      </c>
      <c r="AA1538" s="96" t="s">
        <v>30</v>
      </c>
      <c r="AB1538" s="96" t="s">
        <v>30</v>
      </c>
      <c r="AC1538" s="96" t="s">
        <v>30</v>
      </c>
      <c r="AD1538" s="96" t="s">
        <v>30</v>
      </c>
      <c r="AE1538" s="96" t="s">
        <v>30</v>
      </c>
      <c r="AF1538" s="96" t="s">
        <v>30</v>
      </c>
      <c r="AG1538" s="96" t="s">
        <v>30</v>
      </c>
      <c r="AH1538" s="96" t="s">
        <v>30</v>
      </c>
      <c r="AI1538" s="96" t="s">
        <v>30</v>
      </c>
      <c r="AJ1538" s="96" t="s">
        <v>30</v>
      </c>
      <c r="AK1538" s="96" t="s">
        <v>30</v>
      </c>
      <c r="AL1538" s="80" t="s">
        <v>30</v>
      </c>
      <c r="AM1538" s="840" t="s">
        <v>2080</v>
      </c>
      <c r="AV1538" s="105"/>
    </row>
    <row r="1539" spans="1:48">
      <c r="A1539" s="834" t="s">
        <v>24</v>
      </c>
      <c r="B1539" s="835">
        <v>1536</v>
      </c>
      <c r="C1539" s="838" t="s">
        <v>2223</v>
      </c>
      <c r="D1539" s="838" t="s">
        <v>43</v>
      </c>
      <c r="E1539" s="839">
        <v>45982</v>
      </c>
      <c r="F1539" s="838" t="s">
        <v>1295</v>
      </c>
      <c r="G1539" s="838">
        <v>12</v>
      </c>
      <c r="H1539" s="838" t="s">
        <v>67</v>
      </c>
      <c r="I1539" s="838" t="s">
        <v>47</v>
      </c>
      <c r="J1539" s="838"/>
      <c r="K1539" s="834" t="s">
        <v>2145</v>
      </c>
      <c r="L1539" s="834" t="s">
        <v>2146</v>
      </c>
      <c r="M1539" s="834" t="s">
        <v>2146</v>
      </c>
      <c r="N1539" s="834" t="s">
        <v>2050</v>
      </c>
      <c r="O1539" s="848" t="s">
        <v>32</v>
      </c>
      <c r="P1539" s="848" t="s">
        <v>1091</v>
      </c>
      <c r="Q1539" s="24">
        <v>46027</v>
      </c>
      <c r="R1539" s="79" t="s">
        <v>127</v>
      </c>
      <c r="S1539" s="22" t="s">
        <v>32</v>
      </c>
      <c r="T1539" s="22">
        <v>11</v>
      </c>
      <c r="U1539" s="24" t="s">
        <v>127</v>
      </c>
      <c r="V1539" s="24">
        <v>46027</v>
      </c>
      <c r="W1539" s="96" t="s">
        <v>30</v>
      </c>
      <c r="X1539" s="96" t="s">
        <v>30</v>
      </c>
      <c r="Y1539" s="96" t="s">
        <v>30</v>
      </c>
      <c r="Z1539" s="96" t="s">
        <v>30</v>
      </c>
      <c r="AA1539" s="96" t="s">
        <v>30</v>
      </c>
      <c r="AB1539" s="96" t="s">
        <v>30</v>
      </c>
      <c r="AC1539" s="96" t="s">
        <v>30</v>
      </c>
      <c r="AD1539" s="96" t="s">
        <v>30</v>
      </c>
      <c r="AE1539" s="96" t="s">
        <v>30</v>
      </c>
      <c r="AF1539" s="96" t="s">
        <v>30</v>
      </c>
      <c r="AG1539" s="96" t="s">
        <v>30</v>
      </c>
      <c r="AH1539" s="96" t="s">
        <v>30</v>
      </c>
      <c r="AI1539" s="96" t="s">
        <v>30</v>
      </c>
      <c r="AJ1539" s="96" t="s">
        <v>30</v>
      </c>
      <c r="AK1539" s="96" t="s">
        <v>30</v>
      </c>
      <c r="AL1539" s="110" t="s">
        <v>32</v>
      </c>
      <c r="AM1539" s="840"/>
      <c r="AN1539" s="87"/>
      <c r="AO1539" s="87"/>
      <c r="AS1539" s="71"/>
      <c r="AT1539" s="92"/>
      <c r="AU1539" s="92"/>
      <c r="AV1539" s="105"/>
    </row>
    <row r="1540" spans="1:48">
      <c r="A1540" s="834" t="s">
        <v>24</v>
      </c>
      <c r="B1540" s="835">
        <v>1537</v>
      </c>
      <c r="C1540" s="838" t="s">
        <v>2224</v>
      </c>
      <c r="D1540" s="838" t="s">
        <v>50</v>
      </c>
      <c r="E1540" s="839">
        <v>45982</v>
      </c>
      <c r="F1540" s="838" t="s">
        <v>106</v>
      </c>
      <c r="G1540" s="838">
        <v>12</v>
      </c>
      <c r="H1540" s="838" t="s">
        <v>1721</v>
      </c>
      <c r="I1540" s="838" t="s">
        <v>1638</v>
      </c>
      <c r="J1540" s="98" t="s">
        <v>2225</v>
      </c>
      <c r="K1540" s="834" t="s">
        <v>2226</v>
      </c>
      <c r="L1540" s="834" t="s">
        <v>2227</v>
      </c>
      <c r="M1540" s="834" t="s">
        <v>2227</v>
      </c>
      <c r="N1540" s="834" t="s">
        <v>2050</v>
      </c>
      <c r="O1540" s="113" t="s">
        <v>30</v>
      </c>
      <c r="P1540" s="848" t="s">
        <v>1091</v>
      </c>
      <c r="Q1540" s="24">
        <v>46035</v>
      </c>
      <c r="R1540" s="241" t="s">
        <v>1638</v>
      </c>
      <c r="S1540" s="834" t="s">
        <v>1140</v>
      </c>
      <c r="T1540" s="834">
        <v>8</v>
      </c>
      <c r="U1540" s="852" t="s">
        <v>1638</v>
      </c>
      <c r="V1540" s="24">
        <v>46035</v>
      </c>
      <c r="W1540" s="96" t="s">
        <v>30</v>
      </c>
      <c r="X1540" s="96" t="s">
        <v>30</v>
      </c>
      <c r="Y1540" s="96" t="s">
        <v>30</v>
      </c>
      <c r="Z1540" s="90" t="s">
        <v>30</v>
      </c>
      <c r="AA1540" s="90" t="s">
        <v>30</v>
      </c>
      <c r="AB1540" s="90" t="s">
        <v>30</v>
      </c>
      <c r="AC1540" s="96" t="s">
        <v>30</v>
      </c>
      <c r="AD1540" s="96" t="s">
        <v>30</v>
      </c>
      <c r="AE1540" s="96" t="s">
        <v>30</v>
      </c>
      <c r="AF1540" s="96" t="s">
        <v>30</v>
      </c>
      <c r="AG1540" s="96" t="s">
        <v>30</v>
      </c>
      <c r="AH1540" s="96" t="s">
        <v>30</v>
      </c>
      <c r="AI1540" s="96" t="s">
        <v>30</v>
      </c>
      <c r="AJ1540" s="110" t="s">
        <v>32</v>
      </c>
      <c r="AK1540" s="107" t="s">
        <v>30</v>
      </c>
      <c r="AL1540" s="110" t="s">
        <v>32</v>
      </c>
      <c r="AM1540" s="840" t="s">
        <v>2080</v>
      </c>
      <c r="AN1540" s="87"/>
      <c r="AO1540" s="87"/>
      <c r="AS1540" s="71"/>
      <c r="AT1540" s="92"/>
      <c r="AU1540" s="92"/>
      <c r="AV1540" s="105"/>
    </row>
    <row r="1541" spans="1:48">
      <c r="A1541" s="834" t="s">
        <v>24</v>
      </c>
      <c r="B1541" s="835">
        <v>1538</v>
      </c>
      <c r="C1541" s="838" t="s">
        <v>2228</v>
      </c>
      <c r="D1541" s="838" t="s">
        <v>64</v>
      </c>
      <c r="E1541" s="839">
        <v>45982</v>
      </c>
      <c r="F1541" s="838" t="s">
        <v>106</v>
      </c>
      <c r="G1541" s="838">
        <v>12</v>
      </c>
      <c r="H1541" s="838" t="s">
        <v>1721</v>
      </c>
      <c r="I1541" s="838" t="s">
        <v>1638</v>
      </c>
      <c r="J1541" s="98" t="s">
        <v>2225</v>
      </c>
      <c r="K1541" s="834" t="s">
        <v>2226</v>
      </c>
      <c r="L1541" s="834" t="s">
        <v>401</v>
      </c>
      <c r="M1541" s="834" t="s">
        <v>401</v>
      </c>
      <c r="N1541" s="834" t="s">
        <v>2050</v>
      </c>
      <c r="O1541" s="834" t="s">
        <v>401</v>
      </c>
      <c r="P1541" s="23" t="s">
        <v>1091</v>
      </c>
      <c r="Q1541" s="24">
        <v>46035</v>
      </c>
      <c r="R1541" s="79" t="s">
        <v>1638</v>
      </c>
      <c r="S1541" s="22" t="s">
        <v>32</v>
      </c>
      <c r="T1541" s="22">
        <v>8</v>
      </c>
      <c r="U1541" s="24" t="s">
        <v>1638</v>
      </c>
      <c r="V1541" s="24">
        <v>46035</v>
      </c>
      <c r="W1541" s="96" t="s">
        <v>30</v>
      </c>
      <c r="X1541" s="96" t="s">
        <v>30</v>
      </c>
      <c r="Y1541" s="96" t="s">
        <v>30</v>
      </c>
      <c r="Z1541" s="90" t="s">
        <v>30</v>
      </c>
      <c r="AA1541" s="90" t="s">
        <v>30</v>
      </c>
      <c r="AB1541" s="90" t="s">
        <v>30</v>
      </c>
      <c r="AC1541" s="96" t="s">
        <v>30</v>
      </c>
      <c r="AD1541" s="96" t="s">
        <v>30</v>
      </c>
      <c r="AE1541" s="96" t="s">
        <v>30</v>
      </c>
      <c r="AF1541" s="96" t="s">
        <v>30</v>
      </c>
      <c r="AG1541" s="96" t="s">
        <v>30</v>
      </c>
      <c r="AH1541" s="96" t="s">
        <v>30</v>
      </c>
      <c r="AI1541" s="96" t="s">
        <v>30</v>
      </c>
      <c r="AJ1541" s="110" t="s">
        <v>32</v>
      </c>
      <c r="AK1541" s="107" t="s">
        <v>30</v>
      </c>
      <c r="AL1541" s="110" t="s">
        <v>32</v>
      </c>
      <c r="AM1541" s="840" t="s">
        <v>2080</v>
      </c>
      <c r="AV1541" s="105"/>
    </row>
    <row r="1542" spans="1:48">
      <c r="A1542" s="834" t="s">
        <v>24</v>
      </c>
      <c r="B1542" s="835">
        <v>1539</v>
      </c>
      <c r="C1542" s="838" t="s">
        <v>2229</v>
      </c>
      <c r="D1542" s="838" t="s">
        <v>2230</v>
      </c>
      <c r="E1542" s="839">
        <v>45982</v>
      </c>
      <c r="F1542" s="838" t="s">
        <v>439</v>
      </c>
      <c r="G1542" s="838">
        <v>10</v>
      </c>
      <c r="H1542" s="838" t="s">
        <v>127</v>
      </c>
      <c r="I1542" s="838" t="s">
        <v>178</v>
      </c>
      <c r="J1542" s="98" t="s">
        <v>2231</v>
      </c>
      <c r="K1542" s="834" t="s">
        <v>2096</v>
      </c>
      <c r="L1542" s="834" t="s">
        <v>2227</v>
      </c>
      <c r="M1542" s="834" t="s">
        <v>2227</v>
      </c>
      <c r="N1542" s="834" t="s">
        <v>2050</v>
      </c>
      <c r="O1542" s="848" t="s">
        <v>32</v>
      </c>
      <c r="P1542" s="848"/>
      <c r="Q1542" s="24"/>
      <c r="R1542" s="79" t="s">
        <v>28</v>
      </c>
      <c r="S1542" s="22"/>
      <c r="T1542" s="22"/>
      <c r="U1542" s="24"/>
      <c r="V1542" s="24"/>
      <c r="W1542" s="103" t="s">
        <v>32</v>
      </c>
      <c r="X1542" s="103" t="s">
        <v>32</v>
      </c>
      <c r="Y1542" s="103" t="s">
        <v>32</v>
      </c>
      <c r="Z1542" s="96" t="s">
        <v>30</v>
      </c>
      <c r="AA1542" s="96" t="s">
        <v>30</v>
      </c>
      <c r="AB1542" s="96" t="s">
        <v>30</v>
      </c>
      <c r="AC1542" s="96" t="s">
        <v>30</v>
      </c>
      <c r="AD1542" s="96" t="s">
        <v>30</v>
      </c>
      <c r="AE1542" s="96" t="s">
        <v>30</v>
      </c>
      <c r="AF1542" s="96" t="s">
        <v>30</v>
      </c>
      <c r="AG1542" s="96" t="s">
        <v>30</v>
      </c>
      <c r="AH1542" s="110" t="s">
        <v>32</v>
      </c>
      <c r="AI1542" s="110" t="s">
        <v>32</v>
      </c>
      <c r="AJ1542" s="110" t="s">
        <v>32</v>
      </c>
      <c r="AK1542" s="110" t="s">
        <v>32</v>
      </c>
      <c r="AL1542" s="110" t="s">
        <v>32</v>
      </c>
      <c r="AM1542" s="840" t="s">
        <v>2080</v>
      </c>
      <c r="AR1542" s="84"/>
      <c r="AS1542" s="71"/>
      <c r="AT1542" s="71"/>
      <c r="AU1542" s="71"/>
      <c r="AV1542" s="105"/>
    </row>
    <row r="1543" spans="1:48">
      <c r="A1543" s="834" t="s">
        <v>24</v>
      </c>
      <c r="B1543" s="835">
        <v>1540</v>
      </c>
      <c r="C1543" s="838" t="s">
        <v>2232</v>
      </c>
      <c r="D1543" s="838" t="s">
        <v>102</v>
      </c>
      <c r="E1543" s="839">
        <v>45982</v>
      </c>
      <c r="F1543" s="838" t="s">
        <v>2233</v>
      </c>
      <c r="G1543" s="838">
        <v>13</v>
      </c>
      <c r="H1543" s="838" t="s">
        <v>1721</v>
      </c>
      <c r="I1543" s="838" t="s">
        <v>1638</v>
      </c>
      <c r="J1543" s="838"/>
      <c r="K1543" s="834" t="s">
        <v>2234</v>
      </c>
      <c r="L1543" s="834" t="s">
        <v>2211</v>
      </c>
      <c r="M1543" s="834" t="s">
        <v>2211</v>
      </c>
      <c r="N1543" s="834" t="s">
        <v>2058</v>
      </c>
      <c r="O1543" s="848" t="s">
        <v>32</v>
      </c>
      <c r="P1543" s="23" t="s">
        <v>1091</v>
      </c>
      <c r="Q1543" s="24">
        <v>45993</v>
      </c>
      <c r="R1543" s="24" t="s">
        <v>67</v>
      </c>
      <c r="S1543" s="22" t="s">
        <v>32</v>
      </c>
      <c r="T1543" s="22">
        <v>11</v>
      </c>
      <c r="U1543" s="24" t="s">
        <v>67</v>
      </c>
      <c r="V1543" s="24">
        <v>45993</v>
      </c>
      <c r="W1543" s="96" t="s">
        <v>30</v>
      </c>
      <c r="X1543" s="96" t="s">
        <v>30</v>
      </c>
      <c r="Y1543" s="96" t="s">
        <v>30</v>
      </c>
      <c r="Z1543" s="96" t="s">
        <v>30</v>
      </c>
      <c r="AA1543" s="96" t="s">
        <v>30</v>
      </c>
      <c r="AB1543" s="96" t="s">
        <v>30</v>
      </c>
      <c r="AC1543" s="96" t="s">
        <v>30</v>
      </c>
      <c r="AD1543" s="96" t="s">
        <v>30</v>
      </c>
      <c r="AE1543" s="96" t="s">
        <v>30</v>
      </c>
      <c r="AF1543" s="96" t="s">
        <v>30</v>
      </c>
      <c r="AG1543" s="96" t="s">
        <v>30</v>
      </c>
      <c r="AH1543" s="107" t="s">
        <v>30</v>
      </c>
      <c r="AI1543" s="107" t="s">
        <v>30</v>
      </c>
      <c r="AJ1543" s="107" t="s">
        <v>30</v>
      </c>
      <c r="AK1543" s="107" t="s">
        <v>30</v>
      </c>
      <c r="AL1543" s="80" t="s">
        <v>30</v>
      </c>
      <c r="AM1543" s="840" t="s">
        <v>2080</v>
      </c>
      <c r="AV1543" s="105"/>
    </row>
    <row r="1544" spans="1:48">
      <c r="A1544" s="834" t="s">
        <v>24</v>
      </c>
      <c r="B1544" s="835">
        <v>1541</v>
      </c>
      <c r="C1544" s="838" t="s">
        <v>2235</v>
      </c>
      <c r="D1544" s="838" t="s">
        <v>2236</v>
      </c>
      <c r="E1544" s="839">
        <v>45982</v>
      </c>
      <c r="F1544" s="838" t="s">
        <v>324</v>
      </c>
      <c r="G1544" s="838">
        <v>12</v>
      </c>
      <c r="H1544" s="838" t="s">
        <v>67</v>
      </c>
      <c r="I1544" s="838" t="s">
        <v>47</v>
      </c>
      <c r="J1544" s="838"/>
      <c r="K1544" s="834" t="s">
        <v>2205</v>
      </c>
      <c r="L1544" s="834" t="s">
        <v>2200</v>
      </c>
      <c r="M1544" s="834" t="s">
        <v>2211</v>
      </c>
      <c r="N1544" s="834" t="s">
        <v>2206</v>
      </c>
      <c r="O1544" s="848" t="s">
        <v>32</v>
      </c>
      <c r="P1544" s="848" t="s">
        <v>1091</v>
      </c>
      <c r="Q1544" s="24">
        <v>46022</v>
      </c>
      <c r="R1544" s="79" t="s">
        <v>127</v>
      </c>
      <c r="S1544" s="834" t="s">
        <v>32</v>
      </c>
      <c r="T1544" s="22">
        <v>19</v>
      </c>
      <c r="U1544" s="24" t="s">
        <v>127</v>
      </c>
      <c r="V1544" s="24">
        <v>46022</v>
      </c>
      <c r="W1544" s="96" t="s">
        <v>30</v>
      </c>
      <c r="X1544" s="96" t="s">
        <v>30</v>
      </c>
      <c r="Y1544" s="96" t="s">
        <v>30</v>
      </c>
      <c r="Z1544" s="96" t="s">
        <v>30</v>
      </c>
      <c r="AA1544" s="96" t="s">
        <v>30</v>
      </c>
      <c r="AB1544" s="96" t="s">
        <v>30</v>
      </c>
      <c r="AC1544" s="96" t="s">
        <v>30</v>
      </c>
      <c r="AD1544" s="96" t="s">
        <v>30</v>
      </c>
      <c r="AE1544" s="96" t="s">
        <v>30</v>
      </c>
      <c r="AF1544" s="96" t="s">
        <v>30</v>
      </c>
      <c r="AG1544" s="96" t="s">
        <v>30</v>
      </c>
      <c r="AH1544" s="107" t="s">
        <v>30</v>
      </c>
      <c r="AI1544" s="96" t="s">
        <v>30</v>
      </c>
      <c r="AJ1544" s="96" t="s">
        <v>30</v>
      </c>
      <c r="AK1544" s="96" t="s">
        <v>30</v>
      </c>
      <c r="AL1544" s="110" t="s">
        <v>32</v>
      </c>
      <c r="AM1544" s="840"/>
      <c r="AV1544" s="105"/>
    </row>
    <row r="1545" spans="1:48">
      <c r="A1545" s="834" t="s">
        <v>24</v>
      </c>
      <c r="B1545" s="835">
        <v>1542</v>
      </c>
      <c r="C1545" s="838" t="s">
        <v>2237</v>
      </c>
      <c r="D1545" s="838" t="s">
        <v>178</v>
      </c>
      <c r="E1545" s="839">
        <v>45982</v>
      </c>
      <c r="F1545" s="838" t="s">
        <v>199</v>
      </c>
      <c r="G1545" s="838">
        <v>28</v>
      </c>
      <c r="H1545" s="838" t="s">
        <v>1721</v>
      </c>
      <c r="I1545" s="838" t="s">
        <v>1638</v>
      </c>
      <c r="J1545" s="98" t="s">
        <v>2238</v>
      </c>
      <c r="K1545" s="834" t="s">
        <v>2098</v>
      </c>
      <c r="L1545" s="834" t="s">
        <v>2211</v>
      </c>
      <c r="M1545" s="834" t="s">
        <v>2211</v>
      </c>
      <c r="N1545" s="834" t="s">
        <v>2050</v>
      </c>
      <c r="O1545" s="113" t="s">
        <v>30</v>
      </c>
      <c r="P1545" s="848"/>
      <c r="Q1545" s="24"/>
      <c r="R1545" s="79" t="s">
        <v>1138</v>
      </c>
      <c r="S1545" s="22"/>
      <c r="T1545" s="22"/>
      <c r="U1545" s="24" t="s">
        <v>1138</v>
      </c>
      <c r="V1545" s="24"/>
      <c r="W1545" s="96" t="s">
        <v>30</v>
      </c>
      <c r="X1545" s="96" t="s">
        <v>30</v>
      </c>
      <c r="Y1545" s="96" t="s">
        <v>30</v>
      </c>
      <c r="Z1545" s="96" t="s">
        <v>30</v>
      </c>
      <c r="AA1545" s="96" t="s">
        <v>30</v>
      </c>
      <c r="AB1545" s="96" t="s">
        <v>30</v>
      </c>
      <c r="AC1545" s="96" t="s">
        <v>30</v>
      </c>
      <c r="AD1545" s="96" t="s">
        <v>30</v>
      </c>
      <c r="AE1545" s="96" t="s">
        <v>30</v>
      </c>
      <c r="AF1545" s="96" t="s">
        <v>30</v>
      </c>
      <c r="AG1545" s="96" t="s">
        <v>30</v>
      </c>
      <c r="AH1545" s="96" t="s">
        <v>30</v>
      </c>
      <c r="AI1545" s="96" t="s">
        <v>30</v>
      </c>
      <c r="AJ1545" s="96" t="s">
        <v>30</v>
      </c>
      <c r="AK1545" s="96" t="s">
        <v>30</v>
      </c>
      <c r="AL1545" s="110" t="s">
        <v>32</v>
      </c>
      <c r="AM1545" s="840"/>
      <c r="AR1545" s="84"/>
      <c r="AS1545" s="71"/>
      <c r="AT1545" s="71"/>
      <c r="AU1545" s="71"/>
      <c r="AV1545" s="105"/>
    </row>
    <row r="1546" spans="1:48">
      <c r="A1546" s="834" t="s">
        <v>24</v>
      </c>
      <c r="B1546" s="835">
        <v>1543</v>
      </c>
      <c r="C1546" s="838" t="s">
        <v>2239</v>
      </c>
      <c r="D1546" s="838" t="s">
        <v>34</v>
      </c>
      <c r="E1546" s="839">
        <v>45983</v>
      </c>
      <c r="F1546" s="838" t="s">
        <v>2240</v>
      </c>
      <c r="G1546" s="838">
        <v>19</v>
      </c>
      <c r="H1546" s="838" t="s">
        <v>127</v>
      </c>
      <c r="I1546" s="838" t="s">
        <v>178</v>
      </c>
      <c r="J1546" s="98" t="s">
        <v>2241</v>
      </c>
      <c r="K1546" s="834" t="s">
        <v>2130</v>
      </c>
      <c r="L1546" s="834" t="s">
        <v>2217</v>
      </c>
      <c r="M1546" s="834" t="s">
        <v>2217</v>
      </c>
      <c r="N1546" s="834" t="s">
        <v>2050</v>
      </c>
      <c r="O1546" s="113" t="s">
        <v>30</v>
      </c>
      <c r="P1546" s="848"/>
      <c r="Q1546" s="24"/>
      <c r="R1546" s="79" t="s">
        <v>28</v>
      </c>
      <c r="S1546" s="22"/>
      <c r="T1546" s="22"/>
      <c r="U1546" s="24"/>
      <c r="V1546" s="24"/>
      <c r="W1546" s="90" t="s">
        <v>30</v>
      </c>
      <c r="X1546" s="96" t="s">
        <v>30</v>
      </c>
      <c r="Y1546" s="96" t="s">
        <v>30</v>
      </c>
      <c r="Z1546" s="91" t="s">
        <v>32</v>
      </c>
      <c r="AA1546" s="91" t="s">
        <v>32</v>
      </c>
      <c r="AB1546" s="96" t="s">
        <v>30</v>
      </c>
      <c r="AC1546" s="96" t="s">
        <v>30</v>
      </c>
      <c r="AD1546" s="96" t="s">
        <v>30</v>
      </c>
      <c r="AE1546" s="96" t="s">
        <v>30</v>
      </c>
      <c r="AF1546" s="96" t="s">
        <v>30</v>
      </c>
      <c r="AG1546" s="96" t="s">
        <v>30</v>
      </c>
      <c r="AH1546" s="96" t="s">
        <v>30</v>
      </c>
      <c r="AI1546" s="96" t="s">
        <v>30</v>
      </c>
      <c r="AJ1546" s="96" t="s">
        <v>30</v>
      </c>
      <c r="AK1546" s="96" t="s">
        <v>30</v>
      </c>
      <c r="AL1546" s="110" t="s">
        <v>32</v>
      </c>
      <c r="AM1546" s="840" t="s">
        <v>2080</v>
      </c>
      <c r="AO1546" s="776"/>
      <c r="AP1546" s="776"/>
      <c r="AQ1546" s="776"/>
      <c r="AR1546" s="776"/>
      <c r="AV1546" s="105"/>
    </row>
    <row r="1547" spans="1:48">
      <c r="A1547" s="834" t="s">
        <v>24</v>
      </c>
      <c r="B1547" s="835">
        <v>1544</v>
      </c>
      <c r="C1547" s="838" t="s">
        <v>2242</v>
      </c>
      <c r="D1547" s="838" t="s">
        <v>34</v>
      </c>
      <c r="E1547" s="839">
        <v>45983</v>
      </c>
      <c r="F1547" s="838" t="s">
        <v>106</v>
      </c>
      <c r="G1547" s="838">
        <v>12</v>
      </c>
      <c r="H1547" s="838" t="s">
        <v>127</v>
      </c>
      <c r="I1547" s="838" t="s">
        <v>178</v>
      </c>
      <c r="J1547" s="838"/>
      <c r="K1547" s="834" t="s">
        <v>2087</v>
      </c>
      <c r="L1547" s="834" t="s">
        <v>2217</v>
      </c>
      <c r="M1547" s="834" t="s">
        <v>2217</v>
      </c>
      <c r="N1547" s="834" t="s">
        <v>2050</v>
      </c>
      <c r="O1547" s="848" t="s">
        <v>32</v>
      </c>
      <c r="P1547" s="848" t="s">
        <v>1091</v>
      </c>
      <c r="Q1547" s="24">
        <v>46013</v>
      </c>
      <c r="R1547" s="79" t="s">
        <v>28</v>
      </c>
      <c r="S1547" s="22" t="s">
        <v>32</v>
      </c>
      <c r="T1547" s="22">
        <v>9</v>
      </c>
      <c r="U1547" s="24" t="s">
        <v>28</v>
      </c>
      <c r="V1547" s="24">
        <v>46013</v>
      </c>
      <c r="W1547" s="96" t="s">
        <v>30</v>
      </c>
      <c r="X1547" s="96" t="s">
        <v>30</v>
      </c>
      <c r="Y1547" s="96" t="s">
        <v>30</v>
      </c>
      <c r="Z1547" s="91" t="s">
        <v>32</v>
      </c>
      <c r="AA1547" s="91" t="s">
        <v>32</v>
      </c>
      <c r="AB1547" s="91" t="s">
        <v>32</v>
      </c>
      <c r="AC1547" s="96" t="s">
        <v>30</v>
      </c>
      <c r="AD1547" s="96" t="s">
        <v>30</v>
      </c>
      <c r="AE1547" s="96" t="s">
        <v>30</v>
      </c>
      <c r="AF1547" s="96" t="s">
        <v>30</v>
      </c>
      <c r="AG1547" s="96" t="s">
        <v>30</v>
      </c>
      <c r="AH1547" s="107" t="s">
        <v>30</v>
      </c>
      <c r="AI1547" s="96" t="s">
        <v>30</v>
      </c>
      <c r="AJ1547" s="96" t="s">
        <v>30</v>
      </c>
      <c r="AK1547" s="96" t="s">
        <v>30</v>
      </c>
      <c r="AL1547" s="80" t="s">
        <v>30</v>
      </c>
      <c r="AM1547" s="840" t="s">
        <v>2089</v>
      </c>
      <c r="AS1547" s="71"/>
      <c r="AT1547" s="92"/>
      <c r="AU1547" s="92"/>
      <c r="AV1547" s="105"/>
    </row>
    <row r="1548" spans="1:48">
      <c r="A1548" s="834" t="s">
        <v>24</v>
      </c>
      <c r="B1548" s="835">
        <v>1545</v>
      </c>
      <c r="C1548" s="838" t="s">
        <v>2243</v>
      </c>
      <c r="D1548" s="838" t="s">
        <v>34</v>
      </c>
      <c r="E1548" s="839">
        <v>45983</v>
      </c>
      <c r="F1548" s="838" t="s">
        <v>97</v>
      </c>
      <c r="G1548" s="838">
        <v>31</v>
      </c>
      <c r="H1548" s="838" t="s">
        <v>127</v>
      </c>
      <c r="I1548" s="838" t="s">
        <v>178</v>
      </c>
      <c r="J1548" s="98"/>
      <c r="K1548" s="834" t="s">
        <v>2244</v>
      </c>
      <c r="L1548" s="834" t="s">
        <v>2217</v>
      </c>
      <c r="M1548" s="834" t="s">
        <v>2217</v>
      </c>
      <c r="N1548" s="834" t="s">
        <v>2245</v>
      </c>
      <c r="O1548" s="113" t="s">
        <v>30</v>
      </c>
      <c r="P1548" s="23" t="s">
        <v>1091</v>
      </c>
      <c r="Q1548" s="24">
        <v>46013</v>
      </c>
      <c r="R1548" s="79" t="s">
        <v>28</v>
      </c>
      <c r="S1548" s="22" t="s">
        <v>32</v>
      </c>
      <c r="T1548" s="22">
        <v>29</v>
      </c>
      <c r="U1548" s="24" t="s">
        <v>28</v>
      </c>
      <c r="V1548" s="24">
        <v>46013</v>
      </c>
      <c r="W1548" s="96" t="s">
        <v>30</v>
      </c>
      <c r="X1548" s="96" t="s">
        <v>30</v>
      </c>
      <c r="Y1548" s="96" t="s">
        <v>30</v>
      </c>
      <c r="Z1548" s="96" t="s">
        <v>30</v>
      </c>
      <c r="AA1548" s="96" t="s">
        <v>30</v>
      </c>
      <c r="AB1548" s="96" t="s">
        <v>30</v>
      </c>
      <c r="AC1548" s="96" t="s">
        <v>30</v>
      </c>
      <c r="AD1548" s="96" t="s">
        <v>30</v>
      </c>
      <c r="AE1548" s="96" t="s">
        <v>30</v>
      </c>
      <c r="AF1548" s="96" t="s">
        <v>30</v>
      </c>
      <c r="AG1548" s="96" t="s">
        <v>30</v>
      </c>
      <c r="AH1548" s="107" t="s">
        <v>30</v>
      </c>
      <c r="AI1548" s="96" t="s">
        <v>30</v>
      </c>
      <c r="AJ1548" s="96" t="s">
        <v>30</v>
      </c>
      <c r="AK1548" s="96" t="s">
        <v>30</v>
      </c>
      <c r="AL1548" s="80" t="s">
        <v>30</v>
      </c>
      <c r="AM1548" s="840"/>
      <c r="AO1548" s="776"/>
      <c r="AP1548" s="776"/>
      <c r="AQ1548" s="776"/>
      <c r="AR1548" s="776"/>
      <c r="AV1548" s="105"/>
    </row>
    <row r="1549" spans="1:48">
      <c r="A1549" s="834" t="s">
        <v>24</v>
      </c>
      <c r="B1549" s="835">
        <v>1546</v>
      </c>
      <c r="C1549" s="838" t="s">
        <v>2246</v>
      </c>
      <c r="D1549" s="838" t="s">
        <v>178</v>
      </c>
      <c r="E1549" s="839">
        <v>45983</v>
      </c>
      <c r="F1549" s="838" t="s">
        <v>1962</v>
      </c>
      <c r="G1549" s="838">
        <v>11</v>
      </c>
      <c r="H1549" s="838" t="s">
        <v>127</v>
      </c>
      <c r="I1549" s="838" t="s">
        <v>178</v>
      </c>
      <c r="J1549" s="838"/>
      <c r="K1549" s="834" t="s">
        <v>2085</v>
      </c>
      <c r="L1549" s="834" t="s">
        <v>2217</v>
      </c>
      <c r="M1549" s="834" t="s">
        <v>2217</v>
      </c>
      <c r="N1549" s="834" t="s">
        <v>2050</v>
      </c>
      <c r="O1549" s="848" t="s">
        <v>32</v>
      </c>
      <c r="P1549" s="23" t="s">
        <v>1091</v>
      </c>
      <c r="Q1549" s="24">
        <v>46014</v>
      </c>
      <c r="R1549" s="79" t="s">
        <v>28</v>
      </c>
      <c r="S1549" s="22" t="s">
        <v>32</v>
      </c>
      <c r="T1549" s="22">
        <v>12</v>
      </c>
      <c r="U1549" s="24" t="s">
        <v>28</v>
      </c>
      <c r="V1549" s="24">
        <v>46014</v>
      </c>
      <c r="W1549" s="96" t="s">
        <v>30</v>
      </c>
      <c r="X1549" s="96" t="s">
        <v>30</v>
      </c>
      <c r="Y1549" s="96" t="s">
        <v>30</v>
      </c>
      <c r="Z1549" s="96" t="s">
        <v>30</v>
      </c>
      <c r="AA1549" s="96" t="s">
        <v>30</v>
      </c>
      <c r="AB1549" s="96" t="s">
        <v>30</v>
      </c>
      <c r="AC1549" s="96" t="s">
        <v>30</v>
      </c>
      <c r="AD1549" s="96" t="s">
        <v>30</v>
      </c>
      <c r="AE1549" s="96" t="s">
        <v>30</v>
      </c>
      <c r="AF1549" s="96" t="s">
        <v>30</v>
      </c>
      <c r="AG1549" s="96" t="s">
        <v>30</v>
      </c>
      <c r="AH1549" s="107" t="s">
        <v>30</v>
      </c>
      <c r="AI1549" s="107" t="s">
        <v>30</v>
      </c>
      <c r="AJ1549" s="107" t="s">
        <v>30</v>
      </c>
      <c r="AK1549" s="107" t="s">
        <v>30</v>
      </c>
      <c r="AL1549" s="80" t="s">
        <v>30</v>
      </c>
      <c r="AM1549" s="840"/>
      <c r="AO1549" s="776"/>
      <c r="AP1549" s="776"/>
      <c r="AQ1549" s="776"/>
      <c r="AR1549" s="776"/>
      <c r="AV1549" s="105"/>
    </row>
    <row r="1550" spans="1:48">
      <c r="A1550" s="834" t="s">
        <v>24</v>
      </c>
      <c r="B1550" s="835">
        <v>1547</v>
      </c>
      <c r="C1550" s="838" t="s">
        <v>2247</v>
      </c>
      <c r="D1550" s="838" t="s">
        <v>34</v>
      </c>
      <c r="E1550" s="839">
        <v>45983</v>
      </c>
      <c r="F1550" s="838" t="s">
        <v>206</v>
      </c>
      <c r="G1550" s="838">
        <v>12</v>
      </c>
      <c r="H1550" s="838" t="s">
        <v>127</v>
      </c>
      <c r="I1550" s="838" t="s">
        <v>178</v>
      </c>
      <c r="J1550" s="838"/>
      <c r="K1550" s="834" t="s">
        <v>2180</v>
      </c>
      <c r="L1550" s="834" t="s">
        <v>2217</v>
      </c>
      <c r="M1550" s="834" t="s">
        <v>2217</v>
      </c>
      <c r="N1550" s="834" t="s">
        <v>2248</v>
      </c>
      <c r="O1550" s="848" t="s">
        <v>32</v>
      </c>
      <c r="P1550" s="848" t="s">
        <v>1091</v>
      </c>
      <c r="Q1550" s="24">
        <v>46026</v>
      </c>
      <c r="R1550" s="79" t="s">
        <v>127</v>
      </c>
      <c r="S1550" s="22" t="s">
        <v>32</v>
      </c>
      <c r="T1550" s="22">
        <v>11</v>
      </c>
      <c r="U1550" s="24" t="s">
        <v>127</v>
      </c>
      <c r="V1550" s="24">
        <v>46026</v>
      </c>
      <c r="W1550" s="96" t="s">
        <v>30</v>
      </c>
      <c r="X1550" s="96" t="s">
        <v>30</v>
      </c>
      <c r="Y1550" s="96" t="s">
        <v>30</v>
      </c>
      <c r="Z1550" s="91" t="s">
        <v>32</v>
      </c>
      <c r="AA1550" s="91" t="s">
        <v>32</v>
      </c>
      <c r="AB1550" s="91" t="s">
        <v>32</v>
      </c>
      <c r="AC1550" s="96" t="s">
        <v>30</v>
      </c>
      <c r="AD1550" s="96" t="s">
        <v>30</v>
      </c>
      <c r="AE1550" s="96" t="s">
        <v>30</v>
      </c>
      <c r="AF1550" s="96" t="s">
        <v>30</v>
      </c>
      <c r="AG1550" s="96" t="s">
        <v>30</v>
      </c>
      <c r="AH1550" s="107" t="s">
        <v>30</v>
      </c>
      <c r="AI1550" s="96" t="s">
        <v>30</v>
      </c>
      <c r="AJ1550" s="96" t="s">
        <v>30</v>
      </c>
      <c r="AK1550" s="107" t="s">
        <v>30</v>
      </c>
      <c r="AL1550" s="110" t="s">
        <v>32</v>
      </c>
      <c r="AM1550" s="840" t="s">
        <v>2089</v>
      </c>
      <c r="AN1550" s="6"/>
      <c r="AO1550" s="6"/>
      <c r="AP1550" s="6"/>
      <c r="AQ1550" s="6"/>
      <c r="AR1550" s="6"/>
      <c r="AS1550" s="104"/>
      <c r="AT1550" s="105"/>
      <c r="AU1550" s="105"/>
      <c r="AV1550" s="105"/>
    </row>
    <row r="1551" spans="1:48">
      <c r="A1551" s="834" t="s">
        <v>24</v>
      </c>
      <c r="B1551" s="835">
        <v>1548</v>
      </c>
      <c r="C1551" s="838" t="s">
        <v>2249</v>
      </c>
      <c r="D1551" s="838" t="s">
        <v>102</v>
      </c>
      <c r="E1551" s="839">
        <v>45983</v>
      </c>
      <c r="F1551" s="838" t="s">
        <v>1135</v>
      </c>
      <c r="G1551" s="838">
        <v>12</v>
      </c>
      <c r="H1551" s="838" t="s">
        <v>67</v>
      </c>
      <c r="I1551" s="838" t="s">
        <v>47</v>
      </c>
      <c r="J1551" s="98" t="s">
        <v>2250</v>
      </c>
      <c r="K1551" s="834" t="s">
        <v>2126</v>
      </c>
      <c r="L1551" s="834" t="s">
        <v>2251</v>
      </c>
      <c r="M1551" s="834" t="s">
        <v>2251</v>
      </c>
      <c r="N1551" s="834" t="s">
        <v>2252</v>
      </c>
      <c r="O1551" s="848" t="s">
        <v>32</v>
      </c>
      <c r="P1551" s="848" t="s">
        <v>1091</v>
      </c>
      <c r="Q1551" s="24">
        <v>46030</v>
      </c>
      <c r="R1551" s="79" t="s">
        <v>2253</v>
      </c>
      <c r="S1551" s="22" t="s">
        <v>32</v>
      </c>
      <c r="T1551" s="22">
        <v>12</v>
      </c>
      <c r="U1551" s="79" t="s">
        <v>2253</v>
      </c>
      <c r="V1551" s="24">
        <v>46030</v>
      </c>
      <c r="W1551" s="96" t="s">
        <v>30</v>
      </c>
      <c r="X1551" s="96" t="s">
        <v>30</v>
      </c>
      <c r="Y1551" s="96" t="s">
        <v>30</v>
      </c>
      <c r="Z1551" s="96" t="s">
        <v>30</v>
      </c>
      <c r="AA1551" s="96" t="s">
        <v>30</v>
      </c>
      <c r="AB1551" s="96" t="s">
        <v>30</v>
      </c>
      <c r="AC1551" s="96" t="s">
        <v>30</v>
      </c>
      <c r="AD1551" s="96" t="s">
        <v>30</v>
      </c>
      <c r="AE1551" s="96" t="s">
        <v>30</v>
      </c>
      <c r="AF1551" s="96" t="s">
        <v>30</v>
      </c>
      <c r="AG1551" s="96" t="s">
        <v>30</v>
      </c>
      <c r="AH1551" s="107" t="s">
        <v>30</v>
      </c>
      <c r="AI1551" s="110" t="s">
        <v>32</v>
      </c>
      <c r="AJ1551" s="96" t="s">
        <v>30</v>
      </c>
      <c r="AK1551" s="110" t="s">
        <v>32</v>
      </c>
      <c r="AL1551" s="110" t="s">
        <v>32</v>
      </c>
      <c r="AM1551" s="840" t="s">
        <v>2080</v>
      </c>
      <c r="AN1551" s="6"/>
      <c r="AO1551" s="6"/>
      <c r="AP1551" s="6"/>
      <c r="AQ1551" s="6"/>
      <c r="AR1551" s="6"/>
      <c r="AS1551" s="104"/>
      <c r="AT1551" s="105"/>
      <c r="AU1551" s="105"/>
      <c r="AV1551" s="105"/>
    </row>
    <row r="1552" spans="1:48">
      <c r="A1552" s="834" t="s">
        <v>24</v>
      </c>
      <c r="B1552" s="835">
        <v>1549</v>
      </c>
      <c r="C1552" s="838" t="s">
        <v>2254</v>
      </c>
      <c r="D1552" s="838" t="s">
        <v>102</v>
      </c>
      <c r="E1552" s="839">
        <v>45983</v>
      </c>
      <c r="F1552" s="838" t="s">
        <v>683</v>
      </c>
      <c r="G1552" s="838">
        <v>25</v>
      </c>
      <c r="H1552" s="838" t="s">
        <v>67</v>
      </c>
      <c r="I1552" s="838" t="s">
        <v>47</v>
      </c>
      <c r="J1552" s="98" t="s">
        <v>2250</v>
      </c>
      <c r="K1552" s="834" t="s">
        <v>2123</v>
      </c>
      <c r="L1552" s="834" t="s">
        <v>2217</v>
      </c>
      <c r="M1552" s="834" t="s">
        <v>2217</v>
      </c>
      <c r="N1552" s="834" t="s">
        <v>2050</v>
      </c>
      <c r="O1552" s="113" t="s">
        <v>30</v>
      </c>
      <c r="P1552" s="848"/>
      <c r="Q1552" s="24"/>
      <c r="R1552" s="79" t="s">
        <v>127</v>
      </c>
      <c r="S1552" s="22"/>
      <c r="T1552" s="22"/>
      <c r="U1552" s="24"/>
      <c r="V1552" s="24"/>
      <c r="W1552" s="96" t="s">
        <v>30</v>
      </c>
      <c r="X1552" s="96" t="s">
        <v>30</v>
      </c>
      <c r="Y1552" s="96" t="s">
        <v>30</v>
      </c>
      <c r="Z1552" s="96" t="s">
        <v>30</v>
      </c>
      <c r="AA1552" s="96" t="s">
        <v>30</v>
      </c>
      <c r="AB1552" s="96" t="s">
        <v>30</v>
      </c>
      <c r="AC1552" s="96" t="s">
        <v>30</v>
      </c>
      <c r="AD1552" s="96" t="s">
        <v>30</v>
      </c>
      <c r="AE1552" s="96" t="s">
        <v>30</v>
      </c>
      <c r="AF1552" s="96" t="s">
        <v>30</v>
      </c>
      <c r="AG1552" s="96" t="s">
        <v>30</v>
      </c>
      <c r="AH1552" s="107" t="s">
        <v>30</v>
      </c>
      <c r="AI1552" s="107" t="s">
        <v>30</v>
      </c>
      <c r="AJ1552" s="107" t="s">
        <v>30</v>
      </c>
      <c r="AK1552" s="107" t="s">
        <v>30</v>
      </c>
      <c r="AL1552" s="110" t="s">
        <v>32</v>
      </c>
      <c r="AM1552" s="840"/>
      <c r="AV1552" s="105"/>
    </row>
    <row r="1553" spans="1:48">
      <c r="A1553" s="834" t="s">
        <v>24</v>
      </c>
      <c r="B1553" s="835">
        <v>1550</v>
      </c>
      <c r="C1553" s="838" t="s">
        <v>2255</v>
      </c>
      <c r="D1553" s="838" t="s">
        <v>50</v>
      </c>
      <c r="E1553" s="839">
        <v>45983</v>
      </c>
      <c r="F1553" s="838" t="s">
        <v>272</v>
      </c>
      <c r="G1553" s="838">
        <v>12</v>
      </c>
      <c r="H1553" s="838" t="s">
        <v>67</v>
      </c>
      <c r="I1553" s="838" t="s">
        <v>47</v>
      </c>
      <c r="J1553" s="838"/>
      <c r="K1553" s="834" t="s">
        <v>2113</v>
      </c>
      <c r="L1553" s="834" t="s">
        <v>2211</v>
      </c>
      <c r="M1553" s="834" t="s">
        <v>2217</v>
      </c>
      <c r="N1553" s="834" t="s">
        <v>2050</v>
      </c>
      <c r="O1553" s="848" t="s">
        <v>32</v>
      </c>
      <c r="P1553" s="848" t="s">
        <v>1091</v>
      </c>
      <c r="Q1553" s="24">
        <v>46022</v>
      </c>
      <c r="R1553" s="79" t="s">
        <v>127</v>
      </c>
      <c r="S1553" s="834" t="s">
        <v>32</v>
      </c>
      <c r="T1553" s="22">
        <v>13</v>
      </c>
      <c r="U1553" s="24" t="s">
        <v>127</v>
      </c>
      <c r="V1553" s="24">
        <v>46022</v>
      </c>
      <c r="W1553" s="96" t="s">
        <v>30</v>
      </c>
      <c r="X1553" s="96" t="s">
        <v>30</v>
      </c>
      <c r="Y1553" s="96" t="s">
        <v>30</v>
      </c>
      <c r="Z1553" s="96" t="s">
        <v>30</v>
      </c>
      <c r="AA1553" s="96" t="s">
        <v>30</v>
      </c>
      <c r="AB1553" s="96" t="s">
        <v>30</v>
      </c>
      <c r="AC1553" s="96" t="s">
        <v>30</v>
      </c>
      <c r="AD1553" s="96" t="s">
        <v>30</v>
      </c>
      <c r="AE1553" s="96" t="s">
        <v>30</v>
      </c>
      <c r="AF1553" s="96" t="s">
        <v>30</v>
      </c>
      <c r="AG1553" s="96" t="s">
        <v>30</v>
      </c>
      <c r="AH1553" s="107" t="s">
        <v>30</v>
      </c>
      <c r="AI1553" s="107" t="s">
        <v>30</v>
      </c>
      <c r="AJ1553" s="107" t="s">
        <v>30</v>
      </c>
      <c r="AK1553" s="107" t="s">
        <v>30</v>
      </c>
      <c r="AL1553" s="110" t="s">
        <v>32</v>
      </c>
      <c r="AM1553" s="840"/>
      <c r="AN1553" s="87"/>
      <c r="AO1553" s="87"/>
      <c r="AS1553" s="71"/>
      <c r="AT1553" s="92"/>
      <c r="AU1553" s="92"/>
      <c r="AV1553" s="105"/>
    </row>
    <row r="1554" spans="1:48">
      <c r="A1554" s="834" t="s">
        <v>24</v>
      </c>
      <c r="B1554" s="835">
        <v>1551</v>
      </c>
      <c r="C1554" s="838" t="s">
        <v>2256</v>
      </c>
      <c r="D1554" s="838" t="s">
        <v>34</v>
      </c>
      <c r="E1554" s="839">
        <v>45983</v>
      </c>
      <c r="F1554" s="838" t="s">
        <v>2257</v>
      </c>
      <c r="G1554" s="838">
        <v>39</v>
      </c>
      <c r="H1554" s="838" t="s">
        <v>67</v>
      </c>
      <c r="I1554" s="838" t="s">
        <v>47</v>
      </c>
      <c r="J1554" s="838"/>
      <c r="K1554" s="834" t="s">
        <v>2195</v>
      </c>
      <c r="L1554" s="834" t="s">
        <v>2211</v>
      </c>
      <c r="M1554" s="834" t="s">
        <v>2211</v>
      </c>
      <c r="N1554" s="834" t="s">
        <v>2258</v>
      </c>
      <c r="O1554" s="113" t="s">
        <v>30</v>
      </c>
      <c r="P1554" s="23" t="s">
        <v>1091</v>
      </c>
      <c r="Q1554" s="24">
        <v>46022</v>
      </c>
      <c r="R1554" s="79" t="s">
        <v>127</v>
      </c>
      <c r="S1554" s="834" t="s">
        <v>32</v>
      </c>
      <c r="T1554" s="22">
        <v>13</v>
      </c>
      <c r="U1554" s="24" t="s">
        <v>127</v>
      </c>
      <c r="V1554" s="24">
        <v>46022</v>
      </c>
      <c r="W1554" s="96" t="s">
        <v>30</v>
      </c>
      <c r="X1554" s="96" t="s">
        <v>30</v>
      </c>
      <c r="Y1554" s="96" t="s">
        <v>30</v>
      </c>
      <c r="Z1554" s="96" t="s">
        <v>30</v>
      </c>
      <c r="AA1554" s="96" t="s">
        <v>30</v>
      </c>
      <c r="AB1554" s="96" t="s">
        <v>30</v>
      </c>
      <c r="AC1554" s="96" t="s">
        <v>30</v>
      </c>
      <c r="AD1554" s="96" t="s">
        <v>30</v>
      </c>
      <c r="AE1554" s="96" t="s">
        <v>30</v>
      </c>
      <c r="AF1554" s="96" t="s">
        <v>30</v>
      </c>
      <c r="AG1554" s="96" t="s">
        <v>30</v>
      </c>
      <c r="AH1554" s="107" t="s">
        <v>30</v>
      </c>
      <c r="AI1554" s="96" t="s">
        <v>30</v>
      </c>
      <c r="AJ1554" s="96" t="s">
        <v>30</v>
      </c>
      <c r="AK1554" s="96" t="s">
        <v>30</v>
      </c>
      <c r="AL1554" s="110" t="s">
        <v>32</v>
      </c>
      <c r="AM1554" s="840"/>
      <c r="AS1554" s="71"/>
      <c r="AT1554" s="92"/>
      <c r="AU1554" s="92"/>
      <c r="AV1554" s="105"/>
    </row>
    <row r="1555" spans="1:48">
      <c r="A1555" s="834" t="s">
        <v>24</v>
      </c>
      <c r="B1555" s="835">
        <v>1552</v>
      </c>
      <c r="C1555" s="838" t="s">
        <v>2259</v>
      </c>
      <c r="D1555" s="838" t="s">
        <v>34</v>
      </c>
      <c r="E1555" s="839">
        <v>45983</v>
      </c>
      <c r="F1555" s="838" t="s">
        <v>2260</v>
      </c>
      <c r="G1555" s="838">
        <v>19</v>
      </c>
      <c r="H1555" s="838" t="s">
        <v>67</v>
      </c>
      <c r="I1555" s="838" t="s">
        <v>47</v>
      </c>
      <c r="J1555" s="838"/>
      <c r="K1555" s="834" t="s">
        <v>2098</v>
      </c>
      <c r="L1555" s="834" t="s">
        <v>2217</v>
      </c>
      <c r="M1555" s="834" t="s">
        <v>2217</v>
      </c>
      <c r="N1555" s="834" t="s">
        <v>2050</v>
      </c>
      <c r="O1555" s="113" t="s">
        <v>30</v>
      </c>
      <c r="P1555" s="848" t="s">
        <v>1091</v>
      </c>
      <c r="Q1555" s="24">
        <v>46017</v>
      </c>
      <c r="R1555" s="852" t="s">
        <v>1138</v>
      </c>
      <c r="S1555" s="834" t="s">
        <v>32</v>
      </c>
      <c r="T1555" s="834">
        <v>16</v>
      </c>
      <c r="U1555" s="24" t="s">
        <v>1138</v>
      </c>
      <c r="V1555" s="24">
        <v>46017</v>
      </c>
      <c r="W1555" s="96" t="s">
        <v>30</v>
      </c>
      <c r="X1555" s="96" t="s">
        <v>30</v>
      </c>
      <c r="Y1555" s="96" t="s">
        <v>30</v>
      </c>
      <c r="Z1555" s="96" t="s">
        <v>30</v>
      </c>
      <c r="AA1555" s="96" t="s">
        <v>30</v>
      </c>
      <c r="AB1555" s="96" t="s">
        <v>30</v>
      </c>
      <c r="AC1555" s="96" t="s">
        <v>30</v>
      </c>
      <c r="AD1555" s="96" t="s">
        <v>30</v>
      </c>
      <c r="AE1555" s="96" t="s">
        <v>30</v>
      </c>
      <c r="AF1555" s="96" t="s">
        <v>30</v>
      </c>
      <c r="AG1555" s="96" t="s">
        <v>30</v>
      </c>
      <c r="AH1555" s="107" t="s">
        <v>30</v>
      </c>
      <c r="AI1555" s="96" t="s">
        <v>30</v>
      </c>
      <c r="AJ1555" s="96" t="s">
        <v>30</v>
      </c>
      <c r="AK1555" s="96" t="s">
        <v>30</v>
      </c>
      <c r="AL1555" s="110" t="s">
        <v>32</v>
      </c>
      <c r="AM1555" s="840" t="s">
        <v>2080</v>
      </c>
      <c r="AN1555" s="87"/>
      <c r="AO1555" s="87"/>
      <c r="AS1555" s="71"/>
      <c r="AT1555" s="92"/>
      <c r="AU1555" s="92"/>
      <c r="AV1555" s="105"/>
    </row>
    <row r="1556" spans="1:48">
      <c r="A1556" s="834" t="s">
        <v>24</v>
      </c>
      <c r="B1556" s="835">
        <v>1553</v>
      </c>
      <c r="C1556" s="838" t="s">
        <v>2261</v>
      </c>
      <c r="D1556" s="838" t="s">
        <v>34</v>
      </c>
      <c r="E1556" s="839">
        <v>45983</v>
      </c>
      <c r="F1556" s="838" t="s">
        <v>2260</v>
      </c>
      <c r="G1556" s="838">
        <v>1</v>
      </c>
      <c r="H1556" s="838" t="s">
        <v>67</v>
      </c>
      <c r="I1556" s="838" t="s">
        <v>47</v>
      </c>
      <c r="J1556" s="838"/>
      <c r="K1556" s="834" t="s">
        <v>2098</v>
      </c>
      <c r="L1556" s="834" t="s">
        <v>401</v>
      </c>
      <c r="M1556" s="834" t="s">
        <v>401</v>
      </c>
      <c r="N1556" s="834" t="s">
        <v>401</v>
      </c>
      <c r="O1556" s="848" t="s">
        <v>32</v>
      </c>
      <c r="P1556" s="245" t="s">
        <v>1091</v>
      </c>
      <c r="Q1556" s="24">
        <v>46027</v>
      </c>
      <c r="R1556" s="79" t="s">
        <v>127</v>
      </c>
      <c r="S1556" s="834" t="s">
        <v>32</v>
      </c>
      <c r="T1556" s="22">
        <v>9</v>
      </c>
      <c r="U1556" s="24" t="s">
        <v>127</v>
      </c>
      <c r="V1556" s="24">
        <v>46027</v>
      </c>
      <c r="W1556" s="96" t="s">
        <v>30</v>
      </c>
      <c r="X1556" s="96" t="s">
        <v>30</v>
      </c>
      <c r="Y1556" s="96" t="s">
        <v>30</v>
      </c>
      <c r="Z1556" s="96" t="s">
        <v>30</v>
      </c>
      <c r="AA1556" s="96" t="s">
        <v>30</v>
      </c>
      <c r="AB1556" s="96" t="s">
        <v>30</v>
      </c>
      <c r="AC1556" s="96" t="s">
        <v>30</v>
      </c>
      <c r="AD1556" s="96" t="s">
        <v>30</v>
      </c>
      <c r="AE1556" s="96" t="s">
        <v>30</v>
      </c>
      <c r="AF1556" s="96" t="s">
        <v>30</v>
      </c>
      <c r="AG1556" s="96" t="s">
        <v>30</v>
      </c>
      <c r="AH1556" s="96" t="s">
        <v>30</v>
      </c>
      <c r="AI1556" s="96" t="s">
        <v>30</v>
      </c>
      <c r="AJ1556" s="96" t="s">
        <v>30</v>
      </c>
      <c r="AK1556" s="96" t="s">
        <v>30</v>
      </c>
      <c r="AL1556" s="110" t="s">
        <v>32</v>
      </c>
      <c r="AM1556" s="840" t="s">
        <v>2080</v>
      </c>
      <c r="AN1556" s="87"/>
      <c r="AO1556" s="87"/>
      <c r="AS1556" s="71"/>
      <c r="AT1556" s="92"/>
      <c r="AU1556" s="92"/>
      <c r="AV1556" s="105"/>
    </row>
    <row r="1557" spans="1:48">
      <c r="A1557" s="834" t="s">
        <v>24</v>
      </c>
      <c r="B1557" s="835">
        <v>1554</v>
      </c>
      <c r="C1557" s="838" t="s">
        <v>2262</v>
      </c>
      <c r="D1557" s="838" t="s">
        <v>102</v>
      </c>
      <c r="E1557" s="839">
        <v>45983</v>
      </c>
      <c r="F1557" s="838" t="s">
        <v>653</v>
      </c>
      <c r="G1557" s="838">
        <v>13</v>
      </c>
      <c r="H1557" s="838" t="s">
        <v>67</v>
      </c>
      <c r="I1557" s="838" t="s">
        <v>47</v>
      </c>
      <c r="J1557" s="98" t="s">
        <v>2250</v>
      </c>
      <c r="K1557" s="834" t="s">
        <v>2066</v>
      </c>
      <c r="L1557" s="834" t="s">
        <v>2217</v>
      </c>
      <c r="M1557" s="834" t="s">
        <v>2217</v>
      </c>
      <c r="N1557" s="834" t="s">
        <v>2050</v>
      </c>
      <c r="O1557" s="848" t="s">
        <v>32</v>
      </c>
      <c r="P1557" s="848"/>
      <c r="Q1557" s="24"/>
      <c r="R1557" s="79" t="s">
        <v>127</v>
      </c>
      <c r="S1557" s="22"/>
      <c r="T1557" s="22"/>
      <c r="U1557" s="24"/>
      <c r="V1557" s="24"/>
      <c r="W1557" s="96" t="s">
        <v>30</v>
      </c>
      <c r="X1557" s="96" t="s">
        <v>30</v>
      </c>
      <c r="Y1557" s="96" t="s">
        <v>30</v>
      </c>
      <c r="Z1557" s="96" t="s">
        <v>30</v>
      </c>
      <c r="AA1557" s="91" t="s">
        <v>32</v>
      </c>
      <c r="AB1557" s="91" t="s">
        <v>32</v>
      </c>
      <c r="AC1557" s="96" t="s">
        <v>30</v>
      </c>
      <c r="AD1557" s="96" t="s">
        <v>30</v>
      </c>
      <c r="AE1557" s="96" t="s">
        <v>30</v>
      </c>
      <c r="AF1557" s="96" t="s">
        <v>30</v>
      </c>
      <c r="AG1557" s="96" t="s">
        <v>30</v>
      </c>
      <c r="AH1557" s="96" t="s">
        <v>30</v>
      </c>
      <c r="AI1557" s="96" t="s">
        <v>30</v>
      </c>
      <c r="AJ1557" s="96" t="s">
        <v>30</v>
      </c>
      <c r="AK1557" s="110" t="s">
        <v>32</v>
      </c>
      <c r="AL1557" s="110" t="s">
        <v>32</v>
      </c>
      <c r="AM1557" s="840" t="s">
        <v>2080</v>
      </c>
      <c r="AS1557" s="71"/>
      <c r="AT1557" s="92"/>
      <c r="AU1557" s="92"/>
      <c r="AV1557" s="105"/>
    </row>
    <row r="1558" spans="1:48">
      <c r="A1558" s="834" t="s">
        <v>24</v>
      </c>
      <c r="B1558" s="835">
        <v>1555</v>
      </c>
      <c r="C1558" s="838" t="s">
        <v>2263</v>
      </c>
      <c r="D1558" s="838" t="s">
        <v>606</v>
      </c>
      <c r="E1558" s="839">
        <v>45983</v>
      </c>
      <c r="F1558" s="838" t="s">
        <v>398</v>
      </c>
      <c r="G1558" s="838">
        <v>12</v>
      </c>
      <c r="H1558" s="838" t="s">
        <v>67</v>
      </c>
      <c r="I1558" s="838" t="s">
        <v>47</v>
      </c>
      <c r="J1558" s="838"/>
      <c r="K1558" s="840" t="s">
        <v>2264</v>
      </c>
      <c r="L1558" s="834" t="s">
        <v>2251</v>
      </c>
      <c r="M1558" s="834" t="s">
        <v>2251</v>
      </c>
      <c r="N1558" s="834" t="s">
        <v>2050</v>
      </c>
      <c r="O1558" s="848" t="s">
        <v>32</v>
      </c>
      <c r="P1558" s="245" t="s">
        <v>1091</v>
      </c>
      <c r="Q1558" s="24">
        <v>46027</v>
      </c>
      <c r="R1558" s="79" t="s">
        <v>127</v>
      </c>
      <c r="S1558" s="834" t="s">
        <v>32</v>
      </c>
      <c r="T1558" s="22">
        <v>12</v>
      </c>
      <c r="U1558" s="24" t="s">
        <v>127</v>
      </c>
      <c r="V1558" s="24">
        <v>46027</v>
      </c>
      <c r="W1558" s="96" t="s">
        <v>30</v>
      </c>
      <c r="X1558" s="96" t="s">
        <v>30</v>
      </c>
      <c r="Y1558" s="96" t="s">
        <v>30</v>
      </c>
      <c r="Z1558" s="96" t="s">
        <v>30</v>
      </c>
      <c r="AA1558" s="96" t="s">
        <v>30</v>
      </c>
      <c r="AB1558" s="96" t="s">
        <v>30</v>
      </c>
      <c r="AC1558" s="96" t="s">
        <v>30</v>
      </c>
      <c r="AD1558" s="96" t="s">
        <v>30</v>
      </c>
      <c r="AE1558" s="96" t="s">
        <v>30</v>
      </c>
      <c r="AF1558" s="96" t="s">
        <v>30</v>
      </c>
      <c r="AG1558" s="96" t="s">
        <v>30</v>
      </c>
      <c r="AH1558" s="96" t="s">
        <v>30</v>
      </c>
      <c r="AI1558" s="96" t="s">
        <v>30</v>
      </c>
      <c r="AJ1558" s="107" t="s">
        <v>30</v>
      </c>
      <c r="AK1558" s="107" t="s">
        <v>30</v>
      </c>
      <c r="AL1558" s="110" t="s">
        <v>32</v>
      </c>
      <c r="AM1558" s="840"/>
      <c r="AV1558" s="105"/>
    </row>
    <row r="1559" spans="1:48">
      <c r="A1559" s="834" t="s">
        <v>24</v>
      </c>
      <c r="B1559" s="835">
        <v>1556</v>
      </c>
      <c r="C1559" s="838" t="s">
        <v>2265</v>
      </c>
      <c r="D1559" s="838" t="s">
        <v>102</v>
      </c>
      <c r="E1559" s="839">
        <v>45983</v>
      </c>
      <c r="F1559" s="838" t="s">
        <v>187</v>
      </c>
      <c r="G1559" s="838">
        <v>21</v>
      </c>
      <c r="H1559" s="838" t="s">
        <v>67</v>
      </c>
      <c r="I1559" s="838" t="s">
        <v>47</v>
      </c>
      <c r="J1559" s="838"/>
      <c r="K1559" s="840" t="s">
        <v>2266</v>
      </c>
      <c r="L1559" s="834" t="s">
        <v>2227</v>
      </c>
      <c r="M1559" s="834" t="s">
        <v>2227</v>
      </c>
      <c r="N1559" s="834" t="s">
        <v>2050</v>
      </c>
      <c r="O1559" s="113" t="s">
        <v>30</v>
      </c>
      <c r="P1559" s="848" t="s">
        <v>1091</v>
      </c>
      <c r="Q1559" s="24">
        <v>46024</v>
      </c>
      <c r="R1559" s="79" t="s">
        <v>127</v>
      </c>
      <c r="S1559" s="22" t="s">
        <v>32</v>
      </c>
      <c r="T1559" s="22">
        <v>19</v>
      </c>
      <c r="U1559" s="24" t="s">
        <v>127</v>
      </c>
      <c r="V1559" s="24">
        <v>46024</v>
      </c>
      <c r="W1559" s="96" t="s">
        <v>30</v>
      </c>
      <c r="X1559" s="96" t="s">
        <v>30</v>
      </c>
      <c r="Y1559" s="96" t="s">
        <v>30</v>
      </c>
      <c r="Z1559" s="96" t="s">
        <v>30</v>
      </c>
      <c r="AA1559" s="96" t="s">
        <v>30</v>
      </c>
      <c r="AB1559" s="96" t="s">
        <v>30</v>
      </c>
      <c r="AC1559" s="96" t="s">
        <v>30</v>
      </c>
      <c r="AD1559" s="96" t="s">
        <v>30</v>
      </c>
      <c r="AE1559" s="96" t="s">
        <v>30</v>
      </c>
      <c r="AF1559" s="96" t="s">
        <v>30</v>
      </c>
      <c r="AG1559" s="96" t="s">
        <v>30</v>
      </c>
      <c r="AH1559" s="96" t="s">
        <v>30</v>
      </c>
      <c r="AI1559" s="96" t="s">
        <v>30</v>
      </c>
      <c r="AJ1559" s="96" t="s">
        <v>30</v>
      </c>
      <c r="AK1559" s="96" t="s">
        <v>30</v>
      </c>
      <c r="AL1559" s="110" t="s">
        <v>32</v>
      </c>
      <c r="AM1559" s="840" t="s">
        <v>2080</v>
      </c>
      <c r="AS1559" s="71"/>
      <c r="AT1559" s="92"/>
      <c r="AU1559" s="92"/>
      <c r="AV1559" s="105"/>
    </row>
    <row r="1560" spans="1:48">
      <c r="A1560" s="834" t="s">
        <v>24</v>
      </c>
      <c r="B1560" s="835">
        <v>1557</v>
      </c>
      <c r="C1560" s="838" t="s">
        <v>2267</v>
      </c>
      <c r="D1560" s="838" t="s">
        <v>34</v>
      </c>
      <c r="E1560" s="839">
        <v>45983</v>
      </c>
      <c r="F1560" s="838" t="s">
        <v>35</v>
      </c>
      <c r="G1560" s="838">
        <v>11</v>
      </c>
      <c r="H1560" s="838" t="s">
        <v>1721</v>
      </c>
      <c r="I1560" s="838" t="s">
        <v>127</v>
      </c>
      <c r="J1560" s="838"/>
      <c r="K1560" s="840" t="s">
        <v>2102</v>
      </c>
      <c r="L1560" s="834" t="s">
        <v>2217</v>
      </c>
      <c r="M1560" s="834" t="s">
        <v>2217</v>
      </c>
      <c r="N1560" s="834" t="s">
        <v>2166</v>
      </c>
      <c r="O1560" s="848" t="s">
        <v>32</v>
      </c>
      <c r="P1560" s="848" t="s">
        <v>1091</v>
      </c>
      <c r="Q1560" s="24">
        <v>46022</v>
      </c>
      <c r="R1560" s="79" t="s">
        <v>1638</v>
      </c>
      <c r="S1560" s="834" t="s">
        <v>1140</v>
      </c>
      <c r="T1560" s="22">
        <v>10</v>
      </c>
      <c r="U1560" s="24" t="s">
        <v>1638</v>
      </c>
      <c r="V1560" s="24">
        <v>46022</v>
      </c>
      <c r="W1560" s="96" t="s">
        <v>30</v>
      </c>
      <c r="X1560" s="96" t="s">
        <v>30</v>
      </c>
      <c r="Y1560" s="96" t="s">
        <v>30</v>
      </c>
      <c r="Z1560" s="96" t="s">
        <v>30</v>
      </c>
      <c r="AA1560" s="96" t="s">
        <v>30</v>
      </c>
      <c r="AB1560" s="96" t="s">
        <v>30</v>
      </c>
      <c r="AC1560" s="96" t="s">
        <v>30</v>
      </c>
      <c r="AD1560" s="96" t="s">
        <v>30</v>
      </c>
      <c r="AE1560" s="96" t="s">
        <v>30</v>
      </c>
      <c r="AF1560" s="96" t="s">
        <v>30</v>
      </c>
      <c r="AG1560" s="96" t="s">
        <v>30</v>
      </c>
      <c r="AH1560" s="107" t="s">
        <v>30</v>
      </c>
      <c r="AI1560" s="96" t="s">
        <v>30</v>
      </c>
      <c r="AJ1560" s="96" t="s">
        <v>30</v>
      </c>
      <c r="AK1560" s="107" t="s">
        <v>30</v>
      </c>
      <c r="AL1560" s="110" t="s">
        <v>32</v>
      </c>
      <c r="AM1560" s="840"/>
      <c r="AS1560" s="71"/>
      <c r="AT1560" s="92"/>
      <c r="AU1560" s="92"/>
      <c r="AV1560" s="105"/>
    </row>
    <row r="1561" spans="1:48">
      <c r="A1561" s="834" t="s">
        <v>24</v>
      </c>
      <c r="B1561" s="835">
        <v>1558</v>
      </c>
      <c r="C1561" s="838" t="s">
        <v>2268</v>
      </c>
      <c r="D1561" s="838" t="s">
        <v>1610</v>
      </c>
      <c r="E1561" s="839">
        <v>45983</v>
      </c>
      <c r="F1561" s="838" t="s">
        <v>2269</v>
      </c>
      <c r="G1561" s="838">
        <v>12</v>
      </c>
      <c r="H1561" s="838" t="s">
        <v>1721</v>
      </c>
      <c r="I1561" s="838" t="s">
        <v>127</v>
      </c>
      <c r="J1561" s="246" t="s">
        <v>2231</v>
      </c>
      <c r="K1561" s="840" t="s">
        <v>2270</v>
      </c>
      <c r="L1561" s="834" t="s">
        <v>2251</v>
      </c>
      <c r="M1561" s="834" t="s">
        <v>2251</v>
      </c>
      <c r="N1561" s="834" t="s">
        <v>2050</v>
      </c>
      <c r="O1561" s="848" t="s">
        <v>32</v>
      </c>
      <c r="P1561" s="853"/>
      <c r="Q1561" s="24"/>
      <c r="R1561" s="79" t="s">
        <v>1638</v>
      </c>
      <c r="S1561" s="22"/>
      <c r="T1561" s="22"/>
      <c r="U1561" s="24"/>
      <c r="V1561" s="24"/>
      <c r="W1561" s="103" t="s">
        <v>32</v>
      </c>
      <c r="X1561" s="103" t="s">
        <v>32</v>
      </c>
      <c r="Y1561" s="103" t="s">
        <v>32</v>
      </c>
      <c r="Z1561" s="96" t="s">
        <v>30</v>
      </c>
      <c r="AA1561" s="96" t="s">
        <v>30</v>
      </c>
      <c r="AB1561" s="96" t="s">
        <v>30</v>
      </c>
      <c r="AC1561" s="96" t="s">
        <v>30</v>
      </c>
      <c r="AD1561" s="96" t="s">
        <v>30</v>
      </c>
      <c r="AE1561" s="96" t="s">
        <v>30</v>
      </c>
      <c r="AF1561" s="96" t="s">
        <v>30</v>
      </c>
      <c r="AG1561" s="96" t="s">
        <v>30</v>
      </c>
      <c r="AH1561" s="96" t="s">
        <v>30</v>
      </c>
      <c r="AI1561" s="96" t="s">
        <v>30</v>
      </c>
      <c r="AJ1561" s="96" t="s">
        <v>30</v>
      </c>
      <c r="AK1561" s="110" t="s">
        <v>32</v>
      </c>
      <c r="AL1561" s="110" t="s">
        <v>32</v>
      </c>
      <c r="AM1561" s="840" t="s">
        <v>2080</v>
      </c>
      <c r="AV1561" s="105"/>
    </row>
    <row r="1562" spans="1:48">
      <c r="A1562" s="834" t="s">
        <v>24</v>
      </c>
      <c r="B1562" s="835">
        <v>1559</v>
      </c>
      <c r="C1562" s="838" t="s">
        <v>2271</v>
      </c>
      <c r="D1562" s="838" t="s">
        <v>34</v>
      </c>
      <c r="E1562" s="839">
        <v>45983</v>
      </c>
      <c r="F1562" s="838" t="s">
        <v>1505</v>
      </c>
      <c r="G1562" s="838">
        <v>12</v>
      </c>
      <c r="H1562" s="838" t="s">
        <v>1721</v>
      </c>
      <c r="I1562" s="838" t="s">
        <v>127</v>
      </c>
      <c r="J1562" s="838"/>
      <c r="K1562" s="840" t="s">
        <v>2092</v>
      </c>
      <c r="L1562" s="834" t="s">
        <v>2211</v>
      </c>
      <c r="M1562" s="834" t="s">
        <v>2217</v>
      </c>
      <c r="N1562" s="834" t="s">
        <v>2272</v>
      </c>
      <c r="O1562" s="848" t="s">
        <v>32</v>
      </c>
      <c r="P1562" s="848" t="s">
        <v>1091</v>
      </c>
      <c r="Q1562" s="24">
        <v>46022</v>
      </c>
      <c r="R1562" s="79" t="s">
        <v>1638</v>
      </c>
      <c r="S1562" s="834" t="s">
        <v>1140</v>
      </c>
      <c r="T1562" s="22">
        <v>12</v>
      </c>
      <c r="U1562" s="24" t="s">
        <v>1638</v>
      </c>
      <c r="V1562" s="24">
        <v>46022</v>
      </c>
      <c r="W1562" s="96" t="s">
        <v>30</v>
      </c>
      <c r="X1562" s="96" t="s">
        <v>30</v>
      </c>
      <c r="Y1562" s="96" t="s">
        <v>30</v>
      </c>
      <c r="Z1562" s="91" t="s">
        <v>32</v>
      </c>
      <c r="AA1562" s="91" t="s">
        <v>32</v>
      </c>
      <c r="AB1562" s="91" t="s">
        <v>32</v>
      </c>
      <c r="AC1562" s="96" t="s">
        <v>30</v>
      </c>
      <c r="AD1562" s="96" t="s">
        <v>30</v>
      </c>
      <c r="AE1562" s="96" t="s">
        <v>30</v>
      </c>
      <c r="AF1562" s="96" t="s">
        <v>30</v>
      </c>
      <c r="AG1562" s="96" t="s">
        <v>30</v>
      </c>
      <c r="AH1562" s="107" t="s">
        <v>30</v>
      </c>
      <c r="AI1562" s="96" t="s">
        <v>30</v>
      </c>
      <c r="AJ1562" s="96" t="s">
        <v>30</v>
      </c>
      <c r="AK1562" s="96" t="s">
        <v>30</v>
      </c>
      <c r="AL1562" s="110" t="s">
        <v>32</v>
      </c>
      <c r="AM1562" s="840" t="s">
        <v>2089</v>
      </c>
      <c r="AV1562" s="105"/>
    </row>
    <row r="1563" spans="1:48">
      <c r="A1563" s="834" t="s">
        <v>24</v>
      </c>
      <c r="B1563" s="835">
        <v>1560</v>
      </c>
      <c r="C1563" s="838" t="s">
        <v>2273</v>
      </c>
      <c r="D1563" s="838" t="s">
        <v>50</v>
      </c>
      <c r="E1563" s="839">
        <v>45983</v>
      </c>
      <c r="F1563" s="838" t="s">
        <v>179</v>
      </c>
      <c r="G1563" s="838">
        <v>23</v>
      </c>
      <c r="H1563" s="838" t="s">
        <v>1077</v>
      </c>
      <c r="I1563" s="838" t="s">
        <v>1138</v>
      </c>
      <c r="J1563" s="98" t="s">
        <v>2274</v>
      </c>
      <c r="K1563" s="840" t="s">
        <v>2108</v>
      </c>
      <c r="L1563" s="834" t="s">
        <v>2217</v>
      </c>
      <c r="M1563" s="834" t="s">
        <v>2227</v>
      </c>
      <c r="N1563" s="834" t="s">
        <v>2050</v>
      </c>
      <c r="O1563" s="113" t="s">
        <v>30</v>
      </c>
      <c r="P1563" s="853"/>
      <c r="Q1563" s="24"/>
      <c r="R1563" s="79" t="s">
        <v>1138</v>
      </c>
      <c r="S1563" s="22"/>
      <c r="T1563" s="22"/>
      <c r="U1563" s="24" t="s">
        <v>1138</v>
      </c>
      <c r="V1563" s="24"/>
      <c r="W1563" s="96" t="s">
        <v>30</v>
      </c>
      <c r="X1563" s="96" t="s">
        <v>30</v>
      </c>
      <c r="Y1563" s="96" t="s">
        <v>30</v>
      </c>
      <c r="Z1563" s="96" t="s">
        <v>30</v>
      </c>
      <c r="AA1563" s="96" t="s">
        <v>30</v>
      </c>
      <c r="AB1563" s="96" t="s">
        <v>30</v>
      </c>
      <c r="AC1563" s="96" t="s">
        <v>30</v>
      </c>
      <c r="AD1563" s="96" t="s">
        <v>30</v>
      </c>
      <c r="AE1563" s="96" t="s">
        <v>30</v>
      </c>
      <c r="AF1563" s="96" t="s">
        <v>30</v>
      </c>
      <c r="AG1563" s="96" t="s">
        <v>30</v>
      </c>
      <c r="AH1563" s="107" t="s">
        <v>30</v>
      </c>
      <c r="AI1563" s="107" t="s">
        <v>30</v>
      </c>
      <c r="AJ1563" s="107" t="s">
        <v>30</v>
      </c>
      <c r="AK1563" s="107" t="s">
        <v>30</v>
      </c>
      <c r="AL1563" s="110" t="s">
        <v>32</v>
      </c>
      <c r="AM1563" s="840"/>
      <c r="AR1563" s="84"/>
      <c r="AS1563" s="71"/>
      <c r="AT1563" s="71"/>
      <c r="AU1563" s="71"/>
      <c r="AV1563" s="105"/>
    </row>
    <row r="1564" spans="1:48">
      <c r="A1564" s="834" t="s">
        <v>24</v>
      </c>
      <c r="B1564" s="835">
        <v>1561</v>
      </c>
      <c r="C1564" s="838" t="s">
        <v>2275</v>
      </c>
      <c r="D1564" s="838" t="s">
        <v>83</v>
      </c>
      <c r="E1564" s="839">
        <v>45983</v>
      </c>
      <c r="F1564" s="838" t="s">
        <v>65</v>
      </c>
      <c r="G1564" s="838">
        <v>11</v>
      </c>
      <c r="H1564" s="838" t="s">
        <v>1077</v>
      </c>
      <c r="I1564" s="838" t="s">
        <v>1138</v>
      </c>
      <c r="J1564" s="838"/>
      <c r="K1564" s="840" t="s">
        <v>2276</v>
      </c>
      <c r="L1564" s="834" t="s">
        <v>2211</v>
      </c>
      <c r="M1564" s="834" t="s">
        <v>2227</v>
      </c>
      <c r="N1564" s="834" t="s">
        <v>2166</v>
      </c>
      <c r="O1564" s="848" t="s">
        <v>32</v>
      </c>
      <c r="P1564" s="848" t="s">
        <v>1091</v>
      </c>
      <c r="Q1564" s="24">
        <v>46021</v>
      </c>
      <c r="R1564" s="79" t="s">
        <v>1138</v>
      </c>
      <c r="S1564" s="22" t="s">
        <v>1140</v>
      </c>
      <c r="T1564" s="22">
        <v>11</v>
      </c>
      <c r="U1564" s="24" t="s">
        <v>1138</v>
      </c>
      <c r="V1564" s="24">
        <v>46021</v>
      </c>
      <c r="W1564" s="96" t="s">
        <v>30</v>
      </c>
      <c r="X1564" s="96" t="s">
        <v>30</v>
      </c>
      <c r="Y1564" s="96" t="s">
        <v>30</v>
      </c>
      <c r="Z1564" s="96" t="s">
        <v>30</v>
      </c>
      <c r="AA1564" s="96" t="s">
        <v>30</v>
      </c>
      <c r="AB1564" s="96" t="s">
        <v>30</v>
      </c>
      <c r="AC1564" s="96" t="s">
        <v>30</v>
      </c>
      <c r="AD1564" s="96" t="s">
        <v>30</v>
      </c>
      <c r="AE1564" s="96" t="s">
        <v>30</v>
      </c>
      <c r="AF1564" s="96" t="s">
        <v>30</v>
      </c>
      <c r="AG1564" s="96" t="s">
        <v>30</v>
      </c>
      <c r="AH1564" s="96" t="s">
        <v>30</v>
      </c>
      <c r="AI1564" s="110" t="s">
        <v>32</v>
      </c>
      <c r="AJ1564" s="110" t="s">
        <v>32</v>
      </c>
      <c r="AK1564" s="110" t="s">
        <v>32</v>
      </c>
      <c r="AL1564" s="110" t="s">
        <v>32</v>
      </c>
      <c r="AM1564" s="840" t="s">
        <v>2080</v>
      </c>
      <c r="AS1564" s="71"/>
      <c r="AT1564" s="92"/>
      <c r="AU1564" s="92"/>
      <c r="AV1564" s="105"/>
    </row>
    <row r="1565" spans="1:48">
      <c r="A1565" s="834" t="s">
        <v>24</v>
      </c>
      <c r="B1565" s="835">
        <v>1562</v>
      </c>
      <c r="C1565" s="838" t="s">
        <v>2277</v>
      </c>
      <c r="D1565" s="838" t="s">
        <v>83</v>
      </c>
      <c r="E1565" s="839">
        <v>45983</v>
      </c>
      <c r="F1565" s="838" t="s">
        <v>165</v>
      </c>
      <c r="G1565" s="838">
        <v>17</v>
      </c>
      <c r="H1565" s="838" t="s">
        <v>1077</v>
      </c>
      <c r="I1565" s="838" t="s">
        <v>1138</v>
      </c>
      <c r="J1565" s="838"/>
      <c r="K1565" s="834" t="s">
        <v>2162</v>
      </c>
      <c r="L1565" s="834" t="s">
        <v>2211</v>
      </c>
      <c r="M1565" s="834" t="s">
        <v>2227</v>
      </c>
      <c r="N1565" s="834" t="s">
        <v>2278</v>
      </c>
      <c r="O1565" s="113" t="s">
        <v>30</v>
      </c>
      <c r="P1565" s="848" t="s">
        <v>1091</v>
      </c>
      <c r="Q1565" s="24">
        <v>46021</v>
      </c>
      <c r="R1565" s="79" t="s">
        <v>48</v>
      </c>
      <c r="S1565" s="22" t="s">
        <v>1140</v>
      </c>
      <c r="T1565" s="22">
        <v>15</v>
      </c>
      <c r="U1565" s="24" t="s">
        <v>48</v>
      </c>
      <c r="V1565" s="24">
        <v>46021</v>
      </c>
      <c r="W1565" s="96" t="s">
        <v>30</v>
      </c>
      <c r="X1565" s="96" t="s">
        <v>30</v>
      </c>
      <c r="Y1565" s="96" t="s">
        <v>30</v>
      </c>
      <c r="Z1565" s="96" t="s">
        <v>30</v>
      </c>
      <c r="AA1565" s="96" t="s">
        <v>30</v>
      </c>
      <c r="AB1565" s="96" t="s">
        <v>30</v>
      </c>
      <c r="AC1565" s="96" t="s">
        <v>30</v>
      </c>
      <c r="AD1565" s="96" t="s">
        <v>30</v>
      </c>
      <c r="AE1565" s="96" t="s">
        <v>30</v>
      </c>
      <c r="AF1565" s="96" t="s">
        <v>30</v>
      </c>
      <c r="AG1565" s="96" t="s">
        <v>30</v>
      </c>
      <c r="AH1565" s="96" t="s">
        <v>30</v>
      </c>
      <c r="AI1565" s="96" t="s">
        <v>30</v>
      </c>
      <c r="AJ1565" s="96" t="s">
        <v>30</v>
      </c>
      <c r="AK1565" s="96" t="s">
        <v>30</v>
      </c>
      <c r="AL1565" s="110" t="s">
        <v>32</v>
      </c>
      <c r="AM1565" s="840"/>
      <c r="AV1565" s="105"/>
    </row>
    <row r="1566" spans="1:48">
      <c r="A1566" s="834" t="s">
        <v>24</v>
      </c>
      <c r="B1566" s="835">
        <v>1563</v>
      </c>
      <c r="C1566" s="838" t="s">
        <v>2279</v>
      </c>
      <c r="D1566" s="838" t="s">
        <v>34</v>
      </c>
      <c r="E1566" s="839">
        <v>45983</v>
      </c>
      <c r="F1566" s="838" t="s">
        <v>2107</v>
      </c>
      <c r="G1566" s="838">
        <v>13</v>
      </c>
      <c r="H1566" s="838" t="s">
        <v>1077</v>
      </c>
      <c r="I1566" s="838" t="s">
        <v>1138</v>
      </c>
      <c r="J1566" s="838"/>
      <c r="K1566" s="840" t="s">
        <v>2052</v>
      </c>
      <c r="L1566" s="834" t="s">
        <v>2217</v>
      </c>
      <c r="M1566" s="834" t="s">
        <v>2217</v>
      </c>
      <c r="N1566" s="834" t="s">
        <v>2050</v>
      </c>
      <c r="O1566" s="848" t="s">
        <v>32</v>
      </c>
      <c r="P1566" s="848" t="s">
        <v>1091</v>
      </c>
      <c r="Q1566" s="24">
        <v>46021</v>
      </c>
      <c r="R1566" s="79" t="s">
        <v>48</v>
      </c>
      <c r="S1566" s="22" t="s">
        <v>1140</v>
      </c>
      <c r="T1566" s="22">
        <v>13</v>
      </c>
      <c r="U1566" s="24" t="s">
        <v>48</v>
      </c>
      <c r="V1566" s="24">
        <v>46021</v>
      </c>
      <c r="W1566" s="96" t="s">
        <v>30</v>
      </c>
      <c r="X1566" s="96" t="s">
        <v>30</v>
      </c>
      <c r="Y1566" s="96" t="s">
        <v>30</v>
      </c>
      <c r="Z1566" s="96" t="s">
        <v>30</v>
      </c>
      <c r="AA1566" s="96" t="s">
        <v>30</v>
      </c>
      <c r="AB1566" s="96" t="s">
        <v>30</v>
      </c>
      <c r="AC1566" s="96" t="s">
        <v>30</v>
      </c>
      <c r="AD1566" s="96" t="s">
        <v>30</v>
      </c>
      <c r="AE1566" s="96" t="s">
        <v>30</v>
      </c>
      <c r="AF1566" s="96" t="s">
        <v>30</v>
      </c>
      <c r="AG1566" s="96" t="s">
        <v>30</v>
      </c>
      <c r="AH1566" s="96" t="s">
        <v>30</v>
      </c>
      <c r="AI1566" s="107" t="s">
        <v>30</v>
      </c>
      <c r="AJ1566" s="107" t="s">
        <v>30</v>
      </c>
      <c r="AK1566" s="107" t="s">
        <v>30</v>
      </c>
      <c r="AL1566" s="110" t="s">
        <v>32</v>
      </c>
      <c r="AM1566" s="840"/>
      <c r="AV1566" s="105"/>
    </row>
    <row r="1567" spans="1:48">
      <c r="A1567" s="834" t="s">
        <v>24</v>
      </c>
      <c r="B1567" s="835">
        <v>1564</v>
      </c>
      <c r="C1567" s="838" t="s">
        <v>2280</v>
      </c>
      <c r="D1567" s="838" t="s">
        <v>923</v>
      </c>
      <c r="E1567" s="839">
        <v>45985</v>
      </c>
      <c r="F1567" s="838" t="s">
        <v>364</v>
      </c>
      <c r="G1567" s="838">
        <v>9</v>
      </c>
      <c r="H1567" s="838" t="s">
        <v>1721</v>
      </c>
      <c r="I1567" s="838" t="s">
        <v>1638</v>
      </c>
      <c r="J1567" s="838"/>
      <c r="K1567" s="840" t="s">
        <v>2098</v>
      </c>
      <c r="L1567" s="834" t="s">
        <v>2251</v>
      </c>
      <c r="M1567" s="834" t="s">
        <v>2251</v>
      </c>
      <c r="N1567" s="834" t="s">
        <v>2050</v>
      </c>
      <c r="O1567" s="848" t="s">
        <v>32</v>
      </c>
      <c r="P1567" s="245" t="s">
        <v>1091</v>
      </c>
      <c r="Q1567" s="24">
        <v>46009</v>
      </c>
      <c r="R1567" s="79" t="s">
        <v>1638</v>
      </c>
      <c r="S1567" s="22" t="s">
        <v>32</v>
      </c>
      <c r="T1567" s="22">
        <v>9</v>
      </c>
      <c r="U1567" s="24" t="s">
        <v>1638</v>
      </c>
      <c r="V1567" s="24">
        <v>46009</v>
      </c>
      <c r="W1567" s="96" t="s">
        <v>30</v>
      </c>
      <c r="X1567" s="96" t="s">
        <v>30</v>
      </c>
      <c r="Y1567" s="96" t="s">
        <v>30</v>
      </c>
      <c r="Z1567" s="96" t="s">
        <v>30</v>
      </c>
      <c r="AA1567" s="96" t="s">
        <v>30</v>
      </c>
      <c r="AB1567" s="96" t="s">
        <v>30</v>
      </c>
      <c r="AC1567" s="96" t="s">
        <v>30</v>
      </c>
      <c r="AD1567" s="96" t="s">
        <v>30</v>
      </c>
      <c r="AE1567" s="96" t="s">
        <v>30</v>
      </c>
      <c r="AF1567" s="96" t="s">
        <v>30</v>
      </c>
      <c r="AG1567" s="96" t="s">
        <v>30</v>
      </c>
      <c r="AH1567" s="96" t="s">
        <v>30</v>
      </c>
      <c r="AI1567" s="96" t="s">
        <v>30</v>
      </c>
      <c r="AJ1567" s="96" t="s">
        <v>30</v>
      </c>
      <c r="AK1567" s="96" t="s">
        <v>30</v>
      </c>
      <c r="AL1567" s="80" t="s">
        <v>30</v>
      </c>
      <c r="AM1567" s="840"/>
      <c r="AO1567" s="776"/>
      <c r="AP1567" s="776"/>
      <c r="AQ1567" s="776"/>
      <c r="AR1567" s="776"/>
      <c r="AV1567" s="105"/>
    </row>
    <row r="1568" spans="1:48">
      <c r="A1568" s="834" t="s">
        <v>24</v>
      </c>
      <c r="B1568" s="835">
        <v>1565</v>
      </c>
      <c r="C1568" s="838" t="s">
        <v>2281</v>
      </c>
      <c r="D1568" s="838" t="s">
        <v>102</v>
      </c>
      <c r="E1568" s="839">
        <v>45985</v>
      </c>
      <c r="F1568" s="838" t="s">
        <v>439</v>
      </c>
      <c r="G1568" s="838">
        <v>14</v>
      </c>
      <c r="H1568" s="838" t="s">
        <v>127</v>
      </c>
      <c r="I1568" s="838" t="s">
        <v>178</v>
      </c>
      <c r="J1568" s="838"/>
      <c r="K1568" s="840" t="s">
        <v>2061</v>
      </c>
      <c r="L1568" s="834" t="s">
        <v>2251</v>
      </c>
      <c r="M1568" s="834" t="s">
        <v>2227</v>
      </c>
      <c r="N1568" s="834" t="s">
        <v>2058</v>
      </c>
      <c r="O1568" s="848" t="s">
        <v>32</v>
      </c>
      <c r="P1568" s="245" t="s">
        <v>1091</v>
      </c>
      <c r="Q1568" s="24">
        <v>46027</v>
      </c>
      <c r="R1568" s="79" t="s">
        <v>127</v>
      </c>
      <c r="S1568" s="834" t="s">
        <v>32</v>
      </c>
      <c r="T1568" s="22">
        <v>3</v>
      </c>
      <c r="U1568" s="24" t="s">
        <v>127</v>
      </c>
      <c r="V1568" s="24">
        <v>46027</v>
      </c>
      <c r="W1568" s="90" t="s">
        <v>30</v>
      </c>
      <c r="X1568" s="90" t="s">
        <v>30</v>
      </c>
      <c r="Y1568" s="90" t="s">
        <v>30</v>
      </c>
      <c r="Z1568" s="96" t="s">
        <v>30</v>
      </c>
      <c r="AA1568" s="96" t="s">
        <v>30</v>
      </c>
      <c r="AB1568" s="96" t="s">
        <v>30</v>
      </c>
      <c r="AC1568" s="96" t="s">
        <v>30</v>
      </c>
      <c r="AD1568" s="96" t="s">
        <v>30</v>
      </c>
      <c r="AE1568" s="96" t="s">
        <v>30</v>
      </c>
      <c r="AF1568" s="96" t="s">
        <v>30</v>
      </c>
      <c r="AG1568" s="96" t="s">
        <v>30</v>
      </c>
      <c r="AH1568" s="96" t="s">
        <v>30</v>
      </c>
      <c r="AI1568" s="96" t="s">
        <v>30</v>
      </c>
      <c r="AJ1568" s="96" t="s">
        <v>30</v>
      </c>
      <c r="AK1568" s="96" t="s">
        <v>30</v>
      </c>
      <c r="AL1568" s="110" t="s">
        <v>32</v>
      </c>
      <c r="AM1568" s="840"/>
      <c r="AS1568" s="71"/>
      <c r="AT1568" s="92"/>
      <c r="AU1568" s="92"/>
      <c r="AV1568" s="105"/>
    </row>
    <row r="1569" spans="1:48">
      <c r="A1569" s="834" t="s">
        <v>24</v>
      </c>
      <c r="B1569" s="835">
        <v>1566</v>
      </c>
      <c r="C1569" s="838" t="s">
        <v>2282</v>
      </c>
      <c r="D1569" s="838" t="s">
        <v>43</v>
      </c>
      <c r="E1569" s="839">
        <v>45985</v>
      </c>
      <c r="F1569" s="838" t="s">
        <v>1135</v>
      </c>
      <c r="G1569" s="838">
        <v>12</v>
      </c>
      <c r="H1569" s="838" t="s">
        <v>67</v>
      </c>
      <c r="I1569" s="838" t="s">
        <v>47</v>
      </c>
      <c r="J1569" s="838"/>
      <c r="K1569" s="840" t="s">
        <v>2145</v>
      </c>
      <c r="L1569" s="834" t="s">
        <v>2227</v>
      </c>
      <c r="M1569" s="834" t="s">
        <v>2227</v>
      </c>
      <c r="N1569" s="834" t="s">
        <v>2050</v>
      </c>
      <c r="O1569" s="848" t="s">
        <v>32</v>
      </c>
      <c r="P1569" s="848" t="s">
        <v>1091</v>
      </c>
      <c r="Q1569" s="24">
        <v>46026</v>
      </c>
      <c r="R1569" s="79" t="s">
        <v>127</v>
      </c>
      <c r="S1569" s="22" t="s">
        <v>32</v>
      </c>
      <c r="T1569" s="22">
        <v>12</v>
      </c>
      <c r="U1569" s="24" t="s">
        <v>127</v>
      </c>
      <c r="V1569" s="24">
        <v>46026</v>
      </c>
      <c r="W1569" s="96" t="s">
        <v>30</v>
      </c>
      <c r="X1569" s="96" t="s">
        <v>30</v>
      </c>
      <c r="Y1569" s="96" t="s">
        <v>30</v>
      </c>
      <c r="Z1569" s="96" t="s">
        <v>30</v>
      </c>
      <c r="AA1569" s="96" t="s">
        <v>30</v>
      </c>
      <c r="AB1569" s="96" t="s">
        <v>30</v>
      </c>
      <c r="AC1569" s="96" t="s">
        <v>30</v>
      </c>
      <c r="AD1569" s="96" t="s">
        <v>30</v>
      </c>
      <c r="AE1569" s="96" t="s">
        <v>30</v>
      </c>
      <c r="AF1569" s="96" t="s">
        <v>30</v>
      </c>
      <c r="AG1569" s="96" t="s">
        <v>30</v>
      </c>
      <c r="AH1569" s="107" t="s">
        <v>30</v>
      </c>
      <c r="AI1569" s="96" t="s">
        <v>30</v>
      </c>
      <c r="AJ1569" s="96" t="s">
        <v>30</v>
      </c>
      <c r="AK1569" s="96" t="s">
        <v>30</v>
      </c>
      <c r="AL1569" s="110" t="s">
        <v>32</v>
      </c>
      <c r="AM1569" s="840"/>
      <c r="AO1569" s="776"/>
      <c r="AP1569" s="776"/>
      <c r="AQ1569" s="776"/>
      <c r="AR1569" s="776"/>
      <c r="AV1569" s="105"/>
    </row>
    <row r="1570" spans="1:48">
      <c r="A1570" s="834" t="s">
        <v>24</v>
      </c>
      <c r="B1570" s="835">
        <v>1567</v>
      </c>
      <c r="C1570" s="838" t="s">
        <v>2283</v>
      </c>
      <c r="D1570" s="838" t="s">
        <v>2236</v>
      </c>
      <c r="E1570" s="839">
        <v>45985</v>
      </c>
      <c r="F1570" s="838" t="s">
        <v>324</v>
      </c>
      <c r="G1570" s="838">
        <v>12</v>
      </c>
      <c r="H1570" s="838" t="s">
        <v>67</v>
      </c>
      <c r="I1570" s="838" t="s">
        <v>47</v>
      </c>
      <c r="J1570" s="98" t="s">
        <v>2250</v>
      </c>
      <c r="K1570" s="840" t="s">
        <v>2284</v>
      </c>
      <c r="L1570" s="834" t="s">
        <v>2251</v>
      </c>
      <c r="M1570" s="834" t="s">
        <v>2251</v>
      </c>
      <c r="N1570" s="834" t="s">
        <v>2050</v>
      </c>
      <c r="O1570" s="848" t="s">
        <v>32</v>
      </c>
      <c r="P1570" s="245"/>
      <c r="Q1570" s="24"/>
      <c r="R1570" s="79" t="s">
        <v>127</v>
      </c>
      <c r="S1570" s="834"/>
      <c r="T1570" s="22"/>
      <c r="U1570" s="24"/>
      <c r="V1570" s="24"/>
      <c r="W1570" s="90" t="s">
        <v>30</v>
      </c>
      <c r="X1570" s="90" t="s">
        <v>30</v>
      </c>
      <c r="Y1570" s="90" t="s">
        <v>30</v>
      </c>
      <c r="Z1570" s="90" t="s">
        <v>30</v>
      </c>
      <c r="AA1570" s="90" t="s">
        <v>30</v>
      </c>
      <c r="AB1570" s="91" t="s">
        <v>32</v>
      </c>
      <c r="AC1570" s="96" t="s">
        <v>30</v>
      </c>
      <c r="AD1570" s="96" t="s">
        <v>30</v>
      </c>
      <c r="AE1570" s="96" t="s">
        <v>30</v>
      </c>
      <c r="AF1570" s="96" t="s">
        <v>30</v>
      </c>
      <c r="AG1570" s="96" t="s">
        <v>30</v>
      </c>
      <c r="AH1570" s="96" t="s">
        <v>30</v>
      </c>
      <c r="AI1570" s="96" t="s">
        <v>30</v>
      </c>
      <c r="AJ1570" s="96" t="s">
        <v>30</v>
      </c>
      <c r="AK1570" s="96" t="s">
        <v>30</v>
      </c>
      <c r="AL1570" s="110" t="s">
        <v>32</v>
      </c>
      <c r="AM1570" s="840" t="s">
        <v>2080</v>
      </c>
      <c r="AO1570" s="776"/>
      <c r="AP1570" s="776"/>
      <c r="AQ1570" s="776"/>
      <c r="AR1570" s="776"/>
      <c r="AV1570" s="105"/>
    </row>
    <row r="1571" spans="1:48">
      <c r="A1571" s="834" t="s">
        <v>24</v>
      </c>
      <c r="B1571" s="835">
        <v>1568</v>
      </c>
      <c r="C1571" s="838" t="s">
        <v>2285</v>
      </c>
      <c r="D1571" s="838" t="s">
        <v>43</v>
      </c>
      <c r="E1571" s="839">
        <v>45986</v>
      </c>
      <c r="F1571" s="838" t="s">
        <v>1105</v>
      </c>
      <c r="G1571" s="838">
        <v>6</v>
      </c>
      <c r="H1571" s="838" t="s">
        <v>1721</v>
      </c>
      <c r="I1571" s="838" t="s">
        <v>1638</v>
      </c>
      <c r="J1571" s="838"/>
      <c r="K1571" s="840" t="s">
        <v>2056</v>
      </c>
      <c r="L1571" s="834" t="s">
        <v>2217</v>
      </c>
      <c r="M1571" s="834" t="s">
        <v>2217</v>
      </c>
      <c r="N1571" s="834" t="s">
        <v>2058</v>
      </c>
      <c r="O1571" s="848" t="s">
        <v>32</v>
      </c>
      <c r="P1571" s="848" t="s">
        <v>1091</v>
      </c>
      <c r="Q1571" s="24">
        <v>46022</v>
      </c>
      <c r="R1571" s="79" t="s">
        <v>48</v>
      </c>
      <c r="S1571" s="22" t="s">
        <v>1140</v>
      </c>
      <c r="T1571" s="22">
        <v>6</v>
      </c>
      <c r="U1571" s="24" t="s">
        <v>48</v>
      </c>
      <c r="V1571" s="24">
        <v>46022</v>
      </c>
      <c r="W1571" s="96" t="s">
        <v>30</v>
      </c>
      <c r="X1571" s="96" t="s">
        <v>30</v>
      </c>
      <c r="Y1571" s="96" t="s">
        <v>30</v>
      </c>
      <c r="Z1571" s="96" t="s">
        <v>30</v>
      </c>
      <c r="AA1571" s="96" t="s">
        <v>30</v>
      </c>
      <c r="AB1571" s="96" t="s">
        <v>30</v>
      </c>
      <c r="AC1571" s="96" t="s">
        <v>30</v>
      </c>
      <c r="AD1571" s="96" t="s">
        <v>30</v>
      </c>
      <c r="AE1571" s="96" t="s">
        <v>30</v>
      </c>
      <c r="AF1571" s="96" t="s">
        <v>30</v>
      </c>
      <c r="AG1571" s="96" t="s">
        <v>30</v>
      </c>
      <c r="AH1571" s="96" t="s">
        <v>30</v>
      </c>
      <c r="AI1571" s="96" t="s">
        <v>30</v>
      </c>
      <c r="AJ1571" s="96" t="s">
        <v>30</v>
      </c>
      <c r="AK1571" s="96" t="s">
        <v>30</v>
      </c>
      <c r="AL1571" s="110" t="s">
        <v>32</v>
      </c>
      <c r="AM1571" s="840"/>
      <c r="AV1571" s="105"/>
    </row>
    <row r="1572" spans="1:48">
      <c r="A1572" s="834" t="s">
        <v>24</v>
      </c>
      <c r="B1572" s="835">
        <v>1569</v>
      </c>
      <c r="C1572" s="838" t="s">
        <v>2286</v>
      </c>
      <c r="D1572" s="838" t="s">
        <v>50</v>
      </c>
      <c r="E1572" s="839">
        <v>45986</v>
      </c>
      <c r="F1572" s="838" t="s">
        <v>1105</v>
      </c>
      <c r="G1572" s="838">
        <v>6</v>
      </c>
      <c r="H1572" s="838" t="s">
        <v>1721</v>
      </c>
      <c r="I1572" s="838" t="s">
        <v>1638</v>
      </c>
      <c r="J1572" s="838"/>
      <c r="K1572" s="840" t="s">
        <v>2056</v>
      </c>
      <c r="L1572" s="834" t="s">
        <v>401</v>
      </c>
      <c r="M1572" s="834" t="s">
        <v>401</v>
      </c>
      <c r="N1572" s="834" t="s">
        <v>401</v>
      </c>
      <c r="O1572" s="848" t="s">
        <v>32</v>
      </c>
      <c r="P1572" s="848" t="s">
        <v>1091</v>
      </c>
      <c r="Q1572" s="24">
        <v>46022</v>
      </c>
      <c r="R1572" s="79" t="s">
        <v>48</v>
      </c>
      <c r="S1572" s="22" t="s">
        <v>1140</v>
      </c>
      <c r="T1572" s="22">
        <v>6</v>
      </c>
      <c r="U1572" s="24" t="s">
        <v>48</v>
      </c>
      <c r="V1572" s="24">
        <v>46022</v>
      </c>
      <c r="W1572" s="96" t="s">
        <v>30</v>
      </c>
      <c r="X1572" s="96" t="s">
        <v>30</v>
      </c>
      <c r="Y1572" s="96" t="s">
        <v>30</v>
      </c>
      <c r="Z1572" s="96" t="s">
        <v>30</v>
      </c>
      <c r="AA1572" s="96" t="s">
        <v>30</v>
      </c>
      <c r="AB1572" s="96" t="s">
        <v>30</v>
      </c>
      <c r="AC1572" s="96" t="s">
        <v>30</v>
      </c>
      <c r="AD1572" s="96" t="s">
        <v>30</v>
      </c>
      <c r="AE1572" s="96" t="s">
        <v>30</v>
      </c>
      <c r="AF1572" s="96" t="s">
        <v>30</v>
      </c>
      <c r="AG1572" s="96" t="s">
        <v>30</v>
      </c>
      <c r="AH1572" s="107" t="s">
        <v>30</v>
      </c>
      <c r="AI1572" s="96" t="s">
        <v>30</v>
      </c>
      <c r="AJ1572" s="96" t="s">
        <v>30</v>
      </c>
      <c r="AK1572" s="96" t="s">
        <v>30</v>
      </c>
      <c r="AL1572" s="110" t="s">
        <v>32</v>
      </c>
      <c r="AM1572" s="840"/>
      <c r="AV1572" s="105"/>
    </row>
    <row r="1573" spans="1:48">
      <c r="A1573" s="834" t="s">
        <v>24</v>
      </c>
      <c r="B1573" s="835">
        <v>1570</v>
      </c>
      <c r="C1573" s="838" t="s">
        <v>2287</v>
      </c>
      <c r="D1573" s="838" t="s">
        <v>657</v>
      </c>
      <c r="E1573" s="839">
        <v>45986</v>
      </c>
      <c r="F1573" s="838" t="s">
        <v>2288</v>
      </c>
      <c r="G1573" s="838">
        <v>14</v>
      </c>
      <c r="H1573" s="838" t="s">
        <v>127</v>
      </c>
      <c r="I1573" s="838" t="s">
        <v>178</v>
      </c>
      <c r="J1573" s="838"/>
      <c r="K1573" s="840" t="s">
        <v>2056</v>
      </c>
      <c r="L1573" s="834" t="s">
        <v>2217</v>
      </c>
      <c r="M1573" s="834" t="s">
        <v>2227</v>
      </c>
      <c r="N1573" s="834" t="s">
        <v>2058</v>
      </c>
      <c r="O1573" s="848" t="s">
        <v>32</v>
      </c>
      <c r="P1573" s="848" t="s">
        <v>1091</v>
      </c>
      <c r="Q1573" s="24">
        <v>46023</v>
      </c>
      <c r="R1573" s="79" t="s">
        <v>127</v>
      </c>
      <c r="S1573" s="22" t="s">
        <v>32</v>
      </c>
      <c r="T1573" s="22">
        <v>14</v>
      </c>
      <c r="U1573" s="24" t="s">
        <v>127</v>
      </c>
      <c r="V1573" s="24">
        <v>46023</v>
      </c>
      <c r="W1573" s="96" t="s">
        <v>30</v>
      </c>
      <c r="X1573" s="103" t="s">
        <v>32</v>
      </c>
      <c r="Y1573" s="96" t="s">
        <v>30</v>
      </c>
      <c r="Z1573" s="96" t="s">
        <v>30</v>
      </c>
      <c r="AA1573" s="96" t="s">
        <v>30</v>
      </c>
      <c r="AB1573" s="96" t="s">
        <v>30</v>
      </c>
      <c r="AC1573" s="96" t="s">
        <v>30</v>
      </c>
      <c r="AD1573" s="96" t="s">
        <v>30</v>
      </c>
      <c r="AE1573" s="96" t="s">
        <v>30</v>
      </c>
      <c r="AF1573" s="96" t="s">
        <v>30</v>
      </c>
      <c r="AG1573" s="96" t="s">
        <v>30</v>
      </c>
      <c r="AH1573" s="96" t="s">
        <v>30</v>
      </c>
      <c r="AI1573" s="96" t="s">
        <v>30</v>
      </c>
      <c r="AJ1573" s="96" t="s">
        <v>30</v>
      </c>
      <c r="AK1573" s="107" t="s">
        <v>30</v>
      </c>
      <c r="AL1573" s="110" t="s">
        <v>32</v>
      </c>
      <c r="AM1573" s="840" t="s">
        <v>2071</v>
      </c>
      <c r="AN1573" s="6"/>
      <c r="AO1573" s="6"/>
      <c r="AP1573" s="6"/>
      <c r="AQ1573" s="6"/>
      <c r="AR1573" s="6"/>
      <c r="AS1573" s="104"/>
      <c r="AT1573" s="105"/>
      <c r="AU1573" s="105"/>
      <c r="AV1573" s="105"/>
    </row>
    <row r="1574" spans="1:48">
      <c r="A1574" s="834" t="s">
        <v>24</v>
      </c>
      <c r="B1574" s="835">
        <v>1571</v>
      </c>
      <c r="C1574" s="838" t="s">
        <v>2289</v>
      </c>
      <c r="D1574" s="838" t="s">
        <v>406</v>
      </c>
      <c r="E1574" s="839">
        <v>45986</v>
      </c>
      <c r="F1574" s="838" t="s">
        <v>1761</v>
      </c>
      <c r="G1574" s="838">
        <v>10</v>
      </c>
      <c r="H1574" s="838" t="s">
        <v>1077</v>
      </c>
      <c r="I1574" s="838" t="s">
        <v>1138</v>
      </c>
      <c r="J1574" s="838"/>
      <c r="K1574" s="840" t="s">
        <v>2066</v>
      </c>
      <c r="L1574" s="834" t="s">
        <v>2211</v>
      </c>
      <c r="M1574" s="834" t="s">
        <v>2211</v>
      </c>
      <c r="N1574" s="834" t="s">
        <v>2058</v>
      </c>
      <c r="O1574" s="848" t="s">
        <v>32</v>
      </c>
      <c r="P1574" s="848" t="s">
        <v>1091</v>
      </c>
      <c r="Q1574" s="24">
        <v>46021</v>
      </c>
      <c r="R1574" s="79" t="s">
        <v>48</v>
      </c>
      <c r="S1574" s="22" t="s">
        <v>1140</v>
      </c>
      <c r="T1574" s="22">
        <v>8</v>
      </c>
      <c r="U1574" s="24" t="s">
        <v>48</v>
      </c>
      <c r="V1574" s="24">
        <v>46021</v>
      </c>
      <c r="W1574" s="96" t="s">
        <v>30</v>
      </c>
      <c r="X1574" s="96" t="s">
        <v>30</v>
      </c>
      <c r="Y1574" s="96" t="s">
        <v>30</v>
      </c>
      <c r="Z1574" s="96" t="s">
        <v>30</v>
      </c>
      <c r="AA1574" s="91" t="s">
        <v>32</v>
      </c>
      <c r="AB1574" s="91" t="s">
        <v>32</v>
      </c>
      <c r="AC1574" s="96" t="s">
        <v>30</v>
      </c>
      <c r="AD1574" s="96" t="s">
        <v>30</v>
      </c>
      <c r="AE1574" s="96" t="s">
        <v>30</v>
      </c>
      <c r="AF1574" s="96" t="s">
        <v>30</v>
      </c>
      <c r="AG1574" s="96" t="s">
        <v>30</v>
      </c>
      <c r="AH1574" s="96" t="s">
        <v>30</v>
      </c>
      <c r="AI1574" s="96" t="s">
        <v>30</v>
      </c>
      <c r="AJ1574" s="96" t="s">
        <v>30</v>
      </c>
      <c r="AK1574" s="110" t="s">
        <v>32</v>
      </c>
      <c r="AL1574" s="110" t="s">
        <v>32</v>
      </c>
      <c r="AM1574" s="840" t="s">
        <v>2080</v>
      </c>
      <c r="AV1574" s="105"/>
    </row>
    <row r="1575" spans="1:48">
      <c r="A1575" s="834" t="s">
        <v>24</v>
      </c>
      <c r="B1575" s="835">
        <v>1572</v>
      </c>
      <c r="C1575" s="838" t="s">
        <v>2290</v>
      </c>
      <c r="D1575" s="838" t="s">
        <v>57</v>
      </c>
      <c r="E1575" s="839">
        <v>45986</v>
      </c>
      <c r="F1575" s="838" t="s">
        <v>674</v>
      </c>
      <c r="G1575" s="838">
        <v>16</v>
      </c>
      <c r="H1575" s="838" t="s">
        <v>1721</v>
      </c>
      <c r="I1575" s="838" t="s">
        <v>1638</v>
      </c>
      <c r="J1575" s="838"/>
      <c r="K1575" s="840" t="s">
        <v>2264</v>
      </c>
      <c r="L1575" s="848" t="s">
        <v>2211</v>
      </c>
      <c r="M1575" s="834" t="s">
        <v>2227</v>
      </c>
      <c r="N1575" s="834" t="s">
        <v>2050</v>
      </c>
      <c r="O1575" s="113" t="s">
        <v>30</v>
      </c>
      <c r="P1575" s="848" t="s">
        <v>1091</v>
      </c>
      <c r="Q1575" s="24">
        <v>46021</v>
      </c>
      <c r="R1575" s="79" t="s">
        <v>48</v>
      </c>
      <c r="S1575" s="22" t="s">
        <v>1140</v>
      </c>
      <c r="T1575" s="22">
        <v>16</v>
      </c>
      <c r="U1575" s="24" t="s">
        <v>48</v>
      </c>
      <c r="V1575" s="24">
        <v>46021</v>
      </c>
      <c r="W1575" s="96" t="s">
        <v>30</v>
      </c>
      <c r="X1575" s="96" t="s">
        <v>30</v>
      </c>
      <c r="Y1575" s="96" t="s">
        <v>30</v>
      </c>
      <c r="Z1575" s="96" t="s">
        <v>30</v>
      </c>
      <c r="AA1575" s="96" t="s">
        <v>30</v>
      </c>
      <c r="AB1575" s="96" t="s">
        <v>30</v>
      </c>
      <c r="AC1575" s="96" t="s">
        <v>30</v>
      </c>
      <c r="AD1575" s="96" t="s">
        <v>30</v>
      </c>
      <c r="AE1575" s="96" t="s">
        <v>30</v>
      </c>
      <c r="AF1575" s="96" t="s">
        <v>30</v>
      </c>
      <c r="AG1575" s="96" t="s">
        <v>30</v>
      </c>
      <c r="AH1575" s="96" t="s">
        <v>30</v>
      </c>
      <c r="AI1575" s="96" t="s">
        <v>30</v>
      </c>
      <c r="AJ1575" s="96" t="s">
        <v>30</v>
      </c>
      <c r="AK1575" s="96" t="s">
        <v>30</v>
      </c>
      <c r="AL1575" s="110" t="s">
        <v>32</v>
      </c>
      <c r="AM1575" s="840"/>
      <c r="AN1575" s="87"/>
      <c r="AO1575" s="87"/>
      <c r="AS1575" s="71"/>
      <c r="AT1575" s="92"/>
      <c r="AU1575" s="92"/>
      <c r="AV1575" s="105"/>
    </row>
    <row r="1576" spans="1:48">
      <c r="A1576" s="834" t="s">
        <v>24</v>
      </c>
      <c r="B1576" s="835">
        <v>1573</v>
      </c>
      <c r="C1576" s="838" t="s">
        <v>2003</v>
      </c>
      <c r="D1576" s="838" t="s">
        <v>34</v>
      </c>
      <c r="E1576" s="839">
        <v>45986</v>
      </c>
      <c r="F1576" s="838" t="s">
        <v>412</v>
      </c>
      <c r="G1576" s="838">
        <v>12</v>
      </c>
      <c r="H1576" s="838" t="s">
        <v>1077</v>
      </c>
      <c r="I1576" s="838" t="s">
        <v>1138</v>
      </c>
      <c r="J1576" s="838"/>
      <c r="K1576" s="840" t="s">
        <v>2052</v>
      </c>
      <c r="L1576" s="848" t="s">
        <v>2048</v>
      </c>
      <c r="M1576" s="834" t="s">
        <v>2217</v>
      </c>
      <c r="N1576" s="834" t="s">
        <v>2083</v>
      </c>
      <c r="O1576" s="848" t="s">
        <v>32</v>
      </c>
      <c r="P1576" s="848" t="s">
        <v>1091</v>
      </c>
      <c r="Q1576" s="24">
        <v>46021</v>
      </c>
      <c r="R1576" s="79" t="s">
        <v>48</v>
      </c>
      <c r="S1576" s="22" t="s">
        <v>1140</v>
      </c>
      <c r="T1576" s="22">
        <v>8</v>
      </c>
      <c r="U1576" s="24" t="s">
        <v>48</v>
      </c>
      <c r="V1576" s="24">
        <v>46021</v>
      </c>
      <c r="W1576" s="90" t="s">
        <v>30</v>
      </c>
      <c r="X1576" s="96" t="s">
        <v>30</v>
      </c>
      <c r="Y1576" s="96" t="s">
        <v>30</v>
      </c>
      <c r="Z1576" s="96" t="s">
        <v>30</v>
      </c>
      <c r="AA1576" s="96" t="s">
        <v>30</v>
      </c>
      <c r="AB1576" s="96" t="s">
        <v>30</v>
      </c>
      <c r="AC1576" s="96" t="s">
        <v>30</v>
      </c>
      <c r="AD1576" s="96" t="s">
        <v>30</v>
      </c>
      <c r="AE1576" s="96" t="s">
        <v>30</v>
      </c>
      <c r="AF1576" s="96" t="s">
        <v>30</v>
      </c>
      <c r="AG1576" s="96" t="s">
        <v>30</v>
      </c>
      <c r="AH1576" s="96" t="s">
        <v>30</v>
      </c>
      <c r="AI1576" s="107" t="s">
        <v>30</v>
      </c>
      <c r="AJ1576" s="107" t="s">
        <v>30</v>
      </c>
      <c r="AK1576" s="107" t="s">
        <v>30</v>
      </c>
      <c r="AL1576" s="110" t="s">
        <v>32</v>
      </c>
      <c r="AM1576" s="840"/>
      <c r="AS1576" s="71"/>
      <c r="AT1576" s="92"/>
      <c r="AU1576" s="92"/>
      <c r="AV1576" s="105"/>
    </row>
    <row r="1577" spans="1:48">
      <c r="A1577" s="834" t="s">
        <v>24</v>
      </c>
      <c r="B1577" s="835">
        <v>1574</v>
      </c>
      <c r="C1577" s="838" t="s">
        <v>2291</v>
      </c>
      <c r="D1577" s="838" t="s">
        <v>406</v>
      </c>
      <c r="E1577" s="839">
        <v>45987</v>
      </c>
      <c r="F1577" s="838" t="s">
        <v>707</v>
      </c>
      <c r="G1577" s="838">
        <v>13</v>
      </c>
      <c r="H1577" s="838" t="s">
        <v>67</v>
      </c>
      <c r="I1577" s="838" t="s">
        <v>47</v>
      </c>
      <c r="J1577" s="838"/>
      <c r="K1577" s="840" t="s">
        <v>2066</v>
      </c>
      <c r="L1577" s="834" t="s">
        <v>2292</v>
      </c>
      <c r="M1577" s="834" t="s">
        <v>2292</v>
      </c>
      <c r="N1577" s="834" t="s">
        <v>2058</v>
      </c>
      <c r="O1577" s="848" t="s">
        <v>32</v>
      </c>
      <c r="P1577" s="245" t="s">
        <v>1091</v>
      </c>
      <c r="Q1577" s="24">
        <v>46027</v>
      </c>
      <c r="R1577" s="79" t="s">
        <v>127</v>
      </c>
      <c r="S1577" s="834" t="s">
        <v>32</v>
      </c>
      <c r="T1577" s="22">
        <v>13</v>
      </c>
      <c r="U1577" s="24" t="s">
        <v>127</v>
      </c>
      <c r="V1577" s="24">
        <v>46027</v>
      </c>
      <c r="W1577" s="96" t="s">
        <v>30</v>
      </c>
      <c r="X1577" s="96" t="s">
        <v>30</v>
      </c>
      <c r="Y1577" s="96" t="s">
        <v>30</v>
      </c>
      <c r="Z1577" s="96" t="s">
        <v>30</v>
      </c>
      <c r="AA1577" s="91" t="s">
        <v>32</v>
      </c>
      <c r="AB1577" s="91" t="s">
        <v>32</v>
      </c>
      <c r="AC1577" s="96" t="s">
        <v>30</v>
      </c>
      <c r="AD1577" s="96" t="s">
        <v>30</v>
      </c>
      <c r="AE1577" s="96" t="s">
        <v>30</v>
      </c>
      <c r="AF1577" s="96" t="s">
        <v>30</v>
      </c>
      <c r="AG1577" s="96" t="s">
        <v>30</v>
      </c>
      <c r="AH1577" s="107" t="s">
        <v>30</v>
      </c>
      <c r="AI1577" s="110" t="s">
        <v>32</v>
      </c>
      <c r="AJ1577" s="110" t="s">
        <v>32</v>
      </c>
      <c r="AK1577" s="110" t="s">
        <v>32</v>
      </c>
      <c r="AL1577" s="110" t="s">
        <v>32</v>
      </c>
      <c r="AM1577" s="840" t="s">
        <v>2080</v>
      </c>
      <c r="AN1577" s="87"/>
      <c r="AO1577" s="87"/>
      <c r="AS1577" s="71"/>
      <c r="AT1577" s="92"/>
      <c r="AU1577" s="92"/>
      <c r="AV1577" s="105"/>
    </row>
    <row r="1578" spans="1:48">
      <c r="A1578" s="834" t="s">
        <v>24</v>
      </c>
      <c r="B1578" s="835">
        <v>1575</v>
      </c>
      <c r="C1578" s="838" t="s">
        <v>2293</v>
      </c>
      <c r="D1578" s="838" t="s">
        <v>477</v>
      </c>
      <c r="E1578" s="839">
        <v>45987</v>
      </c>
      <c r="F1578" s="838" t="s">
        <v>97</v>
      </c>
      <c r="G1578" s="838">
        <v>7</v>
      </c>
      <c r="H1578" s="838" t="s">
        <v>1721</v>
      </c>
      <c r="I1578" s="838" t="s">
        <v>1638</v>
      </c>
      <c r="J1578" s="838"/>
      <c r="K1578" s="840" t="s">
        <v>2056</v>
      </c>
      <c r="L1578" s="834" t="s">
        <v>2251</v>
      </c>
      <c r="M1578" s="834" t="s">
        <v>2251</v>
      </c>
      <c r="N1578" s="834" t="s">
        <v>2058</v>
      </c>
      <c r="O1578" s="848" t="s">
        <v>32</v>
      </c>
      <c r="P1578" s="848" t="s">
        <v>1091</v>
      </c>
      <c r="Q1578" s="24">
        <v>46020</v>
      </c>
      <c r="R1578" s="79" t="s">
        <v>48</v>
      </c>
      <c r="S1578" s="22" t="s">
        <v>1140</v>
      </c>
      <c r="T1578" s="22">
        <v>7</v>
      </c>
      <c r="U1578" s="24" t="s">
        <v>48</v>
      </c>
      <c r="V1578" s="24">
        <v>46020</v>
      </c>
      <c r="W1578" s="96" t="s">
        <v>30</v>
      </c>
      <c r="X1578" s="96" t="s">
        <v>30</v>
      </c>
      <c r="Y1578" s="96" t="s">
        <v>30</v>
      </c>
      <c r="Z1578" s="96" t="s">
        <v>30</v>
      </c>
      <c r="AA1578" s="96" t="s">
        <v>30</v>
      </c>
      <c r="AB1578" s="96" t="s">
        <v>30</v>
      </c>
      <c r="AC1578" s="96" t="s">
        <v>30</v>
      </c>
      <c r="AD1578" s="96" t="s">
        <v>30</v>
      </c>
      <c r="AE1578" s="96" t="s">
        <v>30</v>
      </c>
      <c r="AF1578" s="96" t="s">
        <v>30</v>
      </c>
      <c r="AG1578" s="96" t="s">
        <v>30</v>
      </c>
      <c r="AH1578" s="107" t="s">
        <v>30</v>
      </c>
      <c r="AI1578" s="96" t="s">
        <v>30</v>
      </c>
      <c r="AJ1578" s="96" t="s">
        <v>30</v>
      </c>
      <c r="AK1578" s="96" t="s">
        <v>30</v>
      </c>
      <c r="AL1578" s="110" t="s">
        <v>32</v>
      </c>
      <c r="AM1578" s="840"/>
      <c r="AS1578" s="71"/>
      <c r="AT1578" s="92"/>
      <c r="AU1578" s="92"/>
      <c r="AV1578" s="105"/>
    </row>
    <row r="1579" spans="1:48">
      <c r="A1579" s="834" t="s">
        <v>24</v>
      </c>
      <c r="B1579" s="835">
        <v>1576</v>
      </c>
      <c r="C1579" s="838" t="s">
        <v>2294</v>
      </c>
      <c r="D1579" s="838" t="s">
        <v>50</v>
      </c>
      <c r="E1579" s="839">
        <v>45987</v>
      </c>
      <c r="F1579" s="838" t="s">
        <v>2295</v>
      </c>
      <c r="G1579" s="838">
        <v>20</v>
      </c>
      <c r="H1579" s="838" t="s">
        <v>1077</v>
      </c>
      <c r="I1579" s="838" t="s">
        <v>1138</v>
      </c>
      <c r="J1579" s="838"/>
      <c r="K1579" s="840" t="s">
        <v>2296</v>
      </c>
      <c r="L1579" s="834" t="s">
        <v>2251</v>
      </c>
      <c r="M1579" s="834" t="s">
        <v>2251</v>
      </c>
      <c r="N1579" s="834" t="s">
        <v>2058</v>
      </c>
      <c r="O1579" s="113" t="s">
        <v>30</v>
      </c>
      <c r="P1579" s="245" t="s">
        <v>1091</v>
      </c>
      <c r="Q1579" s="24">
        <v>46022</v>
      </c>
      <c r="R1579" s="79" t="s">
        <v>1638</v>
      </c>
      <c r="S1579" s="22" t="s">
        <v>1140</v>
      </c>
      <c r="T1579" s="22">
        <v>20</v>
      </c>
      <c r="U1579" s="24" t="s">
        <v>1638</v>
      </c>
      <c r="V1579" s="24">
        <v>46022</v>
      </c>
      <c r="W1579" s="96" t="s">
        <v>30</v>
      </c>
      <c r="X1579" s="96" t="s">
        <v>30</v>
      </c>
      <c r="Y1579" s="96" t="s">
        <v>30</v>
      </c>
      <c r="Z1579" s="96" t="s">
        <v>30</v>
      </c>
      <c r="AA1579" s="96" t="s">
        <v>30</v>
      </c>
      <c r="AB1579" s="96" t="s">
        <v>30</v>
      </c>
      <c r="AC1579" s="96" t="s">
        <v>30</v>
      </c>
      <c r="AD1579" s="96" t="s">
        <v>30</v>
      </c>
      <c r="AE1579" s="96" t="s">
        <v>30</v>
      </c>
      <c r="AF1579" s="96" t="s">
        <v>30</v>
      </c>
      <c r="AG1579" s="96" t="s">
        <v>30</v>
      </c>
      <c r="AH1579" s="107" t="s">
        <v>30</v>
      </c>
      <c r="AI1579" s="96" t="s">
        <v>30</v>
      </c>
      <c r="AJ1579" s="96" t="s">
        <v>30</v>
      </c>
      <c r="AK1579" s="96" t="s">
        <v>30</v>
      </c>
      <c r="AL1579" s="110" t="s">
        <v>32</v>
      </c>
      <c r="AM1579" s="840"/>
      <c r="AV1579" s="105"/>
    </row>
    <row r="1580" spans="1:48">
      <c r="A1580" s="834" t="s">
        <v>24</v>
      </c>
      <c r="B1580" s="835">
        <v>1577</v>
      </c>
      <c r="C1580" s="838" t="s">
        <v>2127</v>
      </c>
      <c r="D1580" s="838" t="s">
        <v>403</v>
      </c>
      <c r="E1580" s="839">
        <v>45988</v>
      </c>
      <c r="F1580" s="838" t="s">
        <v>707</v>
      </c>
      <c r="G1580" s="838">
        <v>13</v>
      </c>
      <c r="H1580" s="838" t="s">
        <v>67</v>
      </c>
      <c r="I1580" s="838" t="s">
        <v>47</v>
      </c>
      <c r="J1580" s="838"/>
      <c r="K1580" s="840" t="s">
        <v>2066</v>
      </c>
      <c r="L1580" s="834" t="s">
        <v>2292</v>
      </c>
      <c r="M1580" s="834" t="s">
        <v>2292</v>
      </c>
      <c r="N1580" s="834" t="s">
        <v>2058</v>
      </c>
      <c r="O1580" s="848" t="s">
        <v>32</v>
      </c>
      <c r="P1580" s="848" t="s">
        <v>1091</v>
      </c>
      <c r="Q1580" s="24">
        <v>46022</v>
      </c>
      <c r="R1580" s="79" t="s">
        <v>127</v>
      </c>
      <c r="S1580" s="834" t="s">
        <v>32</v>
      </c>
      <c r="T1580" s="834">
        <v>11</v>
      </c>
      <c r="U1580" s="24" t="s">
        <v>127</v>
      </c>
      <c r="V1580" s="24">
        <v>46022</v>
      </c>
      <c r="W1580" s="96" t="s">
        <v>30</v>
      </c>
      <c r="X1580" s="96" t="s">
        <v>30</v>
      </c>
      <c r="Y1580" s="96" t="s">
        <v>30</v>
      </c>
      <c r="Z1580" s="96" t="s">
        <v>30</v>
      </c>
      <c r="AA1580" s="91" t="s">
        <v>32</v>
      </c>
      <c r="AB1580" s="91" t="s">
        <v>32</v>
      </c>
      <c r="AC1580" s="96" t="s">
        <v>30</v>
      </c>
      <c r="AD1580" s="96" t="s">
        <v>30</v>
      </c>
      <c r="AE1580" s="96" t="s">
        <v>30</v>
      </c>
      <c r="AF1580" s="96" t="s">
        <v>30</v>
      </c>
      <c r="AG1580" s="96" t="s">
        <v>30</v>
      </c>
      <c r="AH1580" s="96" t="s">
        <v>30</v>
      </c>
      <c r="AI1580" s="96" t="s">
        <v>30</v>
      </c>
      <c r="AJ1580" s="96" t="s">
        <v>30</v>
      </c>
      <c r="AK1580" s="96" t="s">
        <v>30</v>
      </c>
      <c r="AL1580" s="110" t="s">
        <v>32</v>
      </c>
      <c r="AM1580" s="840" t="s">
        <v>2080</v>
      </c>
      <c r="AS1580" s="71"/>
      <c r="AT1580" s="92"/>
      <c r="AU1580" s="92"/>
      <c r="AV1580" s="105"/>
    </row>
    <row r="1581" spans="1:48">
      <c r="A1581" s="834" t="s">
        <v>24</v>
      </c>
      <c r="B1581" s="835">
        <v>1578</v>
      </c>
      <c r="C1581" s="838" t="s">
        <v>2297</v>
      </c>
      <c r="D1581" s="838" t="s">
        <v>477</v>
      </c>
      <c r="E1581" s="839">
        <v>45989</v>
      </c>
      <c r="F1581" s="838" t="s">
        <v>1105</v>
      </c>
      <c r="G1581" s="838">
        <v>14</v>
      </c>
      <c r="H1581" s="838" t="s">
        <v>127</v>
      </c>
      <c r="I1581" s="838" t="s">
        <v>178</v>
      </c>
      <c r="J1581" s="838"/>
      <c r="K1581" s="840" t="s">
        <v>2298</v>
      </c>
      <c r="L1581" s="834" t="s">
        <v>2299</v>
      </c>
      <c r="M1581" s="834" t="s">
        <v>2299</v>
      </c>
      <c r="N1581" s="834" t="s">
        <v>2050</v>
      </c>
      <c r="O1581" s="848" t="s">
        <v>32</v>
      </c>
      <c r="P1581" s="848" t="s">
        <v>1091</v>
      </c>
      <c r="Q1581" s="24">
        <v>46023</v>
      </c>
      <c r="R1581" s="79" t="s">
        <v>127</v>
      </c>
      <c r="S1581" s="834" t="s">
        <v>32</v>
      </c>
      <c r="T1581" s="834">
        <v>9</v>
      </c>
      <c r="U1581" s="24" t="s">
        <v>127</v>
      </c>
      <c r="V1581" s="24">
        <v>46023</v>
      </c>
      <c r="W1581" s="96" t="s">
        <v>30</v>
      </c>
      <c r="X1581" s="96" t="s">
        <v>30</v>
      </c>
      <c r="Y1581" s="96" t="s">
        <v>30</v>
      </c>
      <c r="Z1581" s="103" t="s">
        <v>32</v>
      </c>
      <c r="AA1581" s="103" t="s">
        <v>32</v>
      </c>
      <c r="AB1581" s="103" t="s">
        <v>32</v>
      </c>
      <c r="AC1581" s="96" t="s">
        <v>30</v>
      </c>
      <c r="AD1581" s="96" t="s">
        <v>30</v>
      </c>
      <c r="AE1581" s="96" t="s">
        <v>30</v>
      </c>
      <c r="AF1581" s="96" t="s">
        <v>30</v>
      </c>
      <c r="AG1581" s="96" t="s">
        <v>30</v>
      </c>
      <c r="AH1581" s="107" t="s">
        <v>30</v>
      </c>
      <c r="AI1581" s="110" t="s">
        <v>32</v>
      </c>
      <c r="AJ1581" s="96" t="s">
        <v>30</v>
      </c>
      <c r="AK1581" s="96" t="s">
        <v>30</v>
      </c>
      <c r="AL1581" s="110" t="s">
        <v>32</v>
      </c>
      <c r="AM1581" s="840" t="s">
        <v>2300</v>
      </c>
      <c r="AS1581" s="71"/>
      <c r="AT1581" s="92"/>
      <c r="AU1581" s="92"/>
      <c r="AV1581" s="105"/>
    </row>
    <row r="1582" spans="1:48">
      <c r="A1582" s="834" t="s">
        <v>24</v>
      </c>
      <c r="B1582" s="835">
        <v>1579</v>
      </c>
      <c r="C1582" s="838" t="s">
        <v>2301</v>
      </c>
      <c r="D1582" s="838" t="s">
        <v>477</v>
      </c>
      <c r="E1582" s="839">
        <v>45989</v>
      </c>
      <c r="F1582" s="838" t="s">
        <v>2161</v>
      </c>
      <c r="G1582" s="838">
        <v>12</v>
      </c>
      <c r="H1582" s="838" t="s">
        <v>127</v>
      </c>
      <c r="I1582" s="838" t="s">
        <v>178</v>
      </c>
      <c r="J1582" s="838"/>
      <c r="K1582" s="840" t="s">
        <v>2162</v>
      </c>
      <c r="L1582" s="834" t="s">
        <v>2299</v>
      </c>
      <c r="M1582" s="834" t="s">
        <v>2299</v>
      </c>
      <c r="N1582" s="834" t="s">
        <v>2050</v>
      </c>
      <c r="O1582" s="848" t="s">
        <v>32</v>
      </c>
      <c r="P1582" s="848" t="s">
        <v>1091</v>
      </c>
      <c r="Q1582" s="24">
        <v>46023</v>
      </c>
      <c r="R1582" s="79" t="s">
        <v>127</v>
      </c>
      <c r="S1582" s="834" t="s">
        <v>32</v>
      </c>
      <c r="T1582" s="834">
        <v>7</v>
      </c>
      <c r="U1582" s="24" t="s">
        <v>127</v>
      </c>
      <c r="V1582" s="24">
        <v>46023</v>
      </c>
      <c r="W1582" s="96" t="s">
        <v>30</v>
      </c>
      <c r="X1582" s="96" t="s">
        <v>30</v>
      </c>
      <c r="Y1582" s="96" t="s">
        <v>30</v>
      </c>
      <c r="Z1582" s="96" t="s">
        <v>30</v>
      </c>
      <c r="AA1582" s="96" t="s">
        <v>30</v>
      </c>
      <c r="AB1582" s="96" t="s">
        <v>30</v>
      </c>
      <c r="AC1582" s="96" t="s">
        <v>30</v>
      </c>
      <c r="AD1582" s="96" t="s">
        <v>30</v>
      </c>
      <c r="AE1582" s="96" t="s">
        <v>30</v>
      </c>
      <c r="AF1582" s="96" t="s">
        <v>30</v>
      </c>
      <c r="AG1582" s="96" t="s">
        <v>30</v>
      </c>
      <c r="AH1582" s="107" t="s">
        <v>30</v>
      </c>
      <c r="AI1582" s="96" t="s">
        <v>30</v>
      </c>
      <c r="AJ1582" s="96" t="s">
        <v>30</v>
      </c>
      <c r="AK1582" s="96" t="s">
        <v>30</v>
      </c>
      <c r="AL1582" s="110" t="s">
        <v>32</v>
      </c>
      <c r="AM1582" s="840"/>
      <c r="AS1582" s="71"/>
      <c r="AT1582" s="92"/>
      <c r="AU1582" s="92"/>
      <c r="AV1582" s="105"/>
    </row>
    <row r="1583" spans="1:48">
      <c r="A1583" s="834" t="s">
        <v>24</v>
      </c>
      <c r="B1583" s="835">
        <v>1580</v>
      </c>
      <c r="C1583" s="838" t="s">
        <v>2302</v>
      </c>
      <c r="D1583" s="838" t="s">
        <v>64</v>
      </c>
      <c r="E1583" s="839">
        <v>45989</v>
      </c>
      <c r="F1583" s="838" t="s">
        <v>1295</v>
      </c>
      <c r="G1583" s="838">
        <v>12</v>
      </c>
      <c r="H1583" s="838" t="s">
        <v>67</v>
      </c>
      <c r="I1583" s="838" t="s">
        <v>47</v>
      </c>
      <c r="J1583" s="838"/>
      <c r="K1583" s="840" t="s">
        <v>2098</v>
      </c>
      <c r="L1583" s="834" t="s">
        <v>2303</v>
      </c>
      <c r="M1583" s="834" t="s">
        <v>2303</v>
      </c>
      <c r="N1583" s="834" t="s">
        <v>2050</v>
      </c>
      <c r="O1583" s="848" t="s">
        <v>32</v>
      </c>
      <c r="P1583" s="848" t="s">
        <v>1091</v>
      </c>
      <c r="Q1583" s="24">
        <v>46023</v>
      </c>
      <c r="R1583" s="79" t="s">
        <v>127</v>
      </c>
      <c r="S1583" s="834" t="s">
        <v>32</v>
      </c>
      <c r="T1583" s="834">
        <v>10</v>
      </c>
      <c r="U1583" s="24" t="s">
        <v>127</v>
      </c>
      <c r="V1583" s="24">
        <v>46023</v>
      </c>
      <c r="W1583" s="96" t="s">
        <v>30</v>
      </c>
      <c r="X1583" s="96" t="s">
        <v>30</v>
      </c>
      <c r="Y1583" s="96" t="s">
        <v>30</v>
      </c>
      <c r="Z1583" s="96" t="s">
        <v>30</v>
      </c>
      <c r="AA1583" s="96" t="s">
        <v>30</v>
      </c>
      <c r="AB1583" s="96" t="s">
        <v>30</v>
      </c>
      <c r="AC1583" s="96" t="s">
        <v>30</v>
      </c>
      <c r="AD1583" s="96" t="s">
        <v>30</v>
      </c>
      <c r="AE1583" s="96" t="s">
        <v>30</v>
      </c>
      <c r="AF1583" s="96" t="s">
        <v>30</v>
      </c>
      <c r="AG1583" s="96" t="s">
        <v>30</v>
      </c>
      <c r="AH1583" s="107" t="s">
        <v>30</v>
      </c>
      <c r="AI1583" s="96" t="s">
        <v>30</v>
      </c>
      <c r="AJ1583" s="96" t="s">
        <v>30</v>
      </c>
      <c r="AK1583" s="96" t="s">
        <v>30</v>
      </c>
      <c r="AL1583" s="110" t="s">
        <v>32</v>
      </c>
      <c r="AM1583" s="840"/>
      <c r="AS1583" s="92"/>
      <c r="AT1583" s="92"/>
      <c r="AU1583" s="92"/>
      <c r="AV1583" s="105"/>
    </row>
    <row r="1584" spans="1:48">
      <c r="A1584" s="834" t="s">
        <v>24</v>
      </c>
      <c r="B1584" s="835">
        <v>1581</v>
      </c>
      <c r="C1584" s="838" t="s">
        <v>2304</v>
      </c>
      <c r="D1584" s="838" t="s">
        <v>50</v>
      </c>
      <c r="E1584" s="839">
        <v>45989</v>
      </c>
      <c r="F1584" s="838" t="s">
        <v>1495</v>
      </c>
      <c r="G1584" s="838">
        <v>12</v>
      </c>
      <c r="H1584" s="838" t="s">
        <v>1077</v>
      </c>
      <c r="I1584" s="838" t="s">
        <v>1138</v>
      </c>
      <c r="J1584" s="838"/>
      <c r="K1584" s="840" t="s">
        <v>2203</v>
      </c>
      <c r="L1584" s="834" t="s">
        <v>2303</v>
      </c>
      <c r="M1584" s="834" t="s">
        <v>2292</v>
      </c>
      <c r="N1584" s="834" t="s">
        <v>2305</v>
      </c>
      <c r="O1584" s="848" t="s">
        <v>32</v>
      </c>
      <c r="P1584" s="848" t="s">
        <v>1091</v>
      </c>
      <c r="Q1584" s="24">
        <v>46022</v>
      </c>
      <c r="R1584" s="79" t="s">
        <v>127</v>
      </c>
      <c r="S1584" s="834" t="s">
        <v>32</v>
      </c>
      <c r="T1584" s="22">
        <v>15</v>
      </c>
      <c r="U1584" s="24" t="s">
        <v>127</v>
      </c>
      <c r="V1584" s="24">
        <v>46022</v>
      </c>
      <c r="W1584" s="96" t="s">
        <v>30</v>
      </c>
      <c r="X1584" s="103" t="s">
        <v>32</v>
      </c>
      <c r="Y1584" s="96" t="s">
        <v>30</v>
      </c>
      <c r="Z1584" s="96" t="s">
        <v>30</v>
      </c>
      <c r="AA1584" s="103" t="s">
        <v>32</v>
      </c>
      <c r="AB1584" s="96" t="s">
        <v>30</v>
      </c>
      <c r="AC1584" s="96" t="s">
        <v>30</v>
      </c>
      <c r="AD1584" s="96" t="s">
        <v>30</v>
      </c>
      <c r="AE1584" s="96" t="s">
        <v>30</v>
      </c>
      <c r="AF1584" s="96" t="s">
        <v>30</v>
      </c>
      <c r="AG1584" s="96" t="s">
        <v>30</v>
      </c>
      <c r="AH1584" s="96" t="s">
        <v>30</v>
      </c>
      <c r="AI1584" s="110" t="s">
        <v>32</v>
      </c>
      <c r="AJ1584" s="110" t="s">
        <v>32</v>
      </c>
      <c r="AK1584" s="107" t="s">
        <v>30</v>
      </c>
      <c r="AL1584" s="110" t="s">
        <v>32</v>
      </c>
      <c r="AM1584" s="840" t="s">
        <v>2080</v>
      </c>
      <c r="AS1584" s="92"/>
      <c r="AT1584" s="92"/>
      <c r="AU1584" s="92"/>
      <c r="AV1584" s="105"/>
    </row>
    <row r="1585" spans="1:48">
      <c r="A1585" s="834" t="s">
        <v>24</v>
      </c>
      <c r="B1585" s="835">
        <v>1582</v>
      </c>
      <c r="C1585" s="838" t="s">
        <v>2306</v>
      </c>
      <c r="D1585" s="838" t="s">
        <v>2307</v>
      </c>
      <c r="E1585" s="839">
        <v>45989</v>
      </c>
      <c r="F1585" s="838" t="s">
        <v>439</v>
      </c>
      <c r="G1585" s="838">
        <v>10</v>
      </c>
      <c r="H1585" s="838" t="s">
        <v>127</v>
      </c>
      <c r="I1585" s="838" t="s">
        <v>36</v>
      </c>
      <c r="J1585" s="838"/>
      <c r="K1585" s="840" t="s">
        <v>2056</v>
      </c>
      <c r="L1585" s="834" t="s">
        <v>2077</v>
      </c>
      <c r="M1585" s="834" t="s">
        <v>2077</v>
      </c>
      <c r="N1585" s="834" t="s">
        <v>2050</v>
      </c>
      <c r="O1585" s="848" t="s">
        <v>32</v>
      </c>
      <c r="P1585" s="848" t="s">
        <v>1091</v>
      </c>
      <c r="Q1585" s="24">
        <v>46023</v>
      </c>
      <c r="R1585" s="79" t="s">
        <v>127</v>
      </c>
      <c r="S1585" s="834" t="s">
        <v>32</v>
      </c>
      <c r="T1585" s="22">
        <v>10</v>
      </c>
      <c r="U1585" s="24" t="s">
        <v>127</v>
      </c>
      <c r="V1585" s="24">
        <v>46023</v>
      </c>
      <c r="W1585" s="96" t="s">
        <v>30</v>
      </c>
      <c r="X1585" s="103" t="s">
        <v>32</v>
      </c>
      <c r="Y1585" s="96" t="s">
        <v>30</v>
      </c>
      <c r="Z1585" s="96" t="s">
        <v>30</v>
      </c>
      <c r="AA1585" s="96" t="s">
        <v>30</v>
      </c>
      <c r="AB1585" s="96" t="s">
        <v>30</v>
      </c>
      <c r="AC1585" s="96" t="s">
        <v>30</v>
      </c>
      <c r="AD1585" s="96" t="s">
        <v>30</v>
      </c>
      <c r="AE1585" s="96" t="s">
        <v>30</v>
      </c>
      <c r="AF1585" s="96" t="s">
        <v>30</v>
      </c>
      <c r="AG1585" s="96" t="s">
        <v>30</v>
      </c>
      <c r="AH1585" s="107" t="s">
        <v>30</v>
      </c>
      <c r="AI1585" s="96" t="s">
        <v>30</v>
      </c>
      <c r="AJ1585" s="96" t="s">
        <v>30</v>
      </c>
      <c r="AK1585" s="96" t="s">
        <v>30</v>
      </c>
      <c r="AL1585" s="110" t="s">
        <v>32</v>
      </c>
      <c r="AM1585" s="840" t="s">
        <v>2071</v>
      </c>
      <c r="AO1585" s="85"/>
      <c r="AP1585" s="85"/>
      <c r="AQ1585" s="85"/>
      <c r="AR1585" s="84"/>
      <c r="AS1585" s="92"/>
      <c r="AT1585" s="92"/>
      <c r="AU1585" s="92"/>
      <c r="AV1585" s="105"/>
    </row>
    <row r="1586" spans="1:48">
      <c r="A1586" s="834" t="s">
        <v>24</v>
      </c>
      <c r="B1586" s="835">
        <v>1583</v>
      </c>
      <c r="C1586" s="838" t="s">
        <v>2308</v>
      </c>
      <c r="D1586" s="838" t="s">
        <v>34</v>
      </c>
      <c r="E1586" s="839">
        <v>45990</v>
      </c>
      <c r="F1586" s="838" t="s">
        <v>1945</v>
      </c>
      <c r="G1586" s="838">
        <v>13</v>
      </c>
      <c r="H1586" s="838" t="s">
        <v>127</v>
      </c>
      <c r="I1586" s="838" t="s">
        <v>178</v>
      </c>
      <c r="J1586" s="838"/>
      <c r="K1586" s="840" t="s">
        <v>2087</v>
      </c>
      <c r="L1586" s="834" t="s">
        <v>2309</v>
      </c>
      <c r="M1586" s="834" t="s">
        <v>2309</v>
      </c>
      <c r="N1586" s="834" t="s">
        <v>2310</v>
      </c>
      <c r="O1586" s="848" t="s">
        <v>32</v>
      </c>
      <c r="P1586" s="848" t="s">
        <v>1091</v>
      </c>
      <c r="Q1586" s="24">
        <v>46027</v>
      </c>
      <c r="R1586" s="24" t="s">
        <v>67</v>
      </c>
      <c r="S1586" s="834" t="s">
        <v>32</v>
      </c>
      <c r="T1586" s="22">
        <v>13</v>
      </c>
      <c r="U1586" s="24" t="s">
        <v>67</v>
      </c>
      <c r="V1586" s="24">
        <v>46027</v>
      </c>
      <c r="W1586" s="118" t="s">
        <v>30</v>
      </c>
      <c r="X1586" s="96" t="s">
        <v>30</v>
      </c>
      <c r="Y1586" s="118" t="s">
        <v>30</v>
      </c>
      <c r="Z1586" s="103" t="s">
        <v>32</v>
      </c>
      <c r="AA1586" s="103" t="s">
        <v>32</v>
      </c>
      <c r="AB1586" s="103" t="s">
        <v>32</v>
      </c>
      <c r="AC1586" s="96" t="s">
        <v>30</v>
      </c>
      <c r="AD1586" s="96" t="s">
        <v>30</v>
      </c>
      <c r="AE1586" s="96" t="s">
        <v>30</v>
      </c>
      <c r="AF1586" s="96" t="s">
        <v>30</v>
      </c>
      <c r="AG1586" s="96" t="s">
        <v>30</v>
      </c>
      <c r="AH1586" s="107" t="s">
        <v>30</v>
      </c>
      <c r="AI1586" s="96" t="s">
        <v>30</v>
      </c>
      <c r="AJ1586" s="96" t="s">
        <v>30</v>
      </c>
      <c r="AK1586" s="96" t="s">
        <v>30</v>
      </c>
      <c r="AL1586" s="110" t="s">
        <v>32</v>
      </c>
      <c r="AM1586" s="840"/>
      <c r="AO1586" s="85"/>
      <c r="AP1586" s="85"/>
      <c r="AQ1586" s="85"/>
      <c r="AR1586" s="84"/>
      <c r="AS1586" s="92"/>
      <c r="AT1586" s="92"/>
      <c r="AU1586" s="92"/>
      <c r="AV1586" s="105"/>
    </row>
    <row r="1587" spans="1:48">
      <c r="A1587" s="834" t="s">
        <v>24</v>
      </c>
      <c r="B1587" s="835">
        <v>1584</v>
      </c>
      <c r="C1587" s="838" t="s">
        <v>2311</v>
      </c>
      <c r="D1587" s="838" t="s">
        <v>34</v>
      </c>
      <c r="E1587" s="839">
        <v>45990</v>
      </c>
      <c r="F1587" s="838" t="s">
        <v>97</v>
      </c>
      <c r="G1587" s="838">
        <v>18</v>
      </c>
      <c r="H1587" s="838" t="s">
        <v>127</v>
      </c>
      <c r="I1587" s="838" t="s">
        <v>178</v>
      </c>
      <c r="J1587" s="98" t="s">
        <v>2250</v>
      </c>
      <c r="K1587" s="840" t="s">
        <v>2312</v>
      </c>
      <c r="L1587" s="834" t="s">
        <v>2309</v>
      </c>
      <c r="M1587" s="834" t="s">
        <v>2309</v>
      </c>
      <c r="N1587" s="834" t="s">
        <v>2313</v>
      </c>
      <c r="O1587" s="113" t="s">
        <v>30</v>
      </c>
      <c r="P1587" s="245"/>
      <c r="Q1587" s="24"/>
      <c r="R1587" s="79" t="s">
        <v>127</v>
      </c>
      <c r="S1587" s="834"/>
      <c r="T1587" s="22"/>
      <c r="U1587" s="24"/>
      <c r="V1587" s="24"/>
      <c r="W1587" s="96" t="s">
        <v>30</v>
      </c>
      <c r="X1587" s="96" t="s">
        <v>30</v>
      </c>
      <c r="Y1587" s="96" t="s">
        <v>30</v>
      </c>
      <c r="Z1587" s="96" t="s">
        <v>30</v>
      </c>
      <c r="AA1587" s="96" t="s">
        <v>30</v>
      </c>
      <c r="AB1587" s="96" t="s">
        <v>30</v>
      </c>
      <c r="AC1587" s="96" t="s">
        <v>30</v>
      </c>
      <c r="AD1587" s="96" t="s">
        <v>30</v>
      </c>
      <c r="AE1587" s="96" t="s">
        <v>30</v>
      </c>
      <c r="AF1587" s="96" t="s">
        <v>30</v>
      </c>
      <c r="AG1587" s="96" t="s">
        <v>30</v>
      </c>
      <c r="AH1587" s="96" t="s">
        <v>30</v>
      </c>
      <c r="AI1587" s="96" t="s">
        <v>30</v>
      </c>
      <c r="AJ1587" s="96" t="s">
        <v>30</v>
      </c>
      <c r="AK1587" s="107" t="s">
        <v>30</v>
      </c>
      <c r="AL1587" s="110" t="s">
        <v>32</v>
      </c>
      <c r="AM1587" s="840"/>
      <c r="AS1587" s="71"/>
      <c r="AT1587" s="92"/>
      <c r="AU1587" s="92"/>
    </row>
    <row r="1588" spans="1:48">
      <c r="A1588" s="834" t="s">
        <v>24</v>
      </c>
      <c r="B1588" s="835">
        <v>1585</v>
      </c>
      <c r="C1588" s="838" t="s">
        <v>2314</v>
      </c>
      <c r="D1588" s="838" t="s">
        <v>34</v>
      </c>
      <c r="E1588" s="839">
        <v>45990</v>
      </c>
      <c r="F1588" s="838" t="s">
        <v>401</v>
      </c>
      <c r="G1588" s="838">
        <v>1</v>
      </c>
      <c r="H1588" s="838" t="s">
        <v>1721</v>
      </c>
      <c r="I1588" s="838" t="s">
        <v>1638</v>
      </c>
      <c r="J1588" s="838"/>
      <c r="K1588" s="840" t="s">
        <v>2312</v>
      </c>
      <c r="L1588" s="834" t="s">
        <v>401</v>
      </c>
      <c r="M1588" s="834" t="s">
        <v>401</v>
      </c>
      <c r="N1588" s="834" t="s">
        <v>401</v>
      </c>
      <c r="O1588" s="848" t="s">
        <v>32</v>
      </c>
      <c r="P1588" s="853" t="s">
        <v>1091</v>
      </c>
      <c r="Q1588" s="24">
        <v>46022</v>
      </c>
      <c r="R1588" s="79" t="s">
        <v>48</v>
      </c>
      <c r="S1588" s="22" t="s">
        <v>1140</v>
      </c>
      <c r="T1588" s="22">
        <v>1</v>
      </c>
      <c r="U1588" s="24" t="s">
        <v>48</v>
      </c>
      <c r="V1588" s="24">
        <v>46022</v>
      </c>
      <c r="W1588" s="96" t="s">
        <v>30</v>
      </c>
      <c r="X1588" s="96" t="s">
        <v>30</v>
      </c>
      <c r="Y1588" s="96" t="s">
        <v>30</v>
      </c>
      <c r="Z1588" s="96" t="s">
        <v>30</v>
      </c>
      <c r="AA1588" s="96" t="s">
        <v>30</v>
      </c>
      <c r="AB1588" s="96" t="s">
        <v>30</v>
      </c>
      <c r="AC1588" s="96" t="s">
        <v>30</v>
      </c>
      <c r="AD1588" s="96" t="s">
        <v>30</v>
      </c>
      <c r="AE1588" s="96" t="s">
        <v>30</v>
      </c>
      <c r="AF1588" s="96" t="s">
        <v>30</v>
      </c>
      <c r="AG1588" s="96" t="s">
        <v>30</v>
      </c>
      <c r="AH1588" s="96" t="s">
        <v>30</v>
      </c>
      <c r="AI1588" s="96" t="s">
        <v>30</v>
      </c>
      <c r="AJ1588" s="107" t="s">
        <v>30</v>
      </c>
      <c r="AK1588" s="107" t="s">
        <v>30</v>
      </c>
      <c r="AL1588" s="110" t="s">
        <v>32</v>
      </c>
      <c r="AM1588" s="840"/>
      <c r="AO1588" s="776"/>
      <c r="AP1588" s="776"/>
      <c r="AQ1588" s="776"/>
      <c r="AR1588" s="776"/>
      <c r="AV1588" s="105"/>
    </row>
    <row r="1589" spans="1:48">
      <c r="A1589" s="834" t="s">
        <v>24</v>
      </c>
      <c r="B1589" s="835">
        <v>1586</v>
      </c>
      <c r="C1589" s="838" t="s">
        <v>2315</v>
      </c>
      <c r="D1589" s="838" t="s">
        <v>34</v>
      </c>
      <c r="E1589" s="839">
        <v>45990</v>
      </c>
      <c r="F1589" s="838" t="s">
        <v>439</v>
      </c>
      <c r="G1589" s="838">
        <v>10</v>
      </c>
      <c r="H1589" s="838" t="s">
        <v>127</v>
      </c>
      <c r="I1589" s="838" t="s">
        <v>178</v>
      </c>
      <c r="J1589" s="838"/>
      <c r="K1589" s="840" t="s">
        <v>2316</v>
      </c>
      <c r="L1589" s="834" t="s">
        <v>2299</v>
      </c>
      <c r="M1589" s="834" t="s">
        <v>2299</v>
      </c>
      <c r="N1589" s="834" t="s">
        <v>2050</v>
      </c>
      <c r="O1589" s="848" t="s">
        <v>32</v>
      </c>
      <c r="P1589" s="853" t="s">
        <v>1091</v>
      </c>
      <c r="Q1589" s="24">
        <v>46022</v>
      </c>
      <c r="R1589" s="79" t="s">
        <v>127</v>
      </c>
      <c r="S1589" s="24" t="s">
        <v>32</v>
      </c>
      <c r="T1589" s="22">
        <v>10</v>
      </c>
      <c r="U1589" s="24" t="s">
        <v>127</v>
      </c>
      <c r="V1589" s="24">
        <v>46022</v>
      </c>
      <c r="W1589" s="118" t="s">
        <v>30</v>
      </c>
      <c r="X1589" s="118" t="s">
        <v>30</v>
      </c>
      <c r="Y1589" s="118" t="s">
        <v>30</v>
      </c>
      <c r="Z1589" s="103" t="s">
        <v>32</v>
      </c>
      <c r="AA1589" s="103" t="s">
        <v>32</v>
      </c>
      <c r="AB1589" s="103" t="s">
        <v>32</v>
      </c>
      <c r="AC1589" s="96" t="s">
        <v>30</v>
      </c>
      <c r="AD1589" s="96" t="s">
        <v>30</v>
      </c>
      <c r="AE1589" s="96" t="s">
        <v>30</v>
      </c>
      <c r="AF1589" s="96" t="s">
        <v>30</v>
      </c>
      <c r="AG1589" s="96" t="s">
        <v>30</v>
      </c>
      <c r="AH1589" s="96" t="s">
        <v>30</v>
      </c>
      <c r="AI1589" s="96" t="s">
        <v>30</v>
      </c>
      <c r="AJ1589" s="96" t="s">
        <v>30</v>
      </c>
      <c r="AK1589" s="96" t="s">
        <v>30</v>
      </c>
      <c r="AL1589" s="110" t="s">
        <v>32</v>
      </c>
      <c r="AM1589" s="840" t="s">
        <v>2080</v>
      </c>
      <c r="AS1589" s="71"/>
      <c r="AT1589" s="92"/>
      <c r="AU1589" s="92"/>
      <c r="AV1589" s="105"/>
    </row>
    <row r="1590" spans="1:48">
      <c r="A1590" s="834" t="s">
        <v>24</v>
      </c>
      <c r="B1590" s="835">
        <v>1587</v>
      </c>
      <c r="C1590" s="838" t="s">
        <v>2317</v>
      </c>
      <c r="D1590" s="838" t="s">
        <v>234</v>
      </c>
      <c r="E1590" s="839">
        <v>45990</v>
      </c>
      <c r="F1590" s="838" t="s">
        <v>2107</v>
      </c>
      <c r="G1590" s="838">
        <v>8</v>
      </c>
      <c r="H1590" s="838" t="s">
        <v>1077</v>
      </c>
      <c r="I1590" s="838" t="s">
        <v>1138</v>
      </c>
      <c r="J1590" s="838"/>
      <c r="K1590" s="840" t="s">
        <v>2052</v>
      </c>
      <c r="L1590" s="834" t="s">
        <v>2303</v>
      </c>
      <c r="M1590" s="834" t="s">
        <v>2303</v>
      </c>
      <c r="N1590" s="834" t="s">
        <v>2050</v>
      </c>
      <c r="O1590" s="848" t="s">
        <v>32</v>
      </c>
      <c r="P1590" s="853" t="s">
        <v>1091</v>
      </c>
      <c r="Q1590" s="24">
        <v>46022</v>
      </c>
      <c r="R1590" s="79" t="s">
        <v>127</v>
      </c>
      <c r="S1590" s="24" t="s">
        <v>32</v>
      </c>
      <c r="T1590" s="22">
        <v>10</v>
      </c>
      <c r="U1590" s="24" t="s">
        <v>127</v>
      </c>
      <c r="V1590" s="24">
        <v>46022</v>
      </c>
      <c r="W1590" s="96" t="s">
        <v>30</v>
      </c>
      <c r="X1590" s="96" t="s">
        <v>30</v>
      </c>
      <c r="Y1590" s="96" t="s">
        <v>30</v>
      </c>
      <c r="Z1590" s="96" t="s">
        <v>30</v>
      </c>
      <c r="AA1590" s="96" t="s">
        <v>30</v>
      </c>
      <c r="AB1590" s="96" t="s">
        <v>30</v>
      </c>
      <c r="AC1590" s="96" t="s">
        <v>30</v>
      </c>
      <c r="AD1590" s="96" t="s">
        <v>30</v>
      </c>
      <c r="AE1590" s="96" t="s">
        <v>30</v>
      </c>
      <c r="AF1590" s="96" t="s">
        <v>30</v>
      </c>
      <c r="AG1590" s="96" t="s">
        <v>30</v>
      </c>
      <c r="AH1590" s="107" t="s">
        <v>30</v>
      </c>
      <c r="AI1590" s="96" t="s">
        <v>30</v>
      </c>
      <c r="AJ1590" s="96" t="s">
        <v>30</v>
      </c>
      <c r="AK1590" s="96" t="s">
        <v>30</v>
      </c>
      <c r="AL1590" s="110" t="s">
        <v>32</v>
      </c>
      <c r="AM1590" s="840"/>
      <c r="AO1590" s="776"/>
      <c r="AP1590" s="776"/>
      <c r="AQ1590" s="776"/>
      <c r="AR1590" s="776"/>
      <c r="AV1590" s="105"/>
    </row>
    <row r="1591" spans="1:48">
      <c r="A1591" s="834" t="s">
        <v>24</v>
      </c>
      <c r="B1591" s="835">
        <v>1588</v>
      </c>
      <c r="C1591" s="838" t="s">
        <v>2318</v>
      </c>
      <c r="D1591" s="838" t="s">
        <v>34</v>
      </c>
      <c r="E1591" s="839">
        <v>45990</v>
      </c>
      <c r="F1591" s="838" t="s">
        <v>173</v>
      </c>
      <c r="G1591" s="838">
        <v>13</v>
      </c>
      <c r="H1591" s="838" t="s">
        <v>1077</v>
      </c>
      <c r="I1591" s="838" t="s">
        <v>1138</v>
      </c>
      <c r="J1591" s="98" t="s">
        <v>2250</v>
      </c>
      <c r="K1591" s="840" t="s">
        <v>2319</v>
      </c>
      <c r="L1591" s="834" t="s">
        <v>2303</v>
      </c>
      <c r="M1591" s="834" t="s">
        <v>2303</v>
      </c>
      <c r="N1591" s="834" t="s">
        <v>2058</v>
      </c>
      <c r="O1591" s="848" t="s">
        <v>32</v>
      </c>
      <c r="P1591" s="848"/>
      <c r="Q1591" s="24"/>
      <c r="R1591" s="79" t="s">
        <v>127</v>
      </c>
      <c r="S1591" s="22"/>
      <c r="T1591" s="22"/>
      <c r="U1591" s="24"/>
      <c r="V1591" s="24"/>
      <c r="W1591" s="96" t="s">
        <v>30</v>
      </c>
      <c r="X1591" s="96" t="s">
        <v>30</v>
      </c>
      <c r="Y1591" s="96" t="s">
        <v>30</v>
      </c>
      <c r="Z1591" s="96" t="s">
        <v>30</v>
      </c>
      <c r="AA1591" s="96" t="s">
        <v>30</v>
      </c>
      <c r="AB1591" s="96" t="s">
        <v>30</v>
      </c>
      <c r="AC1591" s="96" t="s">
        <v>30</v>
      </c>
      <c r="AD1591" s="96" t="s">
        <v>30</v>
      </c>
      <c r="AE1591" s="96" t="s">
        <v>30</v>
      </c>
      <c r="AF1591" s="96" t="s">
        <v>30</v>
      </c>
      <c r="AG1591" s="96" t="s">
        <v>30</v>
      </c>
      <c r="AH1591" s="96" t="s">
        <v>30</v>
      </c>
      <c r="AI1591" s="96" t="s">
        <v>30</v>
      </c>
      <c r="AJ1591" s="96" t="s">
        <v>30</v>
      </c>
      <c r="AK1591" s="96" t="s">
        <v>30</v>
      </c>
      <c r="AL1591" s="110" t="s">
        <v>32</v>
      </c>
      <c r="AM1591" s="840" t="s">
        <v>2080</v>
      </c>
      <c r="AO1591" s="776"/>
      <c r="AP1591" s="776"/>
      <c r="AQ1591" s="776"/>
      <c r="AR1591" s="776"/>
      <c r="AV1591" s="105"/>
    </row>
    <row r="1592" spans="1:48">
      <c r="A1592" s="834" t="s">
        <v>24</v>
      </c>
      <c r="B1592" s="835">
        <v>1589</v>
      </c>
      <c r="C1592" s="838" t="s">
        <v>2320</v>
      </c>
      <c r="D1592" s="838" t="s">
        <v>657</v>
      </c>
      <c r="E1592" s="839">
        <v>45990</v>
      </c>
      <c r="F1592" s="838" t="s">
        <v>494</v>
      </c>
      <c r="G1592" s="838">
        <v>15</v>
      </c>
      <c r="H1592" s="838" t="s">
        <v>1077</v>
      </c>
      <c r="I1592" s="838" t="s">
        <v>1138</v>
      </c>
      <c r="J1592" s="838"/>
      <c r="K1592" s="840" t="s">
        <v>2115</v>
      </c>
      <c r="L1592" s="834" t="s">
        <v>2309</v>
      </c>
      <c r="M1592" s="834" t="s">
        <v>2309</v>
      </c>
      <c r="N1592" s="834" t="s">
        <v>2050</v>
      </c>
      <c r="O1592" s="113" t="s">
        <v>30</v>
      </c>
      <c r="P1592" s="848" t="s">
        <v>1091</v>
      </c>
      <c r="Q1592" s="24">
        <v>46025</v>
      </c>
      <c r="R1592" s="79" t="s">
        <v>127</v>
      </c>
      <c r="S1592" s="22" t="s">
        <v>32</v>
      </c>
      <c r="T1592" s="22">
        <v>15</v>
      </c>
      <c r="U1592" s="24" t="s">
        <v>127</v>
      </c>
      <c r="V1592" s="24">
        <v>46025</v>
      </c>
      <c r="W1592" s="118" t="s">
        <v>30</v>
      </c>
      <c r="X1592" s="118" t="s">
        <v>30</v>
      </c>
      <c r="Y1592" s="118" t="s">
        <v>30</v>
      </c>
      <c r="Z1592" s="91" t="s">
        <v>32</v>
      </c>
      <c r="AA1592" s="91" t="s">
        <v>32</v>
      </c>
      <c r="AB1592" s="91" t="s">
        <v>32</v>
      </c>
      <c r="AC1592" s="96" t="s">
        <v>30</v>
      </c>
      <c r="AD1592" s="96" t="s">
        <v>30</v>
      </c>
      <c r="AE1592" s="96" t="s">
        <v>30</v>
      </c>
      <c r="AF1592" s="96" t="s">
        <v>30</v>
      </c>
      <c r="AG1592" s="96" t="s">
        <v>30</v>
      </c>
      <c r="AH1592" s="107" t="s">
        <v>30</v>
      </c>
      <c r="AI1592" s="96" t="s">
        <v>30</v>
      </c>
      <c r="AJ1592" s="96" t="s">
        <v>30</v>
      </c>
      <c r="AK1592" s="96" t="s">
        <v>30</v>
      </c>
      <c r="AL1592" s="110" t="s">
        <v>32</v>
      </c>
      <c r="AM1592" s="840" t="s">
        <v>2089</v>
      </c>
      <c r="AV1592" s="105"/>
    </row>
    <row r="1593" spans="1:48">
      <c r="A1593" s="834" t="s">
        <v>24</v>
      </c>
      <c r="B1593" s="835">
        <v>1590</v>
      </c>
      <c r="C1593" s="838" t="s">
        <v>2321</v>
      </c>
      <c r="D1593" s="838" t="s">
        <v>606</v>
      </c>
      <c r="E1593" s="839">
        <v>45990</v>
      </c>
      <c r="F1593" s="838" t="s">
        <v>2322</v>
      </c>
      <c r="G1593" s="838">
        <v>13</v>
      </c>
      <c r="H1593" s="838" t="s">
        <v>1077</v>
      </c>
      <c r="I1593" s="838" t="s">
        <v>1138</v>
      </c>
      <c r="J1593" s="838"/>
      <c r="K1593" s="840" t="s">
        <v>2162</v>
      </c>
      <c r="L1593" s="834" t="s">
        <v>2299</v>
      </c>
      <c r="M1593" s="834" t="s">
        <v>2299</v>
      </c>
      <c r="N1593" s="834" t="s">
        <v>2050</v>
      </c>
      <c r="O1593" s="848" t="s">
        <v>32</v>
      </c>
      <c r="P1593" s="853" t="s">
        <v>1091</v>
      </c>
      <c r="Q1593" s="24">
        <v>45661</v>
      </c>
      <c r="R1593" s="79" t="s">
        <v>127</v>
      </c>
      <c r="S1593" s="24" t="s">
        <v>32</v>
      </c>
      <c r="T1593" s="22">
        <v>13</v>
      </c>
      <c r="U1593" s="24" t="s">
        <v>127</v>
      </c>
      <c r="V1593" s="24">
        <v>45661</v>
      </c>
      <c r="W1593" s="96" t="s">
        <v>30</v>
      </c>
      <c r="X1593" s="96" t="s">
        <v>30</v>
      </c>
      <c r="Y1593" s="96" t="s">
        <v>30</v>
      </c>
      <c r="Z1593" s="96" t="s">
        <v>30</v>
      </c>
      <c r="AA1593" s="96" t="s">
        <v>30</v>
      </c>
      <c r="AB1593" s="96" t="s">
        <v>30</v>
      </c>
      <c r="AC1593" s="96" t="s">
        <v>30</v>
      </c>
      <c r="AD1593" s="96" t="s">
        <v>30</v>
      </c>
      <c r="AE1593" s="96" t="s">
        <v>30</v>
      </c>
      <c r="AF1593" s="96" t="s">
        <v>30</v>
      </c>
      <c r="AG1593" s="96" t="s">
        <v>30</v>
      </c>
      <c r="AH1593" s="107" t="s">
        <v>30</v>
      </c>
      <c r="AI1593" s="107" t="s">
        <v>30</v>
      </c>
      <c r="AJ1593" s="107" t="s">
        <v>30</v>
      </c>
      <c r="AK1593" s="107" t="s">
        <v>30</v>
      </c>
      <c r="AL1593" s="110" t="s">
        <v>32</v>
      </c>
      <c r="AM1593" s="840"/>
      <c r="AV1593" s="105"/>
    </row>
    <row r="1594" spans="1:48">
      <c r="A1594" s="834" t="s">
        <v>24</v>
      </c>
      <c r="B1594" s="835">
        <v>1591</v>
      </c>
      <c r="C1594" s="838" t="s">
        <v>2323</v>
      </c>
      <c r="D1594" s="838" t="s">
        <v>477</v>
      </c>
      <c r="E1594" s="839">
        <v>45990</v>
      </c>
      <c r="F1594" s="838" t="s">
        <v>670</v>
      </c>
      <c r="G1594" s="838">
        <v>13</v>
      </c>
      <c r="H1594" s="838" t="s">
        <v>67</v>
      </c>
      <c r="I1594" s="838" t="s">
        <v>47</v>
      </c>
      <c r="J1594" s="98" t="s">
        <v>2250</v>
      </c>
      <c r="K1594" s="840" t="s">
        <v>2108</v>
      </c>
      <c r="L1594" s="834" t="s">
        <v>2309</v>
      </c>
      <c r="M1594" s="834" t="s">
        <v>2309</v>
      </c>
      <c r="N1594" s="834" t="s">
        <v>2050</v>
      </c>
      <c r="O1594" s="848" t="s">
        <v>32</v>
      </c>
      <c r="P1594" s="853"/>
      <c r="Q1594" s="24"/>
      <c r="R1594" s="79" t="s">
        <v>127</v>
      </c>
      <c r="S1594" s="24"/>
      <c r="T1594" s="22"/>
      <c r="U1594" s="24"/>
      <c r="V1594" s="24"/>
      <c r="W1594" s="96" t="s">
        <v>30</v>
      </c>
      <c r="X1594" s="96" t="s">
        <v>30</v>
      </c>
      <c r="Y1594" s="96" t="s">
        <v>30</v>
      </c>
      <c r="Z1594" s="96" t="s">
        <v>30</v>
      </c>
      <c r="AA1594" s="96" t="s">
        <v>30</v>
      </c>
      <c r="AB1594" s="96" t="s">
        <v>30</v>
      </c>
      <c r="AC1594" s="96" t="s">
        <v>30</v>
      </c>
      <c r="AD1594" s="96" t="s">
        <v>30</v>
      </c>
      <c r="AE1594" s="96" t="s">
        <v>30</v>
      </c>
      <c r="AF1594" s="96" t="s">
        <v>30</v>
      </c>
      <c r="AG1594" s="96" t="s">
        <v>30</v>
      </c>
      <c r="AH1594" s="107" t="s">
        <v>30</v>
      </c>
      <c r="AI1594" s="96" t="s">
        <v>30</v>
      </c>
      <c r="AJ1594" s="96" t="s">
        <v>30</v>
      </c>
      <c r="AK1594" s="96" t="s">
        <v>30</v>
      </c>
      <c r="AL1594" s="110" t="s">
        <v>32</v>
      </c>
      <c r="AM1594" s="840"/>
      <c r="AN1594" s="6"/>
      <c r="AO1594" s="6"/>
      <c r="AP1594" s="6"/>
      <c r="AQ1594" s="6"/>
      <c r="AR1594" s="6"/>
      <c r="AS1594" s="104"/>
      <c r="AT1594" s="105"/>
      <c r="AU1594" s="105"/>
      <c r="AV1594" s="105"/>
    </row>
    <row r="1595" spans="1:48">
      <c r="A1595" s="834" t="s">
        <v>24</v>
      </c>
      <c r="B1595" s="835">
        <v>1592</v>
      </c>
      <c r="C1595" s="838" t="s">
        <v>2324</v>
      </c>
      <c r="D1595" s="838" t="s">
        <v>34</v>
      </c>
      <c r="E1595" s="839">
        <v>45990</v>
      </c>
      <c r="F1595" s="838" t="s">
        <v>1054</v>
      </c>
      <c r="G1595" s="838">
        <v>12</v>
      </c>
      <c r="H1595" s="838" t="s">
        <v>67</v>
      </c>
      <c r="I1595" s="838" t="s">
        <v>47</v>
      </c>
      <c r="J1595" s="838"/>
      <c r="K1595" s="840" t="s">
        <v>2325</v>
      </c>
      <c r="L1595" s="834" t="s">
        <v>2303</v>
      </c>
      <c r="M1595" s="834" t="s">
        <v>2303</v>
      </c>
      <c r="N1595" s="834" t="s">
        <v>2050</v>
      </c>
      <c r="O1595" s="848" t="s">
        <v>32</v>
      </c>
      <c r="P1595" s="853" t="s">
        <v>1091</v>
      </c>
      <c r="Q1595" s="24">
        <v>46022</v>
      </c>
      <c r="R1595" s="79" t="s">
        <v>127</v>
      </c>
      <c r="S1595" s="24" t="s">
        <v>32</v>
      </c>
      <c r="T1595" s="22">
        <v>9</v>
      </c>
      <c r="U1595" s="24" t="s">
        <v>127</v>
      </c>
      <c r="V1595" s="24">
        <v>46022</v>
      </c>
      <c r="W1595" s="96" t="s">
        <v>30</v>
      </c>
      <c r="X1595" s="96" t="s">
        <v>30</v>
      </c>
      <c r="Y1595" s="96" t="s">
        <v>30</v>
      </c>
      <c r="Z1595" s="96" t="s">
        <v>30</v>
      </c>
      <c r="AA1595" s="96" t="s">
        <v>30</v>
      </c>
      <c r="AB1595" s="96" t="s">
        <v>30</v>
      </c>
      <c r="AC1595" s="96" t="s">
        <v>30</v>
      </c>
      <c r="AD1595" s="96" t="s">
        <v>30</v>
      </c>
      <c r="AE1595" s="96" t="s">
        <v>30</v>
      </c>
      <c r="AF1595" s="96" t="s">
        <v>30</v>
      </c>
      <c r="AG1595" s="96" t="s">
        <v>30</v>
      </c>
      <c r="AH1595" s="107" t="s">
        <v>30</v>
      </c>
      <c r="AI1595" s="96" t="s">
        <v>30</v>
      </c>
      <c r="AJ1595" s="96" t="s">
        <v>30</v>
      </c>
      <c r="AK1595" s="96" t="s">
        <v>30</v>
      </c>
      <c r="AL1595" s="110" t="s">
        <v>32</v>
      </c>
      <c r="AM1595" s="840"/>
      <c r="AV1595" s="105"/>
    </row>
    <row r="1596" spans="1:48">
      <c r="A1596" s="834" t="s">
        <v>24</v>
      </c>
      <c r="B1596" s="835">
        <v>1593</v>
      </c>
      <c r="C1596" s="838" t="s">
        <v>2326</v>
      </c>
      <c r="D1596" s="838" t="s">
        <v>34</v>
      </c>
      <c r="E1596" s="839">
        <v>45990</v>
      </c>
      <c r="F1596" s="838" t="s">
        <v>631</v>
      </c>
      <c r="G1596" s="838">
        <v>13</v>
      </c>
      <c r="H1596" s="838" t="s">
        <v>67</v>
      </c>
      <c r="I1596" s="838" t="s">
        <v>47</v>
      </c>
      <c r="J1596" s="838"/>
      <c r="K1596" s="840" t="s">
        <v>2195</v>
      </c>
      <c r="L1596" s="834" t="s">
        <v>2309</v>
      </c>
      <c r="M1596" s="848" t="s">
        <v>2309</v>
      </c>
      <c r="N1596" s="834" t="s">
        <v>2327</v>
      </c>
      <c r="O1596" s="848" t="s">
        <v>32</v>
      </c>
      <c r="P1596" s="245" t="s">
        <v>1091</v>
      </c>
      <c r="Q1596" s="24">
        <v>46027</v>
      </c>
      <c r="R1596" s="79" t="s">
        <v>127</v>
      </c>
      <c r="S1596" s="834" t="s">
        <v>32</v>
      </c>
      <c r="T1596" s="22">
        <v>11</v>
      </c>
      <c r="U1596" s="24" t="s">
        <v>127</v>
      </c>
      <c r="V1596" s="24">
        <v>46027</v>
      </c>
      <c r="W1596" s="96" t="s">
        <v>30</v>
      </c>
      <c r="X1596" s="96" t="s">
        <v>30</v>
      </c>
      <c r="Y1596" s="96" t="s">
        <v>30</v>
      </c>
      <c r="Z1596" s="96" t="s">
        <v>30</v>
      </c>
      <c r="AA1596" s="96" t="s">
        <v>30</v>
      </c>
      <c r="AB1596" s="96" t="s">
        <v>30</v>
      </c>
      <c r="AC1596" s="96" t="s">
        <v>30</v>
      </c>
      <c r="AD1596" s="96" t="s">
        <v>30</v>
      </c>
      <c r="AE1596" s="96" t="s">
        <v>30</v>
      </c>
      <c r="AF1596" s="96" t="s">
        <v>30</v>
      </c>
      <c r="AG1596" s="96" t="s">
        <v>30</v>
      </c>
      <c r="AH1596" s="107" t="s">
        <v>30</v>
      </c>
      <c r="AI1596" s="96" t="s">
        <v>30</v>
      </c>
      <c r="AJ1596" s="96" t="s">
        <v>30</v>
      </c>
      <c r="AK1596" s="96" t="s">
        <v>30</v>
      </c>
      <c r="AL1596" s="110" t="s">
        <v>32</v>
      </c>
      <c r="AM1596" s="840"/>
      <c r="AN1596" s="87"/>
      <c r="AO1596" s="87"/>
      <c r="AS1596" s="71"/>
      <c r="AT1596" s="92"/>
      <c r="AU1596" s="92"/>
      <c r="AV1596" s="105"/>
    </row>
    <row r="1597" spans="1:48">
      <c r="A1597" s="834" t="s">
        <v>24</v>
      </c>
      <c r="B1597" s="835">
        <v>1594</v>
      </c>
      <c r="C1597" s="838" t="s">
        <v>2328</v>
      </c>
      <c r="D1597" s="838" t="s">
        <v>34</v>
      </c>
      <c r="E1597" s="839">
        <v>45990</v>
      </c>
      <c r="F1597" s="838" t="s">
        <v>2329</v>
      </c>
      <c r="G1597" s="838">
        <v>20</v>
      </c>
      <c r="H1597" s="838" t="s">
        <v>67</v>
      </c>
      <c r="I1597" s="838" t="s">
        <v>47</v>
      </c>
      <c r="J1597" s="98"/>
      <c r="K1597" s="840" t="s">
        <v>2098</v>
      </c>
      <c r="L1597" s="834" t="s">
        <v>2309</v>
      </c>
      <c r="M1597" s="848" t="s">
        <v>2309</v>
      </c>
      <c r="N1597" s="834" t="s">
        <v>2050</v>
      </c>
      <c r="O1597" s="113" t="s">
        <v>30</v>
      </c>
      <c r="P1597" s="853" t="s">
        <v>1091</v>
      </c>
      <c r="Q1597" s="24">
        <v>46017</v>
      </c>
      <c r="R1597" s="221" t="s">
        <v>28</v>
      </c>
      <c r="S1597" s="24" t="s">
        <v>1140</v>
      </c>
      <c r="T1597" s="7">
        <v>7</v>
      </c>
      <c r="U1597" s="24" t="s">
        <v>28</v>
      </c>
      <c r="V1597" s="24">
        <v>46017</v>
      </c>
      <c r="W1597" s="96" t="s">
        <v>30</v>
      </c>
      <c r="X1597" s="96" t="s">
        <v>30</v>
      </c>
      <c r="Y1597" s="96" t="s">
        <v>30</v>
      </c>
      <c r="Z1597" s="96" t="s">
        <v>30</v>
      </c>
      <c r="AA1597" s="96" t="s">
        <v>30</v>
      </c>
      <c r="AB1597" s="96" t="s">
        <v>30</v>
      </c>
      <c r="AC1597" s="96" t="s">
        <v>30</v>
      </c>
      <c r="AD1597" s="96" t="s">
        <v>30</v>
      </c>
      <c r="AE1597" s="96" t="s">
        <v>30</v>
      </c>
      <c r="AF1597" s="96" t="s">
        <v>30</v>
      </c>
      <c r="AG1597" s="96" t="s">
        <v>30</v>
      </c>
      <c r="AH1597" s="107" t="s">
        <v>30</v>
      </c>
      <c r="AI1597" s="96" t="s">
        <v>30</v>
      </c>
      <c r="AJ1597" s="96" t="s">
        <v>30</v>
      </c>
      <c r="AK1597" s="96" t="s">
        <v>30</v>
      </c>
      <c r="AL1597" s="80" t="s">
        <v>30</v>
      </c>
      <c r="AM1597" s="840"/>
      <c r="AS1597" s="71"/>
      <c r="AT1597" s="92"/>
      <c r="AU1597" s="92"/>
      <c r="AV1597" s="105"/>
    </row>
    <row r="1598" spans="1:48">
      <c r="A1598" s="834" t="s">
        <v>24</v>
      </c>
      <c r="B1598" s="835">
        <v>1595</v>
      </c>
      <c r="C1598" s="838" t="s">
        <v>2330</v>
      </c>
      <c r="D1598" s="838" t="s">
        <v>34</v>
      </c>
      <c r="E1598" s="839">
        <v>45990</v>
      </c>
      <c r="F1598" s="838" t="s">
        <v>1342</v>
      </c>
      <c r="G1598" s="838">
        <v>14</v>
      </c>
      <c r="H1598" s="838" t="s">
        <v>67</v>
      </c>
      <c r="I1598" s="838" t="s">
        <v>47</v>
      </c>
      <c r="J1598" s="838"/>
      <c r="K1598" s="840" t="s">
        <v>2123</v>
      </c>
      <c r="L1598" s="834" t="s">
        <v>2309</v>
      </c>
      <c r="M1598" s="834" t="s">
        <v>2309</v>
      </c>
      <c r="N1598" s="834" t="s">
        <v>2331</v>
      </c>
      <c r="O1598" s="848" t="s">
        <v>32</v>
      </c>
      <c r="P1598" s="853" t="s">
        <v>1091</v>
      </c>
      <c r="Q1598" s="24">
        <v>46012</v>
      </c>
      <c r="R1598" s="221" t="s">
        <v>28</v>
      </c>
      <c r="S1598" s="24" t="s">
        <v>32</v>
      </c>
      <c r="T1598" s="22">
        <v>13</v>
      </c>
      <c r="U1598" s="24" t="s">
        <v>28</v>
      </c>
      <c r="V1598" s="24">
        <v>46012</v>
      </c>
      <c r="W1598" s="96" t="s">
        <v>30</v>
      </c>
      <c r="X1598" s="96" t="s">
        <v>30</v>
      </c>
      <c r="Y1598" s="96" t="s">
        <v>30</v>
      </c>
      <c r="Z1598" s="96" t="s">
        <v>30</v>
      </c>
      <c r="AA1598" s="96" t="s">
        <v>30</v>
      </c>
      <c r="AB1598" s="96" t="s">
        <v>30</v>
      </c>
      <c r="AC1598" s="96" t="s">
        <v>30</v>
      </c>
      <c r="AD1598" s="96" t="s">
        <v>30</v>
      </c>
      <c r="AE1598" s="96" t="s">
        <v>30</v>
      </c>
      <c r="AF1598" s="96" t="s">
        <v>30</v>
      </c>
      <c r="AG1598" s="96" t="s">
        <v>30</v>
      </c>
      <c r="AH1598" s="107" t="s">
        <v>30</v>
      </c>
      <c r="AI1598" s="96" t="s">
        <v>30</v>
      </c>
      <c r="AJ1598" s="96" t="s">
        <v>30</v>
      </c>
      <c r="AK1598" s="96" t="s">
        <v>30</v>
      </c>
      <c r="AL1598" s="80" t="s">
        <v>30</v>
      </c>
      <c r="AM1598" s="840"/>
      <c r="AN1598" s="87"/>
      <c r="AO1598" s="87"/>
      <c r="AS1598" s="71"/>
      <c r="AT1598" s="92"/>
      <c r="AU1598" s="92"/>
      <c r="AV1598" s="105"/>
    </row>
    <row r="1599" spans="1:48">
      <c r="A1599" s="834" t="s">
        <v>24</v>
      </c>
      <c r="B1599" s="835">
        <v>1596</v>
      </c>
      <c r="C1599" s="838" t="s">
        <v>2332</v>
      </c>
      <c r="D1599" s="838" t="s">
        <v>374</v>
      </c>
      <c r="E1599" s="839">
        <v>45990</v>
      </c>
      <c r="F1599" s="838" t="s">
        <v>683</v>
      </c>
      <c r="G1599" s="838">
        <v>14</v>
      </c>
      <c r="H1599" s="838" t="s">
        <v>67</v>
      </c>
      <c r="I1599" s="838" t="s">
        <v>47</v>
      </c>
      <c r="J1599" s="838"/>
      <c r="K1599" s="840" t="s">
        <v>2113</v>
      </c>
      <c r="L1599" s="834" t="s">
        <v>2309</v>
      </c>
      <c r="M1599" s="834" t="s">
        <v>2309</v>
      </c>
      <c r="N1599" s="834" t="s">
        <v>2333</v>
      </c>
      <c r="O1599" s="848" t="s">
        <v>32</v>
      </c>
      <c r="P1599" s="848" t="s">
        <v>1091</v>
      </c>
      <c r="Q1599" s="24">
        <v>46024</v>
      </c>
      <c r="R1599" s="221" t="s">
        <v>47</v>
      </c>
      <c r="S1599" s="22" t="s">
        <v>32</v>
      </c>
      <c r="T1599" s="22">
        <v>13</v>
      </c>
      <c r="U1599" s="24" t="s">
        <v>47</v>
      </c>
      <c r="V1599" s="24">
        <v>46024</v>
      </c>
      <c r="W1599" s="96" t="s">
        <v>30</v>
      </c>
      <c r="X1599" s="96" t="s">
        <v>30</v>
      </c>
      <c r="Y1599" s="96" t="s">
        <v>30</v>
      </c>
      <c r="Z1599" s="96" t="s">
        <v>30</v>
      </c>
      <c r="AA1599" s="96" t="s">
        <v>30</v>
      </c>
      <c r="AB1599" s="96" t="s">
        <v>30</v>
      </c>
      <c r="AC1599" s="96" t="s">
        <v>30</v>
      </c>
      <c r="AD1599" s="96" t="s">
        <v>30</v>
      </c>
      <c r="AE1599" s="96" t="s">
        <v>30</v>
      </c>
      <c r="AF1599" s="96" t="s">
        <v>30</v>
      </c>
      <c r="AG1599" s="96" t="s">
        <v>30</v>
      </c>
      <c r="AH1599" s="107" t="s">
        <v>30</v>
      </c>
      <c r="AI1599" s="96" t="s">
        <v>30</v>
      </c>
      <c r="AJ1599" s="96" t="s">
        <v>30</v>
      </c>
      <c r="AK1599" s="96" t="s">
        <v>30</v>
      </c>
      <c r="AL1599" s="110" t="s">
        <v>32</v>
      </c>
      <c r="AM1599" s="840"/>
      <c r="AS1599" s="71"/>
      <c r="AT1599" s="92"/>
      <c r="AU1599" s="92"/>
      <c r="AV1599" s="105"/>
    </row>
    <row r="1600" spans="1:48">
      <c r="A1600" s="834" t="s">
        <v>24</v>
      </c>
      <c r="B1600" s="835">
        <v>1597</v>
      </c>
      <c r="C1600" s="838" t="s">
        <v>2334</v>
      </c>
      <c r="D1600" s="838" t="s">
        <v>34</v>
      </c>
      <c r="E1600" s="839">
        <v>45990</v>
      </c>
      <c r="F1600" s="838" t="s">
        <v>187</v>
      </c>
      <c r="G1600" s="838">
        <v>15</v>
      </c>
      <c r="H1600" s="838" t="s">
        <v>67</v>
      </c>
      <c r="I1600" s="838" t="s">
        <v>47</v>
      </c>
      <c r="J1600" s="98"/>
      <c r="K1600" s="840" t="s">
        <v>2130</v>
      </c>
      <c r="L1600" s="834" t="s">
        <v>2292</v>
      </c>
      <c r="M1600" s="834" t="s">
        <v>2309</v>
      </c>
      <c r="N1600" s="834" t="s">
        <v>2050</v>
      </c>
      <c r="O1600" s="113" t="s">
        <v>30</v>
      </c>
      <c r="P1600" s="853" t="s">
        <v>1091</v>
      </c>
      <c r="Q1600" s="24">
        <v>46027</v>
      </c>
      <c r="R1600" s="221" t="s">
        <v>47</v>
      </c>
      <c r="S1600" s="24" t="s">
        <v>32</v>
      </c>
      <c r="T1600" s="22">
        <v>11</v>
      </c>
      <c r="U1600" s="24" t="s">
        <v>47</v>
      </c>
      <c r="V1600" s="24">
        <v>46027</v>
      </c>
      <c r="W1600" s="118" t="s">
        <v>30</v>
      </c>
      <c r="X1600" s="118" t="s">
        <v>30</v>
      </c>
      <c r="Y1600" s="118" t="s">
        <v>30</v>
      </c>
      <c r="Z1600" s="91" t="s">
        <v>32</v>
      </c>
      <c r="AA1600" s="91" t="s">
        <v>32</v>
      </c>
      <c r="AB1600" s="96" t="s">
        <v>30</v>
      </c>
      <c r="AC1600" s="96" t="s">
        <v>30</v>
      </c>
      <c r="AD1600" s="96" t="s">
        <v>30</v>
      </c>
      <c r="AE1600" s="96" t="s">
        <v>30</v>
      </c>
      <c r="AF1600" s="96" t="s">
        <v>30</v>
      </c>
      <c r="AG1600" s="96" t="s">
        <v>30</v>
      </c>
      <c r="AH1600" s="107" t="s">
        <v>30</v>
      </c>
      <c r="AI1600" s="96" t="s">
        <v>30</v>
      </c>
      <c r="AJ1600" s="96" t="s">
        <v>30</v>
      </c>
      <c r="AK1600" s="110" t="s">
        <v>32</v>
      </c>
      <c r="AL1600" s="110" t="s">
        <v>32</v>
      </c>
      <c r="AM1600" s="840" t="s">
        <v>2080</v>
      </c>
      <c r="AV1600" s="105"/>
    </row>
    <row r="1601" spans="1:48">
      <c r="A1601" s="834" t="s">
        <v>24</v>
      </c>
      <c r="B1601" s="835">
        <v>1598</v>
      </c>
      <c r="C1601" s="838" t="s">
        <v>2335</v>
      </c>
      <c r="D1601" s="838" t="s">
        <v>34</v>
      </c>
      <c r="E1601" s="839">
        <v>45990</v>
      </c>
      <c r="F1601" s="838" t="s">
        <v>695</v>
      </c>
      <c r="G1601" s="838">
        <v>18</v>
      </c>
      <c r="H1601" s="838" t="s">
        <v>1721</v>
      </c>
      <c r="I1601" s="838" t="s">
        <v>1638</v>
      </c>
      <c r="J1601" s="838"/>
      <c r="K1601" s="840" t="s">
        <v>2180</v>
      </c>
      <c r="L1601" s="834" t="s">
        <v>2292</v>
      </c>
      <c r="M1601" s="834" t="s">
        <v>2292</v>
      </c>
      <c r="N1601" s="834" t="s">
        <v>2050</v>
      </c>
      <c r="O1601" s="113" t="s">
        <v>30</v>
      </c>
      <c r="P1601" s="848" t="s">
        <v>1091</v>
      </c>
      <c r="Q1601" s="24">
        <v>46022</v>
      </c>
      <c r="R1601" s="79" t="s">
        <v>1638</v>
      </c>
      <c r="S1601" s="834" t="s">
        <v>32</v>
      </c>
      <c r="T1601" s="22">
        <v>18</v>
      </c>
      <c r="U1601" s="24" t="s">
        <v>1638</v>
      </c>
      <c r="V1601" s="24">
        <v>46022</v>
      </c>
      <c r="W1601" s="96" t="s">
        <v>30</v>
      </c>
      <c r="X1601" s="96" t="s">
        <v>30</v>
      </c>
      <c r="Y1601" s="96" t="s">
        <v>30</v>
      </c>
      <c r="Z1601" s="91" t="s">
        <v>32</v>
      </c>
      <c r="AA1601" s="91" t="s">
        <v>32</v>
      </c>
      <c r="AB1601" s="91" t="s">
        <v>32</v>
      </c>
      <c r="AC1601" s="96" t="s">
        <v>30</v>
      </c>
      <c r="AD1601" s="96" t="s">
        <v>30</v>
      </c>
      <c r="AE1601" s="96" t="s">
        <v>30</v>
      </c>
      <c r="AF1601" s="96" t="s">
        <v>30</v>
      </c>
      <c r="AG1601" s="96" t="s">
        <v>30</v>
      </c>
      <c r="AH1601" s="107" t="s">
        <v>30</v>
      </c>
      <c r="AI1601" s="96" t="s">
        <v>30</v>
      </c>
      <c r="AJ1601" s="96" t="s">
        <v>30</v>
      </c>
      <c r="AK1601" s="107" t="s">
        <v>30</v>
      </c>
      <c r="AL1601" s="110" t="s">
        <v>32</v>
      </c>
      <c r="AM1601" s="840" t="s">
        <v>2089</v>
      </c>
      <c r="AS1601" s="71"/>
      <c r="AT1601" s="92"/>
      <c r="AU1601" s="92"/>
      <c r="AV1601" s="105"/>
    </row>
    <row r="1602" spans="1:48">
      <c r="A1602" s="834" t="s">
        <v>24</v>
      </c>
      <c r="B1602" s="835">
        <v>1599</v>
      </c>
      <c r="C1602" s="838" t="s">
        <v>2336</v>
      </c>
      <c r="D1602" s="838" t="s">
        <v>34</v>
      </c>
      <c r="E1602" s="839">
        <v>45990</v>
      </c>
      <c r="F1602" s="838" t="s">
        <v>77</v>
      </c>
      <c r="G1602" s="838">
        <v>13</v>
      </c>
      <c r="H1602" s="838" t="s">
        <v>1721</v>
      </c>
      <c r="I1602" s="838" t="s">
        <v>1638</v>
      </c>
      <c r="J1602" s="838"/>
      <c r="K1602" s="840" t="s">
        <v>2126</v>
      </c>
      <c r="L1602" s="834" t="s">
        <v>2292</v>
      </c>
      <c r="M1602" s="834" t="s">
        <v>2299</v>
      </c>
      <c r="N1602" s="834" t="s">
        <v>2337</v>
      </c>
      <c r="O1602" s="848" t="s">
        <v>32</v>
      </c>
      <c r="P1602" s="853" t="s">
        <v>1091</v>
      </c>
      <c r="Q1602" s="24">
        <v>46022</v>
      </c>
      <c r="R1602" s="79" t="s">
        <v>48</v>
      </c>
      <c r="S1602" s="22" t="s">
        <v>1140</v>
      </c>
      <c r="T1602" s="22">
        <v>13</v>
      </c>
      <c r="U1602" s="24" t="s">
        <v>48</v>
      </c>
      <c r="V1602" s="24">
        <v>46022</v>
      </c>
      <c r="W1602" s="96" t="s">
        <v>30</v>
      </c>
      <c r="X1602" s="96" t="s">
        <v>30</v>
      </c>
      <c r="Y1602" s="96" t="s">
        <v>30</v>
      </c>
      <c r="Z1602" s="96" t="s">
        <v>30</v>
      </c>
      <c r="AA1602" s="96" t="s">
        <v>30</v>
      </c>
      <c r="AB1602" s="96" t="s">
        <v>30</v>
      </c>
      <c r="AC1602" s="96" t="s">
        <v>30</v>
      </c>
      <c r="AD1602" s="96" t="s">
        <v>30</v>
      </c>
      <c r="AE1602" s="96" t="s">
        <v>30</v>
      </c>
      <c r="AF1602" s="96" t="s">
        <v>30</v>
      </c>
      <c r="AG1602" s="96" t="s">
        <v>30</v>
      </c>
      <c r="AH1602" s="96" t="s">
        <v>30</v>
      </c>
      <c r="AI1602" s="96" t="s">
        <v>30</v>
      </c>
      <c r="AJ1602" s="96" t="s">
        <v>30</v>
      </c>
      <c r="AK1602" s="96" t="s">
        <v>30</v>
      </c>
      <c r="AL1602" s="110" t="s">
        <v>32</v>
      </c>
      <c r="AM1602" s="840" t="s">
        <v>2080</v>
      </c>
      <c r="AS1602" s="71"/>
      <c r="AT1602" s="92"/>
      <c r="AU1602" s="92"/>
      <c r="AV1602" s="105"/>
    </row>
    <row r="1603" spans="1:48">
      <c r="A1603" s="834" t="s">
        <v>24</v>
      </c>
      <c r="B1603" s="835">
        <v>1600</v>
      </c>
      <c r="C1603" s="838" t="s">
        <v>2338</v>
      </c>
      <c r="D1603" s="838" t="s">
        <v>234</v>
      </c>
      <c r="E1603" s="839">
        <v>45990</v>
      </c>
      <c r="F1603" s="838" t="s">
        <v>77</v>
      </c>
      <c r="G1603" s="838">
        <v>1</v>
      </c>
      <c r="H1603" s="838" t="s">
        <v>1721</v>
      </c>
      <c r="I1603" s="838" t="s">
        <v>1638</v>
      </c>
      <c r="J1603" s="838"/>
      <c r="K1603" s="840" t="s">
        <v>2126</v>
      </c>
      <c r="L1603" s="834" t="s">
        <v>401</v>
      </c>
      <c r="M1603" s="834" t="s">
        <v>401</v>
      </c>
      <c r="N1603" s="834" t="s">
        <v>401</v>
      </c>
      <c r="O1603" s="848" t="s">
        <v>32</v>
      </c>
      <c r="P1603" s="853" t="s">
        <v>1091</v>
      </c>
      <c r="Q1603" s="24">
        <v>46022</v>
      </c>
      <c r="R1603" s="79" t="s">
        <v>48</v>
      </c>
      <c r="S1603" s="22" t="s">
        <v>1140</v>
      </c>
      <c r="T1603" s="22">
        <v>1</v>
      </c>
      <c r="U1603" s="24" t="s">
        <v>48</v>
      </c>
      <c r="V1603" s="24">
        <v>46022</v>
      </c>
      <c r="W1603" s="96" t="s">
        <v>30</v>
      </c>
      <c r="X1603" s="96" t="s">
        <v>30</v>
      </c>
      <c r="Y1603" s="96" t="s">
        <v>30</v>
      </c>
      <c r="Z1603" s="96" t="s">
        <v>30</v>
      </c>
      <c r="AA1603" s="96" t="s">
        <v>30</v>
      </c>
      <c r="AB1603" s="96" t="s">
        <v>30</v>
      </c>
      <c r="AC1603" s="96" t="s">
        <v>30</v>
      </c>
      <c r="AD1603" s="96" t="s">
        <v>30</v>
      </c>
      <c r="AE1603" s="96" t="s">
        <v>30</v>
      </c>
      <c r="AF1603" s="96" t="s">
        <v>30</v>
      </c>
      <c r="AG1603" s="96" t="s">
        <v>30</v>
      </c>
      <c r="AH1603" s="96" t="s">
        <v>30</v>
      </c>
      <c r="AI1603" s="96" t="s">
        <v>30</v>
      </c>
      <c r="AJ1603" s="96" t="s">
        <v>30</v>
      </c>
      <c r="AK1603" s="96" t="s">
        <v>30</v>
      </c>
      <c r="AL1603" s="110" t="s">
        <v>32</v>
      </c>
      <c r="AM1603" s="840" t="s">
        <v>2080</v>
      </c>
      <c r="AS1603" s="71"/>
      <c r="AT1603" s="92"/>
      <c r="AU1603" s="92"/>
      <c r="AV1603" s="105"/>
    </row>
    <row r="1604" spans="1:48">
      <c r="A1604" s="834" t="s">
        <v>24</v>
      </c>
      <c r="B1604" s="835">
        <v>1601</v>
      </c>
      <c r="C1604" s="838" t="s">
        <v>2339</v>
      </c>
      <c r="D1604" s="838" t="s">
        <v>64</v>
      </c>
      <c r="E1604" s="839">
        <v>45990</v>
      </c>
      <c r="F1604" s="838" t="s">
        <v>2184</v>
      </c>
      <c r="G1604" s="838">
        <v>20</v>
      </c>
      <c r="H1604" s="838" t="s">
        <v>1721</v>
      </c>
      <c r="I1604" s="838" t="s">
        <v>1638</v>
      </c>
      <c r="J1604" s="838"/>
      <c r="K1604" s="840" t="s">
        <v>2102</v>
      </c>
      <c r="L1604" s="834" t="s">
        <v>2292</v>
      </c>
      <c r="M1604" s="834" t="s">
        <v>2309</v>
      </c>
      <c r="N1604" s="834" t="s">
        <v>2340</v>
      </c>
      <c r="O1604" s="113" t="s">
        <v>30</v>
      </c>
      <c r="P1604" s="853" t="s">
        <v>1091</v>
      </c>
      <c r="Q1604" s="24">
        <v>46022</v>
      </c>
      <c r="R1604" s="79" t="s">
        <v>1638</v>
      </c>
      <c r="S1604" s="22" t="s">
        <v>1140</v>
      </c>
      <c r="T1604" s="22">
        <v>20</v>
      </c>
      <c r="U1604" s="24" t="s">
        <v>1638</v>
      </c>
      <c r="V1604" s="24">
        <v>46022</v>
      </c>
      <c r="W1604" s="96" t="s">
        <v>30</v>
      </c>
      <c r="X1604" s="96" t="s">
        <v>30</v>
      </c>
      <c r="Y1604" s="96" t="s">
        <v>30</v>
      </c>
      <c r="Z1604" s="96" t="s">
        <v>30</v>
      </c>
      <c r="AA1604" s="96" t="s">
        <v>30</v>
      </c>
      <c r="AB1604" s="96" t="s">
        <v>30</v>
      </c>
      <c r="AC1604" s="96" t="s">
        <v>30</v>
      </c>
      <c r="AD1604" s="96" t="s">
        <v>30</v>
      </c>
      <c r="AE1604" s="96" t="s">
        <v>30</v>
      </c>
      <c r="AF1604" s="96" t="s">
        <v>30</v>
      </c>
      <c r="AG1604" s="96" t="s">
        <v>30</v>
      </c>
      <c r="AH1604" s="96" t="s">
        <v>30</v>
      </c>
      <c r="AI1604" s="96" t="s">
        <v>30</v>
      </c>
      <c r="AJ1604" s="96" t="s">
        <v>30</v>
      </c>
      <c r="AK1604" s="96" t="s">
        <v>30</v>
      </c>
      <c r="AL1604" s="110" t="s">
        <v>32</v>
      </c>
      <c r="AM1604" s="840" t="s">
        <v>2080</v>
      </c>
      <c r="AS1604" s="92"/>
      <c r="AT1604" s="92"/>
      <c r="AU1604" s="92"/>
      <c r="AV1604" s="105"/>
    </row>
    <row r="1605" spans="1:48">
      <c r="A1605" s="834" t="s">
        <v>24</v>
      </c>
      <c r="B1605" s="835">
        <v>1602</v>
      </c>
      <c r="C1605" s="838" t="s">
        <v>2341</v>
      </c>
      <c r="D1605" s="838" t="s">
        <v>102</v>
      </c>
      <c r="E1605" s="839">
        <v>45991</v>
      </c>
      <c r="F1605" s="838" t="s">
        <v>506</v>
      </c>
      <c r="G1605" s="838">
        <v>10</v>
      </c>
      <c r="H1605" s="838" t="s">
        <v>1721</v>
      </c>
      <c r="I1605" s="838" t="s">
        <v>1638</v>
      </c>
      <c r="J1605" s="838"/>
      <c r="K1605" s="840" t="s">
        <v>2061</v>
      </c>
      <c r="L1605" s="834" t="s">
        <v>2299</v>
      </c>
      <c r="M1605" s="834" t="s">
        <v>2299</v>
      </c>
      <c r="N1605" s="834" t="s">
        <v>2058</v>
      </c>
      <c r="O1605" s="848" t="s">
        <v>32</v>
      </c>
      <c r="P1605" s="853" t="s">
        <v>1091</v>
      </c>
      <c r="Q1605" s="24">
        <v>46022</v>
      </c>
      <c r="R1605" s="79" t="s">
        <v>48</v>
      </c>
      <c r="S1605" s="22" t="s">
        <v>1140</v>
      </c>
      <c r="T1605" s="22">
        <v>10</v>
      </c>
      <c r="U1605" s="24" t="s">
        <v>48</v>
      </c>
      <c r="V1605" s="24">
        <v>46022</v>
      </c>
      <c r="W1605" s="96" t="s">
        <v>30</v>
      </c>
      <c r="X1605" s="96" t="s">
        <v>30</v>
      </c>
      <c r="Y1605" s="96" t="s">
        <v>30</v>
      </c>
      <c r="Z1605" s="96" t="s">
        <v>30</v>
      </c>
      <c r="AA1605" s="96" t="s">
        <v>30</v>
      </c>
      <c r="AB1605" s="96" t="s">
        <v>30</v>
      </c>
      <c r="AC1605" s="96" t="s">
        <v>30</v>
      </c>
      <c r="AD1605" s="96" t="s">
        <v>30</v>
      </c>
      <c r="AE1605" s="96" t="s">
        <v>30</v>
      </c>
      <c r="AF1605" s="96" t="s">
        <v>30</v>
      </c>
      <c r="AG1605" s="96" t="s">
        <v>30</v>
      </c>
      <c r="AH1605" s="96" t="s">
        <v>30</v>
      </c>
      <c r="AI1605" s="96" t="s">
        <v>30</v>
      </c>
      <c r="AJ1605" s="96" t="s">
        <v>30</v>
      </c>
      <c r="AK1605" s="96" t="s">
        <v>30</v>
      </c>
      <c r="AL1605" s="110" t="s">
        <v>32</v>
      </c>
      <c r="AM1605" s="840"/>
      <c r="AS1605" s="92"/>
      <c r="AT1605" s="92"/>
      <c r="AU1605" s="92"/>
      <c r="AV1605" s="105"/>
    </row>
    <row r="1606" spans="1:48">
      <c r="A1606" s="834" t="s">
        <v>2342</v>
      </c>
      <c r="B1606" s="835">
        <v>1603</v>
      </c>
      <c r="C1606" s="834" t="s">
        <v>2343</v>
      </c>
      <c r="D1606" s="834" t="s">
        <v>1198</v>
      </c>
      <c r="E1606" s="839">
        <v>45964.208333333336</v>
      </c>
      <c r="F1606" s="838" t="s">
        <v>140</v>
      </c>
      <c r="G1606" s="838">
        <v>27</v>
      </c>
      <c r="H1606" s="838" t="s">
        <v>1790</v>
      </c>
      <c r="I1606" s="838"/>
      <c r="J1606" s="838"/>
      <c r="K1606" s="834" t="s">
        <v>113</v>
      </c>
      <c r="L1606" s="834" t="s">
        <v>113</v>
      </c>
      <c r="M1606" s="834" t="s">
        <v>113</v>
      </c>
      <c r="N1606" s="834" t="s">
        <v>113</v>
      </c>
      <c r="O1606" s="113" t="s">
        <v>30</v>
      </c>
      <c r="P1606" s="848" t="s">
        <v>1091</v>
      </c>
      <c r="Q1606" s="24">
        <v>45998</v>
      </c>
      <c r="R1606" s="852" t="s">
        <v>67</v>
      </c>
      <c r="S1606" s="834" t="s">
        <v>32</v>
      </c>
      <c r="T1606" s="834">
        <v>26</v>
      </c>
      <c r="U1606" s="24" t="s">
        <v>67</v>
      </c>
      <c r="V1606" s="24">
        <v>45998</v>
      </c>
      <c r="W1606" s="96" t="s">
        <v>113</v>
      </c>
      <c r="X1606" s="96"/>
      <c r="Y1606" s="91"/>
      <c r="Z1606" s="96"/>
      <c r="AA1606" s="96"/>
      <c r="AB1606" s="96"/>
      <c r="AC1606" s="96"/>
      <c r="AD1606" s="96"/>
      <c r="AE1606" s="96"/>
      <c r="AF1606" s="96"/>
      <c r="AG1606" s="96"/>
      <c r="AH1606" s="110"/>
      <c r="AI1606" s="107"/>
      <c r="AJ1606" s="107"/>
      <c r="AK1606" s="107"/>
      <c r="AL1606" s="91" t="s">
        <v>32</v>
      </c>
      <c r="AM1606" s="840"/>
      <c r="AN1606" s="6">
        <v>18</v>
      </c>
      <c r="AO1606" s="6">
        <v>0</v>
      </c>
      <c r="AP1606" s="6">
        <v>0</v>
      </c>
      <c r="AQ1606" s="6">
        <v>9</v>
      </c>
      <c r="AR1606" s="6">
        <f>SUM(AN1606:AQ1606)</f>
        <v>27</v>
      </c>
      <c r="AS1606" s="104">
        <f>+AN1606/AR1606*AS$1</f>
        <v>0</v>
      </c>
      <c r="AT1606" s="105">
        <f>+AO1606/AR1606*AT$1</f>
        <v>0</v>
      </c>
      <c r="AU1606" s="105">
        <f>+AP1606/AR1606*AU$1</f>
        <v>0</v>
      </c>
      <c r="AV1606" s="105">
        <f>+AQ1606/AR1606*AV$1</f>
        <v>0</v>
      </c>
    </row>
    <row r="1607" spans="1:48">
      <c r="A1607" s="834" t="s">
        <v>2342</v>
      </c>
      <c r="B1607" s="835">
        <v>1604</v>
      </c>
      <c r="C1607" s="834" t="s">
        <v>2344</v>
      </c>
      <c r="D1607" s="834" t="s">
        <v>1184</v>
      </c>
      <c r="E1607" s="839">
        <v>45964</v>
      </c>
      <c r="F1607" s="838" t="s">
        <v>140</v>
      </c>
      <c r="G1607" s="838">
        <v>11</v>
      </c>
      <c r="H1607" s="838" t="s">
        <v>2345</v>
      </c>
      <c r="I1607" s="838"/>
      <c r="J1607" s="838"/>
      <c r="K1607" s="834" t="s">
        <v>113</v>
      </c>
      <c r="L1607" s="834" t="s">
        <v>113</v>
      </c>
      <c r="M1607" s="834" t="s">
        <v>113</v>
      </c>
      <c r="N1607" s="834" t="s">
        <v>113</v>
      </c>
      <c r="O1607" s="848"/>
      <c r="P1607" s="848" t="s">
        <v>1091</v>
      </c>
      <c r="Q1607" s="24">
        <v>45998</v>
      </c>
      <c r="R1607" s="852" t="s">
        <v>67</v>
      </c>
      <c r="S1607" s="834" t="s">
        <v>32</v>
      </c>
      <c r="T1607" s="834">
        <v>18</v>
      </c>
      <c r="U1607" s="24" t="s">
        <v>67</v>
      </c>
      <c r="V1607" s="24">
        <v>45998</v>
      </c>
      <c r="W1607" s="96" t="s">
        <v>113</v>
      </c>
      <c r="X1607" s="96"/>
      <c r="Y1607" s="91"/>
      <c r="Z1607" s="96"/>
      <c r="AA1607" s="96"/>
      <c r="AB1607" s="96"/>
      <c r="AC1607" s="91"/>
      <c r="AD1607" s="96"/>
      <c r="AE1607" s="96"/>
      <c r="AF1607" s="96"/>
      <c r="AG1607" s="96"/>
      <c r="AH1607" s="110"/>
      <c r="AI1607" s="107"/>
      <c r="AJ1607" s="107"/>
      <c r="AK1607" s="108"/>
      <c r="AL1607" s="91" t="s">
        <v>32</v>
      </c>
      <c r="AM1607" s="840"/>
      <c r="AO1607" s="776"/>
      <c r="AP1607" s="776"/>
      <c r="AQ1607" s="776"/>
      <c r="AR1607" s="776"/>
    </row>
    <row r="1608" spans="1:48">
      <c r="A1608" s="834" t="s">
        <v>2342</v>
      </c>
      <c r="B1608" s="835">
        <v>1605</v>
      </c>
      <c r="C1608" s="834" t="s">
        <v>2346</v>
      </c>
      <c r="D1608" s="834" t="s">
        <v>937</v>
      </c>
      <c r="E1608" s="839">
        <v>45964.166666666664</v>
      </c>
      <c r="F1608" s="838" t="s">
        <v>140</v>
      </c>
      <c r="G1608" s="838">
        <v>3</v>
      </c>
      <c r="H1608" s="838" t="s">
        <v>1790</v>
      </c>
      <c r="I1608" s="838"/>
      <c r="J1608" s="838"/>
      <c r="K1608" s="834" t="s">
        <v>113</v>
      </c>
      <c r="L1608" s="834" t="s">
        <v>113</v>
      </c>
      <c r="M1608" s="834" t="s">
        <v>113</v>
      </c>
      <c r="N1608" s="834" t="s">
        <v>113</v>
      </c>
      <c r="O1608" s="113"/>
      <c r="P1608" s="848" t="s">
        <v>1091</v>
      </c>
      <c r="Q1608" s="24">
        <v>45998</v>
      </c>
      <c r="R1608" s="852" t="s">
        <v>67</v>
      </c>
      <c r="S1608" s="834" t="s">
        <v>32</v>
      </c>
      <c r="T1608" s="834">
        <v>10</v>
      </c>
      <c r="U1608" s="24" t="s">
        <v>67</v>
      </c>
      <c r="V1608" s="24">
        <v>45998</v>
      </c>
      <c r="W1608" s="96" t="s">
        <v>113</v>
      </c>
      <c r="X1608" s="96"/>
      <c r="Y1608" s="91"/>
      <c r="Z1608" s="96"/>
      <c r="AA1608" s="96"/>
      <c r="AB1608" s="96"/>
      <c r="AC1608" s="96"/>
      <c r="AD1608" s="96"/>
      <c r="AE1608" s="96"/>
      <c r="AF1608" s="96"/>
      <c r="AG1608" s="96"/>
      <c r="AH1608" s="110"/>
      <c r="AI1608" s="110"/>
      <c r="AJ1608" s="110"/>
      <c r="AK1608" s="96"/>
      <c r="AL1608" s="91" t="s">
        <v>32</v>
      </c>
      <c r="AM1608" s="840" t="s">
        <v>2059</v>
      </c>
      <c r="AO1608" s="776"/>
      <c r="AP1608" s="776"/>
      <c r="AQ1608" s="776"/>
      <c r="AR1608" s="776"/>
    </row>
    <row r="1609" spans="1:48">
      <c r="A1609" s="834" t="s">
        <v>2342</v>
      </c>
      <c r="B1609" s="835">
        <v>1606</v>
      </c>
      <c r="C1609" s="834" t="s">
        <v>2347</v>
      </c>
      <c r="D1609" s="834" t="s">
        <v>1250</v>
      </c>
      <c r="E1609" s="839">
        <v>45964</v>
      </c>
      <c r="F1609" s="838" t="s">
        <v>140</v>
      </c>
      <c r="G1609" s="838">
        <v>2</v>
      </c>
      <c r="H1609" s="838" t="s">
        <v>127</v>
      </c>
      <c r="I1609" s="838"/>
      <c r="J1609" s="838"/>
      <c r="K1609" s="834" t="s">
        <v>113</v>
      </c>
      <c r="L1609" s="834" t="s">
        <v>113</v>
      </c>
      <c r="M1609" s="834" t="s">
        <v>113</v>
      </c>
      <c r="N1609" s="834" t="s">
        <v>113</v>
      </c>
      <c r="O1609" s="113"/>
      <c r="P1609" s="848" t="s">
        <v>1091</v>
      </c>
      <c r="Q1609" s="24">
        <v>45998</v>
      </c>
      <c r="R1609" s="852" t="s">
        <v>67</v>
      </c>
      <c r="S1609" s="834" t="s">
        <v>32</v>
      </c>
      <c r="T1609" s="834">
        <v>2</v>
      </c>
      <c r="U1609" s="24" t="s">
        <v>67</v>
      </c>
      <c r="V1609" s="24">
        <v>45998</v>
      </c>
      <c r="W1609" s="96" t="s">
        <v>113</v>
      </c>
      <c r="X1609" s="90"/>
      <c r="Y1609" s="91"/>
      <c r="Z1609" s="96"/>
      <c r="AA1609" s="96"/>
      <c r="AB1609" s="96"/>
      <c r="AC1609" s="96"/>
      <c r="AD1609" s="96"/>
      <c r="AE1609" s="96"/>
      <c r="AF1609" s="96"/>
      <c r="AG1609" s="96"/>
      <c r="AH1609" s="110"/>
      <c r="AI1609" s="90"/>
      <c r="AJ1609" s="90"/>
      <c r="AK1609" s="90"/>
      <c r="AL1609" s="91" t="s">
        <v>32</v>
      </c>
      <c r="AM1609" s="840"/>
      <c r="AO1609" s="776"/>
      <c r="AP1609" s="776"/>
      <c r="AQ1609" s="776"/>
      <c r="AR1609" s="776"/>
    </row>
    <row r="1610" spans="1:48">
      <c r="A1610" s="834" t="s">
        <v>2342</v>
      </c>
      <c r="B1610" s="835">
        <v>1607</v>
      </c>
      <c r="C1610" s="834" t="s">
        <v>2348</v>
      </c>
      <c r="D1610" s="834" t="s">
        <v>829</v>
      </c>
      <c r="E1610" s="839">
        <v>45964.041666666664</v>
      </c>
      <c r="F1610" s="838" t="s">
        <v>140</v>
      </c>
      <c r="G1610" s="838">
        <v>25</v>
      </c>
      <c r="H1610" s="838" t="s">
        <v>1843</v>
      </c>
      <c r="I1610" s="838"/>
      <c r="J1610" s="838"/>
      <c r="K1610" s="834" t="s">
        <v>113</v>
      </c>
      <c r="L1610" s="834" t="s">
        <v>113</v>
      </c>
      <c r="M1610" s="834" t="s">
        <v>113</v>
      </c>
      <c r="N1610" s="834" t="s">
        <v>113</v>
      </c>
      <c r="O1610" s="113" t="s">
        <v>30</v>
      </c>
      <c r="P1610" s="848" t="s">
        <v>1091</v>
      </c>
      <c r="Q1610" s="24">
        <v>46024</v>
      </c>
      <c r="R1610" s="852" t="s">
        <v>67</v>
      </c>
      <c r="S1610" s="834" t="s">
        <v>32</v>
      </c>
      <c r="T1610" s="834">
        <v>26</v>
      </c>
      <c r="U1610" s="24" t="s">
        <v>67</v>
      </c>
      <c r="V1610" s="24">
        <v>46024</v>
      </c>
      <c r="W1610" s="96" t="s">
        <v>113</v>
      </c>
      <c r="X1610" s="90"/>
      <c r="Y1610" s="91"/>
      <c r="Z1610" s="96"/>
      <c r="AA1610" s="96"/>
      <c r="AB1610" s="96"/>
      <c r="AC1610" s="96"/>
      <c r="AD1610" s="96"/>
      <c r="AE1610" s="96"/>
      <c r="AF1610" s="96"/>
      <c r="AG1610" s="96"/>
      <c r="AH1610" s="110"/>
      <c r="AI1610" s="107"/>
      <c r="AJ1610" s="107"/>
      <c r="AK1610" s="107"/>
      <c r="AL1610" s="91" t="s">
        <v>32</v>
      </c>
      <c r="AM1610" s="840"/>
      <c r="AN1610" s="6">
        <v>15</v>
      </c>
      <c r="AO1610" s="6">
        <v>0</v>
      </c>
      <c r="AP1610" s="6">
        <v>2</v>
      </c>
      <c r="AQ1610" s="6">
        <v>8</v>
      </c>
      <c r="AR1610" s="6">
        <f>SUM(AN1610:AQ1610)</f>
        <v>25</v>
      </c>
      <c r="AS1610" s="104">
        <f>+AN1610/AR1610*AS$1</f>
        <v>0</v>
      </c>
      <c r="AT1610" s="105">
        <f>+AO1610/AR1610*AT$1</f>
        <v>0</v>
      </c>
      <c r="AU1610" s="105">
        <f>+AP1610/AR1610*AU$1</f>
        <v>0</v>
      </c>
      <c r="AV1610" s="105">
        <f>+AQ1610/AR1610*AV$1</f>
        <v>0</v>
      </c>
    </row>
    <row r="1611" spans="1:48">
      <c r="A1611" s="834" t="s">
        <v>2342</v>
      </c>
      <c r="B1611" s="835">
        <v>1608</v>
      </c>
      <c r="C1611" s="834" t="s">
        <v>2349</v>
      </c>
      <c r="D1611" s="834" t="s">
        <v>2350</v>
      </c>
      <c r="E1611" s="839">
        <v>45964.041666666664</v>
      </c>
      <c r="F1611" s="838" t="s">
        <v>140</v>
      </c>
      <c r="G1611" s="838">
        <v>2</v>
      </c>
      <c r="H1611" s="838" t="s">
        <v>127</v>
      </c>
      <c r="I1611" s="838"/>
      <c r="J1611" s="838"/>
      <c r="K1611" s="834" t="s">
        <v>113</v>
      </c>
      <c r="L1611" s="834" t="s">
        <v>113</v>
      </c>
      <c r="M1611" s="834" t="s">
        <v>113</v>
      </c>
      <c r="N1611" s="834" t="s">
        <v>113</v>
      </c>
      <c r="O1611" s="848"/>
      <c r="P1611" s="848" t="s">
        <v>1091</v>
      </c>
      <c r="Q1611" s="24">
        <v>46024</v>
      </c>
      <c r="R1611" s="852" t="s">
        <v>67</v>
      </c>
      <c r="S1611" s="834" t="s">
        <v>32</v>
      </c>
      <c r="T1611" s="834">
        <v>2</v>
      </c>
      <c r="U1611" s="24" t="s">
        <v>67</v>
      </c>
      <c r="V1611" s="24">
        <v>46024</v>
      </c>
      <c r="W1611" s="96" t="s">
        <v>113</v>
      </c>
      <c r="X1611" s="91"/>
      <c r="Y1611" s="91"/>
      <c r="Z1611" s="96"/>
      <c r="AA1611" s="91"/>
      <c r="AB1611" s="96"/>
      <c r="AC1611" s="96"/>
      <c r="AD1611" s="96"/>
      <c r="AE1611" s="96"/>
      <c r="AF1611" s="96"/>
      <c r="AG1611" s="96"/>
      <c r="AH1611" s="110"/>
      <c r="AI1611" s="110"/>
      <c r="AJ1611" s="110"/>
      <c r="AK1611" s="110"/>
      <c r="AL1611" s="91" t="s">
        <v>32</v>
      </c>
      <c r="AM1611" s="840" t="s">
        <v>2068</v>
      </c>
      <c r="AO1611" s="776"/>
      <c r="AP1611" s="776"/>
      <c r="AQ1611" s="776"/>
      <c r="AR1611" s="776"/>
    </row>
    <row r="1612" spans="1:48">
      <c r="A1612" s="834" t="s">
        <v>2342</v>
      </c>
      <c r="B1612" s="835">
        <v>1609</v>
      </c>
      <c r="C1612" s="834" t="s">
        <v>2351</v>
      </c>
      <c r="D1612" s="834" t="s">
        <v>1208</v>
      </c>
      <c r="E1612" s="839">
        <v>45964</v>
      </c>
      <c r="F1612" s="838" t="s">
        <v>140</v>
      </c>
      <c r="G1612" s="838">
        <v>5</v>
      </c>
      <c r="H1612" s="838" t="s">
        <v>1790</v>
      </c>
      <c r="I1612" s="838"/>
      <c r="J1612" s="838"/>
      <c r="K1612" s="834" t="s">
        <v>113</v>
      </c>
      <c r="L1612" s="834" t="s">
        <v>113</v>
      </c>
      <c r="M1612" s="834" t="s">
        <v>113</v>
      </c>
      <c r="N1612" s="834" t="s">
        <v>113</v>
      </c>
      <c r="O1612" s="848"/>
      <c r="P1612" s="848" t="s">
        <v>1091</v>
      </c>
      <c r="Q1612" s="24">
        <v>45999</v>
      </c>
      <c r="R1612" s="852" t="s">
        <v>67</v>
      </c>
      <c r="S1612" s="834" t="s">
        <v>32</v>
      </c>
      <c r="T1612" s="834">
        <v>10</v>
      </c>
      <c r="U1612" s="24" t="s">
        <v>67</v>
      </c>
      <c r="V1612" s="24">
        <v>45999</v>
      </c>
      <c r="W1612" s="96" t="s">
        <v>113</v>
      </c>
      <c r="X1612" s="96"/>
      <c r="Y1612" s="91"/>
      <c r="Z1612" s="96"/>
      <c r="AA1612" s="96"/>
      <c r="AB1612" s="96"/>
      <c r="AC1612" s="96"/>
      <c r="AD1612" s="96"/>
      <c r="AE1612" s="96"/>
      <c r="AF1612" s="96"/>
      <c r="AG1612" s="96"/>
      <c r="AH1612" s="110"/>
      <c r="AI1612" s="110"/>
      <c r="AJ1612" s="110"/>
      <c r="AK1612" s="96"/>
      <c r="AL1612" s="91" t="s">
        <v>32</v>
      </c>
      <c r="AM1612" s="840" t="s">
        <v>2059</v>
      </c>
      <c r="AO1612" s="776"/>
      <c r="AP1612" s="776"/>
      <c r="AQ1612" s="776"/>
      <c r="AR1612" s="776"/>
    </row>
    <row r="1613" spans="1:48">
      <c r="A1613" s="834" t="s">
        <v>2342</v>
      </c>
      <c r="B1613" s="835">
        <v>1610</v>
      </c>
      <c r="C1613" s="834" t="s">
        <v>2352</v>
      </c>
      <c r="D1613" s="834" t="s">
        <v>2353</v>
      </c>
      <c r="E1613" s="839">
        <v>45964.083333333336</v>
      </c>
      <c r="F1613" s="838" t="s">
        <v>140</v>
      </c>
      <c r="G1613" s="838">
        <v>1</v>
      </c>
      <c r="H1613" s="838" t="s">
        <v>1721</v>
      </c>
      <c r="I1613" s="838"/>
      <c r="J1613" s="838"/>
      <c r="K1613" s="834" t="s">
        <v>113</v>
      </c>
      <c r="L1613" s="834" t="s">
        <v>113</v>
      </c>
      <c r="M1613" s="834" t="s">
        <v>113</v>
      </c>
      <c r="N1613" s="834" t="s">
        <v>113</v>
      </c>
      <c r="O1613" s="848"/>
      <c r="P1613" s="848" t="s">
        <v>1091</v>
      </c>
      <c r="Q1613" s="24">
        <v>45999</v>
      </c>
      <c r="R1613" s="852" t="s">
        <v>67</v>
      </c>
      <c r="S1613" s="834" t="s">
        <v>32</v>
      </c>
      <c r="T1613" s="834">
        <v>1</v>
      </c>
      <c r="U1613" s="24" t="s">
        <v>67</v>
      </c>
      <c r="V1613" s="24">
        <v>45999</v>
      </c>
      <c r="W1613" s="96" t="s">
        <v>113</v>
      </c>
      <c r="X1613" s="96"/>
      <c r="Y1613" s="91"/>
      <c r="Z1613" s="96"/>
      <c r="AA1613" s="96"/>
      <c r="AB1613" s="96"/>
      <c r="AC1613" s="96"/>
      <c r="AD1613" s="96"/>
      <c r="AE1613" s="96"/>
      <c r="AF1613" s="96"/>
      <c r="AG1613" s="96"/>
      <c r="AH1613" s="110"/>
      <c r="AI1613" s="110"/>
      <c r="AJ1613" s="110"/>
      <c r="AK1613" s="96"/>
      <c r="AL1613" s="91" t="s">
        <v>32</v>
      </c>
      <c r="AM1613" s="840" t="s">
        <v>2059</v>
      </c>
      <c r="AO1613" s="776"/>
      <c r="AP1613" s="776"/>
      <c r="AQ1613" s="776"/>
      <c r="AR1613" s="776"/>
    </row>
    <row r="1614" spans="1:48">
      <c r="A1614" s="834" t="s">
        <v>2342</v>
      </c>
      <c r="B1614" s="835">
        <v>1611</v>
      </c>
      <c r="C1614" s="834" t="s">
        <v>2354</v>
      </c>
      <c r="D1614" s="834" t="s">
        <v>1245</v>
      </c>
      <c r="E1614" s="839">
        <v>45964</v>
      </c>
      <c r="F1614" s="838" t="s">
        <v>140</v>
      </c>
      <c r="G1614" s="838">
        <v>2</v>
      </c>
      <c r="H1614" s="838" t="s">
        <v>127</v>
      </c>
      <c r="I1614" s="838"/>
      <c r="J1614" s="838"/>
      <c r="K1614" s="834" t="s">
        <v>113</v>
      </c>
      <c r="L1614" s="834" t="s">
        <v>113</v>
      </c>
      <c r="M1614" s="834" t="s">
        <v>113</v>
      </c>
      <c r="N1614" s="834" t="s">
        <v>113</v>
      </c>
      <c r="O1614" s="113"/>
      <c r="P1614" s="848" t="s">
        <v>1091</v>
      </c>
      <c r="Q1614" s="24">
        <v>45999</v>
      </c>
      <c r="R1614" s="852" t="s">
        <v>67</v>
      </c>
      <c r="S1614" s="834" t="s">
        <v>32</v>
      </c>
      <c r="T1614" s="834">
        <v>2</v>
      </c>
      <c r="U1614" s="24" t="s">
        <v>67</v>
      </c>
      <c r="V1614" s="24">
        <v>45999</v>
      </c>
      <c r="W1614" s="96" t="s">
        <v>113</v>
      </c>
      <c r="X1614" s="96"/>
      <c r="Y1614" s="91"/>
      <c r="Z1614" s="96"/>
      <c r="AA1614" s="96"/>
      <c r="AB1614" s="96"/>
      <c r="AC1614" s="96"/>
      <c r="AD1614" s="96"/>
      <c r="AE1614" s="96"/>
      <c r="AF1614" s="96"/>
      <c r="AG1614" s="96"/>
      <c r="AH1614" s="110"/>
      <c r="AI1614" s="96"/>
      <c r="AJ1614" s="96"/>
      <c r="AK1614" s="96"/>
      <c r="AL1614" s="91" t="s">
        <v>32</v>
      </c>
      <c r="AM1614" s="840"/>
    </row>
    <row r="1615" spans="1:48">
      <c r="A1615" s="834" t="s">
        <v>2342</v>
      </c>
      <c r="B1615" s="835">
        <v>1612</v>
      </c>
      <c r="C1615" s="834" t="s">
        <v>2355</v>
      </c>
      <c r="D1615" s="834" t="s">
        <v>1424</v>
      </c>
      <c r="E1615" s="839">
        <v>45964.166666666664</v>
      </c>
      <c r="F1615" s="838" t="s">
        <v>140</v>
      </c>
      <c r="G1615" s="838">
        <v>1</v>
      </c>
      <c r="H1615" s="838" t="s">
        <v>1077</v>
      </c>
      <c r="I1615" s="838"/>
      <c r="J1615" s="838"/>
      <c r="K1615" s="834" t="s">
        <v>113</v>
      </c>
      <c r="L1615" s="834" t="s">
        <v>113</v>
      </c>
      <c r="M1615" s="834" t="s">
        <v>113</v>
      </c>
      <c r="N1615" s="834" t="s">
        <v>113</v>
      </c>
      <c r="O1615" s="848"/>
      <c r="P1615" s="848" t="s">
        <v>1091</v>
      </c>
      <c r="Q1615" s="24">
        <v>45999</v>
      </c>
      <c r="R1615" s="852" t="s">
        <v>67</v>
      </c>
      <c r="S1615" s="834" t="s">
        <v>32</v>
      </c>
      <c r="T1615" s="834">
        <v>1</v>
      </c>
      <c r="U1615" s="24" t="s">
        <v>67</v>
      </c>
      <c r="V1615" s="24">
        <v>45999</v>
      </c>
      <c r="W1615" s="96" t="s">
        <v>113</v>
      </c>
      <c r="X1615" s="96"/>
      <c r="Y1615" s="91"/>
      <c r="Z1615" s="96"/>
      <c r="AA1615" s="91"/>
      <c r="AB1615" s="96"/>
      <c r="AC1615" s="96"/>
      <c r="AD1615" s="96"/>
      <c r="AE1615" s="96"/>
      <c r="AF1615" s="96"/>
      <c r="AG1615" s="96"/>
      <c r="AH1615" s="110"/>
      <c r="AI1615" s="110"/>
      <c r="AJ1615" s="110"/>
      <c r="AK1615" s="110"/>
      <c r="AL1615" s="91" t="s">
        <v>32</v>
      </c>
      <c r="AM1615" s="840" t="s">
        <v>2068</v>
      </c>
    </row>
    <row r="1616" spans="1:48">
      <c r="A1616" s="834" t="s">
        <v>2342</v>
      </c>
      <c r="B1616" s="835">
        <v>1613</v>
      </c>
      <c r="C1616" s="834" t="s">
        <v>2356</v>
      </c>
      <c r="D1616" s="834" t="s">
        <v>989</v>
      </c>
      <c r="E1616" s="839">
        <v>45964</v>
      </c>
      <c r="F1616" s="838" t="s">
        <v>140</v>
      </c>
      <c r="G1616" s="838">
        <v>3</v>
      </c>
      <c r="H1616" s="838" t="s">
        <v>1795</v>
      </c>
      <c r="I1616" s="838"/>
      <c r="J1616" s="838"/>
      <c r="K1616" s="834" t="s">
        <v>113</v>
      </c>
      <c r="L1616" s="834" t="s">
        <v>113</v>
      </c>
      <c r="M1616" s="834" t="s">
        <v>113</v>
      </c>
      <c r="N1616" s="834" t="s">
        <v>113</v>
      </c>
      <c r="O1616" s="848"/>
      <c r="P1616" s="848" t="s">
        <v>1091</v>
      </c>
      <c r="Q1616" s="24">
        <v>45999</v>
      </c>
      <c r="R1616" s="852" t="s">
        <v>67</v>
      </c>
      <c r="S1616" s="834" t="s">
        <v>32</v>
      </c>
      <c r="T1616" s="834">
        <v>3</v>
      </c>
      <c r="U1616" s="24" t="s">
        <v>67</v>
      </c>
      <c r="V1616" s="24">
        <v>45999</v>
      </c>
      <c r="W1616" s="96" t="s">
        <v>113</v>
      </c>
      <c r="X1616" s="96"/>
      <c r="Y1616" s="91"/>
      <c r="Z1616" s="96"/>
      <c r="AA1616" s="91"/>
      <c r="AB1616" s="96"/>
      <c r="AC1616" s="91"/>
      <c r="AD1616" s="96"/>
      <c r="AE1616" s="96"/>
      <c r="AF1616" s="96"/>
      <c r="AG1616" s="96"/>
      <c r="AH1616" s="110"/>
      <c r="AI1616" s="110"/>
      <c r="AJ1616" s="110"/>
      <c r="AK1616" s="110"/>
      <c r="AL1616" s="91" t="s">
        <v>32</v>
      </c>
      <c r="AM1616" s="840"/>
    </row>
    <row r="1617" spans="1:48">
      <c r="A1617" s="834" t="s">
        <v>2342</v>
      </c>
      <c r="B1617" s="835">
        <v>1614</v>
      </c>
      <c r="C1617" s="834" t="s">
        <v>2357</v>
      </c>
      <c r="D1617" s="834" t="s">
        <v>2358</v>
      </c>
      <c r="E1617" s="839">
        <v>45964</v>
      </c>
      <c r="F1617" s="838" t="s">
        <v>140</v>
      </c>
      <c r="G1617" s="838">
        <v>2</v>
      </c>
      <c r="H1617" s="838" t="s">
        <v>1076</v>
      </c>
      <c r="I1617" s="838"/>
      <c r="J1617" s="838"/>
      <c r="K1617" s="834" t="s">
        <v>113</v>
      </c>
      <c r="L1617" s="834" t="s">
        <v>113</v>
      </c>
      <c r="M1617" s="834" t="s">
        <v>113</v>
      </c>
      <c r="N1617" s="834" t="s">
        <v>113</v>
      </c>
      <c r="O1617" s="848"/>
      <c r="P1617" s="848" t="s">
        <v>1091</v>
      </c>
      <c r="Q1617" s="24">
        <v>45999</v>
      </c>
      <c r="R1617" s="852" t="s">
        <v>67</v>
      </c>
      <c r="S1617" s="834" t="s">
        <v>32</v>
      </c>
      <c r="T1617" s="834">
        <v>2</v>
      </c>
      <c r="U1617" s="24" t="s">
        <v>67</v>
      </c>
      <c r="V1617" s="24">
        <v>45999</v>
      </c>
      <c r="W1617" s="96" t="s">
        <v>113</v>
      </c>
      <c r="X1617" s="96"/>
      <c r="Y1617" s="91"/>
      <c r="Z1617" s="96"/>
      <c r="AA1617" s="96"/>
      <c r="AB1617" s="96"/>
      <c r="AC1617" s="96"/>
      <c r="AD1617" s="96"/>
      <c r="AE1617" s="96"/>
      <c r="AF1617" s="91"/>
      <c r="AG1617" s="91"/>
      <c r="AH1617" s="110"/>
      <c r="AI1617" s="110"/>
      <c r="AJ1617" s="110"/>
      <c r="AK1617" s="110"/>
      <c r="AL1617" s="91" t="s">
        <v>32</v>
      </c>
      <c r="AM1617" s="840"/>
      <c r="AN1617" s="6"/>
    </row>
    <row r="1618" spans="1:48">
      <c r="A1618" s="834" t="s">
        <v>2342</v>
      </c>
      <c r="B1618" s="835">
        <v>1615</v>
      </c>
      <c r="C1618" s="834" t="s">
        <v>2359</v>
      </c>
      <c r="D1618" s="834" t="s">
        <v>2360</v>
      </c>
      <c r="E1618" s="839">
        <v>45964.375</v>
      </c>
      <c r="F1618" s="838" t="s">
        <v>140</v>
      </c>
      <c r="G1618" s="838">
        <v>7</v>
      </c>
      <c r="H1618" s="838" t="s">
        <v>127</v>
      </c>
      <c r="I1618" s="838"/>
      <c r="J1618" s="838"/>
      <c r="K1618" s="834" t="s">
        <v>113</v>
      </c>
      <c r="L1618" s="834" t="s">
        <v>113</v>
      </c>
      <c r="M1618" s="834" t="s">
        <v>113</v>
      </c>
      <c r="N1618" s="834" t="s">
        <v>113</v>
      </c>
      <c r="O1618" s="113"/>
      <c r="P1618" s="848" t="s">
        <v>1091</v>
      </c>
      <c r="Q1618" s="24">
        <v>45999</v>
      </c>
      <c r="R1618" s="852" t="s">
        <v>67</v>
      </c>
      <c r="S1618" s="834" t="s">
        <v>32</v>
      </c>
      <c r="T1618" s="834">
        <v>9</v>
      </c>
      <c r="U1618" s="24" t="s">
        <v>67</v>
      </c>
      <c r="V1618" s="24">
        <v>45999</v>
      </c>
      <c r="W1618" s="96" t="s">
        <v>113</v>
      </c>
      <c r="X1618" s="96"/>
      <c r="Y1618" s="91"/>
      <c r="Z1618" s="96"/>
      <c r="AA1618" s="96"/>
      <c r="AB1618" s="96"/>
      <c r="AC1618" s="96"/>
      <c r="AD1618" s="96"/>
      <c r="AE1618" s="96"/>
      <c r="AF1618" s="96"/>
      <c r="AG1618" s="96"/>
      <c r="AH1618" s="110"/>
      <c r="AI1618" s="96"/>
      <c r="AJ1618" s="96"/>
      <c r="AK1618" s="96"/>
      <c r="AL1618" s="91" t="s">
        <v>32</v>
      </c>
      <c r="AM1618" s="840"/>
    </row>
    <row r="1619" spans="1:48">
      <c r="A1619" s="834" t="s">
        <v>2342</v>
      </c>
      <c r="B1619" s="835">
        <v>1616</v>
      </c>
      <c r="C1619" s="834" t="s">
        <v>2361</v>
      </c>
      <c r="D1619" s="834" t="s">
        <v>846</v>
      </c>
      <c r="E1619" s="839">
        <v>45964</v>
      </c>
      <c r="F1619" s="838" t="s">
        <v>140</v>
      </c>
      <c r="G1619" s="838">
        <v>1</v>
      </c>
      <c r="H1619" s="838" t="s">
        <v>127</v>
      </c>
      <c r="I1619" s="838"/>
      <c r="J1619" s="840"/>
      <c r="K1619" s="834" t="s">
        <v>113</v>
      </c>
      <c r="L1619" s="834" t="s">
        <v>113</v>
      </c>
      <c r="M1619" s="834" t="s">
        <v>113</v>
      </c>
      <c r="N1619" s="834" t="s">
        <v>113</v>
      </c>
      <c r="O1619" s="113"/>
      <c r="P1619" s="848" t="s">
        <v>1091</v>
      </c>
      <c r="Q1619" s="24">
        <v>45999</v>
      </c>
      <c r="R1619" s="852" t="s">
        <v>67</v>
      </c>
      <c r="S1619" s="834" t="s">
        <v>32</v>
      </c>
      <c r="T1619" s="834">
        <v>1</v>
      </c>
      <c r="U1619" s="24" t="s">
        <v>67</v>
      </c>
      <c r="V1619" s="24">
        <v>45999</v>
      </c>
      <c r="W1619" s="96" t="s">
        <v>113</v>
      </c>
      <c r="X1619" s="96"/>
      <c r="Y1619" s="91"/>
      <c r="Z1619" s="91"/>
      <c r="AA1619" s="91"/>
      <c r="AB1619" s="91"/>
      <c r="AC1619" s="96"/>
      <c r="AD1619" s="96"/>
      <c r="AE1619" s="96"/>
      <c r="AF1619" s="96"/>
      <c r="AG1619" s="96"/>
      <c r="AH1619" s="110"/>
      <c r="AI1619" s="96"/>
      <c r="AJ1619" s="96"/>
      <c r="AK1619" s="96"/>
      <c r="AL1619" s="91" t="s">
        <v>32</v>
      </c>
      <c r="AM1619" s="840"/>
    </row>
    <row r="1620" spans="1:48">
      <c r="A1620" s="834" t="s">
        <v>2342</v>
      </c>
      <c r="B1620" s="835">
        <v>1617</v>
      </c>
      <c r="C1620" s="834" t="s">
        <v>2362</v>
      </c>
      <c r="D1620" s="834" t="s">
        <v>1565</v>
      </c>
      <c r="E1620" s="839">
        <v>45964</v>
      </c>
      <c r="F1620" s="838" t="s">
        <v>140</v>
      </c>
      <c r="G1620" s="838">
        <v>1</v>
      </c>
      <c r="H1620" s="838" t="s">
        <v>127</v>
      </c>
      <c r="I1620" s="838"/>
      <c r="J1620" s="838"/>
      <c r="K1620" s="834" t="s">
        <v>113</v>
      </c>
      <c r="L1620" s="834" t="s">
        <v>113</v>
      </c>
      <c r="M1620" s="834" t="s">
        <v>113</v>
      </c>
      <c r="N1620" s="834" t="s">
        <v>113</v>
      </c>
      <c r="O1620" s="848"/>
      <c r="P1620" s="848" t="s">
        <v>1091</v>
      </c>
      <c r="Q1620" s="24">
        <v>45999</v>
      </c>
      <c r="R1620" s="852" t="s">
        <v>67</v>
      </c>
      <c r="S1620" s="834" t="s">
        <v>32</v>
      </c>
      <c r="T1620" s="834">
        <v>1</v>
      </c>
      <c r="U1620" s="24" t="s">
        <v>67</v>
      </c>
      <c r="V1620" s="24">
        <v>45999</v>
      </c>
      <c r="W1620" s="96" t="s">
        <v>113</v>
      </c>
      <c r="X1620" s="96"/>
      <c r="Y1620" s="91"/>
      <c r="Z1620" s="91"/>
      <c r="AA1620" s="91"/>
      <c r="AB1620" s="91"/>
      <c r="AC1620" s="96"/>
      <c r="AD1620" s="96"/>
      <c r="AE1620" s="96"/>
      <c r="AF1620" s="96"/>
      <c r="AG1620" s="96"/>
      <c r="AH1620" s="110"/>
      <c r="AI1620" s="96"/>
      <c r="AJ1620" s="96"/>
      <c r="AK1620" s="96"/>
      <c r="AL1620" s="91" t="s">
        <v>32</v>
      </c>
      <c r="AM1620" s="840"/>
    </row>
    <row r="1621" spans="1:48">
      <c r="A1621" s="834" t="s">
        <v>2342</v>
      </c>
      <c r="B1621" s="835">
        <v>1618</v>
      </c>
      <c r="C1621" s="834" t="s">
        <v>2363</v>
      </c>
      <c r="D1621" s="834" t="s">
        <v>2364</v>
      </c>
      <c r="E1621" s="839">
        <v>45964</v>
      </c>
      <c r="F1621" s="838" t="s">
        <v>140</v>
      </c>
      <c r="G1621" s="838">
        <v>3</v>
      </c>
      <c r="H1621" s="838" t="s">
        <v>1076</v>
      </c>
      <c r="I1621" s="838"/>
      <c r="J1621" s="838"/>
      <c r="K1621" s="834" t="s">
        <v>113</v>
      </c>
      <c r="L1621" s="834" t="s">
        <v>113</v>
      </c>
      <c r="M1621" s="834" t="s">
        <v>113</v>
      </c>
      <c r="N1621" s="834" t="s">
        <v>113</v>
      </c>
      <c r="O1621" s="848"/>
      <c r="P1621" s="848" t="s">
        <v>1091</v>
      </c>
      <c r="Q1621" s="24">
        <v>45999</v>
      </c>
      <c r="R1621" s="852" t="s">
        <v>67</v>
      </c>
      <c r="S1621" s="834" t="s">
        <v>32</v>
      </c>
      <c r="T1621" s="834">
        <v>3</v>
      </c>
      <c r="U1621" s="24" t="s">
        <v>67</v>
      </c>
      <c r="V1621" s="24">
        <v>45999</v>
      </c>
      <c r="W1621" s="96" t="s">
        <v>113</v>
      </c>
      <c r="X1621" s="96"/>
      <c r="Y1621" s="91"/>
      <c r="Z1621" s="91"/>
      <c r="AA1621" s="91"/>
      <c r="AB1621" s="91"/>
      <c r="AC1621" s="96"/>
      <c r="AD1621" s="96"/>
      <c r="AE1621" s="96"/>
      <c r="AF1621" s="96"/>
      <c r="AG1621" s="96"/>
      <c r="AH1621" s="110"/>
      <c r="AI1621" s="110"/>
      <c r="AJ1621" s="110"/>
      <c r="AK1621" s="107"/>
      <c r="AL1621" s="91" t="s">
        <v>32</v>
      </c>
      <c r="AM1621" s="840"/>
    </row>
    <row r="1622" spans="1:48">
      <c r="A1622" s="834" t="s">
        <v>2342</v>
      </c>
      <c r="B1622" s="835">
        <v>1619</v>
      </c>
      <c r="C1622" s="834" t="s">
        <v>2365</v>
      </c>
      <c r="D1622" s="834" t="s">
        <v>937</v>
      </c>
      <c r="E1622" s="839">
        <v>45971.041666666664</v>
      </c>
      <c r="F1622" s="838" t="s">
        <v>140</v>
      </c>
      <c r="G1622" s="838">
        <v>76</v>
      </c>
      <c r="H1622" s="838" t="s">
        <v>1843</v>
      </c>
      <c r="I1622" s="838"/>
      <c r="J1622" s="838"/>
      <c r="K1622" s="834" t="s">
        <v>113</v>
      </c>
      <c r="L1622" s="834" t="s">
        <v>113</v>
      </c>
      <c r="M1622" s="834" t="s">
        <v>113</v>
      </c>
      <c r="N1622" s="834" t="s">
        <v>113</v>
      </c>
      <c r="O1622" s="113" t="s">
        <v>30</v>
      </c>
      <c r="P1622" s="848" t="s">
        <v>1091</v>
      </c>
      <c r="Q1622" s="24">
        <v>46024</v>
      </c>
      <c r="R1622" s="852" t="s">
        <v>67</v>
      </c>
      <c r="S1622" s="834" t="s">
        <v>32</v>
      </c>
      <c r="T1622" s="834">
        <v>76</v>
      </c>
      <c r="U1622" s="24" t="s">
        <v>67</v>
      </c>
      <c r="V1622" s="24">
        <v>46024</v>
      </c>
      <c r="W1622" s="96" t="s">
        <v>113</v>
      </c>
      <c r="X1622" s="96"/>
      <c r="Y1622" s="91"/>
      <c r="Z1622" s="91"/>
      <c r="AA1622" s="91"/>
      <c r="AB1622" s="91"/>
      <c r="AC1622" s="96"/>
      <c r="AD1622" s="96"/>
      <c r="AE1622" s="96"/>
      <c r="AF1622" s="96"/>
      <c r="AG1622" s="96"/>
      <c r="AH1622" s="110"/>
      <c r="AI1622" s="110"/>
      <c r="AJ1622" s="110"/>
      <c r="AK1622" s="107"/>
      <c r="AL1622" s="91" t="s">
        <v>32</v>
      </c>
      <c r="AM1622" s="840"/>
      <c r="AN1622" s="6">
        <v>20</v>
      </c>
      <c r="AO1622" s="6">
        <v>0</v>
      </c>
      <c r="AP1622" s="6">
        <v>11</v>
      </c>
      <c r="AQ1622" s="6">
        <v>45</v>
      </c>
      <c r="AR1622" s="6">
        <f>SUM(AN1622:AQ1622)</f>
        <v>76</v>
      </c>
      <c r="AS1622" s="104">
        <f>+AN1622/AR1622*AS$1</f>
        <v>0</v>
      </c>
      <c r="AT1622" s="105">
        <f>+AO1622/AR1622*AT$1</f>
        <v>0</v>
      </c>
      <c r="AU1622" s="105">
        <f>+AP1622/AR1622*AU$1</f>
        <v>0</v>
      </c>
      <c r="AV1622" s="105">
        <f>+AQ1622/AR1622*AV$1</f>
        <v>0</v>
      </c>
    </row>
    <row r="1623" spans="1:48">
      <c r="A1623" s="834" t="s">
        <v>2342</v>
      </c>
      <c r="B1623" s="835">
        <v>1620</v>
      </c>
      <c r="C1623" s="834" t="s">
        <v>2366</v>
      </c>
      <c r="D1623" s="834" t="s">
        <v>1198</v>
      </c>
      <c r="E1623" s="839">
        <v>45971.083333333336</v>
      </c>
      <c r="F1623" s="838" t="s">
        <v>140</v>
      </c>
      <c r="G1623" s="838">
        <v>29</v>
      </c>
      <c r="H1623" s="838" t="s">
        <v>1843</v>
      </c>
      <c r="I1623" s="838"/>
      <c r="J1623" s="838"/>
      <c r="K1623" s="834" t="s">
        <v>113</v>
      </c>
      <c r="L1623" s="834" t="s">
        <v>113</v>
      </c>
      <c r="M1623" s="834" t="s">
        <v>113</v>
      </c>
      <c r="N1623" s="834" t="s">
        <v>113</v>
      </c>
      <c r="O1623" s="113" t="s">
        <v>30</v>
      </c>
      <c r="P1623" s="848" t="s">
        <v>1091</v>
      </c>
      <c r="Q1623" s="24">
        <v>46014</v>
      </c>
      <c r="R1623" s="852" t="s">
        <v>67</v>
      </c>
      <c r="S1623" s="834" t="s">
        <v>32</v>
      </c>
      <c r="T1623" s="834">
        <v>28</v>
      </c>
      <c r="U1623" s="24" t="s">
        <v>67</v>
      </c>
      <c r="V1623" s="24">
        <v>46014</v>
      </c>
      <c r="W1623" s="96" t="s">
        <v>113</v>
      </c>
      <c r="X1623" s="91"/>
      <c r="Y1623" s="91"/>
      <c r="Z1623" s="96"/>
      <c r="AA1623" s="96"/>
      <c r="AB1623" s="96"/>
      <c r="AC1623" s="96"/>
      <c r="AD1623" s="96"/>
      <c r="AE1623" s="96"/>
      <c r="AF1623" s="80"/>
      <c r="AG1623" s="96"/>
      <c r="AH1623" s="110"/>
      <c r="AI1623" s="96"/>
      <c r="AJ1623" s="96"/>
      <c r="AK1623" s="96"/>
      <c r="AL1623" s="91" t="s">
        <v>32</v>
      </c>
      <c r="AM1623" s="840"/>
      <c r="AN1623" s="6">
        <v>6</v>
      </c>
      <c r="AO1623" s="6">
        <v>0</v>
      </c>
      <c r="AP1623" s="6">
        <v>7</v>
      </c>
      <c r="AQ1623" s="6">
        <v>16</v>
      </c>
      <c r="AR1623" s="6">
        <f>SUM(AN1623:AQ1623)</f>
        <v>29</v>
      </c>
      <c r="AS1623" s="104">
        <f>+AN1623/AR1623*AS$1</f>
        <v>0</v>
      </c>
      <c r="AT1623" s="105">
        <f>+AO1623/AR1623*AT$1</f>
        <v>0</v>
      </c>
      <c r="AU1623" s="105">
        <f>+AP1623/AR1623*AU$1</f>
        <v>0</v>
      </c>
      <c r="AV1623" s="105">
        <f>+AQ1623/AR1623*AV$1</f>
        <v>0</v>
      </c>
    </row>
    <row r="1624" spans="1:48">
      <c r="A1624" s="834" t="s">
        <v>2342</v>
      </c>
      <c r="B1624" s="835">
        <v>1621</v>
      </c>
      <c r="C1624" s="834" t="s">
        <v>2367</v>
      </c>
      <c r="D1624" s="834" t="s">
        <v>829</v>
      </c>
      <c r="E1624" s="839">
        <v>45971.166666666664</v>
      </c>
      <c r="F1624" s="838" t="s">
        <v>140</v>
      </c>
      <c r="G1624" s="838">
        <v>77</v>
      </c>
      <c r="H1624" s="838" t="s">
        <v>1843</v>
      </c>
      <c r="I1624" s="838"/>
      <c r="J1624" s="838"/>
      <c r="K1624" s="834" t="s">
        <v>113</v>
      </c>
      <c r="L1624" s="834" t="s">
        <v>113</v>
      </c>
      <c r="M1624" s="834" t="s">
        <v>113</v>
      </c>
      <c r="N1624" s="834" t="s">
        <v>113</v>
      </c>
      <c r="O1624" s="113" t="s">
        <v>30</v>
      </c>
      <c r="P1624" s="848" t="s">
        <v>1091</v>
      </c>
      <c r="Q1624" s="24">
        <v>46024</v>
      </c>
      <c r="R1624" s="852" t="s">
        <v>67</v>
      </c>
      <c r="S1624" s="834" t="s">
        <v>32</v>
      </c>
      <c r="T1624" s="834">
        <v>77</v>
      </c>
      <c r="U1624" s="24" t="s">
        <v>67</v>
      </c>
      <c r="V1624" s="24">
        <v>46024</v>
      </c>
      <c r="W1624" s="96" t="s">
        <v>113</v>
      </c>
      <c r="X1624" s="96"/>
      <c r="Y1624" s="91"/>
      <c r="Z1624" s="96"/>
      <c r="AA1624" s="96"/>
      <c r="AB1624" s="96"/>
      <c r="AC1624" s="96"/>
      <c r="AD1624" s="96"/>
      <c r="AE1624" s="96"/>
      <c r="AF1624" s="91"/>
      <c r="AG1624" s="96"/>
      <c r="AH1624" s="110"/>
      <c r="AI1624" s="96"/>
      <c r="AJ1624" s="96"/>
      <c r="AK1624" s="96"/>
      <c r="AL1624" s="91" t="s">
        <v>32</v>
      </c>
      <c r="AM1624" s="840"/>
      <c r="AN1624" s="6">
        <v>3</v>
      </c>
      <c r="AO1624" s="6">
        <v>0</v>
      </c>
      <c r="AP1624" s="6">
        <v>63</v>
      </c>
      <c r="AQ1624" s="6">
        <v>11</v>
      </c>
      <c r="AR1624" s="6">
        <f>SUM(AN1624:AQ1624)</f>
        <v>77</v>
      </c>
      <c r="AS1624" s="104">
        <f>+AN1624/AR1624*AS$1</f>
        <v>0</v>
      </c>
      <c r="AT1624" s="105">
        <f>+AO1624/AR1624*AT$1</f>
        <v>0</v>
      </c>
      <c r="AU1624" s="105">
        <f>+AP1624/AR1624*AU$1</f>
        <v>0</v>
      </c>
      <c r="AV1624" s="105">
        <f>+AQ1624/AR1624*AV$1</f>
        <v>0</v>
      </c>
    </row>
    <row r="1625" spans="1:48">
      <c r="A1625" s="834" t="s">
        <v>2342</v>
      </c>
      <c r="B1625" s="835">
        <v>1622</v>
      </c>
      <c r="C1625" s="834" t="s">
        <v>2368</v>
      </c>
      <c r="D1625" s="834" t="s">
        <v>1863</v>
      </c>
      <c r="E1625" s="839">
        <v>45971.375</v>
      </c>
      <c r="F1625" s="838" t="s">
        <v>140</v>
      </c>
      <c r="G1625" s="838">
        <v>1</v>
      </c>
      <c r="H1625" s="838" t="s">
        <v>127</v>
      </c>
      <c r="I1625" s="838"/>
      <c r="J1625" s="838"/>
      <c r="K1625" s="834" t="s">
        <v>113</v>
      </c>
      <c r="L1625" s="834" t="s">
        <v>113</v>
      </c>
      <c r="M1625" s="834" t="s">
        <v>113</v>
      </c>
      <c r="N1625" s="834" t="s">
        <v>113</v>
      </c>
      <c r="O1625" s="113"/>
      <c r="P1625" s="848" t="s">
        <v>1091</v>
      </c>
      <c r="Q1625" s="24">
        <v>46014</v>
      </c>
      <c r="R1625" s="852" t="s">
        <v>67</v>
      </c>
      <c r="S1625" s="834" t="s">
        <v>32</v>
      </c>
      <c r="T1625" s="834">
        <v>1</v>
      </c>
      <c r="U1625" s="24" t="s">
        <v>67</v>
      </c>
      <c r="V1625" s="24">
        <v>46014</v>
      </c>
      <c r="W1625" s="96" t="s">
        <v>113</v>
      </c>
      <c r="X1625" s="96"/>
      <c r="Y1625" s="91"/>
      <c r="Z1625" s="96"/>
      <c r="AA1625" s="96"/>
      <c r="AB1625" s="96"/>
      <c r="AC1625" s="96"/>
      <c r="AD1625" s="96"/>
      <c r="AE1625" s="96"/>
      <c r="AF1625" s="96"/>
      <c r="AG1625" s="96"/>
      <c r="AH1625" s="110"/>
      <c r="AI1625" s="110"/>
      <c r="AJ1625" s="110"/>
      <c r="AK1625" s="110"/>
      <c r="AL1625" s="91" t="s">
        <v>32</v>
      </c>
      <c r="AM1625" s="840"/>
    </row>
    <row r="1626" spans="1:48">
      <c r="A1626" s="834" t="s">
        <v>2342</v>
      </c>
      <c r="B1626" s="835">
        <v>1623</v>
      </c>
      <c r="C1626" s="834" t="s">
        <v>2369</v>
      </c>
      <c r="D1626" s="834" t="s">
        <v>1544</v>
      </c>
      <c r="E1626" s="839">
        <v>45971.041666666664</v>
      </c>
      <c r="F1626" s="838" t="s">
        <v>140</v>
      </c>
      <c r="G1626" s="838">
        <v>1</v>
      </c>
      <c r="H1626" s="838" t="s">
        <v>127</v>
      </c>
      <c r="I1626" s="838"/>
      <c r="J1626" s="838"/>
      <c r="K1626" s="834" t="s">
        <v>113</v>
      </c>
      <c r="L1626" s="834" t="s">
        <v>113</v>
      </c>
      <c r="M1626" s="834" t="s">
        <v>113</v>
      </c>
      <c r="N1626" s="834" t="s">
        <v>113</v>
      </c>
      <c r="O1626" s="113"/>
      <c r="P1626" s="848" t="s">
        <v>1091</v>
      </c>
      <c r="Q1626" s="24">
        <v>46014</v>
      </c>
      <c r="R1626" s="852" t="s">
        <v>67</v>
      </c>
      <c r="S1626" s="834" t="s">
        <v>32</v>
      </c>
      <c r="T1626" s="834">
        <v>1</v>
      </c>
      <c r="U1626" s="24" t="s">
        <v>67</v>
      </c>
      <c r="V1626" s="24">
        <v>46014</v>
      </c>
      <c r="W1626" s="96" t="s">
        <v>113</v>
      </c>
      <c r="X1626" s="96"/>
      <c r="Y1626" s="91"/>
      <c r="Z1626" s="96"/>
      <c r="AA1626" s="96"/>
      <c r="AB1626" s="96"/>
      <c r="AC1626" s="96"/>
      <c r="AD1626" s="96"/>
      <c r="AE1626" s="96"/>
      <c r="AF1626" s="96"/>
      <c r="AG1626" s="96"/>
      <c r="AH1626" s="110"/>
      <c r="AI1626" s="110"/>
      <c r="AJ1626" s="110"/>
      <c r="AK1626" s="107"/>
      <c r="AL1626" s="91" t="s">
        <v>32</v>
      </c>
      <c r="AM1626" s="840"/>
    </row>
    <row r="1627" spans="1:48">
      <c r="A1627" s="834" t="s">
        <v>2342</v>
      </c>
      <c r="B1627" s="835">
        <v>1624</v>
      </c>
      <c r="C1627" s="834" t="s">
        <v>2370</v>
      </c>
      <c r="D1627" s="834" t="s">
        <v>1574</v>
      </c>
      <c r="E1627" s="839">
        <v>45971</v>
      </c>
      <c r="F1627" s="838" t="s">
        <v>140</v>
      </c>
      <c r="G1627" s="838">
        <v>1</v>
      </c>
      <c r="H1627" s="838" t="s">
        <v>1076</v>
      </c>
      <c r="I1627" s="838"/>
      <c r="J1627" s="838"/>
      <c r="K1627" s="834" t="s">
        <v>113</v>
      </c>
      <c r="L1627" s="834" t="s">
        <v>113</v>
      </c>
      <c r="M1627" s="834" t="s">
        <v>113</v>
      </c>
      <c r="N1627" s="834" t="s">
        <v>113</v>
      </c>
      <c r="O1627" s="113"/>
      <c r="P1627" s="848" t="s">
        <v>1091</v>
      </c>
      <c r="Q1627" s="24">
        <v>46014</v>
      </c>
      <c r="R1627" s="852" t="s">
        <v>67</v>
      </c>
      <c r="S1627" s="834" t="s">
        <v>32</v>
      </c>
      <c r="T1627" s="834">
        <v>1</v>
      </c>
      <c r="U1627" s="24" t="s">
        <v>67</v>
      </c>
      <c r="V1627" s="24">
        <v>46014</v>
      </c>
      <c r="W1627" s="96" t="s">
        <v>113</v>
      </c>
      <c r="X1627" s="96"/>
      <c r="Y1627" s="91"/>
      <c r="Z1627" s="96"/>
      <c r="AA1627" s="96"/>
      <c r="AB1627" s="96"/>
      <c r="AC1627" s="96"/>
      <c r="AD1627" s="96"/>
      <c r="AE1627" s="96"/>
      <c r="AF1627" s="96"/>
      <c r="AG1627" s="96"/>
      <c r="AH1627" s="110"/>
      <c r="AI1627" s="110"/>
      <c r="AJ1627" s="110"/>
      <c r="AK1627" s="107"/>
      <c r="AL1627" s="91" t="s">
        <v>32</v>
      </c>
      <c r="AM1627" s="840"/>
    </row>
    <row r="1628" spans="1:48">
      <c r="A1628" s="834" t="s">
        <v>2342</v>
      </c>
      <c r="B1628" s="835">
        <v>1625</v>
      </c>
      <c r="C1628" s="834" t="s">
        <v>2371</v>
      </c>
      <c r="D1628" s="834" t="s">
        <v>2372</v>
      </c>
      <c r="E1628" s="839">
        <v>45971</v>
      </c>
      <c r="F1628" s="838" t="s">
        <v>140</v>
      </c>
      <c r="G1628" s="838">
        <v>26</v>
      </c>
      <c r="H1628" s="838" t="s">
        <v>1077</v>
      </c>
      <c r="I1628" s="838"/>
      <c r="J1628" s="838"/>
      <c r="K1628" s="834" t="s">
        <v>113</v>
      </c>
      <c r="L1628" s="834" t="s">
        <v>113</v>
      </c>
      <c r="M1628" s="834" t="s">
        <v>113</v>
      </c>
      <c r="N1628" s="834" t="s">
        <v>113</v>
      </c>
      <c r="O1628" s="113" t="s">
        <v>30</v>
      </c>
      <c r="P1628" s="848" t="s">
        <v>1091</v>
      </c>
      <c r="Q1628" s="24">
        <v>46020</v>
      </c>
      <c r="R1628" s="852" t="s">
        <v>67</v>
      </c>
      <c r="S1628" s="834" t="s">
        <v>32</v>
      </c>
      <c r="T1628" s="834">
        <v>26</v>
      </c>
      <c r="U1628" s="24" t="s">
        <v>67</v>
      </c>
      <c r="V1628" s="24">
        <v>46020</v>
      </c>
      <c r="W1628" s="96" t="s">
        <v>113</v>
      </c>
      <c r="X1628" s="90"/>
      <c r="Y1628" s="91"/>
      <c r="Z1628" s="96"/>
      <c r="AA1628" s="96"/>
      <c r="AB1628" s="96"/>
      <c r="AC1628" s="96"/>
      <c r="AD1628" s="96"/>
      <c r="AE1628" s="96"/>
      <c r="AF1628" s="96"/>
      <c r="AG1628" s="96"/>
      <c r="AH1628" s="110"/>
      <c r="AI1628" s="107"/>
      <c r="AJ1628" s="107"/>
      <c r="AK1628" s="107"/>
      <c r="AL1628" s="91" t="s">
        <v>32</v>
      </c>
      <c r="AM1628" s="840"/>
      <c r="AN1628" s="6">
        <v>0</v>
      </c>
      <c r="AO1628" s="6">
        <v>0</v>
      </c>
      <c r="AP1628" s="6">
        <v>26</v>
      </c>
      <c r="AQ1628" s="6">
        <v>0</v>
      </c>
      <c r="AR1628" s="6">
        <f>SUM(AN1628:AQ1628)</f>
        <v>26</v>
      </c>
      <c r="AS1628" s="104">
        <f>+AN1628/AR1628*AS$1</f>
        <v>0</v>
      </c>
      <c r="AT1628" s="105">
        <f>+AO1628/AR1628*AT$1</f>
        <v>0</v>
      </c>
      <c r="AU1628" s="105">
        <f>+AP1628/AR1628*AU$1</f>
        <v>0</v>
      </c>
      <c r="AV1628" s="105">
        <f>+AQ1628/AR1628*AV$1</f>
        <v>0</v>
      </c>
    </row>
    <row r="1629" spans="1:48">
      <c r="A1629" s="834" t="s">
        <v>2342</v>
      </c>
      <c r="B1629" s="835">
        <v>1626</v>
      </c>
      <c r="C1629" s="834" t="s">
        <v>2373</v>
      </c>
      <c r="D1629" s="834" t="s">
        <v>2374</v>
      </c>
      <c r="E1629" s="839">
        <v>45971</v>
      </c>
      <c r="F1629" s="838" t="s">
        <v>140</v>
      </c>
      <c r="G1629" s="838">
        <v>5</v>
      </c>
      <c r="H1629" s="838" t="s">
        <v>1077</v>
      </c>
      <c r="I1629" s="838"/>
      <c r="J1629" s="838"/>
      <c r="K1629" s="834" t="s">
        <v>113</v>
      </c>
      <c r="L1629" s="834" t="s">
        <v>113</v>
      </c>
      <c r="M1629" s="834" t="s">
        <v>113</v>
      </c>
      <c r="N1629" s="834" t="s">
        <v>113</v>
      </c>
      <c r="O1629" s="113"/>
      <c r="P1629" s="848" t="s">
        <v>1091</v>
      </c>
      <c r="Q1629" s="24">
        <v>45989</v>
      </c>
      <c r="R1629" s="852" t="s">
        <v>67</v>
      </c>
      <c r="S1629" s="834" t="s">
        <v>32</v>
      </c>
      <c r="T1629" s="834">
        <v>5</v>
      </c>
      <c r="U1629" s="24" t="s">
        <v>67</v>
      </c>
      <c r="V1629" s="24">
        <v>45989</v>
      </c>
      <c r="W1629" s="96" t="s">
        <v>113</v>
      </c>
      <c r="X1629" s="96"/>
      <c r="Y1629" s="91"/>
      <c r="Z1629" s="96"/>
      <c r="AA1629" s="91"/>
      <c r="AB1629" s="96"/>
      <c r="AC1629" s="96"/>
      <c r="AD1629" s="96"/>
      <c r="AE1629" s="96"/>
      <c r="AF1629" s="96"/>
      <c r="AG1629" s="96"/>
      <c r="AH1629" s="110"/>
      <c r="AI1629" s="110"/>
      <c r="AJ1629" s="110"/>
      <c r="AK1629" s="110"/>
      <c r="AL1629" s="91" t="s">
        <v>32</v>
      </c>
      <c r="AM1629" s="840" t="s">
        <v>2068</v>
      </c>
    </row>
    <row r="1630" spans="1:48">
      <c r="A1630" s="834" t="s">
        <v>2342</v>
      </c>
      <c r="B1630" s="835">
        <v>1627</v>
      </c>
      <c r="C1630" s="834" t="s">
        <v>2375</v>
      </c>
      <c r="D1630" s="834" t="s">
        <v>2376</v>
      </c>
      <c r="E1630" s="839">
        <v>45971.375</v>
      </c>
      <c r="F1630" s="838" t="s">
        <v>140</v>
      </c>
      <c r="G1630" s="838">
        <v>9</v>
      </c>
      <c r="H1630" s="838" t="s">
        <v>1077</v>
      </c>
      <c r="I1630" s="838"/>
      <c r="J1630" s="838"/>
      <c r="K1630" s="834" t="s">
        <v>113</v>
      </c>
      <c r="L1630" s="834" t="s">
        <v>113</v>
      </c>
      <c r="M1630" s="834" t="s">
        <v>113</v>
      </c>
      <c r="N1630" s="834" t="s">
        <v>113</v>
      </c>
      <c r="O1630" s="848"/>
      <c r="P1630" s="848" t="s">
        <v>1091</v>
      </c>
      <c r="Q1630" s="24">
        <v>46014</v>
      </c>
      <c r="R1630" s="852" t="s">
        <v>67</v>
      </c>
      <c r="S1630" s="834" t="s">
        <v>32</v>
      </c>
      <c r="T1630" s="834">
        <v>9</v>
      </c>
      <c r="U1630" s="24" t="s">
        <v>67</v>
      </c>
      <c r="V1630" s="24">
        <v>46014</v>
      </c>
      <c r="W1630" s="96" t="s">
        <v>113</v>
      </c>
      <c r="X1630" s="80"/>
      <c r="Y1630" s="91"/>
      <c r="Z1630" s="96"/>
      <c r="AA1630" s="96"/>
      <c r="AB1630" s="96"/>
      <c r="AC1630" s="96"/>
      <c r="AD1630" s="96"/>
      <c r="AE1630" s="96"/>
      <c r="AF1630" s="96"/>
      <c r="AG1630" s="96"/>
      <c r="AH1630" s="110"/>
      <c r="AI1630" s="96"/>
      <c r="AJ1630" s="96"/>
      <c r="AK1630" s="96"/>
      <c r="AL1630" s="91" t="s">
        <v>32</v>
      </c>
      <c r="AM1630" s="840"/>
    </row>
    <row r="1631" spans="1:48">
      <c r="A1631" s="834" t="s">
        <v>2342</v>
      </c>
      <c r="B1631" s="835">
        <v>1628</v>
      </c>
      <c r="C1631" s="834" t="s">
        <v>2377</v>
      </c>
      <c r="D1631" s="834" t="s">
        <v>2378</v>
      </c>
      <c r="E1631" s="839">
        <v>45971.083333333336</v>
      </c>
      <c r="F1631" s="838" t="s">
        <v>140</v>
      </c>
      <c r="G1631" s="838">
        <v>4</v>
      </c>
      <c r="H1631" s="838" t="s">
        <v>2379</v>
      </c>
      <c r="I1631" s="838"/>
      <c r="J1631" s="838"/>
      <c r="K1631" s="834" t="s">
        <v>113</v>
      </c>
      <c r="L1631" s="834" t="s">
        <v>113</v>
      </c>
      <c r="M1631" s="834" t="s">
        <v>113</v>
      </c>
      <c r="N1631" s="834" t="s">
        <v>113</v>
      </c>
      <c r="O1631" s="113"/>
      <c r="P1631" s="848" t="s">
        <v>1091</v>
      </c>
      <c r="Q1631" s="24">
        <v>46014</v>
      </c>
      <c r="R1631" s="852" t="s">
        <v>67</v>
      </c>
      <c r="S1631" s="834" t="s">
        <v>32</v>
      </c>
      <c r="T1631" s="834">
        <v>2</v>
      </c>
      <c r="U1631" s="24" t="s">
        <v>67</v>
      </c>
      <c r="V1631" s="24">
        <v>46014</v>
      </c>
      <c r="W1631" s="96" t="s">
        <v>113</v>
      </c>
      <c r="X1631" s="96"/>
      <c r="Y1631" s="91"/>
      <c r="Z1631" s="91"/>
      <c r="AA1631" s="91"/>
      <c r="AB1631" s="91"/>
      <c r="AC1631" s="96"/>
      <c r="AD1631" s="96"/>
      <c r="AE1631" s="96"/>
      <c r="AF1631" s="96"/>
      <c r="AG1631" s="96"/>
      <c r="AH1631" s="110"/>
      <c r="AI1631" s="107"/>
      <c r="AJ1631" s="107"/>
      <c r="AK1631" s="107"/>
      <c r="AL1631" s="91" t="s">
        <v>32</v>
      </c>
      <c r="AM1631" s="840"/>
    </row>
    <row r="1632" spans="1:48">
      <c r="A1632" s="834" t="s">
        <v>2342</v>
      </c>
      <c r="B1632" s="835">
        <v>1629</v>
      </c>
      <c r="C1632" s="834" t="s">
        <v>2380</v>
      </c>
      <c r="D1632" s="834" t="s">
        <v>2381</v>
      </c>
      <c r="E1632" s="839">
        <v>45971.041666666664</v>
      </c>
      <c r="F1632" s="838" t="s">
        <v>140</v>
      </c>
      <c r="G1632" s="838">
        <v>11</v>
      </c>
      <c r="H1632" s="838" t="s">
        <v>1853</v>
      </c>
      <c r="I1632" s="838"/>
      <c r="J1632" s="838"/>
      <c r="K1632" s="834" t="s">
        <v>113</v>
      </c>
      <c r="L1632" s="834" t="s">
        <v>113</v>
      </c>
      <c r="M1632" s="834" t="s">
        <v>113</v>
      </c>
      <c r="N1632" s="834" t="s">
        <v>113</v>
      </c>
      <c r="O1632" s="848"/>
      <c r="P1632" s="848" t="s">
        <v>1091</v>
      </c>
      <c r="Q1632" s="24">
        <v>46015</v>
      </c>
      <c r="R1632" s="852" t="s">
        <v>67</v>
      </c>
      <c r="S1632" s="834" t="s">
        <v>32</v>
      </c>
      <c r="T1632" s="834">
        <v>11</v>
      </c>
      <c r="U1632" s="24" t="s">
        <v>67</v>
      </c>
      <c r="V1632" s="24">
        <v>46015</v>
      </c>
      <c r="W1632" s="96" t="s">
        <v>113</v>
      </c>
      <c r="X1632" s="96"/>
      <c r="Y1632" s="91"/>
      <c r="Z1632" s="91"/>
      <c r="AA1632" s="91"/>
      <c r="AB1632" s="91"/>
      <c r="AC1632" s="96"/>
      <c r="AD1632" s="96"/>
      <c r="AE1632" s="96"/>
      <c r="AF1632" s="96"/>
      <c r="AG1632" s="96"/>
      <c r="AH1632" s="110"/>
      <c r="AI1632" s="107"/>
      <c r="AJ1632" s="107"/>
      <c r="AK1632" s="107"/>
      <c r="AL1632" s="91" t="s">
        <v>32</v>
      </c>
      <c r="AM1632" s="840"/>
    </row>
    <row r="1633" spans="1:48">
      <c r="A1633" s="834" t="s">
        <v>2342</v>
      </c>
      <c r="B1633" s="835">
        <v>1630</v>
      </c>
      <c r="C1633" s="834" t="s">
        <v>2382</v>
      </c>
      <c r="D1633" s="834" t="s">
        <v>846</v>
      </c>
      <c r="E1633" s="839">
        <v>45971</v>
      </c>
      <c r="F1633" s="838" t="s">
        <v>140</v>
      </c>
      <c r="G1633" s="838">
        <v>1</v>
      </c>
      <c r="H1633" s="838" t="s">
        <v>1076</v>
      </c>
      <c r="I1633" s="838"/>
      <c r="J1633" s="838"/>
      <c r="K1633" s="834" t="s">
        <v>113</v>
      </c>
      <c r="L1633" s="834" t="s">
        <v>113</v>
      </c>
      <c r="M1633" s="834" t="s">
        <v>113</v>
      </c>
      <c r="N1633" s="834" t="s">
        <v>113</v>
      </c>
      <c r="O1633" s="848"/>
      <c r="P1633" s="848" t="s">
        <v>1091</v>
      </c>
      <c r="Q1633" s="24">
        <v>46015</v>
      </c>
      <c r="R1633" s="852" t="s">
        <v>67</v>
      </c>
      <c r="S1633" s="834" t="s">
        <v>32</v>
      </c>
      <c r="T1633" s="834">
        <v>1</v>
      </c>
      <c r="U1633" s="24" t="s">
        <v>67</v>
      </c>
      <c r="V1633" s="24">
        <v>46015</v>
      </c>
      <c r="W1633" s="96" t="s">
        <v>113</v>
      </c>
      <c r="X1633" s="96"/>
      <c r="Y1633" s="91"/>
      <c r="Z1633" s="91"/>
      <c r="AA1633" s="91"/>
      <c r="AB1633" s="91"/>
      <c r="AC1633" s="96"/>
      <c r="AD1633" s="96"/>
      <c r="AE1633" s="96"/>
      <c r="AF1633" s="96"/>
      <c r="AG1633" s="96"/>
      <c r="AH1633" s="110"/>
      <c r="AI1633" s="107"/>
      <c r="AJ1633" s="107"/>
      <c r="AK1633" s="107"/>
      <c r="AL1633" s="91" t="s">
        <v>32</v>
      </c>
      <c r="AM1633" s="840"/>
      <c r="AO1633" s="776"/>
      <c r="AP1633" s="776"/>
      <c r="AQ1633" s="776"/>
      <c r="AR1633" s="776"/>
    </row>
    <row r="1634" spans="1:48">
      <c r="A1634" s="834" t="s">
        <v>2342</v>
      </c>
      <c r="B1634" s="835">
        <v>1631</v>
      </c>
      <c r="C1634" s="834" t="s">
        <v>2383</v>
      </c>
      <c r="D1634" s="834" t="s">
        <v>1025</v>
      </c>
      <c r="E1634" s="839">
        <v>45974</v>
      </c>
      <c r="F1634" s="838" t="s">
        <v>140</v>
      </c>
      <c r="G1634" s="838">
        <v>1</v>
      </c>
      <c r="H1634" s="838" t="s">
        <v>1076</v>
      </c>
      <c r="I1634" s="838"/>
      <c r="J1634" s="838"/>
      <c r="K1634" s="834" t="s">
        <v>113</v>
      </c>
      <c r="L1634" s="834" t="s">
        <v>113</v>
      </c>
      <c r="M1634" s="834" t="s">
        <v>113</v>
      </c>
      <c r="N1634" s="834" t="s">
        <v>113</v>
      </c>
      <c r="O1634" s="848"/>
      <c r="P1634" s="848" t="s">
        <v>1091</v>
      </c>
      <c r="Q1634" s="24">
        <v>46006</v>
      </c>
      <c r="R1634" s="852" t="s">
        <v>67</v>
      </c>
      <c r="S1634" s="834" t="s">
        <v>32</v>
      </c>
      <c r="T1634" s="834">
        <v>1</v>
      </c>
      <c r="U1634" s="24" t="s">
        <v>67</v>
      </c>
      <c r="V1634" s="24">
        <v>46006</v>
      </c>
      <c r="W1634" s="96" t="s">
        <v>113</v>
      </c>
      <c r="X1634" s="96"/>
      <c r="Y1634" s="91"/>
      <c r="Z1634" s="96"/>
      <c r="AA1634" s="96"/>
      <c r="AB1634" s="96"/>
      <c r="AC1634" s="96"/>
      <c r="AD1634" s="96"/>
      <c r="AE1634" s="96"/>
      <c r="AF1634" s="96"/>
      <c r="AG1634" s="96"/>
      <c r="AH1634" s="110"/>
      <c r="AI1634" s="96"/>
      <c r="AJ1634" s="96"/>
      <c r="AK1634" s="96"/>
      <c r="AL1634" s="91" t="s">
        <v>32</v>
      </c>
      <c r="AM1634" s="840"/>
      <c r="AS1634" s="71"/>
      <c r="AT1634" s="92"/>
      <c r="AU1634" s="92"/>
    </row>
    <row r="1635" spans="1:48">
      <c r="A1635" s="834" t="s">
        <v>2342</v>
      </c>
      <c r="B1635" s="835">
        <v>1632</v>
      </c>
      <c r="C1635" s="834" t="s">
        <v>2384</v>
      </c>
      <c r="D1635" s="834" t="s">
        <v>1250</v>
      </c>
      <c r="E1635" s="839">
        <v>45971.375</v>
      </c>
      <c r="F1635" s="838" t="s">
        <v>140</v>
      </c>
      <c r="G1635" s="838">
        <v>1</v>
      </c>
      <c r="H1635" s="838" t="s">
        <v>1076</v>
      </c>
      <c r="I1635" s="838"/>
      <c r="J1635" s="838"/>
      <c r="K1635" s="834" t="s">
        <v>113</v>
      </c>
      <c r="L1635" s="834" t="s">
        <v>113</v>
      </c>
      <c r="M1635" s="834" t="s">
        <v>113</v>
      </c>
      <c r="N1635" s="834" t="s">
        <v>113</v>
      </c>
      <c r="O1635" s="113"/>
      <c r="P1635" s="848" t="s">
        <v>1091</v>
      </c>
      <c r="Q1635" s="24">
        <v>46015</v>
      </c>
      <c r="R1635" s="852" t="s">
        <v>67</v>
      </c>
      <c r="S1635" s="834" t="s">
        <v>32</v>
      </c>
      <c r="T1635" s="834">
        <v>1</v>
      </c>
      <c r="U1635" s="24" t="s">
        <v>67</v>
      </c>
      <c r="V1635" s="24">
        <v>46015</v>
      </c>
      <c r="W1635" s="96" t="s">
        <v>113</v>
      </c>
      <c r="X1635" s="96"/>
      <c r="Y1635" s="91"/>
      <c r="Z1635" s="90"/>
      <c r="AA1635" s="90"/>
      <c r="AB1635" s="96"/>
      <c r="AC1635" s="96"/>
      <c r="AD1635" s="96"/>
      <c r="AE1635" s="96"/>
      <c r="AF1635" s="96"/>
      <c r="AG1635" s="96"/>
      <c r="AH1635" s="110"/>
      <c r="AI1635" s="96"/>
      <c r="AJ1635" s="96"/>
      <c r="AK1635" s="96"/>
      <c r="AL1635" s="91" t="s">
        <v>32</v>
      </c>
      <c r="AM1635" s="840"/>
      <c r="AO1635" s="776"/>
      <c r="AP1635" s="776"/>
      <c r="AQ1635" s="776"/>
      <c r="AR1635" s="776"/>
    </row>
    <row r="1636" spans="1:48">
      <c r="A1636" s="834" t="s">
        <v>2342</v>
      </c>
      <c r="B1636" s="835">
        <v>1633</v>
      </c>
      <c r="C1636" s="834" t="s">
        <v>2385</v>
      </c>
      <c r="D1636" s="834" t="s">
        <v>798</v>
      </c>
      <c r="E1636" s="839">
        <v>45971</v>
      </c>
      <c r="F1636" s="838" t="s">
        <v>140</v>
      </c>
      <c r="G1636" s="838">
        <v>9</v>
      </c>
      <c r="H1636" s="838" t="s">
        <v>127</v>
      </c>
      <c r="I1636" s="838"/>
      <c r="J1636" s="838"/>
      <c r="K1636" s="834" t="s">
        <v>113</v>
      </c>
      <c r="L1636" s="834" t="s">
        <v>113</v>
      </c>
      <c r="M1636" s="834" t="s">
        <v>113</v>
      </c>
      <c r="N1636" s="834" t="s">
        <v>113</v>
      </c>
      <c r="O1636" s="848"/>
      <c r="P1636" s="848" t="s">
        <v>1091</v>
      </c>
      <c r="Q1636" s="24">
        <v>46015</v>
      </c>
      <c r="R1636" s="852" t="s">
        <v>67</v>
      </c>
      <c r="S1636" s="834" t="s">
        <v>32</v>
      </c>
      <c r="T1636" s="834">
        <v>9</v>
      </c>
      <c r="U1636" s="24" t="s">
        <v>67</v>
      </c>
      <c r="V1636" s="24">
        <v>46015</v>
      </c>
      <c r="W1636" s="96" t="s">
        <v>113</v>
      </c>
      <c r="X1636" s="96"/>
      <c r="Y1636" s="91"/>
      <c r="Z1636" s="90"/>
      <c r="AA1636" s="90"/>
      <c r="AB1636" s="96"/>
      <c r="AC1636" s="96"/>
      <c r="AD1636" s="96"/>
      <c r="AE1636" s="96"/>
      <c r="AF1636" s="96"/>
      <c r="AG1636" s="96"/>
      <c r="AH1636" s="110"/>
      <c r="AI1636" s="107"/>
      <c r="AJ1636" s="107"/>
      <c r="AK1636" s="107"/>
      <c r="AL1636" s="91" t="s">
        <v>32</v>
      </c>
      <c r="AM1636" s="840"/>
      <c r="AO1636" s="776"/>
      <c r="AP1636" s="776"/>
      <c r="AQ1636" s="776"/>
      <c r="AR1636" s="776"/>
    </row>
    <row r="1637" spans="1:48">
      <c r="A1637" s="834" t="s">
        <v>2342</v>
      </c>
      <c r="B1637" s="835">
        <v>1634</v>
      </c>
      <c r="C1637" s="834" t="s">
        <v>2386</v>
      </c>
      <c r="D1637" s="834" t="s">
        <v>1230</v>
      </c>
      <c r="E1637" s="839">
        <v>45971.083333333336</v>
      </c>
      <c r="F1637" s="838" t="s">
        <v>140</v>
      </c>
      <c r="G1637" s="838">
        <v>7</v>
      </c>
      <c r="H1637" s="838" t="s">
        <v>1077</v>
      </c>
      <c r="I1637" s="838"/>
      <c r="J1637" s="838"/>
      <c r="K1637" s="834" t="s">
        <v>113</v>
      </c>
      <c r="L1637" s="834" t="s">
        <v>113</v>
      </c>
      <c r="M1637" s="834" t="s">
        <v>113</v>
      </c>
      <c r="N1637" s="834" t="s">
        <v>113</v>
      </c>
      <c r="O1637" s="113"/>
      <c r="P1637" s="848" t="s">
        <v>1091</v>
      </c>
      <c r="Q1637" s="24">
        <v>46015</v>
      </c>
      <c r="R1637" s="852" t="s">
        <v>67</v>
      </c>
      <c r="S1637" s="834" t="s">
        <v>32</v>
      </c>
      <c r="T1637" s="834">
        <v>7</v>
      </c>
      <c r="U1637" s="24" t="s">
        <v>67</v>
      </c>
      <c r="V1637" s="24">
        <v>46015</v>
      </c>
      <c r="W1637" s="96" t="s">
        <v>113</v>
      </c>
      <c r="X1637" s="90"/>
      <c r="Y1637" s="91"/>
      <c r="Z1637" s="91"/>
      <c r="AA1637" s="91"/>
      <c r="AB1637" s="96"/>
      <c r="AC1637" s="96"/>
      <c r="AD1637" s="96"/>
      <c r="AE1637" s="96"/>
      <c r="AF1637" s="96"/>
      <c r="AG1637" s="96"/>
      <c r="AH1637" s="110"/>
      <c r="AI1637" s="110"/>
      <c r="AJ1637" s="110"/>
      <c r="AK1637" s="96"/>
      <c r="AL1637" s="91" t="s">
        <v>32</v>
      </c>
      <c r="AM1637" s="840"/>
    </row>
    <row r="1638" spans="1:48">
      <c r="A1638" s="834" t="s">
        <v>2342</v>
      </c>
      <c r="B1638" s="835">
        <v>1635</v>
      </c>
      <c r="C1638" s="834" t="s">
        <v>2387</v>
      </c>
      <c r="D1638" s="834" t="s">
        <v>358</v>
      </c>
      <c r="E1638" s="839">
        <v>45971.041666666664</v>
      </c>
      <c r="F1638" s="838" t="s">
        <v>140</v>
      </c>
      <c r="G1638" s="838">
        <v>6</v>
      </c>
      <c r="H1638" s="838" t="s">
        <v>127</v>
      </c>
      <c r="I1638" s="838"/>
      <c r="J1638" s="838"/>
      <c r="K1638" s="834" t="s">
        <v>113</v>
      </c>
      <c r="L1638" s="834" t="s">
        <v>113</v>
      </c>
      <c r="M1638" s="834" t="s">
        <v>113</v>
      </c>
      <c r="N1638" s="834" t="s">
        <v>113</v>
      </c>
      <c r="O1638" s="113"/>
      <c r="P1638" s="848" t="s">
        <v>1091</v>
      </c>
      <c r="Q1638" s="24">
        <v>46015</v>
      </c>
      <c r="R1638" s="852" t="s">
        <v>67</v>
      </c>
      <c r="S1638" s="834" t="s">
        <v>32</v>
      </c>
      <c r="T1638" s="834">
        <v>6</v>
      </c>
      <c r="U1638" s="24" t="s">
        <v>67</v>
      </c>
      <c r="V1638" s="24">
        <v>46015</v>
      </c>
      <c r="W1638" s="96" t="s">
        <v>113</v>
      </c>
      <c r="X1638" s="96"/>
      <c r="Y1638" s="96"/>
      <c r="Z1638" s="96"/>
      <c r="AA1638" s="96"/>
      <c r="AB1638" s="96"/>
      <c r="AC1638" s="96"/>
      <c r="AD1638" s="96"/>
      <c r="AE1638" s="96"/>
      <c r="AF1638" s="96"/>
      <c r="AG1638" s="96"/>
      <c r="AH1638" s="110"/>
      <c r="AI1638" s="110"/>
      <c r="AJ1638" s="110"/>
      <c r="AK1638" s="110"/>
      <c r="AL1638" s="91" t="s">
        <v>32</v>
      </c>
      <c r="AM1638" s="840"/>
    </row>
    <row r="1639" spans="1:48">
      <c r="A1639" s="834" t="s">
        <v>2342</v>
      </c>
      <c r="B1639" s="835">
        <v>1636</v>
      </c>
      <c r="C1639" s="834" t="s">
        <v>2388</v>
      </c>
      <c r="D1639" s="834" t="s">
        <v>1025</v>
      </c>
      <c r="E1639" s="839">
        <v>45978</v>
      </c>
      <c r="F1639" s="838" t="s">
        <v>140</v>
      </c>
      <c r="G1639" s="838">
        <v>1</v>
      </c>
      <c r="H1639" s="838" t="s">
        <v>127</v>
      </c>
      <c r="I1639" s="838"/>
      <c r="J1639" s="838"/>
      <c r="K1639" s="834" t="s">
        <v>113</v>
      </c>
      <c r="L1639" s="834" t="s">
        <v>113</v>
      </c>
      <c r="M1639" s="834" t="s">
        <v>113</v>
      </c>
      <c r="N1639" s="834" t="s">
        <v>113</v>
      </c>
      <c r="O1639" s="848"/>
      <c r="P1639" s="848" t="s">
        <v>1091</v>
      </c>
      <c r="Q1639" s="24">
        <v>46024</v>
      </c>
      <c r="R1639" s="852" t="s">
        <v>67</v>
      </c>
      <c r="S1639" s="834" t="s">
        <v>32</v>
      </c>
      <c r="T1639" s="834">
        <v>1</v>
      </c>
      <c r="U1639" s="24" t="s">
        <v>67</v>
      </c>
      <c r="V1639" s="24">
        <v>46024</v>
      </c>
      <c r="W1639" s="96" t="s">
        <v>113</v>
      </c>
      <c r="X1639" s="96"/>
      <c r="Y1639" s="96"/>
      <c r="Z1639" s="96"/>
      <c r="AA1639" s="96"/>
      <c r="AB1639" s="96"/>
      <c r="AC1639" s="96"/>
      <c r="AD1639" s="96"/>
      <c r="AE1639" s="96"/>
      <c r="AF1639" s="96"/>
      <c r="AG1639" s="96"/>
      <c r="AH1639" s="110"/>
      <c r="AI1639" s="110"/>
      <c r="AJ1639" s="110"/>
      <c r="AK1639" s="110"/>
      <c r="AL1639" s="91" t="s">
        <v>32</v>
      </c>
      <c r="AM1639" s="840"/>
    </row>
    <row r="1640" spans="1:48">
      <c r="A1640" s="834" t="s">
        <v>2342</v>
      </c>
      <c r="B1640" s="835">
        <v>1637</v>
      </c>
      <c r="C1640" s="834" t="s">
        <v>2389</v>
      </c>
      <c r="D1640" s="834" t="s">
        <v>2390</v>
      </c>
      <c r="E1640" s="839">
        <v>45978</v>
      </c>
      <c r="F1640" s="838" t="s">
        <v>140</v>
      </c>
      <c r="G1640" s="838">
        <v>16</v>
      </c>
      <c r="H1640" s="838" t="s">
        <v>2391</v>
      </c>
      <c r="I1640" s="838"/>
      <c r="J1640" s="838"/>
      <c r="K1640" s="834" t="s">
        <v>113</v>
      </c>
      <c r="L1640" s="834" t="s">
        <v>113</v>
      </c>
      <c r="M1640" s="834" t="s">
        <v>113</v>
      </c>
      <c r="N1640" s="834" t="s">
        <v>113</v>
      </c>
      <c r="O1640" s="113" t="s">
        <v>30</v>
      </c>
      <c r="P1640" s="848" t="s">
        <v>1091</v>
      </c>
      <c r="Q1640" s="24">
        <v>46017</v>
      </c>
      <c r="R1640" s="852" t="s">
        <v>67</v>
      </c>
      <c r="S1640" s="834" t="s">
        <v>32</v>
      </c>
      <c r="T1640" s="834">
        <v>16</v>
      </c>
      <c r="U1640" s="24" t="s">
        <v>67</v>
      </c>
      <c r="V1640" s="24">
        <v>46017</v>
      </c>
      <c r="W1640" s="96" t="s">
        <v>113</v>
      </c>
      <c r="X1640" s="96"/>
      <c r="Y1640" s="91"/>
      <c r="Z1640" s="91"/>
      <c r="AA1640" s="91"/>
      <c r="AB1640" s="91"/>
      <c r="AC1640" s="96"/>
      <c r="AD1640" s="96"/>
      <c r="AE1640" s="96"/>
      <c r="AF1640" s="96"/>
      <c r="AG1640" s="96"/>
      <c r="AH1640" s="110"/>
      <c r="AI1640" s="110"/>
      <c r="AJ1640" s="110"/>
      <c r="AK1640" s="110"/>
      <c r="AL1640" s="91" t="s">
        <v>32</v>
      </c>
      <c r="AM1640" s="840"/>
      <c r="AN1640" s="6">
        <v>0</v>
      </c>
      <c r="AO1640" s="6">
        <v>3</v>
      </c>
      <c r="AP1640" s="6">
        <v>0</v>
      </c>
      <c r="AQ1640" s="6">
        <v>13</v>
      </c>
      <c r="AR1640" s="6">
        <f>SUM(AN1640:AQ1640)</f>
        <v>16</v>
      </c>
      <c r="AS1640" s="104">
        <f>+AN1640/AR1640*AS$1</f>
        <v>0</v>
      </c>
      <c r="AT1640" s="105">
        <f>+AO1640/AR1640*AT$1</f>
        <v>0</v>
      </c>
      <c r="AU1640" s="105">
        <f>+AP1640/AR1640*AU$1</f>
        <v>0</v>
      </c>
      <c r="AV1640" s="105">
        <f>+AQ1640/AR1640*AV$1</f>
        <v>0</v>
      </c>
    </row>
    <row r="1641" spans="1:48">
      <c r="A1641" s="834" t="s">
        <v>2342</v>
      </c>
      <c r="B1641" s="835">
        <v>1638</v>
      </c>
      <c r="C1641" s="834" t="s">
        <v>2392</v>
      </c>
      <c r="D1641" s="834" t="s">
        <v>2393</v>
      </c>
      <c r="E1641" s="839">
        <v>45978.166666666664</v>
      </c>
      <c r="F1641" s="838" t="s">
        <v>140</v>
      </c>
      <c r="G1641" s="838">
        <v>1</v>
      </c>
      <c r="H1641" s="838" t="s">
        <v>1077</v>
      </c>
      <c r="I1641" s="838"/>
      <c r="J1641" s="838"/>
      <c r="K1641" s="834" t="s">
        <v>113</v>
      </c>
      <c r="L1641" s="834" t="s">
        <v>113</v>
      </c>
      <c r="M1641" s="834" t="s">
        <v>113</v>
      </c>
      <c r="N1641" s="834" t="s">
        <v>113</v>
      </c>
      <c r="O1641" s="848"/>
      <c r="P1641" s="848" t="s">
        <v>1091</v>
      </c>
      <c r="Q1641" s="24">
        <v>46017</v>
      </c>
      <c r="R1641" s="852" t="s">
        <v>67</v>
      </c>
      <c r="S1641" s="834" t="s">
        <v>32</v>
      </c>
      <c r="T1641" s="834">
        <v>1</v>
      </c>
      <c r="U1641" s="24" t="s">
        <v>67</v>
      </c>
      <c r="V1641" s="24">
        <v>46017</v>
      </c>
      <c r="W1641" s="96" t="s">
        <v>113</v>
      </c>
      <c r="X1641" s="96"/>
      <c r="Y1641" s="91"/>
      <c r="Z1641" s="96"/>
      <c r="AA1641" s="96"/>
      <c r="AB1641" s="96"/>
      <c r="AC1641" s="91"/>
      <c r="AD1641" s="96"/>
      <c r="AE1641" s="96"/>
      <c r="AF1641" s="96"/>
      <c r="AG1641" s="96"/>
      <c r="AH1641" s="110"/>
      <c r="AI1641" s="110"/>
      <c r="AJ1641" s="110"/>
      <c r="AK1641" s="108"/>
      <c r="AL1641" s="91" t="s">
        <v>32</v>
      </c>
      <c r="AM1641" s="840"/>
    </row>
    <row r="1642" spans="1:48">
      <c r="A1642" s="834" t="s">
        <v>2342</v>
      </c>
      <c r="B1642" s="835">
        <v>1639</v>
      </c>
      <c r="C1642" s="834" t="s">
        <v>2394</v>
      </c>
      <c r="D1642" s="834" t="s">
        <v>2395</v>
      </c>
      <c r="E1642" s="839">
        <v>45978.041666666664</v>
      </c>
      <c r="F1642" s="838" t="s">
        <v>140</v>
      </c>
      <c r="G1642" s="838">
        <v>4</v>
      </c>
      <c r="H1642" s="838" t="s">
        <v>1853</v>
      </c>
      <c r="I1642" s="838"/>
      <c r="J1642" s="838"/>
      <c r="K1642" s="834" t="s">
        <v>113</v>
      </c>
      <c r="L1642" s="834" t="s">
        <v>113</v>
      </c>
      <c r="M1642" s="834" t="s">
        <v>113</v>
      </c>
      <c r="N1642" s="834" t="s">
        <v>113</v>
      </c>
      <c r="O1642" s="113"/>
      <c r="P1642" s="848" t="s">
        <v>1091</v>
      </c>
      <c r="Q1642" s="24">
        <v>46024</v>
      </c>
      <c r="R1642" s="852" t="s">
        <v>67</v>
      </c>
      <c r="S1642" s="834" t="s">
        <v>32</v>
      </c>
      <c r="T1642" s="834">
        <v>3</v>
      </c>
      <c r="U1642" s="24" t="s">
        <v>67</v>
      </c>
      <c r="V1642" s="24">
        <v>46024</v>
      </c>
      <c r="W1642" s="96" t="s">
        <v>113</v>
      </c>
      <c r="X1642" s="96"/>
      <c r="Y1642" s="91"/>
      <c r="Z1642" s="96"/>
      <c r="AA1642" s="96"/>
      <c r="AB1642" s="96"/>
      <c r="AC1642" s="96"/>
      <c r="AD1642" s="96"/>
      <c r="AE1642" s="96"/>
      <c r="AF1642" s="96"/>
      <c r="AG1642" s="96"/>
      <c r="AH1642" s="110"/>
      <c r="AI1642" s="110"/>
      <c r="AJ1642" s="110"/>
      <c r="AK1642" s="110"/>
      <c r="AL1642" s="91" t="s">
        <v>32</v>
      </c>
      <c r="AM1642" s="840"/>
    </row>
    <row r="1643" spans="1:48">
      <c r="A1643" s="834" t="s">
        <v>2342</v>
      </c>
      <c r="B1643" s="835">
        <v>1640</v>
      </c>
      <c r="C1643" s="834" t="s">
        <v>2396</v>
      </c>
      <c r="D1643" s="834" t="s">
        <v>2397</v>
      </c>
      <c r="E1643" s="839">
        <v>45978</v>
      </c>
      <c r="F1643" s="838" t="s">
        <v>140</v>
      </c>
      <c r="G1643" s="838">
        <v>3</v>
      </c>
      <c r="H1643" s="838" t="s">
        <v>1818</v>
      </c>
      <c r="I1643" s="838"/>
      <c r="J1643" s="838"/>
      <c r="K1643" s="834" t="s">
        <v>113</v>
      </c>
      <c r="L1643" s="834" t="s">
        <v>113</v>
      </c>
      <c r="M1643" s="834" t="s">
        <v>113</v>
      </c>
      <c r="N1643" s="834" t="s">
        <v>113</v>
      </c>
      <c r="O1643" s="848"/>
      <c r="P1643" s="848" t="s">
        <v>1091</v>
      </c>
      <c r="Q1643" s="24">
        <v>46017</v>
      </c>
      <c r="R1643" s="852" t="s">
        <v>67</v>
      </c>
      <c r="S1643" s="834" t="s">
        <v>32</v>
      </c>
      <c r="T1643" s="22">
        <v>5</v>
      </c>
      <c r="U1643" s="24" t="s">
        <v>67</v>
      </c>
      <c r="V1643" s="24">
        <v>46017</v>
      </c>
      <c r="W1643" s="96" t="s">
        <v>113</v>
      </c>
      <c r="X1643" s="96"/>
      <c r="Y1643" s="91"/>
      <c r="Z1643" s="96"/>
      <c r="AA1643" s="96"/>
      <c r="AB1643" s="96"/>
      <c r="AC1643" s="96"/>
      <c r="AD1643" s="96"/>
      <c r="AE1643" s="96"/>
      <c r="AF1643" s="96"/>
      <c r="AG1643" s="96"/>
      <c r="AH1643" s="110"/>
      <c r="AI1643" s="96"/>
      <c r="AJ1643" s="96"/>
      <c r="AK1643" s="96"/>
      <c r="AL1643" s="91" t="s">
        <v>32</v>
      </c>
      <c r="AM1643" s="840"/>
      <c r="AO1643" s="776"/>
      <c r="AP1643" s="776"/>
      <c r="AQ1643" s="776"/>
      <c r="AR1643" s="776"/>
    </row>
    <row r="1644" spans="1:48">
      <c r="A1644" s="834" t="s">
        <v>2342</v>
      </c>
      <c r="B1644" s="835">
        <v>1641</v>
      </c>
      <c r="C1644" s="834" t="s">
        <v>2398</v>
      </c>
      <c r="D1644" s="834" t="s">
        <v>1198</v>
      </c>
      <c r="E1644" s="839">
        <v>45978</v>
      </c>
      <c r="F1644" s="838" t="s">
        <v>140</v>
      </c>
      <c r="G1644" s="838">
        <v>19</v>
      </c>
      <c r="H1644" s="838" t="s">
        <v>1786</v>
      </c>
      <c r="I1644" s="838"/>
      <c r="J1644" s="838"/>
      <c r="K1644" s="834" t="s">
        <v>113</v>
      </c>
      <c r="L1644" s="834" t="s">
        <v>113</v>
      </c>
      <c r="M1644" s="834" t="s">
        <v>113</v>
      </c>
      <c r="N1644" s="834" t="s">
        <v>113</v>
      </c>
      <c r="O1644" s="113" t="s">
        <v>30</v>
      </c>
      <c r="P1644" s="848" t="s">
        <v>1091</v>
      </c>
      <c r="Q1644" s="24">
        <v>46017</v>
      </c>
      <c r="R1644" s="852" t="s">
        <v>67</v>
      </c>
      <c r="S1644" s="834" t="s">
        <v>32</v>
      </c>
      <c r="T1644" s="22">
        <v>18</v>
      </c>
      <c r="U1644" s="24" t="s">
        <v>67</v>
      </c>
      <c r="V1644" s="24">
        <v>46017</v>
      </c>
      <c r="W1644" s="96" t="s">
        <v>113</v>
      </c>
      <c r="X1644" s="96"/>
      <c r="Y1644" s="91"/>
      <c r="Z1644" s="96"/>
      <c r="AA1644" s="96"/>
      <c r="AB1644" s="96"/>
      <c r="AC1644" s="96"/>
      <c r="AD1644" s="96"/>
      <c r="AE1644" s="96"/>
      <c r="AF1644" s="96"/>
      <c r="AG1644" s="96"/>
      <c r="AH1644" s="110"/>
      <c r="AI1644" s="110"/>
      <c r="AJ1644" s="110"/>
      <c r="AK1644" s="110"/>
      <c r="AL1644" s="91" t="s">
        <v>32</v>
      </c>
      <c r="AM1644" s="840"/>
      <c r="AN1644" s="6">
        <v>7</v>
      </c>
      <c r="AO1644" s="6">
        <v>0</v>
      </c>
      <c r="AP1644" s="6">
        <v>11</v>
      </c>
      <c r="AQ1644" s="6">
        <v>1</v>
      </c>
      <c r="AR1644" s="6">
        <f>SUM(AN1644:AQ1644)</f>
        <v>19</v>
      </c>
      <c r="AS1644" s="104">
        <f>+AN1644/AR1644*AS$1</f>
        <v>0</v>
      </c>
      <c r="AT1644" s="105">
        <f>+AO1644/AR1644*AT$1</f>
        <v>0</v>
      </c>
      <c r="AU1644" s="105">
        <f>+AP1644/AR1644*AU$1</f>
        <v>0</v>
      </c>
      <c r="AV1644" s="105">
        <f>+AQ1644/AR1644*AV$1</f>
        <v>0</v>
      </c>
    </row>
    <row r="1645" spans="1:48">
      <c r="A1645" s="834" t="s">
        <v>2342</v>
      </c>
      <c r="B1645" s="835">
        <v>1642</v>
      </c>
      <c r="C1645" s="834" t="s">
        <v>2399</v>
      </c>
      <c r="D1645" s="834" t="s">
        <v>937</v>
      </c>
      <c r="E1645" s="839">
        <v>45978.041666666664</v>
      </c>
      <c r="F1645" s="838" t="s">
        <v>140</v>
      </c>
      <c r="G1645" s="838">
        <v>9</v>
      </c>
      <c r="H1645" s="838" t="s">
        <v>1786</v>
      </c>
      <c r="I1645" s="838"/>
      <c r="J1645" s="838"/>
      <c r="K1645" s="834" t="s">
        <v>113</v>
      </c>
      <c r="L1645" s="834" t="s">
        <v>113</v>
      </c>
      <c r="M1645" s="834" t="s">
        <v>113</v>
      </c>
      <c r="N1645" s="834" t="s">
        <v>113</v>
      </c>
      <c r="O1645" s="848"/>
      <c r="P1645" s="848" t="s">
        <v>1091</v>
      </c>
      <c r="Q1645" s="24">
        <v>46020</v>
      </c>
      <c r="R1645" s="852" t="s">
        <v>67</v>
      </c>
      <c r="S1645" s="834" t="s">
        <v>32</v>
      </c>
      <c r="T1645" s="22">
        <v>8</v>
      </c>
      <c r="U1645" s="24" t="s">
        <v>67</v>
      </c>
      <c r="V1645" s="24">
        <v>46020</v>
      </c>
      <c r="W1645" s="96" t="s">
        <v>113</v>
      </c>
      <c r="X1645" s="96"/>
      <c r="Y1645" s="91"/>
      <c r="Z1645" s="91"/>
      <c r="AA1645" s="91"/>
      <c r="AB1645" s="96"/>
      <c r="AC1645" s="96"/>
      <c r="AD1645" s="96"/>
      <c r="AE1645" s="96"/>
      <c r="AF1645" s="96"/>
      <c r="AG1645" s="96"/>
      <c r="AH1645" s="110"/>
      <c r="AI1645" s="110"/>
      <c r="AJ1645" s="110"/>
      <c r="AK1645" s="110"/>
      <c r="AL1645" s="91" t="s">
        <v>32</v>
      </c>
      <c r="AM1645" s="840"/>
    </row>
    <row r="1646" spans="1:48">
      <c r="A1646" s="834" t="s">
        <v>2342</v>
      </c>
      <c r="B1646" s="835">
        <v>1643</v>
      </c>
      <c r="C1646" s="834" t="s">
        <v>2400</v>
      </c>
      <c r="D1646" s="834" t="s">
        <v>1245</v>
      </c>
      <c r="E1646" s="839">
        <v>45978.041666666664</v>
      </c>
      <c r="F1646" s="838" t="s">
        <v>140</v>
      </c>
      <c r="G1646" s="838">
        <v>4</v>
      </c>
      <c r="H1646" s="838" t="s">
        <v>127</v>
      </c>
      <c r="I1646" s="838"/>
      <c r="J1646" s="838"/>
      <c r="K1646" s="834" t="s">
        <v>113</v>
      </c>
      <c r="L1646" s="834" t="s">
        <v>113</v>
      </c>
      <c r="M1646" s="834" t="s">
        <v>113</v>
      </c>
      <c r="N1646" s="834" t="s">
        <v>113</v>
      </c>
      <c r="O1646" s="848"/>
      <c r="P1646" s="848" t="s">
        <v>1091</v>
      </c>
      <c r="Q1646" s="24">
        <v>46021</v>
      </c>
      <c r="R1646" s="852" t="s">
        <v>67</v>
      </c>
      <c r="S1646" s="834" t="s">
        <v>32</v>
      </c>
      <c r="T1646" s="22">
        <v>4</v>
      </c>
      <c r="U1646" s="24" t="s">
        <v>67</v>
      </c>
      <c r="V1646" s="24">
        <v>46021</v>
      </c>
      <c r="W1646" s="96" t="s">
        <v>113</v>
      </c>
      <c r="X1646" s="91"/>
      <c r="Y1646" s="91"/>
      <c r="Z1646" s="96"/>
      <c r="AA1646" s="91"/>
      <c r="AB1646" s="96"/>
      <c r="AC1646" s="96"/>
      <c r="AD1646" s="96"/>
      <c r="AE1646" s="96"/>
      <c r="AF1646" s="96"/>
      <c r="AG1646" s="96"/>
      <c r="AH1646" s="110"/>
      <c r="AI1646" s="110"/>
      <c r="AJ1646" s="110"/>
      <c r="AK1646" s="110"/>
      <c r="AL1646" s="91" t="s">
        <v>32</v>
      </c>
      <c r="AM1646" s="840" t="s">
        <v>2068</v>
      </c>
    </row>
    <row r="1647" spans="1:48">
      <c r="A1647" s="834" t="s">
        <v>2342</v>
      </c>
      <c r="B1647" s="835">
        <v>1644</v>
      </c>
      <c r="C1647" s="834" t="s">
        <v>2401</v>
      </c>
      <c r="D1647" s="834" t="s">
        <v>2402</v>
      </c>
      <c r="E1647" s="839">
        <v>45978.041666666664</v>
      </c>
      <c r="F1647" s="838" t="s">
        <v>140</v>
      </c>
      <c r="G1647" s="838">
        <v>2</v>
      </c>
      <c r="H1647" s="838" t="s">
        <v>127</v>
      </c>
      <c r="I1647" s="838"/>
      <c r="J1647" s="838"/>
      <c r="K1647" s="834" t="s">
        <v>113</v>
      </c>
      <c r="L1647" s="834" t="s">
        <v>113</v>
      </c>
      <c r="M1647" s="834" t="s">
        <v>113</v>
      </c>
      <c r="N1647" s="834" t="s">
        <v>113</v>
      </c>
      <c r="O1647" s="848"/>
      <c r="P1647" s="848" t="s">
        <v>1091</v>
      </c>
      <c r="Q1647" s="24">
        <v>46021</v>
      </c>
      <c r="R1647" s="852" t="s">
        <v>67</v>
      </c>
      <c r="S1647" s="834" t="s">
        <v>32</v>
      </c>
      <c r="T1647" s="22">
        <v>1</v>
      </c>
      <c r="U1647" s="24" t="s">
        <v>67</v>
      </c>
      <c r="V1647" s="24">
        <v>46021</v>
      </c>
      <c r="W1647" s="96" t="s">
        <v>113</v>
      </c>
      <c r="X1647" s="91"/>
      <c r="Y1647" s="91"/>
      <c r="Z1647" s="96"/>
      <c r="AA1647" s="91"/>
      <c r="AB1647" s="96"/>
      <c r="AC1647" s="96"/>
      <c r="AD1647" s="96"/>
      <c r="AE1647" s="96"/>
      <c r="AF1647" s="96"/>
      <c r="AG1647" s="96"/>
      <c r="AH1647" s="110"/>
      <c r="AI1647" s="110"/>
      <c r="AJ1647" s="110"/>
      <c r="AK1647" s="110"/>
      <c r="AL1647" s="91"/>
      <c r="AM1647" s="840"/>
    </row>
    <row r="1648" spans="1:48">
      <c r="A1648" s="834" t="s">
        <v>2342</v>
      </c>
      <c r="B1648" s="835">
        <v>1645</v>
      </c>
      <c r="C1648" s="834" t="s">
        <v>2403</v>
      </c>
      <c r="D1648" s="834" t="s">
        <v>1184</v>
      </c>
      <c r="E1648" s="839">
        <v>45978.041666666664</v>
      </c>
      <c r="F1648" s="838" t="s">
        <v>140</v>
      </c>
      <c r="G1648" s="838">
        <v>4</v>
      </c>
      <c r="H1648" s="838" t="s">
        <v>127</v>
      </c>
      <c r="I1648" s="838"/>
      <c r="J1648" s="838"/>
      <c r="K1648" s="834" t="s">
        <v>113</v>
      </c>
      <c r="L1648" s="834" t="s">
        <v>113</v>
      </c>
      <c r="M1648" s="834" t="s">
        <v>113</v>
      </c>
      <c r="N1648" s="834" t="s">
        <v>113</v>
      </c>
      <c r="O1648" s="848"/>
      <c r="P1648" s="848" t="s">
        <v>1091</v>
      </c>
      <c r="Q1648" s="24">
        <v>46021</v>
      </c>
      <c r="R1648" s="852" t="s">
        <v>67</v>
      </c>
      <c r="S1648" s="834" t="s">
        <v>32</v>
      </c>
      <c r="T1648" s="22">
        <v>4</v>
      </c>
      <c r="U1648" s="24" t="s">
        <v>67</v>
      </c>
      <c r="V1648" s="24">
        <v>46021</v>
      </c>
      <c r="W1648" s="96" t="s">
        <v>113</v>
      </c>
      <c r="X1648" s="96"/>
      <c r="Y1648" s="91"/>
      <c r="Z1648" s="96"/>
      <c r="AA1648" s="96"/>
      <c r="AB1648" s="96"/>
      <c r="AC1648" s="96"/>
      <c r="AD1648" s="96"/>
      <c r="AE1648" s="96"/>
      <c r="AF1648" s="96"/>
      <c r="AG1648" s="96"/>
      <c r="AH1648" s="110"/>
      <c r="AI1648" s="110"/>
      <c r="AJ1648" s="110"/>
      <c r="AK1648" s="110"/>
      <c r="AL1648" s="91" t="s">
        <v>32</v>
      </c>
      <c r="AM1648" s="840"/>
      <c r="AS1648" s="71"/>
      <c r="AT1648" s="92"/>
      <c r="AU1648" s="92"/>
    </row>
    <row r="1649" spans="1:48">
      <c r="A1649" s="834" t="s">
        <v>2342</v>
      </c>
      <c r="B1649" s="835">
        <v>1646</v>
      </c>
      <c r="C1649" s="834" t="s">
        <v>2404</v>
      </c>
      <c r="D1649" s="834" t="s">
        <v>1250</v>
      </c>
      <c r="E1649" s="839">
        <v>45978</v>
      </c>
      <c r="F1649" s="838" t="s">
        <v>140</v>
      </c>
      <c r="G1649" s="838">
        <v>4</v>
      </c>
      <c r="H1649" s="838" t="s">
        <v>127</v>
      </c>
      <c r="I1649" s="838"/>
      <c r="J1649" s="838"/>
      <c r="K1649" s="834" t="s">
        <v>113</v>
      </c>
      <c r="L1649" s="834" t="s">
        <v>113</v>
      </c>
      <c r="M1649" s="834" t="s">
        <v>113</v>
      </c>
      <c r="N1649" s="834" t="s">
        <v>113</v>
      </c>
      <c r="O1649" s="848"/>
      <c r="P1649" s="848" t="s">
        <v>1091</v>
      </c>
      <c r="Q1649" s="24">
        <v>46021</v>
      </c>
      <c r="R1649" s="852" t="s">
        <v>67</v>
      </c>
      <c r="S1649" s="834" t="s">
        <v>32</v>
      </c>
      <c r="T1649" s="22">
        <v>4</v>
      </c>
      <c r="U1649" s="24" t="s">
        <v>67</v>
      </c>
      <c r="V1649" s="24">
        <v>46021</v>
      </c>
      <c r="W1649" s="96" t="s">
        <v>113</v>
      </c>
      <c r="X1649" s="96"/>
      <c r="Y1649" s="91"/>
      <c r="Z1649" s="96"/>
      <c r="AA1649" s="96"/>
      <c r="AB1649" s="96"/>
      <c r="AC1649" s="96"/>
      <c r="AD1649" s="96"/>
      <c r="AE1649" s="96"/>
      <c r="AF1649" s="96"/>
      <c r="AG1649" s="96"/>
      <c r="AH1649" s="110"/>
      <c r="AI1649" s="110"/>
      <c r="AJ1649" s="110"/>
      <c r="AK1649" s="110"/>
      <c r="AL1649" s="91" t="s">
        <v>32</v>
      </c>
      <c r="AM1649" s="840"/>
    </row>
    <row r="1650" spans="1:48">
      <c r="A1650" s="834" t="s">
        <v>2342</v>
      </c>
      <c r="B1650" s="835">
        <v>1647</v>
      </c>
      <c r="C1650" s="834" t="s">
        <v>2405</v>
      </c>
      <c r="D1650" s="834" t="s">
        <v>2406</v>
      </c>
      <c r="E1650" s="839">
        <v>45978.041666666664</v>
      </c>
      <c r="F1650" s="838" t="s">
        <v>140</v>
      </c>
      <c r="G1650" s="838">
        <v>12</v>
      </c>
      <c r="H1650" s="838" t="s">
        <v>127</v>
      </c>
      <c r="I1650" s="838"/>
      <c r="J1650" s="838"/>
      <c r="K1650" s="834" t="s">
        <v>113</v>
      </c>
      <c r="L1650" s="834" t="s">
        <v>113</v>
      </c>
      <c r="M1650" s="834" t="s">
        <v>113</v>
      </c>
      <c r="N1650" s="834" t="s">
        <v>113</v>
      </c>
      <c r="O1650" s="848"/>
      <c r="P1650" s="848" t="s">
        <v>1091</v>
      </c>
      <c r="Q1650" s="24">
        <v>46021</v>
      </c>
      <c r="R1650" s="852" t="s">
        <v>67</v>
      </c>
      <c r="S1650" s="834" t="s">
        <v>32</v>
      </c>
      <c r="T1650" s="22">
        <v>12</v>
      </c>
      <c r="U1650" s="24" t="s">
        <v>67</v>
      </c>
      <c r="V1650" s="24">
        <v>46021</v>
      </c>
      <c r="W1650" s="96" t="s">
        <v>113</v>
      </c>
      <c r="X1650" s="96"/>
      <c r="Y1650" s="91"/>
      <c r="Z1650" s="91"/>
      <c r="AA1650" s="91"/>
      <c r="AB1650" s="96"/>
      <c r="AC1650" s="96"/>
      <c r="AD1650" s="96"/>
      <c r="AE1650" s="96"/>
      <c r="AF1650" s="96"/>
      <c r="AG1650" s="96"/>
      <c r="AH1650" s="110"/>
      <c r="AI1650" s="110"/>
      <c r="AJ1650" s="110"/>
      <c r="AK1650" s="110"/>
      <c r="AL1650" s="91" t="s">
        <v>32</v>
      </c>
      <c r="AM1650" s="840"/>
    </row>
    <row r="1651" spans="1:48">
      <c r="A1651" s="834" t="s">
        <v>2342</v>
      </c>
      <c r="B1651" s="835">
        <v>1648</v>
      </c>
      <c r="C1651" s="834" t="s">
        <v>2407</v>
      </c>
      <c r="D1651" s="834" t="s">
        <v>2408</v>
      </c>
      <c r="E1651" s="839">
        <v>45978.041666666664</v>
      </c>
      <c r="F1651" s="838" t="s">
        <v>140</v>
      </c>
      <c r="G1651" s="838">
        <v>20</v>
      </c>
      <c r="H1651" s="838" t="s">
        <v>2409</v>
      </c>
      <c r="I1651" s="838"/>
      <c r="J1651" s="838"/>
      <c r="K1651" s="834" t="s">
        <v>113</v>
      </c>
      <c r="L1651" s="834" t="s">
        <v>113</v>
      </c>
      <c r="M1651" s="834" t="s">
        <v>113</v>
      </c>
      <c r="N1651" s="834" t="s">
        <v>113</v>
      </c>
      <c r="O1651" s="113" t="s">
        <v>30</v>
      </c>
      <c r="P1651" s="848" t="s">
        <v>1091</v>
      </c>
      <c r="Q1651" s="24">
        <v>46014</v>
      </c>
      <c r="R1651" s="852" t="s">
        <v>67</v>
      </c>
      <c r="S1651" s="834" t="s">
        <v>32</v>
      </c>
      <c r="T1651" s="22">
        <v>23</v>
      </c>
      <c r="U1651" s="24" t="s">
        <v>67</v>
      </c>
      <c r="V1651" s="24">
        <v>46014</v>
      </c>
      <c r="W1651" s="96" t="s">
        <v>113</v>
      </c>
      <c r="X1651" s="96"/>
      <c r="Y1651" s="91"/>
      <c r="Z1651" s="96"/>
      <c r="AA1651" s="96"/>
      <c r="AB1651" s="96"/>
      <c r="AC1651" s="96"/>
      <c r="AD1651" s="96"/>
      <c r="AE1651" s="96"/>
      <c r="AF1651" s="96"/>
      <c r="AG1651" s="96"/>
      <c r="AH1651" s="110"/>
      <c r="AI1651" s="96"/>
      <c r="AJ1651" s="96"/>
      <c r="AK1651" s="96"/>
      <c r="AL1651" s="91" t="s">
        <v>32</v>
      </c>
      <c r="AM1651" s="840"/>
      <c r="AN1651" s="6">
        <v>0</v>
      </c>
      <c r="AO1651" s="6">
        <v>0</v>
      </c>
      <c r="AP1651" s="6">
        <v>10</v>
      </c>
      <c r="AQ1651" s="6">
        <v>10</v>
      </c>
      <c r="AR1651" s="6">
        <f>SUM(AN1651:AQ1651)</f>
        <v>20</v>
      </c>
      <c r="AS1651" s="104">
        <f>+AN1651/AR1651*AS$1</f>
        <v>0</v>
      </c>
      <c r="AT1651" s="105">
        <f>+AO1651/AR1651*AT$1</f>
        <v>0</v>
      </c>
      <c r="AU1651" s="105">
        <f>+AP1651/AR1651*AU$1</f>
        <v>0</v>
      </c>
      <c r="AV1651" s="105">
        <f>+AQ1651/AR1651*AV$1</f>
        <v>0</v>
      </c>
    </row>
    <row r="1652" spans="1:48">
      <c r="A1652" s="834" t="s">
        <v>2342</v>
      </c>
      <c r="B1652" s="835">
        <v>1649</v>
      </c>
      <c r="C1652" s="834" t="s">
        <v>2410</v>
      </c>
      <c r="D1652" s="834" t="s">
        <v>1565</v>
      </c>
      <c r="E1652" s="839">
        <v>45978.375</v>
      </c>
      <c r="F1652" s="838" t="s">
        <v>140</v>
      </c>
      <c r="G1652" s="838">
        <v>8</v>
      </c>
      <c r="H1652" s="838" t="s">
        <v>127</v>
      </c>
      <c r="I1652" s="838"/>
      <c r="J1652" s="838"/>
      <c r="K1652" s="834" t="s">
        <v>113</v>
      </c>
      <c r="L1652" s="834" t="s">
        <v>113</v>
      </c>
      <c r="M1652" s="834" t="s">
        <v>113</v>
      </c>
      <c r="N1652" s="834" t="s">
        <v>113</v>
      </c>
      <c r="O1652" s="113"/>
      <c r="P1652" s="848" t="s">
        <v>1091</v>
      </c>
      <c r="Q1652" s="24">
        <v>46024</v>
      </c>
      <c r="R1652" s="852" t="s">
        <v>67</v>
      </c>
      <c r="S1652" s="834" t="s">
        <v>32</v>
      </c>
      <c r="T1652" s="834">
        <v>8</v>
      </c>
      <c r="U1652" s="24" t="s">
        <v>67</v>
      </c>
      <c r="V1652" s="24">
        <v>46024</v>
      </c>
      <c r="W1652" s="96" t="s">
        <v>113</v>
      </c>
      <c r="X1652" s="96"/>
      <c r="Y1652" s="91"/>
      <c r="Z1652" s="96"/>
      <c r="AA1652" s="96"/>
      <c r="AB1652" s="96"/>
      <c r="AC1652" s="96"/>
      <c r="AD1652" s="96"/>
      <c r="AE1652" s="96"/>
      <c r="AF1652" s="96"/>
      <c r="AG1652" s="96"/>
      <c r="AH1652" s="110"/>
      <c r="AI1652" s="96"/>
      <c r="AJ1652" s="96"/>
      <c r="AK1652" s="108"/>
      <c r="AL1652" s="91" t="s">
        <v>32</v>
      </c>
      <c r="AM1652" s="840"/>
    </row>
    <row r="1653" spans="1:48">
      <c r="A1653" s="834" t="s">
        <v>2342</v>
      </c>
      <c r="B1653" s="835">
        <v>1650</v>
      </c>
      <c r="C1653" s="834" t="s">
        <v>2411</v>
      </c>
      <c r="D1653" s="834" t="s">
        <v>2412</v>
      </c>
      <c r="E1653" s="839">
        <v>45978</v>
      </c>
      <c r="F1653" s="838" t="s">
        <v>140</v>
      </c>
      <c r="G1653" s="838">
        <v>2</v>
      </c>
      <c r="H1653" s="838" t="s">
        <v>1076</v>
      </c>
      <c r="I1653" s="838"/>
      <c r="J1653" s="838"/>
      <c r="K1653" s="834" t="s">
        <v>113</v>
      </c>
      <c r="L1653" s="834" t="s">
        <v>113</v>
      </c>
      <c r="M1653" s="834" t="s">
        <v>113</v>
      </c>
      <c r="N1653" s="834" t="s">
        <v>113</v>
      </c>
      <c r="O1653" s="113"/>
      <c r="P1653" s="848" t="s">
        <v>1091</v>
      </c>
      <c r="Q1653" s="24">
        <v>46021</v>
      </c>
      <c r="R1653" s="852" t="s">
        <v>67</v>
      </c>
      <c r="S1653" s="834" t="s">
        <v>32</v>
      </c>
      <c r="T1653" s="834">
        <v>2</v>
      </c>
      <c r="U1653" s="24" t="s">
        <v>67</v>
      </c>
      <c r="V1653" s="24">
        <v>46021</v>
      </c>
      <c r="W1653" s="96" t="s">
        <v>113</v>
      </c>
      <c r="X1653" s="96"/>
      <c r="Y1653" s="91"/>
      <c r="Z1653" s="96"/>
      <c r="AA1653" s="96"/>
      <c r="AB1653" s="96"/>
      <c r="AC1653" s="96"/>
      <c r="AD1653" s="96"/>
      <c r="AE1653" s="96"/>
      <c r="AF1653" s="96"/>
      <c r="AG1653" s="96"/>
      <c r="AH1653" s="110"/>
      <c r="AI1653" s="96"/>
      <c r="AJ1653" s="96"/>
      <c r="AK1653" s="96"/>
      <c r="AL1653" s="91" t="s">
        <v>32</v>
      </c>
      <c r="AM1653" s="840"/>
    </row>
    <row r="1654" spans="1:48">
      <c r="A1654" s="834" t="s">
        <v>2342</v>
      </c>
      <c r="B1654" s="835">
        <v>1651</v>
      </c>
      <c r="C1654" s="834" t="s">
        <v>2413</v>
      </c>
      <c r="D1654" s="834" t="s">
        <v>798</v>
      </c>
      <c r="E1654" s="839">
        <v>45978.041666666664</v>
      </c>
      <c r="F1654" s="838" t="s">
        <v>140</v>
      </c>
      <c r="G1654" s="838">
        <v>8</v>
      </c>
      <c r="H1654" s="838" t="s">
        <v>1077</v>
      </c>
      <c r="I1654" s="838"/>
      <c r="J1654" s="838"/>
      <c r="K1654" s="834" t="s">
        <v>113</v>
      </c>
      <c r="L1654" s="834" t="s">
        <v>113</v>
      </c>
      <c r="M1654" s="834" t="s">
        <v>113</v>
      </c>
      <c r="N1654" s="834" t="s">
        <v>113</v>
      </c>
      <c r="O1654" s="838"/>
      <c r="P1654" s="848" t="s">
        <v>1091</v>
      </c>
      <c r="Q1654" s="24">
        <v>46021</v>
      </c>
      <c r="R1654" s="852" t="s">
        <v>67</v>
      </c>
      <c r="S1654" s="834" t="s">
        <v>32</v>
      </c>
      <c r="T1654" s="834">
        <v>8</v>
      </c>
      <c r="U1654" s="24" t="s">
        <v>67</v>
      </c>
      <c r="V1654" s="24">
        <v>46021</v>
      </c>
      <c r="W1654" s="96" t="s">
        <v>113</v>
      </c>
      <c r="X1654" s="96"/>
      <c r="Y1654" s="91"/>
      <c r="Z1654" s="96"/>
      <c r="AA1654" s="96"/>
      <c r="AB1654" s="96"/>
      <c r="AC1654" s="96"/>
      <c r="AD1654" s="96"/>
      <c r="AE1654" s="96"/>
      <c r="AF1654" s="96"/>
      <c r="AG1654" s="96"/>
      <c r="AH1654" s="110"/>
      <c r="AI1654" s="96"/>
      <c r="AJ1654" s="96"/>
      <c r="AK1654" s="96"/>
      <c r="AL1654" s="91" t="s">
        <v>32</v>
      </c>
      <c r="AM1654" s="840"/>
    </row>
    <row r="1655" spans="1:48">
      <c r="A1655" s="834" t="s">
        <v>2342</v>
      </c>
      <c r="B1655" s="835">
        <v>1652</v>
      </c>
      <c r="C1655" s="834" t="s">
        <v>2414</v>
      </c>
      <c r="D1655" s="834" t="s">
        <v>2415</v>
      </c>
      <c r="E1655" s="839">
        <v>45978.375</v>
      </c>
      <c r="F1655" s="838" t="s">
        <v>140</v>
      </c>
      <c r="G1655" s="838">
        <v>1</v>
      </c>
      <c r="H1655" s="838" t="s">
        <v>1077</v>
      </c>
      <c r="I1655" s="838"/>
      <c r="J1655" s="838"/>
      <c r="K1655" s="834" t="s">
        <v>113</v>
      </c>
      <c r="L1655" s="834" t="s">
        <v>113</v>
      </c>
      <c r="M1655" s="834" t="s">
        <v>113</v>
      </c>
      <c r="N1655" s="834" t="s">
        <v>113</v>
      </c>
      <c r="O1655" s="848"/>
      <c r="P1655" s="848" t="s">
        <v>1091</v>
      </c>
      <c r="Q1655" s="24">
        <v>46021</v>
      </c>
      <c r="R1655" s="852" t="s">
        <v>67</v>
      </c>
      <c r="S1655" s="834" t="s">
        <v>32</v>
      </c>
      <c r="T1655" s="834">
        <v>1</v>
      </c>
      <c r="U1655" s="24" t="s">
        <v>67</v>
      </c>
      <c r="V1655" s="24">
        <v>46021</v>
      </c>
      <c r="W1655" s="96" t="s">
        <v>113</v>
      </c>
      <c r="X1655" s="96"/>
      <c r="Y1655" s="91"/>
      <c r="Z1655" s="96"/>
      <c r="AA1655" s="96"/>
      <c r="AB1655" s="96"/>
      <c r="AC1655" s="96"/>
      <c r="AD1655" s="96"/>
      <c r="AE1655" s="96"/>
      <c r="AF1655" s="96"/>
      <c r="AG1655" s="96"/>
      <c r="AH1655" s="110"/>
      <c r="AI1655" s="110"/>
      <c r="AJ1655" s="110"/>
      <c r="AK1655" s="110"/>
      <c r="AL1655" s="91" t="s">
        <v>32</v>
      </c>
      <c r="AM1655" s="840"/>
    </row>
    <row r="1656" spans="1:48">
      <c r="A1656" s="834" t="s">
        <v>2342</v>
      </c>
      <c r="B1656" s="835">
        <v>1653</v>
      </c>
      <c r="C1656" s="834" t="s">
        <v>2416</v>
      </c>
      <c r="D1656" s="834" t="s">
        <v>989</v>
      </c>
      <c r="E1656" s="839">
        <v>45978</v>
      </c>
      <c r="F1656" s="838" t="s">
        <v>140</v>
      </c>
      <c r="G1656" s="838">
        <v>1</v>
      </c>
      <c r="H1656" s="838" t="s">
        <v>1077</v>
      </c>
      <c r="I1656" s="838"/>
      <c r="J1656" s="838"/>
      <c r="K1656" s="834" t="s">
        <v>113</v>
      </c>
      <c r="L1656" s="834" t="s">
        <v>113</v>
      </c>
      <c r="M1656" s="834" t="s">
        <v>113</v>
      </c>
      <c r="N1656" s="834" t="s">
        <v>113</v>
      </c>
      <c r="O1656" s="113"/>
      <c r="P1656" s="848" t="s">
        <v>1091</v>
      </c>
      <c r="Q1656" s="24">
        <v>46004</v>
      </c>
      <c r="R1656" s="852" t="s">
        <v>67</v>
      </c>
      <c r="S1656" s="834" t="s">
        <v>32</v>
      </c>
      <c r="T1656" s="834">
        <v>1</v>
      </c>
      <c r="U1656" s="24" t="s">
        <v>67</v>
      </c>
      <c r="V1656" s="24">
        <v>46004</v>
      </c>
      <c r="W1656" s="96" t="s">
        <v>113</v>
      </c>
      <c r="X1656" s="96"/>
      <c r="Y1656" s="91"/>
      <c r="Z1656" s="96"/>
      <c r="AA1656" s="96"/>
      <c r="AB1656" s="96"/>
      <c r="AC1656" s="96"/>
      <c r="AD1656" s="96"/>
      <c r="AE1656" s="96"/>
      <c r="AF1656" s="96"/>
      <c r="AG1656" s="96"/>
      <c r="AH1656" s="110"/>
      <c r="AI1656" s="110"/>
      <c r="AJ1656" s="110"/>
      <c r="AK1656" s="110"/>
      <c r="AL1656" s="91" t="s">
        <v>32</v>
      </c>
      <c r="AM1656" s="840"/>
      <c r="AR1656" s="84"/>
      <c r="AS1656" s="71"/>
      <c r="AT1656" s="71"/>
      <c r="AU1656" s="71"/>
    </row>
    <row r="1657" spans="1:48">
      <c r="A1657" s="834" t="s">
        <v>2342</v>
      </c>
      <c r="B1657" s="835">
        <v>1654</v>
      </c>
      <c r="C1657" s="834" t="s">
        <v>2417</v>
      </c>
      <c r="D1657" s="834" t="s">
        <v>1544</v>
      </c>
      <c r="E1657" s="839">
        <v>45978.041666666664</v>
      </c>
      <c r="F1657" s="838" t="s">
        <v>140</v>
      </c>
      <c r="G1657" s="838">
        <v>2</v>
      </c>
      <c r="H1657" s="838" t="s">
        <v>127</v>
      </c>
      <c r="I1657" s="838"/>
      <c r="J1657" s="838"/>
      <c r="K1657" s="834" t="s">
        <v>113</v>
      </c>
      <c r="L1657" s="834" t="s">
        <v>113</v>
      </c>
      <c r="M1657" s="834" t="s">
        <v>113</v>
      </c>
      <c r="N1657" s="834" t="s">
        <v>113</v>
      </c>
      <c r="O1657" s="848"/>
      <c r="P1657" s="848" t="s">
        <v>1091</v>
      </c>
      <c r="Q1657" s="24">
        <v>46021</v>
      </c>
      <c r="R1657" s="852" t="s">
        <v>67</v>
      </c>
      <c r="S1657" s="834" t="s">
        <v>32</v>
      </c>
      <c r="T1657" s="22">
        <v>2</v>
      </c>
      <c r="U1657" s="24" t="s">
        <v>67</v>
      </c>
      <c r="V1657" s="24">
        <v>46021</v>
      </c>
      <c r="W1657" s="96" t="s">
        <v>113</v>
      </c>
      <c r="X1657" s="96"/>
      <c r="Y1657" s="91"/>
      <c r="Z1657" s="91"/>
      <c r="AA1657" s="91"/>
      <c r="AB1657" s="91"/>
      <c r="AC1657" s="96"/>
      <c r="AD1657" s="96"/>
      <c r="AE1657" s="96"/>
      <c r="AF1657" s="96"/>
      <c r="AG1657" s="96"/>
      <c r="AH1657" s="110"/>
      <c r="AI1657" s="96"/>
      <c r="AJ1657" s="96"/>
      <c r="AK1657" s="96"/>
      <c r="AL1657" s="91" t="s">
        <v>32</v>
      </c>
      <c r="AM1657" s="840"/>
    </row>
    <row r="1658" spans="1:48">
      <c r="A1658" s="834" t="s">
        <v>2342</v>
      </c>
      <c r="B1658" s="835">
        <v>1655</v>
      </c>
      <c r="C1658" s="834" t="s">
        <v>2418</v>
      </c>
      <c r="D1658" s="834" t="s">
        <v>2419</v>
      </c>
      <c r="E1658" s="839">
        <v>45978</v>
      </c>
      <c r="F1658" s="838" t="s">
        <v>140</v>
      </c>
      <c r="G1658" s="838">
        <v>2</v>
      </c>
      <c r="H1658" s="838" t="s">
        <v>127</v>
      </c>
      <c r="I1658" s="838"/>
      <c r="J1658" s="838"/>
      <c r="K1658" s="834" t="s">
        <v>113</v>
      </c>
      <c r="L1658" s="834" t="s">
        <v>113</v>
      </c>
      <c r="M1658" s="834" t="s">
        <v>113</v>
      </c>
      <c r="N1658" s="834" t="s">
        <v>113</v>
      </c>
      <c r="O1658" s="848"/>
      <c r="P1658" s="848" t="s">
        <v>1091</v>
      </c>
      <c r="Q1658" s="24">
        <v>46014</v>
      </c>
      <c r="R1658" s="852" t="s">
        <v>67</v>
      </c>
      <c r="S1658" s="834" t="s">
        <v>32</v>
      </c>
      <c r="T1658" s="22">
        <v>2</v>
      </c>
      <c r="U1658" s="24" t="s">
        <v>67</v>
      </c>
      <c r="V1658" s="24">
        <v>46014</v>
      </c>
      <c r="W1658" s="96" t="s">
        <v>113</v>
      </c>
      <c r="X1658" s="96"/>
      <c r="Y1658" s="91"/>
      <c r="Z1658" s="96"/>
      <c r="AA1658" s="96"/>
      <c r="AB1658" s="96"/>
      <c r="AC1658" s="96"/>
      <c r="AD1658" s="96"/>
      <c r="AE1658" s="96"/>
      <c r="AF1658" s="96"/>
      <c r="AG1658" s="96"/>
      <c r="AH1658" s="110"/>
      <c r="AI1658" s="96"/>
      <c r="AJ1658" s="96"/>
      <c r="AK1658" s="96"/>
      <c r="AL1658" s="91" t="s">
        <v>32</v>
      </c>
      <c r="AM1658" s="840"/>
    </row>
    <row r="1659" spans="1:48">
      <c r="A1659" s="834" t="s">
        <v>2342</v>
      </c>
      <c r="B1659" s="835">
        <v>1656</v>
      </c>
      <c r="C1659" s="834" t="s">
        <v>2420</v>
      </c>
      <c r="D1659" s="834" t="s">
        <v>2421</v>
      </c>
      <c r="E1659" s="839">
        <v>45978</v>
      </c>
      <c r="F1659" s="838" t="s">
        <v>140</v>
      </c>
      <c r="G1659" s="838">
        <v>1</v>
      </c>
      <c r="H1659" s="838" t="s">
        <v>1077</v>
      </c>
      <c r="I1659" s="838"/>
      <c r="J1659" s="838"/>
      <c r="K1659" s="834" t="s">
        <v>113</v>
      </c>
      <c r="L1659" s="834" t="s">
        <v>113</v>
      </c>
      <c r="M1659" s="834" t="s">
        <v>113</v>
      </c>
      <c r="N1659" s="834" t="s">
        <v>113</v>
      </c>
      <c r="O1659" s="113"/>
      <c r="P1659" s="848" t="s">
        <v>1091</v>
      </c>
      <c r="Q1659" s="24">
        <v>46021</v>
      </c>
      <c r="R1659" s="852" t="s">
        <v>67</v>
      </c>
      <c r="S1659" s="834" t="s">
        <v>32</v>
      </c>
      <c r="T1659" s="834">
        <v>1</v>
      </c>
      <c r="U1659" s="24" t="s">
        <v>67</v>
      </c>
      <c r="V1659" s="24">
        <v>46021</v>
      </c>
      <c r="W1659" s="96" t="s">
        <v>113</v>
      </c>
      <c r="X1659" s="91"/>
      <c r="Y1659" s="91"/>
      <c r="Z1659" s="96"/>
      <c r="AA1659" s="96"/>
      <c r="AB1659" s="96"/>
      <c r="AC1659" s="96"/>
      <c r="AD1659" s="96"/>
      <c r="AE1659" s="96"/>
      <c r="AF1659" s="96"/>
      <c r="AG1659" s="96"/>
      <c r="AH1659" s="110"/>
      <c r="AI1659" s="96"/>
      <c r="AJ1659" s="96"/>
      <c r="AK1659" s="96"/>
      <c r="AL1659" s="91" t="s">
        <v>32</v>
      </c>
      <c r="AM1659" s="840"/>
      <c r="AR1659" s="84"/>
      <c r="AS1659" s="71"/>
      <c r="AT1659" s="71"/>
      <c r="AU1659" s="71"/>
    </row>
    <row r="1660" spans="1:48">
      <c r="A1660" s="834" t="s">
        <v>2342</v>
      </c>
      <c r="B1660" s="835">
        <v>1657</v>
      </c>
      <c r="C1660" s="834" t="s">
        <v>2422</v>
      </c>
      <c r="D1660" s="834" t="s">
        <v>2423</v>
      </c>
      <c r="E1660" s="839">
        <v>45978</v>
      </c>
      <c r="F1660" s="838" t="s">
        <v>140</v>
      </c>
      <c r="G1660" s="838">
        <v>10</v>
      </c>
      <c r="H1660" s="838" t="s">
        <v>1077</v>
      </c>
      <c r="I1660" s="838"/>
      <c r="J1660" s="838"/>
      <c r="K1660" s="834" t="s">
        <v>113</v>
      </c>
      <c r="L1660" s="834" t="s">
        <v>113</v>
      </c>
      <c r="M1660" s="834" t="s">
        <v>113</v>
      </c>
      <c r="N1660" s="834" t="s">
        <v>113</v>
      </c>
      <c r="O1660" s="113"/>
      <c r="P1660" s="848" t="s">
        <v>1091</v>
      </c>
      <c r="Q1660" s="24">
        <v>46021</v>
      </c>
      <c r="R1660" s="852" t="s">
        <v>67</v>
      </c>
      <c r="S1660" s="834" t="s">
        <v>32</v>
      </c>
      <c r="T1660" s="834">
        <v>10</v>
      </c>
      <c r="U1660" s="24" t="s">
        <v>67</v>
      </c>
      <c r="V1660" s="24">
        <v>46021</v>
      </c>
      <c r="W1660" s="96" t="s">
        <v>113</v>
      </c>
      <c r="X1660" s="91"/>
      <c r="Y1660" s="91"/>
      <c r="Z1660" s="96"/>
      <c r="AA1660" s="96"/>
      <c r="AB1660" s="96"/>
      <c r="AC1660" s="96"/>
      <c r="AD1660" s="96"/>
      <c r="AE1660" s="96"/>
      <c r="AF1660" s="96"/>
      <c r="AG1660" s="96"/>
      <c r="AH1660" s="110"/>
      <c r="AI1660" s="96"/>
      <c r="AJ1660" s="96"/>
      <c r="AK1660" s="96"/>
      <c r="AL1660" s="91"/>
      <c r="AM1660" s="840"/>
      <c r="AR1660" s="84"/>
      <c r="AS1660" s="71"/>
      <c r="AT1660" s="71"/>
      <c r="AU1660" s="71"/>
    </row>
    <row r="1661" spans="1:48">
      <c r="A1661" s="834" t="s">
        <v>2342</v>
      </c>
      <c r="B1661" s="835">
        <v>1658</v>
      </c>
      <c r="C1661" s="834" t="s">
        <v>2424</v>
      </c>
      <c r="D1661" s="834" t="s">
        <v>865</v>
      </c>
      <c r="E1661" s="839">
        <v>45978</v>
      </c>
      <c r="F1661" s="838" t="s">
        <v>140</v>
      </c>
      <c r="G1661" s="838">
        <v>3</v>
      </c>
      <c r="H1661" s="838" t="s">
        <v>1077</v>
      </c>
      <c r="I1661" s="838"/>
      <c r="J1661" s="838"/>
      <c r="K1661" s="834" t="s">
        <v>113</v>
      </c>
      <c r="L1661" s="834" t="s">
        <v>113</v>
      </c>
      <c r="M1661" s="834" t="s">
        <v>113</v>
      </c>
      <c r="N1661" s="834" t="s">
        <v>113</v>
      </c>
      <c r="O1661" s="848"/>
      <c r="P1661" s="848" t="s">
        <v>1091</v>
      </c>
      <c r="Q1661" s="24">
        <v>46021</v>
      </c>
      <c r="R1661" s="852" t="s">
        <v>67</v>
      </c>
      <c r="S1661" s="834" t="s">
        <v>32</v>
      </c>
      <c r="T1661" s="834">
        <v>3</v>
      </c>
      <c r="U1661" s="24" t="s">
        <v>67</v>
      </c>
      <c r="V1661" s="24">
        <v>46021</v>
      </c>
      <c r="W1661" s="96" t="s">
        <v>113</v>
      </c>
      <c r="X1661" s="96"/>
      <c r="Y1661" s="91"/>
      <c r="Z1661" s="91"/>
      <c r="AA1661" s="91"/>
      <c r="AB1661" s="91"/>
      <c r="AC1661" s="96"/>
      <c r="AD1661" s="96"/>
      <c r="AE1661" s="96"/>
      <c r="AF1661" s="96"/>
      <c r="AG1661" s="96"/>
      <c r="AH1661" s="110"/>
      <c r="AI1661" s="108"/>
      <c r="AJ1661" s="108"/>
      <c r="AK1661" s="108"/>
      <c r="AL1661" s="91" t="s">
        <v>32</v>
      </c>
      <c r="AM1661" s="840"/>
      <c r="AO1661" s="776"/>
      <c r="AP1661" s="776"/>
      <c r="AQ1661" s="776"/>
      <c r="AR1661" s="776"/>
    </row>
    <row r="1662" spans="1:48">
      <c r="A1662" s="834" t="s">
        <v>2342</v>
      </c>
      <c r="B1662" s="835">
        <v>1659</v>
      </c>
      <c r="C1662" s="834" t="s">
        <v>2425</v>
      </c>
      <c r="D1662" s="834" t="s">
        <v>347</v>
      </c>
      <c r="E1662" s="839">
        <v>45971.041666666664</v>
      </c>
      <c r="F1662" s="838" t="s">
        <v>140</v>
      </c>
      <c r="G1662" s="838">
        <v>8</v>
      </c>
      <c r="H1662" s="838" t="s">
        <v>127</v>
      </c>
      <c r="I1662" s="838"/>
      <c r="J1662" s="838"/>
      <c r="K1662" s="834" t="s">
        <v>113</v>
      </c>
      <c r="L1662" s="834" t="s">
        <v>113</v>
      </c>
      <c r="M1662" s="834" t="s">
        <v>113</v>
      </c>
      <c r="N1662" s="834" t="s">
        <v>113</v>
      </c>
      <c r="O1662" s="848"/>
      <c r="P1662" s="848" t="s">
        <v>1091</v>
      </c>
      <c r="Q1662" s="24">
        <v>46021</v>
      </c>
      <c r="R1662" s="852" t="s">
        <v>67</v>
      </c>
      <c r="S1662" s="834" t="s">
        <v>32</v>
      </c>
      <c r="T1662" s="834">
        <v>8</v>
      </c>
      <c r="U1662" s="24" t="s">
        <v>67</v>
      </c>
      <c r="V1662" s="24">
        <v>46021</v>
      </c>
      <c r="W1662" s="96" t="s">
        <v>113</v>
      </c>
      <c r="X1662" s="96"/>
      <c r="Y1662" s="91"/>
      <c r="Z1662" s="91"/>
      <c r="AA1662" s="91"/>
      <c r="AB1662" s="96"/>
      <c r="AC1662" s="96"/>
      <c r="AD1662" s="96"/>
      <c r="AE1662" s="96"/>
      <c r="AF1662" s="96"/>
      <c r="AG1662" s="96"/>
      <c r="AH1662" s="110"/>
      <c r="AI1662" s="110"/>
      <c r="AJ1662" s="110"/>
      <c r="AK1662" s="110"/>
      <c r="AL1662" s="91" t="s">
        <v>32</v>
      </c>
      <c r="AM1662" s="840"/>
      <c r="AS1662" s="71"/>
      <c r="AT1662" s="92"/>
      <c r="AU1662" s="92"/>
    </row>
    <row r="1663" spans="1:48">
      <c r="A1663" s="834" t="s">
        <v>2342</v>
      </c>
      <c r="B1663" s="835">
        <v>1660</v>
      </c>
      <c r="C1663" s="834" t="s">
        <v>2426</v>
      </c>
      <c r="D1663" s="834" t="s">
        <v>1198</v>
      </c>
      <c r="E1663" s="839">
        <v>45985.041666666664</v>
      </c>
      <c r="F1663" s="838" t="s">
        <v>140</v>
      </c>
      <c r="G1663" s="838">
        <v>31</v>
      </c>
      <c r="H1663" s="838" t="s">
        <v>1786</v>
      </c>
      <c r="I1663" s="838"/>
      <c r="J1663" s="219"/>
      <c r="K1663" s="834" t="s">
        <v>113</v>
      </c>
      <c r="L1663" s="834" t="s">
        <v>113</v>
      </c>
      <c r="M1663" s="834" t="s">
        <v>113</v>
      </c>
      <c r="N1663" s="834" t="s">
        <v>113</v>
      </c>
      <c r="O1663" s="113" t="s">
        <v>30</v>
      </c>
      <c r="P1663" s="848" t="s">
        <v>1091</v>
      </c>
      <c r="Q1663" s="24">
        <v>46021</v>
      </c>
      <c r="R1663" s="852" t="s">
        <v>67</v>
      </c>
      <c r="S1663" s="834" t="s">
        <v>32</v>
      </c>
      <c r="T1663" s="22">
        <v>31</v>
      </c>
      <c r="U1663" s="24" t="s">
        <v>67</v>
      </c>
      <c r="V1663" s="24">
        <v>46021</v>
      </c>
      <c r="W1663" s="96" t="s">
        <v>113</v>
      </c>
      <c r="X1663" s="91"/>
      <c r="Y1663" s="91"/>
      <c r="Z1663" s="96"/>
      <c r="AA1663" s="96"/>
      <c r="AB1663" s="96"/>
      <c r="AC1663" s="96"/>
      <c r="AD1663" s="96"/>
      <c r="AE1663" s="96"/>
      <c r="AF1663" s="96"/>
      <c r="AG1663" s="96"/>
      <c r="AH1663" s="110"/>
      <c r="AI1663" s="96"/>
      <c r="AJ1663" s="96"/>
      <c r="AK1663" s="96"/>
      <c r="AL1663" s="91" t="s">
        <v>32</v>
      </c>
      <c r="AM1663" s="840"/>
      <c r="AN1663" s="6">
        <v>4</v>
      </c>
      <c r="AO1663" s="6">
        <v>0</v>
      </c>
      <c r="AP1663" s="6">
        <v>26</v>
      </c>
      <c r="AQ1663" s="6">
        <v>1</v>
      </c>
      <c r="AR1663" s="6">
        <f>SUM(AN1663:AQ1663)</f>
        <v>31</v>
      </c>
      <c r="AS1663" s="104">
        <f>+AN1663/AR1663*AS$1</f>
        <v>0</v>
      </c>
      <c r="AT1663" s="105">
        <f>+AO1663/AR1663*AT$1</f>
        <v>0</v>
      </c>
      <c r="AU1663" s="105">
        <f>+AP1663/AR1663*AU$1</f>
        <v>0</v>
      </c>
      <c r="AV1663" s="105">
        <f>+AQ1663/AR1663*AV$1</f>
        <v>0</v>
      </c>
    </row>
    <row r="1664" spans="1:48">
      <c r="A1664" s="834" t="s">
        <v>2342</v>
      </c>
      <c r="B1664" s="835">
        <v>1661</v>
      </c>
      <c r="C1664" s="834" t="s">
        <v>2427</v>
      </c>
      <c r="D1664" s="834" t="s">
        <v>2428</v>
      </c>
      <c r="E1664" s="839">
        <v>45985.083333333336</v>
      </c>
      <c r="F1664" s="838" t="s">
        <v>140</v>
      </c>
      <c r="G1664" s="838">
        <v>27</v>
      </c>
      <c r="H1664" s="838" t="s">
        <v>1077</v>
      </c>
      <c r="I1664" s="838"/>
      <c r="J1664" s="219"/>
      <c r="K1664" s="834" t="s">
        <v>113</v>
      </c>
      <c r="L1664" s="834" t="s">
        <v>113</v>
      </c>
      <c r="M1664" s="834" t="s">
        <v>113</v>
      </c>
      <c r="N1664" s="834" t="s">
        <v>113</v>
      </c>
      <c r="O1664" s="113" t="s">
        <v>30</v>
      </c>
      <c r="P1664" s="848" t="s">
        <v>1091</v>
      </c>
      <c r="Q1664" s="24">
        <v>46021</v>
      </c>
      <c r="R1664" s="852" t="s">
        <v>67</v>
      </c>
      <c r="S1664" s="834" t="s">
        <v>32</v>
      </c>
      <c r="T1664" s="834">
        <v>27</v>
      </c>
      <c r="U1664" s="24" t="s">
        <v>67</v>
      </c>
      <c r="V1664" s="24">
        <v>46021</v>
      </c>
      <c r="W1664" s="96" t="s">
        <v>113</v>
      </c>
      <c r="X1664" s="96"/>
      <c r="Y1664" s="91"/>
      <c r="Z1664" s="96"/>
      <c r="AA1664" s="96"/>
      <c r="AB1664" s="96"/>
      <c r="AC1664" s="96"/>
      <c r="AD1664" s="96"/>
      <c r="AE1664" s="96"/>
      <c r="AF1664" s="96"/>
      <c r="AG1664" s="96"/>
      <c r="AH1664" s="110"/>
      <c r="AI1664" s="96"/>
      <c r="AJ1664" s="96"/>
      <c r="AK1664" s="96"/>
      <c r="AL1664" s="91" t="s">
        <v>32</v>
      </c>
      <c r="AM1664" s="840"/>
      <c r="AN1664" s="6">
        <v>0</v>
      </c>
      <c r="AO1664" s="6">
        <v>0</v>
      </c>
      <c r="AP1664" s="6">
        <v>0</v>
      </c>
      <c r="AQ1664" s="6">
        <v>27</v>
      </c>
      <c r="AR1664" s="6">
        <f>SUM(AN1664:AQ1664)</f>
        <v>27</v>
      </c>
      <c r="AS1664" s="104">
        <f>+AN1664/AR1664*AS$1</f>
        <v>0</v>
      </c>
      <c r="AT1664" s="105">
        <f>+AO1664/AR1664*AT$1</f>
        <v>0</v>
      </c>
      <c r="AU1664" s="105">
        <f>+AP1664/AR1664*AU$1</f>
        <v>0</v>
      </c>
      <c r="AV1664" s="105">
        <f>+AQ1664/AR1664*AV$1</f>
        <v>0</v>
      </c>
    </row>
    <row r="1665" spans="1:48">
      <c r="A1665" s="834" t="s">
        <v>2342</v>
      </c>
      <c r="B1665" s="835">
        <v>1662</v>
      </c>
      <c r="C1665" s="834" t="s">
        <v>2429</v>
      </c>
      <c r="D1665" s="834" t="s">
        <v>2430</v>
      </c>
      <c r="E1665" s="839">
        <v>45985.041666666664</v>
      </c>
      <c r="F1665" s="838" t="s">
        <v>140</v>
      </c>
      <c r="G1665" s="838">
        <v>1</v>
      </c>
      <c r="H1665" s="838" t="s">
        <v>127</v>
      </c>
      <c r="I1665" s="838"/>
      <c r="J1665" s="219"/>
      <c r="K1665" s="834" t="s">
        <v>113</v>
      </c>
      <c r="L1665" s="834" t="s">
        <v>113</v>
      </c>
      <c r="M1665" s="834" t="s">
        <v>113</v>
      </c>
      <c r="N1665" s="834" t="s">
        <v>113</v>
      </c>
      <c r="O1665" s="113"/>
      <c r="P1665" s="848" t="s">
        <v>1091</v>
      </c>
      <c r="Q1665" s="24">
        <v>46024</v>
      </c>
      <c r="R1665" s="852" t="s">
        <v>67</v>
      </c>
      <c r="S1665" s="834" t="s">
        <v>32</v>
      </c>
      <c r="T1665" s="834">
        <v>8</v>
      </c>
      <c r="U1665" s="24" t="s">
        <v>67</v>
      </c>
      <c r="V1665" s="24">
        <v>46024</v>
      </c>
      <c r="W1665" s="96" t="s">
        <v>113</v>
      </c>
      <c r="X1665" s="96"/>
      <c r="Y1665" s="91"/>
      <c r="Z1665" s="91"/>
      <c r="AA1665" s="91"/>
      <c r="AB1665" s="91"/>
      <c r="AC1665" s="96"/>
      <c r="AD1665" s="96"/>
      <c r="AE1665" s="96"/>
      <c r="AF1665" s="96"/>
      <c r="AG1665" s="96"/>
      <c r="AH1665" s="110"/>
      <c r="AI1665" s="96"/>
      <c r="AJ1665" s="96"/>
      <c r="AK1665" s="96"/>
      <c r="AL1665" s="91" t="s">
        <v>32</v>
      </c>
      <c r="AM1665" s="840"/>
    </row>
    <row r="1666" spans="1:48">
      <c r="A1666" s="834" t="s">
        <v>2342</v>
      </c>
      <c r="B1666" s="835">
        <v>1663</v>
      </c>
      <c r="C1666" s="834" t="s">
        <v>2431</v>
      </c>
      <c r="D1666" s="834" t="s">
        <v>1406</v>
      </c>
      <c r="E1666" s="839">
        <v>45985</v>
      </c>
      <c r="F1666" s="838" t="s">
        <v>140</v>
      </c>
      <c r="G1666" s="838">
        <v>4</v>
      </c>
      <c r="H1666" s="838" t="s">
        <v>1818</v>
      </c>
      <c r="I1666" s="838"/>
      <c r="J1666" s="838"/>
      <c r="K1666" s="834" t="s">
        <v>113</v>
      </c>
      <c r="L1666" s="834" t="s">
        <v>113</v>
      </c>
      <c r="M1666" s="834" t="s">
        <v>113</v>
      </c>
      <c r="N1666" s="834" t="s">
        <v>113</v>
      </c>
      <c r="O1666" s="848"/>
      <c r="P1666" s="848" t="s">
        <v>1091</v>
      </c>
      <c r="Q1666" s="24">
        <v>46021</v>
      </c>
      <c r="R1666" s="852" t="s">
        <v>67</v>
      </c>
      <c r="S1666" s="834" t="s">
        <v>32</v>
      </c>
      <c r="T1666" s="22">
        <v>4</v>
      </c>
      <c r="U1666" s="24" t="s">
        <v>67</v>
      </c>
      <c r="V1666" s="24">
        <v>46021</v>
      </c>
      <c r="W1666" s="96" t="s">
        <v>113</v>
      </c>
      <c r="X1666" s="96"/>
      <c r="Y1666" s="91"/>
      <c r="Z1666" s="91"/>
      <c r="AA1666" s="91"/>
      <c r="AB1666" s="91"/>
      <c r="AC1666" s="96"/>
      <c r="AD1666" s="96"/>
      <c r="AE1666" s="96"/>
      <c r="AF1666" s="96"/>
      <c r="AG1666" s="96"/>
      <c r="AH1666" s="110"/>
      <c r="AI1666" s="96"/>
      <c r="AJ1666" s="96"/>
      <c r="AK1666" s="96"/>
      <c r="AL1666" s="91" t="s">
        <v>32</v>
      </c>
      <c r="AM1666" s="840"/>
    </row>
    <row r="1667" spans="1:48">
      <c r="A1667" s="834" t="s">
        <v>2342</v>
      </c>
      <c r="B1667" s="835">
        <v>1664</v>
      </c>
      <c r="C1667" s="834" t="s">
        <v>2432</v>
      </c>
      <c r="D1667" s="834" t="s">
        <v>2415</v>
      </c>
      <c r="E1667" s="839">
        <v>45985.041666666664</v>
      </c>
      <c r="F1667" s="838" t="s">
        <v>140</v>
      </c>
      <c r="G1667" s="838">
        <v>1</v>
      </c>
      <c r="H1667" s="838" t="s">
        <v>127</v>
      </c>
      <c r="I1667" s="838"/>
      <c r="J1667" s="838"/>
      <c r="K1667" s="834" t="s">
        <v>113</v>
      </c>
      <c r="L1667" s="834" t="s">
        <v>113</v>
      </c>
      <c r="M1667" s="834" t="s">
        <v>113</v>
      </c>
      <c r="N1667" s="834" t="s">
        <v>113</v>
      </c>
      <c r="O1667" s="113"/>
      <c r="P1667" s="848" t="s">
        <v>1091</v>
      </c>
      <c r="Q1667" s="24">
        <v>46021</v>
      </c>
      <c r="R1667" s="852" t="s">
        <v>67</v>
      </c>
      <c r="S1667" s="834" t="s">
        <v>32</v>
      </c>
      <c r="T1667" s="22">
        <v>1</v>
      </c>
      <c r="U1667" s="24" t="s">
        <v>67</v>
      </c>
      <c r="V1667" s="24">
        <v>46021</v>
      </c>
      <c r="W1667" s="96" t="s">
        <v>113</v>
      </c>
      <c r="X1667" s="96"/>
      <c r="Y1667" s="91"/>
      <c r="Z1667" s="91"/>
      <c r="AA1667" s="91"/>
      <c r="AB1667" s="91"/>
      <c r="AC1667" s="96"/>
      <c r="AD1667" s="96"/>
      <c r="AE1667" s="96"/>
      <c r="AF1667" s="96"/>
      <c r="AG1667" s="96"/>
      <c r="AH1667" s="110"/>
      <c r="AI1667" s="110"/>
      <c r="AJ1667" s="110"/>
      <c r="AK1667" s="96"/>
      <c r="AL1667" s="91" t="s">
        <v>32</v>
      </c>
      <c r="AM1667" s="840"/>
    </row>
    <row r="1668" spans="1:48">
      <c r="A1668" s="834" t="s">
        <v>2342</v>
      </c>
      <c r="B1668" s="835">
        <v>1665</v>
      </c>
      <c r="C1668" s="834" t="s">
        <v>2433</v>
      </c>
      <c r="D1668" s="834" t="s">
        <v>2358</v>
      </c>
      <c r="E1668" s="839">
        <v>45985</v>
      </c>
      <c r="F1668" s="838" t="s">
        <v>140</v>
      </c>
      <c r="G1668" s="838">
        <v>3</v>
      </c>
      <c r="H1668" s="838" t="s">
        <v>1076</v>
      </c>
      <c r="I1668" s="838"/>
      <c r="J1668" s="838"/>
      <c r="K1668" s="834" t="s">
        <v>113</v>
      </c>
      <c r="L1668" s="834" t="s">
        <v>113</v>
      </c>
      <c r="M1668" s="834" t="s">
        <v>113</v>
      </c>
      <c r="N1668" s="834" t="s">
        <v>113</v>
      </c>
      <c r="O1668" s="113"/>
      <c r="P1668" s="848" t="s">
        <v>1091</v>
      </c>
      <c r="Q1668" s="24">
        <v>46021</v>
      </c>
      <c r="R1668" s="852" t="s">
        <v>67</v>
      </c>
      <c r="S1668" s="834" t="s">
        <v>32</v>
      </c>
      <c r="T1668" s="834">
        <v>3</v>
      </c>
      <c r="U1668" s="24" t="s">
        <v>67</v>
      </c>
      <c r="V1668" s="24">
        <v>46021</v>
      </c>
      <c r="W1668" s="96" t="s">
        <v>113</v>
      </c>
      <c r="X1668" s="96"/>
      <c r="Y1668" s="91"/>
      <c r="Z1668" s="96"/>
      <c r="AA1668" s="96"/>
      <c r="AB1668" s="96"/>
      <c r="AC1668" s="96"/>
      <c r="AD1668" s="96"/>
      <c r="AE1668" s="96"/>
      <c r="AF1668" s="96"/>
      <c r="AG1668" s="96"/>
      <c r="AH1668" s="110"/>
      <c r="AI1668" s="110"/>
      <c r="AJ1668" s="110"/>
      <c r="AK1668" s="110"/>
      <c r="AL1668" s="91" t="s">
        <v>32</v>
      </c>
      <c r="AM1668" s="840"/>
    </row>
    <row r="1669" spans="1:48">
      <c r="A1669" s="834" t="s">
        <v>2342</v>
      </c>
      <c r="B1669" s="835">
        <v>1666</v>
      </c>
      <c r="C1669" s="834" t="s">
        <v>2434</v>
      </c>
      <c r="D1669" s="834" t="s">
        <v>1230</v>
      </c>
      <c r="E1669" s="839">
        <v>45985.083333333336</v>
      </c>
      <c r="F1669" s="838" t="s">
        <v>140</v>
      </c>
      <c r="G1669" s="838">
        <v>7</v>
      </c>
      <c r="H1669" s="838" t="s">
        <v>1077</v>
      </c>
      <c r="I1669" s="838"/>
      <c r="J1669" s="838"/>
      <c r="K1669" s="834" t="s">
        <v>113</v>
      </c>
      <c r="L1669" s="834" t="s">
        <v>113</v>
      </c>
      <c r="M1669" s="834" t="s">
        <v>113</v>
      </c>
      <c r="N1669" s="834" t="s">
        <v>113</v>
      </c>
      <c r="O1669" s="113"/>
      <c r="P1669" s="848" t="s">
        <v>1091</v>
      </c>
      <c r="Q1669" s="24">
        <v>46022</v>
      </c>
      <c r="R1669" s="852" t="s">
        <v>67</v>
      </c>
      <c r="S1669" s="834" t="s">
        <v>32</v>
      </c>
      <c r="T1669" s="834">
        <v>7</v>
      </c>
      <c r="U1669" s="24" t="s">
        <v>67</v>
      </c>
      <c r="V1669" s="24">
        <v>46022</v>
      </c>
      <c r="W1669" s="96" t="s">
        <v>113</v>
      </c>
      <c r="X1669" s="96"/>
      <c r="Y1669" s="91"/>
      <c r="Z1669" s="96"/>
      <c r="AA1669" s="96"/>
      <c r="AB1669" s="96"/>
      <c r="AC1669" s="96"/>
      <c r="AD1669" s="96"/>
      <c r="AE1669" s="96"/>
      <c r="AF1669" s="96"/>
      <c r="AG1669" s="96"/>
      <c r="AH1669" s="110"/>
      <c r="AI1669" s="110"/>
      <c r="AJ1669" s="110"/>
      <c r="AK1669" s="107"/>
      <c r="AL1669" s="91" t="s">
        <v>32</v>
      </c>
      <c r="AM1669" s="840"/>
      <c r="AN1669" s="87"/>
      <c r="AO1669" s="87"/>
      <c r="AS1669" s="71"/>
      <c r="AT1669" s="92"/>
      <c r="AU1669" s="92"/>
    </row>
    <row r="1670" spans="1:48">
      <c r="A1670" s="834" t="s">
        <v>2342</v>
      </c>
      <c r="B1670" s="835">
        <v>1667</v>
      </c>
      <c r="C1670" s="834" t="s">
        <v>2435</v>
      </c>
      <c r="D1670" s="834" t="s">
        <v>1567</v>
      </c>
      <c r="E1670" s="839">
        <v>45985.125</v>
      </c>
      <c r="F1670" s="838" t="s">
        <v>140</v>
      </c>
      <c r="G1670" s="838">
        <v>2</v>
      </c>
      <c r="H1670" s="838" t="s">
        <v>1790</v>
      </c>
      <c r="I1670" s="838"/>
      <c r="J1670" s="838"/>
      <c r="K1670" s="834" t="s">
        <v>113</v>
      </c>
      <c r="L1670" s="834" t="s">
        <v>113</v>
      </c>
      <c r="M1670" s="834" t="s">
        <v>113</v>
      </c>
      <c r="N1670" s="834" t="s">
        <v>113</v>
      </c>
      <c r="O1670" s="848"/>
      <c r="P1670" s="848" t="s">
        <v>1091</v>
      </c>
      <c r="Q1670" s="24">
        <v>46022</v>
      </c>
      <c r="R1670" s="852" t="s">
        <v>67</v>
      </c>
      <c r="S1670" s="834" t="s">
        <v>32</v>
      </c>
      <c r="T1670" s="7">
        <v>2</v>
      </c>
      <c r="U1670" s="24" t="s">
        <v>67</v>
      </c>
      <c r="V1670" s="24">
        <v>46022</v>
      </c>
      <c r="W1670" s="96" t="s">
        <v>113</v>
      </c>
      <c r="X1670" s="96"/>
      <c r="Y1670" s="91"/>
      <c r="Z1670" s="96"/>
      <c r="AA1670" s="96"/>
      <c r="AB1670" s="96"/>
      <c r="AC1670" s="96"/>
      <c r="AD1670" s="96"/>
      <c r="AE1670" s="96"/>
      <c r="AF1670" s="96"/>
      <c r="AG1670" s="96"/>
      <c r="AH1670" s="110"/>
      <c r="AI1670" s="96"/>
      <c r="AJ1670" s="96"/>
      <c r="AK1670" s="96"/>
      <c r="AL1670" s="91" t="s">
        <v>32</v>
      </c>
      <c r="AM1670" s="840"/>
      <c r="AS1670" s="71"/>
      <c r="AT1670" s="92"/>
      <c r="AU1670" s="92"/>
    </row>
    <row r="1671" spans="1:48">
      <c r="A1671" s="834" t="s">
        <v>2342</v>
      </c>
      <c r="B1671" s="835">
        <v>1668</v>
      </c>
      <c r="C1671" s="834" t="s">
        <v>2436</v>
      </c>
      <c r="D1671" s="834" t="s">
        <v>2364</v>
      </c>
      <c r="E1671" s="839">
        <v>45985.041666666664</v>
      </c>
      <c r="F1671" s="838" t="s">
        <v>140</v>
      </c>
      <c r="G1671" s="838">
        <v>24</v>
      </c>
      <c r="H1671" s="838" t="s">
        <v>127</v>
      </c>
      <c r="I1671" s="838"/>
      <c r="J1671" s="98" t="s">
        <v>2437</v>
      </c>
      <c r="K1671" s="834" t="s">
        <v>113</v>
      </c>
      <c r="L1671" s="834" t="s">
        <v>113</v>
      </c>
      <c r="M1671" s="834" t="s">
        <v>113</v>
      </c>
      <c r="N1671" s="834" t="s">
        <v>113</v>
      </c>
      <c r="O1671" s="113" t="s">
        <v>30</v>
      </c>
      <c r="P1671" s="848"/>
      <c r="Q1671" s="24"/>
      <c r="R1671" s="852"/>
      <c r="S1671" s="834"/>
      <c r="T1671" s="22"/>
      <c r="U1671" s="24"/>
      <c r="V1671" s="24"/>
      <c r="W1671" s="96" t="s">
        <v>113</v>
      </c>
      <c r="X1671" s="96"/>
      <c r="Y1671" s="91"/>
      <c r="Z1671" s="96"/>
      <c r="AA1671" s="96"/>
      <c r="AB1671" s="96"/>
      <c r="AC1671" s="96"/>
      <c r="AD1671" s="96"/>
      <c r="AE1671" s="96"/>
      <c r="AF1671" s="96"/>
      <c r="AG1671" s="96"/>
      <c r="AH1671" s="110"/>
      <c r="AI1671" s="110"/>
      <c r="AJ1671" s="110"/>
      <c r="AK1671" s="96"/>
      <c r="AL1671" s="91" t="s">
        <v>32</v>
      </c>
      <c r="AM1671" s="840"/>
      <c r="AN1671" s="6">
        <v>24</v>
      </c>
      <c r="AO1671" s="6">
        <v>0</v>
      </c>
      <c r="AP1671" s="6">
        <v>0</v>
      </c>
      <c r="AQ1671" s="6">
        <v>0</v>
      </c>
      <c r="AR1671" s="6">
        <f>SUM(AN1671:AQ1671)</f>
        <v>24</v>
      </c>
      <c r="AS1671" s="104">
        <f>+AN1671/AR1671*AS$1</f>
        <v>0</v>
      </c>
      <c r="AT1671" s="105">
        <f>+AO1671/AR1671*AT$1</f>
        <v>0</v>
      </c>
      <c r="AU1671" s="105">
        <f>+AP1671/AR1671*AU$1</f>
        <v>0</v>
      </c>
      <c r="AV1671" s="105">
        <f>+AQ1671/AR1671*AV$1</f>
        <v>0</v>
      </c>
    </row>
    <row r="1672" spans="1:48">
      <c r="A1672" s="834" t="s">
        <v>2342</v>
      </c>
      <c r="B1672" s="835">
        <v>1669</v>
      </c>
      <c r="C1672" s="834" t="s">
        <v>2438</v>
      </c>
      <c r="D1672" s="834" t="s">
        <v>1544</v>
      </c>
      <c r="E1672" s="839">
        <v>45985.041666666664</v>
      </c>
      <c r="F1672" s="838" t="s">
        <v>140</v>
      </c>
      <c r="G1672" s="838">
        <v>1</v>
      </c>
      <c r="H1672" s="838" t="s">
        <v>127</v>
      </c>
      <c r="I1672" s="838"/>
      <c r="J1672" s="838"/>
      <c r="K1672" s="834" t="s">
        <v>113</v>
      </c>
      <c r="L1672" s="834" t="s">
        <v>113</v>
      </c>
      <c r="M1672" s="834" t="s">
        <v>113</v>
      </c>
      <c r="N1672" s="834" t="s">
        <v>113</v>
      </c>
      <c r="O1672" s="848"/>
      <c r="P1672" s="848" t="s">
        <v>1091</v>
      </c>
      <c r="Q1672" s="24">
        <v>46022</v>
      </c>
      <c r="R1672" s="852" t="s">
        <v>67</v>
      </c>
      <c r="S1672" s="834" t="s">
        <v>32</v>
      </c>
      <c r="T1672" s="22">
        <v>1</v>
      </c>
      <c r="U1672" s="24" t="s">
        <v>67</v>
      </c>
      <c r="V1672" s="24">
        <v>46022</v>
      </c>
      <c r="W1672" s="96" t="s">
        <v>113</v>
      </c>
      <c r="X1672" s="96"/>
      <c r="Y1672" s="91"/>
      <c r="Z1672" s="96"/>
      <c r="AA1672" s="96"/>
      <c r="AB1672" s="96"/>
      <c r="AC1672" s="96"/>
      <c r="AD1672" s="96"/>
      <c r="AE1672" s="96"/>
      <c r="AF1672" s="96"/>
      <c r="AG1672" s="96"/>
      <c r="AH1672" s="110"/>
      <c r="AI1672" s="96"/>
      <c r="AJ1672" s="96"/>
      <c r="AK1672" s="96"/>
      <c r="AL1672" s="91" t="s">
        <v>32</v>
      </c>
      <c r="AM1672" s="840"/>
      <c r="AS1672" s="71"/>
      <c r="AT1672" s="92"/>
      <c r="AU1672" s="92"/>
    </row>
    <row r="1673" spans="1:48">
      <c r="A1673" s="834" t="s">
        <v>2342</v>
      </c>
      <c r="B1673" s="835">
        <v>1670</v>
      </c>
      <c r="C1673" s="834" t="s">
        <v>2439</v>
      </c>
      <c r="D1673" s="834" t="s">
        <v>2440</v>
      </c>
      <c r="E1673" s="839">
        <v>45985</v>
      </c>
      <c r="F1673" s="838" t="s">
        <v>140</v>
      </c>
      <c r="G1673" s="838">
        <v>7</v>
      </c>
      <c r="H1673" s="838" t="s">
        <v>1721</v>
      </c>
      <c r="I1673" s="838"/>
      <c r="J1673" s="838"/>
      <c r="K1673" s="834" t="s">
        <v>113</v>
      </c>
      <c r="L1673" s="834" t="s">
        <v>113</v>
      </c>
      <c r="M1673" s="834" t="s">
        <v>113</v>
      </c>
      <c r="N1673" s="834" t="s">
        <v>113</v>
      </c>
      <c r="O1673" s="113"/>
      <c r="P1673" s="247" t="s">
        <v>1091</v>
      </c>
      <c r="Q1673" s="24">
        <v>46024</v>
      </c>
      <c r="R1673" s="24" t="s">
        <v>67</v>
      </c>
      <c r="S1673" s="22" t="s">
        <v>32</v>
      </c>
      <c r="T1673" s="22">
        <v>2</v>
      </c>
      <c r="U1673" s="24" t="s">
        <v>67</v>
      </c>
      <c r="V1673" s="24">
        <v>46024</v>
      </c>
      <c r="W1673" s="96" t="s">
        <v>113</v>
      </c>
      <c r="X1673" s="96"/>
      <c r="Y1673" s="91"/>
      <c r="Z1673" s="96"/>
      <c r="AA1673" s="96"/>
      <c r="AB1673" s="96"/>
      <c r="AC1673" s="96"/>
      <c r="AD1673" s="96"/>
      <c r="AE1673" s="96"/>
      <c r="AF1673" s="96"/>
      <c r="AG1673" s="96"/>
      <c r="AH1673" s="110"/>
      <c r="AI1673" s="96"/>
      <c r="AJ1673" s="96"/>
      <c r="AK1673" s="96"/>
      <c r="AL1673" s="91" t="s">
        <v>32</v>
      </c>
      <c r="AM1673" s="840"/>
    </row>
    <row r="1674" spans="1:48">
      <c r="A1674" s="834" t="s">
        <v>2342</v>
      </c>
      <c r="B1674" s="835">
        <v>1671</v>
      </c>
      <c r="C1674" s="834" t="s">
        <v>2441</v>
      </c>
      <c r="D1674" s="834" t="s">
        <v>2442</v>
      </c>
      <c r="E1674" s="839">
        <v>45985.375</v>
      </c>
      <c r="F1674" s="838" t="s">
        <v>140</v>
      </c>
      <c r="G1674" s="838">
        <v>12</v>
      </c>
      <c r="H1674" s="838" t="s">
        <v>2443</v>
      </c>
      <c r="I1674" s="838"/>
      <c r="J1674" s="838"/>
      <c r="K1674" s="834" t="s">
        <v>113</v>
      </c>
      <c r="L1674" s="834" t="s">
        <v>113</v>
      </c>
      <c r="M1674" s="834" t="s">
        <v>113</v>
      </c>
      <c r="N1674" s="834" t="s">
        <v>113</v>
      </c>
      <c r="O1674" s="848"/>
      <c r="P1674" s="848" t="s">
        <v>1091</v>
      </c>
      <c r="Q1674" s="24">
        <v>46022</v>
      </c>
      <c r="R1674" s="852" t="s">
        <v>67</v>
      </c>
      <c r="S1674" s="834" t="s">
        <v>32</v>
      </c>
      <c r="T1674" s="834">
        <v>12</v>
      </c>
      <c r="U1674" s="24" t="s">
        <v>67</v>
      </c>
      <c r="V1674" s="24">
        <v>46022</v>
      </c>
      <c r="W1674" s="96" t="s">
        <v>113</v>
      </c>
      <c r="X1674" s="96"/>
      <c r="Y1674" s="91"/>
      <c r="Z1674" s="96"/>
      <c r="AA1674" s="96"/>
      <c r="AB1674" s="96"/>
      <c r="AC1674" s="96"/>
      <c r="AD1674" s="96"/>
      <c r="AE1674" s="96"/>
      <c r="AF1674" s="96"/>
      <c r="AG1674" s="96"/>
      <c r="AH1674" s="110"/>
      <c r="AI1674" s="96"/>
      <c r="AJ1674" s="96"/>
      <c r="AK1674" s="96"/>
      <c r="AL1674" s="91" t="s">
        <v>32</v>
      </c>
      <c r="AM1674" s="840"/>
      <c r="AS1674" s="71"/>
      <c r="AT1674" s="92"/>
      <c r="AU1674" s="92"/>
    </row>
    <row r="1675" spans="1:48">
      <c r="A1675" s="834" t="s">
        <v>2342</v>
      </c>
      <c r="B1675" s="835">
        <v>1672</v>
      </c>
      <c r="C1675" s="834" t="s">
        <v>2444</v>
      </c>
      <c r="D1675" s="834" t="s">
        <v>1208</v>
      </c>
      <c r="E1675" s="839">
        <v>45985</v>
      </c>
      <c r="F1675" s="838" t="s">
        <v>140</v>
      </c>
      <c r="G1675" s="838">
        <v>1</v>
      </c>
      <c r="H1675" s="838" t="s">
        <v>1077</v>
      </c>
      <c r="I1675" s="838"/>
      <c r="J1675" s="838"/>
      <c r="K1675" s="834" t="s">
        <v>113</v>
      </c>
      <c r="L1675" s="834" t="s">
        <v>113</v>
      </c>
      <c r="M1675" s="834" t="s">
        <v>113</v>
      </c>
      <c r="N1675" s="834" t="s">
        <v>113</v>
      </c>
      <c r="O1675" s="848"/>
      <c r="P1675" s="848" t="s">
        <v>1091</v>
      </c>
      <c r="Q1675" s="24">
        <v>46022</v>
      </c>
      <c r="R1675" s="852" t="s">
        <v>67</v>
      </c>
      <c r="S1675" s="834" t="s">
        <v>32</v>
      </c>
      <c r="T1675" s="834">
        <v>1</v>
      </c>
      <c r="U1675" s="24" t="s">
        <v>67</v>
      </c>
      <c r="V1675" s="24">
        <v>46022</v>
      </c>
      <c r="W1675" s="96" t="s">
        <v>113</v>
      </c>
      <c r="X1675" s="96"/>
      <c r="Y1675" s="91"/>
      <c r="Z1675" s="96"/>
      <c r="AA1675" s="96"/>
      <c r="AB1675" s="96"/>
      <c r="AC1675" s="96"/>
      <c r="AD1675" s="96"/>
      <c r="AE1675" s="96"/>
      <c r="AF1675" s="96"/>
      <c r="AG1675" s="96"/>
      <c r="AH1675" s="110"/>
      <c r="AI1675" s="110"/>
      <c r="AJ1675" s="110"/>
      <c r="AK1675" s="110"/>
      <c r="AL1675" s="91" t="s">
        <v>32</v>
      </c>
      <c r="AM1675" s="840"/>
      <c r="AS1675" s="71"/>
      <c r="AT1675" s="92"/>
      <c r="AU1675" s="92"/>
    </row>
    <row r="1676" spans="1:48">
      <c r="A1676" s="834" t="s">
        <v>2342</v>
      </c>
      <c r="B1676" s="835">
        <v>1673</v>
      </c>
      <c r="C1676" s="834" t="s">
        <v>2445</v>
      </c>
      <c r="D1676" s="834" t="s">
        <v>937</v>
      </c>
      <c r="E1676" s="839">
        <v>45985.041666666664</v>
      </c>
      <c r="F1676" s="838" t="s">
        <v>140</v>
      </c>
      <c r="G1676" s="838">
        <v>28</v>
      </c>
      <c r="H1676" s="838" t="s">
        <v>2446</v>
      </c>
      <c r="I1676" s="838"/>
      <c r="J1676" s="838"/>
      <c r="K1676" s="834" t="s">
        <v>113</v>
      </c>
      <c r="L1676" s="834" t="s">
        <v>113</v>
      </c>
      <c r="M1676" s="834" t="s">
        <v>113</v>
      </c>
      <c r="N1676" s="834" t="s">
        <v>113</v>
      </c>
      <c r="O1676" s="113" t="s">
        <v>30</v>
      </c>
      <c r="P1676" s="848" t="s">
        <v>1091</v>
      </c>
      <c r="Q1676" s="24">
        <v>46022</v>
      </c>
      <c r="R1676" s="852" t="s">
        <v>67</v>
      </c>
      <c r="S1676" s="834" t="s">
        <v>32</v>
      </c>
      <c r="T1676" s="22">
        <v>28</v>
      </c>
      <c r="U1676" s="24" t="s">
        <v>67</v>
      </c>
      <c r="V1676" s="24">
        <v>46022</v>
      </c>
      <c r="W1676" s="96" t="s">
        <v>113</v>
      </c>
      <c r="X1676" s="96"/>
      <c r="Y1676" s="91"/>
      <c r="Z1676" s="96"/>
      <c r="AA1676" s="91"/>
      <c r="AB1676" s="96"/>
      <c r="AC1676" s="96"/>
      <c r="AD1676" s="96"/>
      <c r="AE1676" s="96"/>
      <c r="AF1676" s="96"/>
      <c r="AG1676" s="96"/>
      <c r="AH1676" s="110"/>
      <c r="AI1676" s="96"/>
      <c r="AJ1676" s="96"/>
      <c r="AK1676" s="96"/>
      <c r="AL1676" s="91" t="s">
        <v>32</v>
      </c>
      <c r="AM1676" s="840" t="s">
        <v>2068</v>
      </c>
      <c r="AN1676" s="6">
        <v>1</v>
      </c>
      <c r="AO1676" s="6">
        <v>2</v>
      </c>
      <c r="AP1676" s="6">
        <v>9</v>
      </c>
      <c r="AQ1676" s="6">
        <v>16</v>
      </c>
      <c r="AR1676" s="6">
        <f>SUM(AN1676:AQ1676)</f>
        <v>28</v>
      </c>
      <c r="AS1676" s="104">
        <f>+AN1676/AR1676*AS$1</f>
        <v>0</v>
      </c>
      <c r="AT1676" s="105">
        <f>+AO1676/AR1676*AT$1</f>
        <v>0</v>
      </c>
      <c r="AU1676" s="105">
        <f>+AP1676/AR1676*AU$1</f>
        <v>0</v>
      </c>
      <c r="AV1676" s="105">
        <f>+AQ1676/AR1676*AV$1</f>
        <v>0</v>
      </c>
    </row>
    <row r="1677" spans="1:48">
      <c r="A1677" s="834" t="s">
        <v>2342</v>
      </c>
      <c r="B1677" s="835">
        <v>1674</v>
      </c>
      <c r="C1677" s="834" t="s">
        <v>2447</v>
      </c>
      <c r="D1677" s="834" t="s">
        <v>2353</v>
      </c>
      <c r="E1677" s="839">
        <v>45985</v>
      </c>
      <c r="F1677" s="838" t="s">
        <v>140</v>
      </c>
      <c r="G1677" s="838">
        <v>2</v>
      </c>
      <c r="H1677" s="838" t="s">
        <v>1076</v>
      </c>
      <c r="I1677" s="838"/>
      <c r="J1677" s="838"/>
      <c r="K1677" s="834" t="s">
        <v>113</v>
      </c>
      <c r="L1677" s="834" t="s">
        <v>113</v>
      </c>
      <c r="M1677" s="834" t="s">
        <v>113</v>
      </c>
      <c r="N1677" s="834" t="s">
        <v>113</v>
      </c>
      <c r="O1677" s="848"/>
      <c r="P1677" s="848" t="s">
        <v>1091</v>
      </c>
      <c r="Q1677" s="24">
        <v>46022</v>
      </c>
      <c r="R1677" s="852" t="s">
        <v>67</v>
      </c>
      <c r="S1677" s="834" t="s">
        <v>32</v>
      </c>
      <c r="T1677" s="834">
        <v>2</v>
      </c>
      <c r="U1677" s="24" t="s">
        <v>67</v>
      </c>
      <c r="V1677" s="24">
        <v>46022</v>
      </c>
      <c r="W1677" s="96" t="s">
        <v>113</v>
      </c>
      <c r="X1677" s="96"/>
      <c r="Y1677" s="91"/>
      <c r="Z1677" s="91"/>
      <c r="AA1677" s="91"/>
      <c r="AB1677" s="96"/>
      <c r="AC1677" s="96"/>
      <c r="AD1677" s="96"/>
      <c r="AE1677" s="96"/>
      <c r="AF1677" s="96"/>
      <c r="AG1677" s="96"/>
      <c r="AH1677" s="110"/>
      <c r="AI1677" s="110"/>
      <c r="AJ1677" s="110"/>
      <c r="AK1677" s="96"/>
      <c r="AL1677" s="91" t="s">
        <v>32</v>
      </c>
      <c r="AM1677" s="840"/>
    </row>
    <row r="1678" spans="1:48">
      <c r="A1678" s="834" t="s">
        <v>2342</v>
      </c>
      <c r="B1678" s="835">
        <v>1675</v>
      </c>
      <c r="C1678" s="834" t="s">
        <v>2448</v>
      </c>
      <c r="D1678" s="834" t="s">
        <v>2449</v>
      </c>
      <c r="E1678" s="839">
        <v>45985.041666666664</v>
      </c>
      <c r="F1678" s="838" t="s">
        <v>140</v>
      </c>
      <c r="G1678" s="838">
        <v>2</v>
      </c>
      <c r="H1678" s="838" t="s">
        <v>127</v>
      </c>
      <c r="I1678" s="838"/>
      <c r="J1678" s="838"/>
      <c r="K1678" s="834" t="s">
        <v>113</v>
      </c>
      <c r="L1678" s="834" t="s">
        <v>113</v>
      </c>
      <c r="M1678" s="834" t="s">
        <v>113</v>
      </c>
      <c r="N1678" s="834" t="s">
        <v>113</v>
      </c>
      <c r="O1678" s="113"/>
      <c r="P1678" s="848" t="s">
        <v>1091</v>
      </c>
      <c r="Q1678" s="24">
        <v>46022</v>
      </c>
      <c r="R1678" s="852" t="s">
        <v>67</v>
      </c>
      <c r="S1678" s="834" t="s">
        <v>32</v>
      </c>
      <c r="T1678" s="22">
        <v>2</v>
      </c>
      <c r="U1678" s="24" t="s">
        <v>67</v>
      </c>
      <c r="V1678" s="24">
        <v>46022</v>
      </c>
      <c r="W1678" s="96" t="s">
        <v>113</v>
      </c>
      <c r="X1678" s="96"/>
      <c r="Y1678" s="103"/>
      <c r="Z1678" s="96"/>
      <c r="AA1678" s="91"/>
      <c r="AB1678" s="96"/>
      <c r="AC1678" s="96"/>
      <c r="AD1678" s="96"/>
      <c r="AE1678" s="96"/>
      <c r="AF1678" s="96"/>
      <c r="AG1678" s="96"/>
      <c r="AH1678" s="110"/>
      <c r="AI1678" s="110"/>
      <c r="AJ1678" s="110"/>
      <c r="AK1678" s="110"/>
      <c r="AL1678" s="110" t="s">
        <v>32</v>
      </c>
      <c r="AM1678" s="840"/>
      <c r="AR1678" s="84"/>
      <c r="AS1678" s="71"/>
      <c r="AT1678" s="71"/>
      <c r="AU1678" s="71"/>
    </row>
    <row r="1679" spans="1:48">
      <c r="A1679" s="834" t="s">
        <v>2342</v>
      </c>
      <c r="B1679" s="835">
        <v>1676</v>
      </c>
      <c r="C1679" s="834" t="s">
        <v>2450</v>
      </c>
      <c r="D1679" s="834" t="s">
        <v>2451</v>
      </c>
      <c r="E1679" s="839">
        <v>45985.125</v>
      </c>
      <c r="F1679" s="838" t="s">
        <v>140</v>
      </c>
      <c r="G1679" s="838">
        <v>1</v>
      </c>
      <c r="H1679" s="838" t="s">
        <v>1077</v>
      </c>
      <c r="I1679" s="838"/>
      <c r="J1679" s="838"/>
      <c r="K1679" s="834" t="s">
        <v>113</v>
      </c>
      <c r="L1679" s="834" t="s">
        <v>113</v>
      </c>
      <c r="M1679" s="834" t="s">
        <v>113</v>
      </c>
      <c r="N1679" s="834" t="s">
        <v>113</v>
      </c>
      <c r="O1679" s="113"/>
      <c r="P1679" s="848" t="s">
        <v>1091</v>
      </c>
      <c r="Q1679" s="24">
        <v>46022</v>
      </c>
      <c r="R1679" s="852" t="s">
        <v>67</v>
      </c>
      <c r="S1679" s="834" t="s">
        <v>32</v>
      </c>
      <c r="T1679" s="834">
        <v>1</v>
      </c>
      <c r="U1679" s="24" t="s">
        <v>67</v>
      </c>
      <c r="V1679" s="24">
        <v>46022</v>
      </c>
      <c r="W1679" s="96" t="s">
        <v>113</v>
      </c>
      <c r="X1679" s="103"/>
      <c r="Y1679" s="103"/>
      <c r="Z1679" s="96"/>
      <c r="AA1679" s="103"/>
      <c r="AB1679" s="96"/>
      <c r="AC1679" s="96"/>
      <c r="AD1679" s="96"/>
      <c r="AE1679" s="96"/>
      <c r="AF1679" s="96"/>
      <c r="AG1679" s="96"/>
      <c r="AH1679" s="110"/>
      <c r="AI1679" s="110"/>
      <c r="AJ1679" s="110"/>
      <c r="AK1679" s="110"/>
      <c r="AL1679" s="110" t="s">
        <v>32</v>
      </c>
      <c r="AM1679" s="840"/>
      <c r="AS1679" s="71"/>
      <c r="AT1679" s="92"/>
      <c r="AU1679" s="92"/>
    </row>
    <row r="1680" spans="1:48">
      <c r="A1680" s="834" t="s">
        <v>2342</v>
      </c>
      <c r="B1680" s="835">
        <v>1677</v>
      </c>
      <c r="C1680" s="834" t="s">
        <v>2452</v>
      </c>
      <c r="D1680" s="834" t="s">
        <v>2453</v>
      </c>
      <c r="E1680" s="839">
        <v>45985.375</v>
      </c>
      <c r="F1680" s="838" t="s">
        <v>140</v>
      </c>
      <c r="G1680" s="838">
        <v>1</v>
      </c>
      <c r="H1680" s="838" t="s">
        <v>1721</v>
      </c>
      <c r="I1680" s="838"/>
      <c r="J1680" s="838"/>
      <c r="K1680" s="834" t="s">
        <v>113</v>
      </c>
      <c r="L1680" s="834" t="s">
        <v>113</v>
      </c>
      <c r="M1680" s="834" t="s">
        <v>113</v>
      </c>
      <c r="N1680" s="834" t="s">
        <v>113</v>
      </c>
      <c r="O1680" s="113"/>
      <c r="P1680" s="848" t="s">
        <v>1091</v>
      </c>
      <c r="Q1680" s="24">
        <v>46022</v>
      </c>
      <c r="R1680" s="852" t="s">
        <v>67</v>
      </c>
      <c r="S1680" s="834" t="s">
        <v>32</v>
      </c>
      <c r="T1680" s="834">
        <v>1</v>
      </c>
      <c r="U1680" s="24" t="s">
        <v>67</v>
      </c>
      <c r="V1680" s="24">
        <v>46022</v>
      </c>
      <c r="W1680" s="96" t="s">
        <v>113</v>
      </c>
      <c r="X1680" s="96"/>
      <c r="Y1680" s="103"/>
      <c r="Z1680" s="96"/>
      <c r="AA1680" s="96"/>
      <c r="AB1680" s="96"/>
      <c r="AC1680" s="96"/>
      <c r="AD1680" s="96"/>
      <c r="AE1680" s="96"/>
      <c r="AF1680" s="96"/>
      <c r="AG1680" s="96"/>
      <c r="AH1680" s="110"/>
      <c r="AI1680" s="110"/>
      <c r="AJ1680" s="110"/>
      <c r="AK1680" s="110"/>
      <c r="AL1680" s="110" t="s">
        <v>32</v>
      </c>
      <c r="AM1680" s="840"/>
    </row>
    <row r="1681" spans="1:48">
      <c r="A1681" s="834" t="s">
        <v>2342</v>
      </c>
      <c r="B1681" s="835">
        <v>1678</v>
      </c>
      <c r="C1681" s="834" t="s">
        <v>2454</v>
      </c>
      <c r="D1681" s="834" t="s">
        <v>1366</v>
      </c>
      <c r="E1681" s="839">
        <v>45978</v>
      </c>
      <c r="F1681" s="838" t="s">
        <v>140</v>
      </c>
      <c r="G1681" s="838">
        <v>5</v>
      </c>
      <c r="H1681" s="838" t="s">
        <v>1076</v>
      </c>
      <c r="I1681" s="838"/>
      <c r="J1681" s="98" t="s">
        <v>2455</v>
      </c>
      <c r="K1681" s="834" t="s">
        <v>113</v>
      </c>
      <c r="L1681" s="834" t="s">
        <v>113</v>
      </c>
      <c r="M1681" s="834" t="s">
        <v>113</v>
      </c>
      <c r="N1681" s="834" t="s">
        <v>113</v>
      </c>
      <c r="O1681" s="848"/>
      <c r="P1681" s="848"/>
      <c r="Q1681" s="24"/>
      <c r="R1681" s="852" t="s">
        <v>67</v>
      </c>
      <c r="S1681" s="834" t="s">
        <v>1063</v>
      </c>
      <c r="T1681" s="22">
        <v>5</v>
      </c>
      <c r="U1681" s="24" t="s">
        <v>67</v>
      </c>
      <c r="V1681" s="24"/>
      <c r="W1681" s="96" t="s">
        <v>113</v>
      </c>
      <c r="X1681" s="103"/>
      <c r="Y1681" s="91"/>
      <c r="Z1681" s="96"/>
      <c r="AA1681" s="96"/>
      <c r="AB1681" s="96"/>
      <c r="AC1681" s="96"/>
      <c r="AD1681" s="96"/>
      <c r="AE1681" s="96"/>
      <c r="AF1681" s="96"/>
      <c r="AG1681" s="96"/>
      <c r="AH1681" s="110"/>
      <c r="AI1681" s="110"/>
      <c r="AJ1681" s="110"/>
      <c r="AK1681" s="110"/>
      <c r="AL1681" s="110" t="s">
        <v>32</v>
      </c>
      <c r="AM1681" s="840"/>
    </row>
    <row r="1682" spans="1:48">
      <c r="A1682" s="834" t="s">
        <v>2342</v>
      </c>
      <c r="B1682" s="835">
        <v>1679</v>
      </c>
      <c r="C1682" s="834" t="s">
        <v>2456</v>
      </c>
      <c r="D1682" s="834" t="s">
        <v>2415</v>
      </c>
      <c r="E1682" s="839">
        <v>45978</v>
      </c>
      <c r="F1682" s="838" t="s">
        <v>140</v>
      </c>
      <c r="G1682" s="838">
        <v>7</v>
      </c>
      <c r="H1682" s="838" t="s">
        <v>1076</v>
      </c>
      <c r="I1682" s="838"/>
      <c r="J1682" s="98" t="s">
        <v>2455</v>
      </c>
      <c r="K1682" s="834" t="s">
        <v>113</v>
      </c>
      <c r="L1682" s="834" t="s">
        <v>113</v>
      </c>
      <c r="M1682" s="834" t="s">
        <v>113</v>
      </c>
      <c r="N1682" s="834" t="s">
        <v>113</v>
      </c>
      <c r="O1682" s="848"/>
      <c r="P1682" s="848"/>
      <c r="Q1682" s="24"/>
      <c r="R1682" s="852" t="s">
        <v>67</v>
      </c>
      <c r="S1682" s="834" t="s">
        <v>2457</v>
      </c>
      <c r="T1682" s="22">
        <v>7</v>
      </c>
      <c r="U1682" s="24" t="s">
        <v>67</v>
      </c>
      <c r="V1682" s="24"/>
      <c r="W1682" s="96" t="s">
        <v>113</v>
      </c>
      <c r="X1682" s="96"/>
      <c r="Y1682" s="91"/>
      <c r="Z1682" s="96"/>
      <c r="AA1682" s="96"/>
      <c r="AB1682" s="96"/>
      <c r="AC1682" s="96"/>
      <c r="AD1682" s="96"/>
      <c r="AE1682" s="96"/>
      <c r="AF1682" s="96"/>
      <c r="AG1682" s="96"/>
      <c r="AH1682" s="110"/>
      <c r="AI1682" s="110"/>
      <c r="AJ1682" s="110"/>
      <c r="AK1682" s="110"/>
      <c r="AL1682" s="110" t="s">
        <v>32</v>
      </c>
      <c r="AM1682" s="840"/>
      <c r="AO1682" s="776"/>
      <c r="AP1682" s="776"/>
      <c r="AQ1682" s="776"/>
      <c r="AR1682" s="776"/>
      <c r="AV1682" s="105"/>
    </row>
    <row r="1683" spans="1:48">
      <c r="A1683" s="834" t="s">
        <v>2342</v>
      </c>
      <c r="B1683" s="835">
        <v>1680</v>
      </c>
      <c r="C1683" s="834" t="s">
        <v>2458</v>
      </c>
      <c r="D1683" s="834" t="s">
        <v>2459</v>
      </c>
      <c r="E1683" s="839">
        <v>45978</v>
      </c>
      <c r="F1683" s="838" t="s">
        <v>140</v>
      </c>
      <c r="G1683" s="838">
        <v>2</v>
      </c>
      <c r="H1683" s="838" t="s">
        <v>1076</v>
      </c>
      <c r="I1683" s="838"/>
      <c r="J1683" s="838"/>
      <c r="K1683" s="834" t="s">
        <v>113</v>
      </c>
      <c r="L1683" s="834" t="s">
        <v>113</v>
      </c>
      <c r="M1683" s="834" t="s">
        <v>113</v>
      </c>
      <c r="N1683" s="834" t="s">
        <v>113</v>
      </c>
      <c r="O1683" s="848"/>
      <c r="P1683" s="848" t="s">
        <v>1091</v>
      </c>
      <c r="Q1683" s="24">
        <v>46022</v>
      </c>
      <c r="R1683" s="852" t="s">
        <v>67</v>
      </c>
      <c r="S1683" s="834" t="s">
        <v>32</v>
      </c>
      <c r="T1683" s="834">
        <v>2</v>
      </c>
      <c r="U1683" s="24" t="s">
        <v>67</v>
      </c>
      <c r="V1683" s="24">
        <v>46022</v>
      </c>
      <c r="W1683" s="96" t="s">
        <v>113</v>
      </c>
      <c r="X1683" s="96"/>
      <c r="Y1683" s="91"/>
      <c r="Z1683" s="96"/>
      <c r="AA1683" s="96"/>
      <c r="AB1683" s="96"/>
      <c r="AC1683" s="96"/>
      <c r="AD1683" s="96"/>
      <c r="AE1683" s="96"/>
      <c r="AF1683" s="96"/>
      <c r="AG1683" s="96"/>
      <c r="AH1683" s="110"/>
      <c r="AI1683" s="110"/>
      <c r="AJ1683" s="110"/>
      <c r="AK1683" s="107"/>
      <c r="AL1683" s="110" t="s">
        <v>32</v>
      </c>
      <c r="AM1683" s="840"/>
      <c r="AS1683" s="71"/>
      <c r="AT1683" s="92"/>
      <c r="AU1683" s="92"/>
      <c r="AV1683" s="105"/>
    </row>
    <row r="1684" spans="1:48">
      <c r="A1684" s="834" t="s">
        <v>2342</v>
      </c>
      <c r="B1684" s="835">
        <v>1681</v>
      </c>
      <c r="C1684" s="834" t="s">
        <v>2460</v>
      </c>
      <c r="D1684" s="834" t="s">
        <v>992</v>
      </c>
      <c r="E1684" s="839">
        <v>45978</v>
      </c>
      <c r="F1684" s="838" t="s">
        <v>140</v>
      </c>
      <c r="G1684" s="838">
        <v>5</v>
      </c>
      <c r="H1684" s="838" t="s">
        <v>1076</v>
      </c>
      <c r="I1684" s="838"/>
      <c r="J1684" s="98" t="s">
        <v>2455</v>
      </c>
      <c r="K1684" s="834" t="s">
        <v>113</v>
      </c>
      <c r="L1684" s="834" t="s">
        <v>113</v>
      </c>
      <c r="M1684" s="834" t="s">
        <v>113</v>
      </c>
      <c r="N1684" s="834" t="s">
        <v>113</v>
      </c>
      <c r="O1684" s="848"/>
      <c r="P1684" s="848"/>
      <c r="Q1684" s="24"/>
      <c r="R1684" s="852" t="s">
        <v>67</v>
      </c>
      <c r="S1684" s="834" t="s">
        <v>1063</v>
      </c>
      <c r="T1684" s="22">
        <v>5</v>
      </c>
      <c r="U1684" s="24" t="s">
        <v>67</v>
      </c>
      <c r="V1684" s="24"/>
      <c r="W1684" s="96" t="s">
        <v>113</v>
      </c>
      <c r="X1684" s="96"/>
      <c r="Y1684" s="91"/>
      <c r="Z1684" s="96"/>
      <c r="AA1684" s="96"/>
      <c r="AB1684" s="96"/>
      <c r="AC1684" s="96"/>
      <c r="AD1684" s="96"/>
      <c r="AE1684" s="96"/>
      <c r="AF1684" s="96"/>
      <c r="AG1684" s="96"/>
      <c r="AH1684" s="110"/>
      <c r="AI1684" s="110"/>
      <c r="AJ1684" s="110"/>
      <c r="AK1684" s="110"/>
      <c r="AL1684" s="110" t="s">
        <v>32</v>
      </c>
      <c r="AM1684" s="840"/>
      <c r="AO1684" s="776"/>
      <c r="AP1684" s="776"/>
      <c r="AQ1684" s="776"/>
      <c r="AR1684" s="776"/>
      <c r="AV1684" s="105"/>
    </row>
    <row r="1685" spans="1:48">
      <c r="A1685" s="834" t="s">
        <v>2342</v>
      </c>
      <c r="B1685" s="835">
        <v>1682</v>
      </c>
      <c r="C1685" s="834" t="s">
        <v>2461</v>
      </c>
      <c r="D1685" s="834" t="s">
        <v>2462</v>
      </c>
      <c r="E1685" s="839">
        <v>45978</v>
      </c>
      <c r="F1685" s="838" t="s">
        <v>140</v>
      </c>
      <c r="G1685" s="838">
        <v>1</v>
      </c>
      <c r="H1685" s="838" t="s">
        <v>1076</v>
      </c>
      <c r="I1685" s="838"/>
      <c r="J1685" s="98" t="s">
        <v>2455</v>
      </c>
      <c r="K1685" s="834" t="s">
        <v>113</v>
      </c>
      <c r="L1685" s="834" t="s">
        <v>113</v>
      </c>
      <c r="M1685" s="834" t="s">
        <v>113</v>
      </c>
      <c r="N1685" s="834" t="s">
        <v>113</v>
      </c>
      <c r="O1685" s="848"/>
      <c r="P1685" s="848"/>
      <c r="Q1685" s="24"/>
      <c r="R1685" s="852" t="s">
        <v>67</v>
      </c>
      <c r="S1685" s="834" t="s">
        <v>32</v>
      </c>
      <c r="T1685" s="22">
        <v>1</v>
      </c>
      <c r="U1685" s="24" t="s">
        <v>67</v>
      </c>
      <c r="V1685" s="24"/>
      <c r="W1685" s="96" t="s">
        <v>113</v>
      </c>
      <c r="X1685" s="103"/>
      <c r="Y1685" s="103"/>
      <c r="Z1685" s="96"/>
      <c r="AA1685" s="103"/>
      <c r="AB1685" s="96"/>
      <c r="AC1685" s="96"/>
      <c r="AD1685" s="96"/>
      <c r="AE1685" s="96"/>
      <c r="AF1685" s="96"/>
      <c r="AG1685" s="96"/>
      <c r="AH1685" s="110"/>
      <c r="AI1685" s="110"/>
      <c r="AJ1685" s="110"/>
      <c r="AK1685" s="110"/>
      <c r="AL1685" s="110" t="s">
        <v>32</v>
      </c>
      <c r="AM1685" s="840"/>
      <c r="AO1685" s="776"/>
      <c r="AP1685" s="776"/>
      <c r="AQ1685" s="776"/>
      <c r="AR1685" s="776"/>
      <c r="AV1685" s="105"/>
    </row>
    <row r="1686" spans="1:48">
      <c r="A1686" s="834" t="s">
        <v>2342</v>
      </c>
      <c r="B1686" s="835">
        <v>1683</v>
      </c>
      <c r="C1686" s="834" t="s">
        <v>2463</v>
      </c>
      <c r="D1686" s="834" t="s">
        <v>779</v>
      </c>
      <c r="E1686" s="839">
        <v>45978</v>
      </c>
      <c r="F1686" s="838" t="s">
        <v>140</v>
      </c>
      <c r="G1686" s="838">
        <v>117</v>
      </c>
      <c r="H1686" s="838" t="s">
        <v>1076</v>
      </c>
      <c r="I1686" s="838"/>
      <c r="J1686" s="98" t="s">
        <v>2455</v>
      </c>
      <c r="K1686" s="834" t="s">
        <v>113</v>
      </c>
      <c r="L1686" s="834" t="s">
        <v>113</v>
      </c>
      <c r="M1686" s="834" t="s">
        <v>113</v>
      </c>
      <c r="N1686" s="834" t="s">
        <v>113</v>
      </c>
      <c r="O1686" s="113" t="s">
        <v>30</v>
      </c>
      <c r="P1686" s="848"/>
      <c r="Q1686" s="24"/>
      <c r="R1686" s="852" t="s">
        <v>67</v>
      </c>
      <c r="S1686" s="834" t="s">
        <v>1063</v>
      </c>
      <c r="T1686" s="22">
        <v>117</v>
      </c>
      <c r="U1686" s="24" t="s">
        <v>67</v>
      </c>
      <c r="V1686" s="24"/>
      <c r="W1686" s="96" t="s">
        <v>113</v>
      </c>
      <c r="X1686" s="96"/>
      <c r="Y1686" s="96"/>
      <c r="Z1686" s="96"/>
      <c r="AA1686" s="103"/>
      <c r="AB1686" s="96"/>
      <c r="AC1686" s="96"/>
      <c r="AD1686" s="96"/>
      <c r="AE1686" s="96"/>
      <c r="AF1686" s="96"/>
      <c r="AG1686" s="96"/>
      <c r="AH1686" s="110"/>
      <c r="AI1686" s="110"/>
      <c r="AJ1686" s="110"/>
      <c r="AK1686" s="107"/>
      <c r="AL1686" s="110" t="s">
        <v>32</v>
      </c>
      <c r="AM1686" s="840"/>
      <c r="AN1686" s="6">
        <v>0</v>
      </c>
      <c r="AO1686" s="6">
        <v>0</v>
      </c>
      <c r="AP1686" s="6">
        <v>0</v>
      </c>
      <c r="AQ1686" s="6">
        <v>117</v>
      </c>
      <c r="AR1686" s="6">
        <f>SUM(AN1686:AQ1686)</f>
        <v>117</v>
      </c>
      <c r="AS1686" s="104">
        <f>+AN1686/AR1686*AS$1</f>
        <v>0</v>
      </c>
      <c r="AT1686" s="105">
        <f>+AO1686/AR1686*AT$1</f>
        <v>0</v>
      </c>
      <c r="AU1686" s="105">
        <f>+AP1686/AR1686*AU$1</f>
        <v>0</v>
      </c>
      <c r="AV1686" s="105">
        <f>+AQ1686/AR1686*AV$1</f>
        <v>0</v>
      </c>
    </row>
    <row r="1687" spans="1:48">
      <c r="A1687" s="834" t="s">
        <v>2342</v>
      </c>
      <c r="B1687" s="835">
        <v>1684</v>
      </c>
      <c r="C1687" s="834" t="s">
        <v>2464</v>
      </c>
      <c r="D1687" s="834" t="s">
        <v>1245</v>
      </c>
      <c r="E1687" s="839">
        <v>45978</v>
      </c>
      <c r="F1687" s="838" t="s">
        <v>140</v>
      </c>
      <c r="G1687" s="838">
        <v>7</v>
      </c>
      <c r="H1687" s="838" t="s">
        <v>1076</v>
      </c>
      <c r="I1687" s="838"/>
      <c r="J1687" s="98" t="s">
        <v>2455</v>
      </c>
      <c r="K1687" s="834" t="s">
        <v>113</v>
      </c>
      <c r="L1687" s="834" t="s">
        <v>113</v>
      </c>
      <c r="M1687" s="834" t="s">
        <v>113</v>
      </c>
      <c r="N1687" s="834" t="s">
        <v>113</v>
      </c>
      <c r="O1687" s="848"/>
      <c r="P1687" s="848"/>
      <c r="Q1687" s="24"/>
      <c r="R1687" s="852" t="s">
        <v>67</v>
      </c>
      <c r="S1687" s="834" t="s">
        <v>32</v>
      </c>
      <c r="T1687" s="22">
        <v>7</v>
      </c>
      <c r="U1687" s="24" t="s">
        <v>67</v>
      </c>
      <c r="V1687" s="24"/>
      <c r="W1687" s="96" t="s">
        <v>113</v>
      </c>
      <c r="X1687" s="103"/>
      <c r="Y1687" s="103"/>
      <c r="Z1687" s="96"/>
      <c r="AA1687" s="96"/>
      <c r="AB1687" s="96"/>
      <c r="AC1687" s="96"/>
      <c r="AD1687" s="96"/>
      <c r="AE1687" s="96"/>
      <c r="AF1687" s="96"/>
      <c r="AG1687" s="96"/>
      <c r="AH1687" s="110"/>
      <c r="AI1687" s="110"/>
      <c r="AJ1687" s="110"/>
      <c r="AK1687" s="110"/>
      <c r="AL1687" s="110" t="s">
        <v>32</v>
      </c>
      <c r="AM1687" s="840"/>
      <c r="AV1687" s="105"/>
    </row>
    <row r="1688" spans="1:48">
      <c r="A1688" s="834" t="s">
        <v>2342</v>
      </c>
      <c r="B1688" s="835">
        <v>1685</v>
      </c>
      <c r="C1688" s="834" t="s">
        <v>2465</v>
      </c>
      <c r="D1688" s="834" t="s">
        <v>1516</v>
      </c>
      <c r="E1688" s="839">
        <v>45978</v>
      </c>
      <c r="F1688" s="838" t="s">
        <v>140</v>
      </c>
      <c r="G1688" s="838">
        <v>350</v>
      </c>
      <c r="H1688" s="838" t="s">
        <v>1076</v>
      </c>
      <c r="I1688" s="838"/>
      <c r="J1688" s="98" t="s">
        <v>2455</v>
      </c>
      <c r="K1688" s="834" t="s">
        <v>113</v>
      </c>
      <c r="L1688" s="834" t="s">
        <v>113</v>
      </c>
      <c r="M1688" s="834" t="s">
        <v>113</v>
      </c>
      <c r="N1688" s="834" t="s">
        <v>113</v>
      </c>
      <c r="O1688" s="113" t="s">
        <v>30</v>
      </c>
      <c r="P1688" s="848"/>
      <c r="Q1688" s="24"/>
      <c r="R1688" s="852" t="s">
        <v>67</v>
      </c>
      <c r="S1688" s="834" t="s">
        <v>1063</v>
      </c>
      <c r="T1688" s="22">
        <v>353</v>
      </c>
      <c r="U1688" s="24" t="s">
        <v>67</v>
      </c>
      <c r="V1688" s="24"/>
      <c r="W1688" s="96" t="s">
        <v>113</v>
      </c>
      <c r="X1688" s="96"/>
      <c r="Y1688" s="91"/>
      <c r="Z1688" s="91"/>
      <c r="AA1688" s="91"/>
      <c r="AB1688" s="91"/>
      <c r="AC1688" s="96"/>
      <c r="AD1688" s="96"/>
      <c r="AE1688" s="96"/>
      <c r="AF1688" s="96"/>
      <c r="AG1688" s="96"/>
      <c r="AH1688" s="110"/>
      <c r="AI1688" s="107"/>
      <c r="AJ1688" s="107"/>
      <c r="AK1688" s="107"/>
      <c r="AL1688" s="110" t="s">
        <v>32</v>
      </c>
      <c r="AM1688" s="840"/>
      <c r="AN1688" s="6">
        <v>0</v>
      </c>
      <c r="AO1688" s="6">
        <v>350</v>
      </c>
      <c r="AP1688" s="6">
        <v>0</v>
      </c>
      <c r="AQ1688" s="6">
        <v>0</v>
      </c>
      <c r="AR1688" s="6">
        <f>SUM(AN1688:AQ1688)</f>
        <v>350</v>
      </c>
      <c r="AS1688" s="104">
        <f>+AN1688/AR1688*AS$1</f>
        <v>0</v>
      </c>
      <c r="AT1688" s="105">
        <f>+AO1688/AR1688*AT$1</f>
        <v>0</v>
      </c>
      <c r="AU1688" s="105">
        <f>+AP1688/AR1688*AU$1</f>
        <v>0</v>
      </c>
      <c r="AV1688" s="105">
        <f>+AQ1688/AR1688*AV$1</f>
        <v>0</v>
      </c>
    </row>
    <row r="1689" spans="1:48">
      <c r="A1689" s="834" t="s">
        <v>2342</v>
      </c>
      <c r="B1689" s="835">
        <v>1686</v>
      </c>
      <c r="C1689" s="834" t="s">
        <v>2466</v>
      </c>
      <c r="D1689" s="834" t="s">
        <v>2467</v>
      </c>
      <c r="E1689" s="839">
        <v>45985</v>
      </c>
      <c r="F1689" s="838" t="s">
        <v>140</v>
      </c>
      <c r="G1689" s="838">
        <v>6</v>
      </c>
      <c r="H1689" s="838" t="s">
        <v>2468</v>
      </c>
      <c r="I1689" s="838"/>
      <c r="J1689" s="838"/>
      <c r="K1689" s="834" t="s">
        <v>113</v>
      </c>
      <c r="L1689" s="834" t="s">
        <v>113</v>
      </c>
      <c r="M1689" s="834" t="s">
        <v>113</v>
      </c>
      <c r="N1689" s="834" t="s">
        <v>113</v>
      </c>
      <c r="O1689" s="113"/>
      <c r="P1689" s="848" t="s">
        <v>1091</v>
      </c>
      <c r="Q1689" s="24">
        <v>46022</v>
      </c>
      <c r="R1689" s="852" t="s">
        <v>67</v>
      </c>
      <c r="S1689" s="834" t="s">
        <v>32</v>
      </c>
      <c r="T1689" s="22">
        <v>6</v>
      </c>
      <c r="U1689" s="24" t="s">
        <v>67</v>
      </c>
      <c r="V1689" s="24">
        <v>46022</v>
      </c>
      <c r="W1689" s="96" t="s">
        <v>113</v>
      </c>
      <c r="X1689" s="96"/>
      <c r="Y1689" s="91"/>
      <c r="Z1689" s="96"/>
      <c r="AA1689" s="96"/>
      <c r="AB1689" s="96"/>
      <c r="AC1689" s="96"/>
      <c r="AD1689" s="96"/>
      <c r="AE1689" s="96"/>
      <c r="AF1689" s="96"/>
      <c r="AG1689" s="96"/>
      <c r="AH1689" s="110"/>
      <c r="AI1689" s="110"/>
      <c r="AJ1689" s="110"/>
      <c r="AK1689" s="110"/>
      <c r="AL1689" s="110" t="s">
        <v>32</v>
      </c>
      <c r="AM1689" s="840"/>
      <c r="AV1689" s="105"/>
    </row>
    <row r="1690" spans="1:48">
      <c r="A1690" s="834" t="s">
        <v>2342</v>
      </c>
      <c r="B1690" s="835">
        <v>1687</v>
      </c>
      <c r="C1690" s="834" t="s">
        <v>2469</v>
      </c>
      <c r="D1690" s="834" t="s">
        <v>1029</v>
      </c>
      <c r="E1690" s="839">
        <v>45985.041666666664</v>
      </c>
      <c r="F1690" s="838" t="s">
        <v>140</v>
      </c>
      <c r="G1690" s="838">
        <v>1</v>
      </c>
      <c r="H1690" s="838" t="s">
        <v>127</v>
      </c>
      <c r="I1690" s="838"/>
      <c r="J1690" s="838"/>
      <c r="K1690" s="834" t="s">
        <v>113</v>
      </c>
      <c r="L1690" s="834" t="s">
        <v>113</v>
      </c>
      <c r="M1690" s="834" t="s">
        <v>113</v>
      </c>
      <c r="N1690" s="834" t="s">
        <v>113</v>
      </c>
      <c r="O1690" s="848"/>
      <c r="P1690" s="848" t="s">
        <v>1091</v>
      </c>
      <c r="Q1690" s="24">
        <v>46022</v>
      </c>
      <c r="R1690" s="852" t="s">
        <v>67</v>
      </c>
      <c r="S1690" s="834" t="s">
        <v>32</v>
      </c>
      <c r="T1690" s="22">
        <v>1</v>
      </c>
      <c r="U1690" s="24" t="s">
        <v>67</v>
      </c>
      <c r="V1690" s="24">
        <v>46022</v>
      </c>
      <c r="W1690" s="96" t="s">
        <v>113</v>
      </c>
      <c r="X1690" s="96"/>
      <c r="Y1690" s="91"/>
      <c r="Z1690" s="96"/>
      <c r="AA1690" s="96"/>
      <c r="AB1690" s="96"/>
      <c r="AC1690" s="96"/>
      <c r="AD1690" s="96"/>
      <c r="AE1690" s="96"/>
      <c r="AF1690" s="96"/>
      <c r="AG1690" s="96"/>
      <c r="AH1690" s="110"/>
      <c r="AI1690" s="110"/>
      <c r="AJ1690" s="110"/>
      <c r="AK1690" s="110"/>
      <c r="AL1690" s="110" t="s">
        <v>32</v>
      </c>
      <c r="AM1690" s="840"/>
      <c r="AN1690" s="87"/>
      <c r="AO1690" s="87"/>
      <c r="AS1690" s="71"/>
      <c r="AT1690" s="92"/>
      <c r="AU1690" s="92"/>
      <c r="AV1690" s="105"/>
    </row>
    <row r="1691" spans="1:48">
      <c r="A1691" s="834" t="s">
        <v>2342</v>
      </c>
      <c r="B1691" s="835">
        <v>1688</v>
      </c>
      <c r="C1691" s="834" t="s">
        <v>2470</v>
      </c>
      <c r="D1691" s="834" t="s">
        <v>2471</v>
      </c>
      <c r="E1691" s="839">
        <v>45985.041666666664</v>
      </c>
      <c r="F1691" s="838" t="s">
        <v>140</v>
      </c>
      <c r="G1691" s="838">
        <v>4</v>
      </c>
      <c r="H1691" s="838" t="s">
        <v>127</v>
      </c>
      <c r="I1691" s="838"/>
      <c r="J1691" s="98"/>
      <c r="K1691" s="834" t="s">
        <v>113</v>
      </c>
      <c r="L1691" s="834" t="s">
        <v>113</v>
      </c>
      <c r="M1691" s="834" t="s">
        <v>113</v>
      </c>
      <c r="N1691" s="834" t="s">
        <v>113</v>
      </c>
      <c r="O1691" s="113"/>
      <c r="P1691" s="848" t="s">
        <v>1091</v>
      </c>
      <c r="Q1691" s="24" t="s">
        <v>2472</v>
      </c>
      <c r="R1691" s="852" t="s">
        <v>67</v>
      </c>
      <c r="S1691" s="834" t="s">
        <v>32</v>
      </c>
      <c r="T1691" s="22">
        <v>4</v>
      </c>
      <c r="U1691" s="24" t="s">
        <v>67</v>
      </c>
      <c r="V1691" s="24">
        <v>46024</v>
      </c>
      <c r="W1691" s="96" t="s">
        <v>113</v>
      </c>
      <c r="X1691" s="96"/>
      <c r="Y1691" s="91"/>
      <c r="Z1691" s="90"/>
      <c r="AA1691" s="90"/>
      <c r="AB1691" s="90"/>
      <c r="AC1691" s="96"/>
      <c r="AD1691" s="96"/>
      <c r="AE1691" s="96"/>
      <c r="AF1691" s="96"/>
      <c r="AG1691" s="96"/>
      <c r="AH1691" s="110"/>
      <c r="AI1691" s="110"/>
      <c r="AJ1691" s="110"/>
      <c r="AK1691" s="107"/>
      <c r="AL1691" s="110" t="s">
        <v>32</v>
      </c>
      <c r="AM1691" s="840"/>
      <c r="AN1691" s="87"/>
      <c r="AO1691" s="87"/>
      <c r="AS1691" s="71"/>
      <c r="AT1691" s="92"/>
      <c r="AU1691" s="92"/>
      <c r="AV1691" s="105"/>
    </row>
    <row r="1692" spans="1:48">
      <c r="A1692" s="834" t="s">
        <v>2342</v>
      </c>
      <c r="B1692" s="835">
        <v>1689</v>
      </c>
      <c r="C1692" s="834" t="s">
        <v>2473</v>
      </c>
      <c r="D1692" s="834" t="s">
        <v>1042</v>
      </c>
      <c r="E1692" s="839">
        <v>45978</v>
      </c>
      <c r="F1692" s="838" t="s">
        <v>140</v>
      </c>
      <c r="G1692" s="838">
        <v>2</v>
      </c>
      <c r="H1692" s="838" t="s">
        <v>1077</v>
      </c>
      <c r="I1692" s="838"/>
      <c r="J1692" s="838"/>
      <c r="K1692" s="834" t="s">
        <v>113</v>
      </c>
      <c r="L1692" s="834" t="s">
        <v>113</v>
      </c>
      <c r="M1692" s="834" t="s">
        <v>113</v>
      </c>
      <c r="N1692" s="834" t="s">
        <v>113</v>
      </c>
      <c r="O1692" s="834"/>
      <c r="P1692" s="247" t="s">
        <v>1091</v>
      </c>
      <c r="Q1692" s="24">
        <v>46024</v>
      </c>
      <c r="R1692" s="24" t="s">
        <v>67</v>
      </c>
      <c r="S1692" s="22" t="s">
        <v>32</v>
      </c>
      <c r="T1692" s="22">
        <v>4</v>
      </c>
      <c r="U1692" s="24" t="s">
        <v>67</v>
      </c>
      <c r="V1692" s="24">
        <v>46024</v>
      </c>
      <c r="W1692" s="96" t="s">
        <v>113</v>
      </c>
      <c r="X1692" s="96"/>
      <c r="Y1692" s="91"/>
      <c r="Z1692" s="90"/>
      <c r="AA1692" s="90"/>
      <c r="AB1692" s="90"/>
      <c r="AC1692" s="96"/>
      <c r="AD1692" s="96"/>
      <c r="AE1692" s="96"/>
      <c r="AF1692" s="96"/>
      <c r="AG1692" s="96"/>
      <c r="AH1692" s="110"/>
      <c r="AI1692" s="110"/>
      <c r="AJ1692" s="110"/>
      <c r="AK1692" s="110"/>
      <c r="AL1692" s="110" t="s">
        <v>32</v>
      </c>
      <c r="AM1692" s="840"/>
      <c r="AV1692" s="105"/>
    </row>
    <row r="1693" spans="1:48">
      <c r="A1693" s="834" t="s">
        <v>2342</v>
      </c>
      <c r="B1693" s="835">
        <v>1690</v>
      </c>
      <c r="C1693" s="834" t="s">
        <v>2474</v>
      </c>
      <c r="D1693" s="834" t="s">
        <v>1042</v>
      </c>
      <c r="E1693" s="839">
        <v>45978.166666666664</v>
      </c>
      <c r="F1693" s="838" t="s">
        <v>140</v>
      </c>
      <c r="G1693" s="838">
        <v>3</v>
      </c>
      <c r="H1693" s="838" t="s">
        <v>1076</v>
      </c>
      <c r="I1693" s="838"/>
      <c r="J1693" s="838"/>
      <c r="K1693" s="834" t="s">
        <v>113</v>
      </c>
      <c r="L1693" s="834" t="s">
        <v>113</v>
      </c>
      <c r="M1693" s="834" t="s">
        <v>113</v>
      </c>
      <c r="N1693" s="834" t="s">
        <v>113</v>
      </c>
      <c r="O1693" s="848"/>
      <c r="P1693" s="848"/>
      <c r="Q1693" s="24"/>
      <c r="R1693" s="79"/>
      <c r="S1693" s="22"/>
      <c r="T1693" s="22"/>
      <c r="U1693" s="24"/>
      <c r="V1693" s="24"/>
      <c r="W1693" s="96" t="s">
        <v>113</v>
      </c>
      <c r="X1693" s="103"/>
      <c r="Y1693" s="103"/>
      <c r="Z1693" s="96"/>
      <c r="AA1693" s="96"/>
      <c r="AB1693" s="96"/>
      <c r="AC1693" s="96"/>
      <c r="AD1693" s="96"/>
      <c r="AE1693" s="96"/>
      <c r="AF1693" s="96"/>
      <c r="AG1693" s="96"/>
      <c r="AH1693" s="110"/>
      <c r="AI1693" s="110"/>
      <c r="AJ1693" s="110"/>
      <c r="AK1693" s="110"/>
      <c r="AL1693" s="110" t="s">
        <v>32</v>
      </c>
      <c r="AM1693" s="840"/>
      <c r="AR1693" s="84"/>
      <c r="AS1693" s="71"/>
      <c r="AT1693" s="71"/>
      <c r="AU1693" s="71"/>
      <c r="AV1693" s="105"/>
    </row>
    <row r="1694" spans="1:48">
      <c r="A1694" s="834" t="s">
        <v>2342</v>
      </c>
      <c r="B1694" s="835">
        <v>1691</v>
      </c>
      <c r="C1694" s="834" t="s">
        <v>2475</v>
      </c>
      <c r="D1694" s="834" t="s">
        <v>1198</v>
      </c>
      <c r="E1694" s="839">
        <v>45964</v>
      </c>
      <c r="F1694" s="838" t="s">
        <v>140</v>
      </c>
      <c r="G1694" s="838">
        <v>7</v>
      </c>
      <c r="H1694" s="838" t="s">
        <v>127</v>
      </c>
      <c r="I1694" s="838"/>
      <c r="J1694" s="838"/>
      <c r="K1694" s="834" t="s">
        <v>113</v>
      </c>
      <c r="L1694" s="834" t="s">
        <v>113</v>
      </c>
      <c r="M1694" s="834" t="s">
        <v>113</v>
      </c>
      <c r="N1694" s="834" t="s">
        <v>113</v>
      </c>
      <c r="O1694" s="848"/>
      <c r="P1694" s="848" t="s">
        <v>1091</v>
      </c>
      <c r="Q1694" s="24">
        <v>46026</v>
      </c>
      <c r="R1694" s="852" t="s">
        <v>67</v>
      </c>
      <c r="S1694" s="834" t="s">
        <v>32</v>
      </c>
      <c r="T1694" s="22">
        <v>7</v>
      </c>
      <c r="U1694" s="24" t="s">
        <v>67</v>
      </c>
      <c r="V1694" s="24">
        <v>46026</v>
      </c>
      <c r="W1694" s="96" t="s">
        <v>113</v>
      </c>
      <c r="X1694" s="96"/>
      <c r="Y1694" s="91"/>
      <c r="Z1694" s="96"/>
      <c r="AA1694" s="96"/>
      <c r="AB1694" s="96"/>
      <c r="AC1694" s="96"/>
      <c r="AD1694" s="96"/>
      <c r="AE1694" s="96"/>
      <c r="AF1694" s="96"/>
      <c r="AG1694" s="96"/>
      <c r="AH1694" s="110"/>
      <c r="AI1694" s="110"/>
      <c r="AJ1694" s="110"/>
      <c r="AK1694" s="110"/>
      <c r="AL1694" s="110" t="s">
        <v>32</v>
      </c>
      <c r="AM1694" s="840"/>
      <c r="AV1694" s="105"/>
    </row>
    <row r="1695" spans="1:48">
      <c r="A1695" s="834" t="s">
        <v>2342</v>
      </c>
      <c r="B1695" s="835">
        <v>1692</v>
      </c>
      <c r="C1695" s="834" t="s">
        <v>2476</v>
      </c>
      <c r="D1695" s="834" t="s">
        <v>2477</v>
      </c>
      <c r="E1695" s="839">
        <v>45964.083333333336</v>
      </c>
      <c r="F1695" s="838" t="s">
        <v>140</v>
      </c>
      <c r="G1695" s="838">
        <v>59</v>
      </c>
      <c r="H1695" s="838" t="s">
        <v>1811</v>
      </c>
      <c r="I1695" s="838"/>
      <c r="J1695" s="838"/>
      <c r="K1695" s="834" t="s">
        <v>113</v>
      </c>
      <c r="L1695" s="834" t="s">
        <v>113</v>
      </c>
      <c r="M1695" s="834" t="s">
        <v>113</v>
      </c>
      <c r="N1695" s="834" t="s">
        <v>113</v>
      </c>
      <c r="O1695" s="113" t="s">
        <v>30</v>
      </c>
      <c r="P1695" s="848" t="s">
        <v>1091</v>
      </c>
      <c r="Q1695" s="24">
        <v>46026</v>
      </c>
      <c r="R1695" s="852" t="s">
        <v>67</v>
      </c>
      <c r="S1695" s="834" t="s">
        <v>32</v>
      </c>
      <c r="T1695" s="22">
        <v>59</v>
      </c>
      <c r="U1695" s="24" t="s">
        <v>67</v>
      </c>
      <c r="V1695" s="24">
        <v>46026</v>
      </c>
      <c r="W1695" s="96" t="s">
        <v>113</v>
      </c>
      <c r="X1695" s="103"/>
      <c r="Y1695" s="103"/>
      <c r="Z1695" s="96"/>
      <c r="AA1695" s="96"/>
      <c r="AB1695" s="96"/>
      <c r="AC1695" s="96"/>
      <c r="AD1695" s="96"/>
      <c r="AE1695" s="96"/>
      <c r="AF1695" s="96"/>
      <c r="AG1695" s="96"/>
      <c r="AH1695" s="110"/>
      <c r="AI1695" s="110"/>
      <c r="AJ1695" s="110"/>
      <c r="AK1695" s="110"/>
      <c r="AL1695" s="110" t="s">
        <v>32</v>
      </c>
      <c r="AM1695" s="840"/>
      <c r="AN1695" s="6">
        <v>16</v>
      </c>
      <c r="AO1695" s="6">
        <v>0</v>
      </c>
      <c r="AP1695" s="6">
        <v>16</v>
      </c>
      <c r="AQ1695" s="6">
        <v>27</v>
      </c>
      <c r="AR1695" s="6">
        <f>SUM(AN1695:AQ1695)</f>
        <v>59</v>
      </c>
      <c r="AS1695" s="104">
        <f>+AN1695/AR1695*AS$1</f>
        <v>0</v>
      </c>
      <c r="AT1695" s="105">
        <f>+AO1695/AR1695*AT$1</f>
        <v>0</v>
      </c>
      <c r="AU1695" s="105">
        <f>+AP1695/AR1695*AU$1</f>
        <v>0</v>
      </c>
      <c r="AV1695" s="105">
        <f>+AQ1695/AR1695*AV$1</f>
        <v>0</v>
      </c>
    </row>
    <row r="1696" spans="1:48">
      <c r="A1696" s="834" t="s">
        <v>2342</v>
      </c>
      <c r="B1696" s="835">
        <v>1693</v>
      </c>
      <c r="C1696" s="834" t="s">
        <v>2478</v>
      </c>
      <c r="D1696" s="834" t="s">
        <v>347</v>
      </c>
      <c r="E1696" s="839">
        <v>45964.041666666664</v>
      </c>
      <c r="F1696" s="838" t="s">
        <v>140</v>
      </c>
      <c r="G1696" s="838">
        <v>18</v>
      </c>
      <c r="H1696" s="838" t="s">
        <v>1799</v>
      </c>
      <c r="I1696" s="838"/>
      <c r="J1696" s="98" t="s">
        <v>2479</v>
      </c>
      <c r="K1696" s="834" t="s">
        <v>113</v>
      </c>
      <c r="L1696" s="834" t="s">
        <v>113</v>
      </c>
      <c r="M1696" s="834" t="s">
        <v>113</v>
      </c>
      <c r="N1696" s="834" t="s">
        <v>113</v>
      </c>
      <c r="O1696" s="113" t="s">
        <v>30</v>
      </c>
      <c r="P1696" s="848"/>
      <c r="Q1696" s="24"/>
      <c r="R1696" s="79"/>
      <c r="S1696" s="22"/>
      <c r="T1696" s="22"/>
      <c r="U1696" s="24"/>
      <c r="V1696" s="24"/>
      <c r="W1696" s="96" t="s">
        <v>113</v>
      </c>
      <c r="X1696" s="96"/>
      <c r="Y1696" s="91"/>
      <c r="Z1696" s="96"/>
      <c r="AA1696" s="96"/>
      <c r="AB1696" s="96"/>
      <c r="AC1696" s="96"/>
      <c r="AD1696" s="96"/>
      <c r="AE1696" s="96"/>
      <c r="AF1696" s="96"/>
      <c r="AG1696" s="96"/>
      <c r="AH1696" s="110"/>
      <c r="AI1696" s="110"/>
      <c r="AJ1696" s="110"/>
      <c r="AK1696" s="110"/>
      <c r="AL1696" s="110" t="s">
        <v>32</v>
      </c>
      <c r="AM1696" s="840"/>
      <c r="AN1696" s="6">
        <v>16</v>
      </c>
      <c r="AO1696" s="6">
        <v>0</v>
      </c>
      <c r="AP1696" s="6">
        <v>0</v>
      </c>
      <c r="AQ1696" s="6">
        <v>2</v>
      </c>
      <c r="AR1696" s="6">
        <f>SUM(AN1696:AQ1696)</f>
        <v>18</v>
      </c>
      <c r="AS1696" s="104">
        <f>+AN1696/AR1696*AS$1</f>
        <v>0</v>
      </c>
      <c r="AT1696" s="105">
        <f>+AO1696/AR1696*AT$1</f>
        <v>0</v>
      </c>
      <c r="AU1696" s="105">
        <f>+AP1696/AR1696*AU$1</f>
        <v>0</v>
      </c>
      <c r="AV1696" s="105">
        <f>+AQ1696/AR1696*AV$1</f>
        <v>0</v>
      </c>
    </row>
    <row r="1697" spans="1:48">
      <c r="A1697" s="834" t="s">
        <v>2342</v>
      </c>
      <c r="B1697" s="835">
        <v>1694</v>
      </c>
      <c r="C1697" s="834" t="s">
        <v>2480</v>
      </c>
      <c r="D1697" s="834" t="s">
        <v>941</v>
      </c>
      <c r="E1697" s="839">
        <v>45964.041666666664</v>
      </c>
      <c r="F1697" s="838" t="s">
        <v>140</v>
      </c>
      <c r="G1697" s="838">
        <v>10</v>
      </c>
      <c r="H1697" s="838" t="s">
        <v>1811</v>
      </c>
      <c r="I1697" s="838"/>
      <c r="J1697" s="838"/>
      <c r="K1697" s="834" t="s">
        <v>113</v>
      </c>
      <c r="L1697" s="834" t="s">
        <v>113</v>
      </c>
      <c r="M1697" s="834" t="s">
        <v>113</v>
      </c>
      <c r="N1697" s="834" t="s">
        <v>113</v>
      </c>
      <c r="O1697" s="113"/>
      <c r="P1697" s="848" t="s">
        <v>1091</v>
      </c>
      <c r="Q1697" s="24">
        <v>46026</v>
      </c>
      <c r="R1697" s="852" t="s">
        <v>67</v>
      </c>
      <c r="S1697" s="834" t="s">
        <v>32</v>
      </c>
      <c r="T1697" s="22">
        <v>3</v>
      </c>
      <c r="U1697" s="24" t="s">
        <v>67</v>
      </c>
      <c r="V1697" s="24">
        <v>46026</v>
      </c>
      <c r="W1697" s="96" t="s">
        <v>113</v>
      </c>
      <c r="X1697" s="96"/>
      <c r="Y1697" s="91"/>
      <c r="Z1697" s="91"/>
      <c r="AA1697" s="91"/>
      <c r="AB1697" s="96"/>
      <c r="AC1697" s="96"/>
      <c r="AD1697" s="96"/>
      <c r="AE1697" s="96"/>
      <c r="AF1697" s="96"/>
      <c r="AG1697" s="96"/>
      <c r="AH1697" s="110"/>
      <c r="AI1697" s="110"/>
      <c r="AJ1697" s="110"/>
      <c r="AK1697" s="96"/>
      <c r="AL1697" s="110" t="s">
        <v>32</v>
      </c>
      <c r="AM1697" s="840"/>
      <c r="AO1697" s="776"/>
      <c r="AP1697" s="776"/>
      <c r="AQ1697" s="776"/>
      <c r="AR1697" s="776"/>
      <c r="AV1697" s="105"/>
    </row>
    <row r="1698" spans="1:48">
      <c r="A1698" s="834" t="s">
        <v>2342</v>
      </c>
      <c r="B1698" s="835">
        <v>1695</v>
      </c>
      <c r="C1698" s="834" t="s">
        <v>2481</v>
      </c>
      <c r="D1698" s="834" t="s">
        <v>1250</v>
      </c>
      <c r="E1698" s="839">
        <v>45964</v>
      </c>
      <c r="F1698" s="838" t="s">
        <v>140</v>
      </c>
      <c r="G1698" s="838">
        <v>43</v>
      </c>
      <c r="H1698" s="838" t="s">
        <v>1721</v>
      </c>
      <c r="I1698" s="838"/>
      <c r="J1698" s="838"/>
      <c r="K1698" s="834" t="s">
        <v>113</v>
      </c>
      <c r="L1698" s="834" t="s">
        <v>113</v>
      </c>
      <c r="M1698" s="834" t="s">
        <v>113</v>
      </c>
      <c r="N1698" s="834" t="s">
        <v>113</v>
      </c>
      <c r="O1698" s="113" t="s">
        <v>30</v>
      </c>
      <c r="P1698" s="848" t="s">
        <v>1091</v>
      </c>
      <c r="Q1698" s="24">
        <v>46026</v>
      </c>
      <c r="R1698" s="852" t="s">
        <v>67</v>
      </c>
      <c r="S1698" s="834" t="s">
        <v>32</v>
      </c>
      <c r="T1698" s="22">
        <v>43</v>
      </c>
      <c r="U1698" s="24" t="s">
        <v>67</v>
      </c>
      <c r="V1698" s="24">
        <v>46026</v>
      </c>
      <c r="W1698" s="96" t="s">
        <v>113</v>
      </c>
      <c r="X1698" s="96"/>
      <c r="Y1698" s="91"/>
      <c r="Z1698" s="91"/>
      <c r="AA1698" s="91"/>
      <c r="AB1698" s="91"/>
      <c r="AC1698" s="96"/>
      <c r="AD1698" s="96"/>
      <c r="AE1698" s="96"/>
      <c r="AF1698" s="96"/>
      <c r="AG1698" s="96"/>
      <c r="AH1698" s="110"/>
      <c r="AI1698" s="96"/>
      <c r="AJ1698" s="96"/>
      <c r="AK1698" s="96"/>
      <c r="AL1698" s="110" t="s">
        <v>32</v>
      </c>
      <c r="AM1698" s="840"/>
      <c r="AN1698" s="6">
        <v>0</v>
      </c>
      <c r="AO1698" s="6">
        <v>0</v>
      </c>
      <c r="AP1698" s="6">
        <v>43</v>
      </c>
      <c r="AQ1698" s="6">
        <v>0</v>
      </c>
      <c r="AR1698" s="6">
        <f>SUM(AN1698:AQ1698)</f>
        <v>43</v>
      </c>
      <c r="AS1698" s="104">
        <f>+AN1698/AR1698*AS$1</f>
        <v>0</v>
      </c>
      <c r="AT1698" s="105">
        <f>+AO1698/AR1698*AT$1</f>
        <v>0</v>
      </c>
      <c r="AU1698" s="105">
        <f>+AP1698/AR1698*AU$1</f>
        <v>0</v>
      </c>
      <c r="AV1698" s="105">
        <f>+AQ1698/AR1698*AV$1</f>
        <v>0</v>
      </c>
    </row>
    <row r="1699" spans="1:48">
      <c r="A1699" s="834" t="s">
        <v>2342</v>
      </c>
      <c r="B1699" s="835">
        <v>1696</v>
      </c>
      <c r="C1699" s="834" t="s">
        <v>2482</v>
      </c>
      <c r="D1699" s="834" t="s">
        <v>1403</v>
      </c>
      <c r="E1699" s="839">
        <v>45964.375</v>
      </c>
      <c r="F1699" s="838" t="s">
        <v>140</v>
      </c>
      <c r="G1699" s="838">
        <v>6</v>
      </c>
      <c r="H1699" s="838" t="s">
        <v>1721</v>
      </c>
      <c r="I1699" s="838"/>
      <c r="J1699" s="838"/>
      <c r="K1699" s="834" t="s">
        <v>113</v>
      </c>
      <c r="L1699" s="834" t="s">
        <v>113</v>
      </c>
      <c r="M1699" s="834" t="s">
        <v>113</v>
      </c>
      <c r="N1699" s="834" t="s">
        <v>113</v>
      </c>
      <c r="O1699" s="113"/>
      <c r="P1699" s="848" t="s">
        <v>1091</v>
      </c>
      <c r="Q1699" s="24">
        <v>46026</v>
      </c>
      <c r="R1699" s="852" t="s">
        <v>67</v>
      </c>
      <c r="S1699" s="834" t="s">
        <v>32</v>
      </c>
      <c r="T1699" s="22">
        <v>6</v>
      </c>
      <c r="U1699" s="24" t="s">
        <v>67</v>
      </c>
      <c r="V1699" s="24">
        <v>46026</v>
      </c>
      <c r="W1699" s="96" t="s">
        <v>113</v>
      </c>
      <c r="X1699" s="96"/>
      <c r="Y1699" s="91"/>
      <c r="Z1699" s="96"/>
      <c r="AA1699" s="96"/>
      <c r="AB1699" s="96"/>
      <c r="AC1699" s="96"/>
      <c r="AD1699" s="96"/>
      <c r="AE1699" s="96"/>
      <c r="AF1699" s="96"/>
      <c r="AG1699" s="96"/>
      <c r="AH1699" s="110"/>
      <c r="AI1699" s="96"/>
      <c r="AJ1699" s="96"/>
      <c r="AK1699" s="96"/>
      <c r="AL1699" s="110" t="s">
        <v>32</v>
      </c>
      <c r="AM1699" s="840"/>
      <c r="AO1699" s="776"/>
      <c r="AP1699" s="776"/>
      <c r="AQ1699" s="776"/>
      <c r="AR1699" s="776"/>
      <c r="AV1699" s="105"/>
    </row>
    <row r="1700" spans="1:48">
      <c r="A1700" s="834" t="s">
        <v>2342</v>
      </c>
      <c r="B1700" s="835">
        <v>1697</v>
      </c>
      <c r="C1700" s="834" t="s">
        <v>2483</v>
      </c>
      <c r="D1700" s="834" t="s">
        <v>1230</v>
      </c>
      <c r="E1700" s="839">
        <v>45964.375</v>
      </c>
      <c r="F1700" s="838" t="s">
        <v>140</v>
      </c>
      <c r="G1700" s="838">
        <v>16</v>
      </c>
      <c r="H1700" s="838" t="s">
        <v>2409</v>
      </c>
      <c r="I1700" s="838"/>
      <c r="J1700" s="838"/>
      <c r="K1700" s="834" t="s">
        <v>113</v>
      </c>
      <c r="L1700" s="834" t="s">
        <v>113</v>
      </c>
      <c r="M1700" s="834" t="s">
        <v>113</v>
      </c>
      <c r="N1700" s="834" t="s">
        <v>113</v>
      </c>
      <c r="O1700" s="113" t="s">
        <v>30</v>
      </c>
      <c r="P1700" s="848" t="s">
        <v>1091</v>
      </c>
      <c r="Q1700" s="24">
        <v>46026</v>
      </c>
      <c r="R1700" s="852" t="s">
        <v>67</v>
      </c>
      <c r="S1700" s="834" t="s">
        <v>32</v>
      </c>
      <c r="T1700" s="22">
        <v>16</v>
      </c>
      <c r="U1700" s="24" t="s">
        <v>67</v>
      </c>
      <c r="V1700" s="24">
        <v>46026</v>
      </c>
      <c r="W1700" s="96" t="s">
        <v>113</v>
      </c>
      <c r="X1700" s="96"/>
      <c r="Y1700" s="91"/>
      <c r="Z1700" s="96"/>
      <c r="AA1700" s="96"/>
      <c r="AB1700" s="96"/>
      <c r="AC1700" s="96"/>
      <c r="AD1700" s="96"/>
      <c r="AE1700" s="96"/>
      <c r="AF1700" s="96"/>
      <c r="AG1700" s="96"/>
      <c r="AH1700" s="110"/>
      <c r="AI1700" s="107"/>
      <c r="AJ1700" s="107"/>
      <c r="AK1700" s="107"/>
      <c r="AL1700" s="110" t="s">
        <v>32</v>
      </c>
      <c r="AM1700" s="840"/>
      <c r="AN1700" s="6">
        <v>0</v>
      </c>
      <c r="AO1700" s="6">
        <v>0</v>
      </c>
      <c r="AP1700" s="6">
        <v>15</v>
      </c>
      <c r="AQ1700" s="6">
        <v>1</v>
      </c>
      <c r="AR1700" s="6">
        <f>SUM(AN1700:AQ1700)</f>
        <v>16</v>
      </c>
      <c r="AS1700" s="104">
        <f>+AN1700/AR1700*AS$1</f>
        <v>0</v>
      </c>
      <c r="AT1700" s="105">
        <f>+AO1700/AR1700*AT$1</f>
        <v>0</v>
      </c>
      <c r="AU1700" s="105">
        <f>+AP1700/AR1700*AU$1</f>
        <v>0</v>
      </c>
      <c r="AV1700" s="105">
        <f>+AQ1700/AR1700*AV$1</f>
        <v>0</v>
      </c>
    </row>
    <row r="1701" spans="1:48">
      <c r="A1701" s="834" t="s">
        <v>2342</v>
      </c>
      <c r="B1701" s="835">
        <v>1698</v>
      </c>
      <c r="C1701" s="834" t="s">
        <v>2484</v>
      </c>
      <c r="D1701" s="834" t="s">
        <v>2485</v>
      </c>
      <c r="E1701" s="839">
        <v>45964.458333333336</v>
      </c>
      <c r="F1701" s="838" t="s">
        <v>140</v>
      </c>
      <c r="G1701" s="838">
        <v>8</v>
      </c>
      <c r="H1701" s="838" t="s">
        <v>2468</v>
      </c>
      <c r="I1701" s="838"/>
      <c r="J1701" s="838"/>
      <c r="K1701" s="834" t="s">
        <v>113</v>
      </c>
      <c r="L1701" s="834" t="s">
        <v>113</v>
      </c>
      <c r="M1701" s="834" t="s">
        <v>113</v>
      </c>
      <c r="N1701" s="834" t="s">
        <v>113</v>
      </c>
      <c r="O1701" s="848"/>
      <c r="P1701" s="848" t="s">
        <v>1091</v>
      </c>
      <c r="Q1701" s="24">
        <v>46026</v>
      </c>
      <c r="R1701" s="852" t="s">
        <v>67</v>
      </c>
      <c r="S1701" s="834" t="s">
        <v>32</v>
      </c>
      <c r="T1701" s="22">
        <v>1</v>
      </c>
      <c r="U1701" s="24" t="s">
        <v>67</v>
      </c>
      <c r="V1701" s="24">
        <v>46026</v>
      </c>
      <c r="W1701" s="96" t="s">
        <v>113</v>
      </c>
      <c r="X1701" s="96"/>
      <c r="Y1701" s="91"/>
      <c r="Z1701" s="91"/>
      <c r="AA1701" s="91"/>
      <c r="AB1701" s="91"/>
      <c r="AC1701" s="96"/>
      <c r="AD1701" s="96"/>
      <c r="AE1701" s="96"/>
      <c r="AF1701" s="96"/>
      <c r="AG1701" s="96"/>
      <c r="AH1701" s="110"/>
      <c r="AI1701" s="110"/>
      <c r="AJ1701" s="110"/>
      <c r="AK1701" s="107"/>
      <c r="AL1701" s="110" t="s">
        <v>32</v>
      </c>
      <c r="AM1701" s="840"/>
      <c r="AN1701" s="6"/>
      <c r="AO1701" s="6"/>
      <c r="AP1701" s="6"/>
      <c r="AQ1701" s="6"/>
      <c r="AR1701" s="6"/>
      <c r="AS1701" s="104"/>
      <c r="AT1701" s="105"/>
      <c r="AU1701" s="105"/>
      <c r="AV1701" s="105"/>
    </row>
    <row r="1702" spans="1:48">
      <c r="A1702" s="834" t="s">
        <v>2342</v>
      </c>
      <c r="B1702" s="835">
        <v>1699</v>
      </c>
      <c r="C1702" s="834" t="s">
        <v>2486</v>
      </c>
      <c r="D1702" s="834" t="s">
        <v>2487</v>
      </c>
      <c r="E1702" s="839">
        <v>45971.375</v>
      </c>
      <c r="F1702" s="838" t="s">
        <v>140</v>
      </c>
      <c r="G1702" s="838">
        <v>3</v>
      </c>
      <c r="H1702" s="838" t="s">
        <v>2409</v>
      </c>
      <c r="I1702" s="838"/>
      <c r="J1702" s="838"/>
      <c r="K1702" s="834" t="s">
        <v>113</v>
      </c>
      <c r="L1702" s="834" t="s">
        <v>113</v>
      </c>
      <c r="M1702" s="834" t="s">
        <v>113</v>
      </c>
      <c r="N1702" s="834" t="s">
        <v>113</v>
      </c>
      <c r="O1702" s="848"/>
      <c r="P1702" s="848" t="s">
        <v>1091</v>
      </c>
      <c r="Q1702" s="24">
        <v>46026</v>
      </c>
      <c r="R1702" s="852" t="s">
        <v>67</v>
      </c>
      <c r="S1702" s="834" t="s">
        <v>32</v>
      </c>
      <c r="T1702" s="22">
        <v>2</v>
      </c>
      <c r="U1702" s="24" t="s">
        <v>67</v>
      </c>
      <c r="V1702" s="24">
        <v>46026</v>
      </c>
      <c r="W1702" s="96" t="s">
        <v>113</v>
      </c>
      <c r="X1702" s="96"/>
      <c r="Y1702" s="91"/>
      <c r="Z1702" s="96"/>
      <c r="AA1702" s="96"/>
      <c r="AB1702" s="96"/>
      <c r="AC1702" s="96"/>
      <c r="AD1702" s="96"/>
      <c r="AE1702" s="96"/>
      <c r="AF1702" s="96"/>
      <c r="AG1702" s="96"/>
      <c r="AH1702" s="110"/>
      <c r="AI1702" s="110"/>
      <c r="AJ1702" s="110"/>
      <c r="AK1702" s="110"/>
      <c r="AL1702" s="110" t="s">
        <v>32</v>
      </c>
      <c r="AM1702" s="840"/>
      <c r="AN1702" s="6"/>
      <c r="AO1702" s="6"/>
      <c r="AP1702" s="6"/>
      <c r="AQ1702" s="6"/>
      <c r="AR1702" s="6"/>
      <c r="AS1702" s="104"/>
      <c r="AT1702" s="105"/>
      <c r="AU1702" s="105"/>
      <c r="AV1702" s="105"/>
    </row>
    <row r="1703" spans="1:48">
      <c r="A1703" s="834" t="s">
        <v>2342</v>
      </c>
      <c r="B1703" s="835">
        <v>1700</v>
      </c>
      <c r="C1703" s="834" t="s">
        <v>2488</v>
      </c>
      <c r="D1703" s="834" t="s">
        <v>829</v>
      </c>
      <c r="E1703" s="839">
        <v>45971</v>
      </c>
      <c r="F1703" s="838" t="s">
        <v>140</v>
      </c>
      <c r="G1703" s="838">
        <v>20</v>
      </c>
      <c r="H1703" s="838" t="s">
        <v>1077</v>
      </c>
      <c r="I1703" s="838"/>
      <c r="J1703" s="838"/>
      <c r="K1703" s="834" t="s">
        <v>113</v>
      </c>
      <c r="L1703" s="834" t="s">
        <v>113</v>
      </c>
      <c r="M1703" s="834" t="s">
        <v>113</v>
      </c>
      <c r="N1703" s="834" t="s">
        <v>113</v>
      </c>
      <c r="O1703" s="113" t="s">
        <v>30</v>
      </c>
      <c r="P1703" s="848"/>
      <c r="Q1703" s="24"/>
      <c r="R1703" s="79"/>
      <c r="S1703" s="22"/>
      <c r="T1703" s="22"/>
      <c r="U1703" s="24"/>
      <c r="V1703" s="24"/>
      <c r="W1703" s="96" t="s">
        <v>113</v>
      </c>
      <c r="X1703" s="96"/>
      <c r="Y1703" s="91"/>
      <c r="Z1703" s="96"/>
      <c r="AA1703" s="96"/>
      <c r="AB1703" s="96"/>
      <c r="AC1703" s="96"/>
      <c r="AD1703" s="96"/>
      <c r="AE1703" s="96"/>
      <c r="AF1703" s="96"/>
      <c r="AG1703" s="96"/>
      <c r="AH1703" s="110"/>
      <c r="AI1703" s="107"/>
      <c r="AJ1703" s="107"/>
      <c r="AK1703" s="107"/>
      <c r="AL1703" s="110" t="s">
        <v>32</v>
      </c>
      <c r="AM1703" s="840"/>
      <c r="AN1703" s="6">
        <v>0</v>
      </c>
      <c r="AO1703" s="6">
        <v>20</v>
      </c>
      <c r="AP1703" s="6">
        <v>0</v>
      </c>
      <c r="AQ1703" s="6">
        <v>0</v>
      </c>
      <c r="AR1703" s="6">
        <f>SUM(AN1703:AQ1703)</f>
        <v>20</v>
      </c>
      <c r="AS1703" s="104">
        <f>+AN1703/AR1703*AS$1</f>
        <v>0</v>
      </c>
      <c r="AT1703" s="105">
        <f>+AO1703/AR1703*AT$1</f>
        <v>0</v>
      </c>
      <c r="AU1703" s="105">
        <f>+AP1703/AR1703*AU$1</f>
        <v>0</v>
      </c>
      <c r="AV1703" s="105">
        <f>+AQ1703/AR1703*AV$1</f>
        <v>0</v>
      </c>
    </row>
    <row r="1704" spans="1:48">
      <c r="A1704" s="834" t="s">
        <v>2342</v>
      </c>
      <c r="B1704" s="835">
        <v>1701</v>
      </c>
      <c r="C1704" s="834" t="s">
        <v>2489</v>
      </c>
      <c r="D1704" s="834" t="s">
        <v>2490</v>
      </c>
      <c r="E1704" s="839">
        <v>45964.375</v>
      </c>
      <c r="F1704" s="838" t="s">
        <v>140</v>
      </c>
      <c r="G1704" s="838">
        <v>10</v>
      </c>
      <c r="H1704" s="838" t="s">
        <v>2379</v>
      </c>
      <c r="I1704" s="838"/>
      <c r="J1704" s="838"/>
      <c r="K1704" s="834" t="s">
        <v>113</v>
      </c>
      <c r="L1704" s="834" t="s">
        <v>113</v>
      </c>
      <c r="M1704" s="834" t="s">
        <v>113</v>
      </c>
      <c r="N1704" s="834" t="s">
        <v>113</v>
      </c>
      <c r="O1704" s="848"/>
      <c r="P1704" s="848" t="s">
        <v>1091</v>
      </c>
      <c r="Q1704" s="24">
        <v>46022</v>
      </c>
      <c r="R1704" s="24" t="s">
        <v>28</v>
      </c>
      <c r="S1704" s="22" t="s">
        <v>32</v>
      </c>
      <c r="T1704" s="22">
        <v>10</v>
      </c>
      <c r="U1704" s="24" t="s">
        <v>28</v>
      </c>
      <c r="V1704" s="24">
        <v>46022</v>
      </c>
      <c r="W1704" s="96" t="s">
        <v>113</v>
      </c>
      <c r="X1704" s="96"/>
      <c r="Y1704" s="91"/>
      <c r="Z1704" s="96"/>
      <c r="AA1704" s="96"/>
      <c r="AB1704" s="96"/>
      <c r="AC1704" s="96"/>
      <c r="AD1704" s="96"/>
      <c r="AE1704" s="96"/>
      <c r="AF1704" s="96"/>
      <c r="AG1704" s="96"/>
      <c r="AH1704" s="110"/>
      <c r="AI1704" s="107"/>
      <c r="AJ1704" s="107"/>
      <c r="AK1704" s="107"/>
      <c r="AL1704" s="110" t="s">
        <v>32</v>
      </c>
      <c r="AM1704" s="840"/>
      <c r="AN1704" s="87"/>
      <c r="AO1704" s="87"/>
      <c r="AS1704" s="71"/>
      <c r="AT1704" s="92"/>
      <c r="AU1704" s="92"/>
      <c r="AV1704" s="105"/>
    </row>
    <row r="1705" spans="1:48">
      <c r="A1705" s="834" t="s">
        <v>2342</v>
      </c>
      <c r="B1705" s="835">
        <v>1702</v>
      </c>
      <c r="C1705" s="834" t="s">
        <v>2491</v>
      </c>
      <c r="D1705" s="834" t="s">
        <v>829</v>
      </c>
      <c r="E1705" s="839">
        <v>45964</v>
      </c>
      <c r="F1705" s="838" t="s">
        <v>140</v>
      </c>
      <c r="G1705" s="838">
        <v>61</v>
      </c>
      <c r="H1705" s="838" t="s">
        <v>1076</v>
      </c>
      <c r="I1705" s="838"/>
      <c r="J1705" s="838"/>
      <c r="K1705" s="834" t="s">
        <v>113</v>
      </c>
      <c r="L1705" s="834" t="s">
        <v>113</v>
      </c>
      <c r="M1705" s="834" t="s">
        <v>113</v>
      </c>
      <c r="N1705" s="834" t="s">
        <v>113</v>
      </c>
      <c r="O1705" s="113" t="s">
        <v>30</v>
      </c>
      <c r="P1705" s="23" t="s">
        <v>1091</v>
      </c>
      <c r="Q1705" s="24">
        <v>46022</v>
      </c>
      <c r="R1705" s="852" t="s">
        <v>67</v>
      </c>
      <c r="S1705" s="834" t="s">
        <v>32</v>
      </c>
      <c r="T1705" s="22">
        <v>60</v>
      </c>
      <c r="U1705" s="24" t="s">
        <v>67</v>
      </c>
      <c r="V1705" s="24">
        <v>46022</v>
      </c>
      <c r="W1705" s="96" t="s">
        <v>113</v>
      </c>
      <c r="X1705" s="96"/>
      <c r="Y1705" s="91"/>
      <c r="Z1705" s="96"/>
      <c r="AA1705" s="96"/>
      <c r="AB1705" s="96"/>
      <c r="AC1705" s="96"/>
      <c r="AD1705" s="96"/>
      <c r="AE1705" s="96"/>
      <c r="AF1705" s="96"/>
      <c r="AG1705" s="96"/>
      <c r="AH1705" s="110"/>
      <c r="AI1705" s="96"/>
      <c r="AJ1705" s="96"/>
      <c r="AK1705" s="96"/>
      <c r="AL1705" s="110" t="s">
        <v>32</v>
      </c>
      <c r="AM1705" s="840"/>
      <c r="AN1705" s="6">
        <v>0</v>
      </c>
      <c r="AO1705" s="6">
        <v>61</v>
      </c>
      <c r="AP1705" s="6">
        <v>0</v>
      </c>
      <c r="AQ1705" s="6">
        <v>0</v>
      </c>
      <c r="AR1705" s="6">
        <f>SUM(AN1705:AQ1705)</f>
        <v>61</v>
      </c>
      <c r="AS1705" s="104">
        <f>+AN1705/AR1705*AS$1</f>
        <v>0</v>
      </c>
      <c r="AT1705" s="105">
        <f>+AO1705/AR1705*AT$1</f>
        <v>0</v>
      </c>
      <c r="AU1705" s="105">
        <f>+AP1705/AR1705*AU$1</f>
        <v>0</v>
      </c>
      <c r="AV1705" s="105">
        <f>+AQ1705/AR1705*AV$1</f>
        <v>0</v>
      </c>
    </row>
    <row r="1706" spans="1:48">
      <c r="A1706" s="834" t="s">
        <v>2342</v>
      </c>
      <c r="B1706" s="835">
        <v>1703</v>
      </c>
      <c r="C1706" s="834" t="s">
        <v>2492</v>
      </c>
      <c r="D1706" s="834" t="s">
        <v>2493</v>
      </c>
      <c r="E1706" s="839">
        <v>45964.375</v>
      </c>
      <c r="F1706" s="838" t="s">
        <v>140</v>
      </c>
      <c r="G1706" s="838">
        <v>16</v>
      </c>
      <c r="H1706" s="838" t="s">
        <v>2494</v>
      </c>
      <c r="I1706" s="838"/>
      <c r="J1706" s="838"/>
      <c r="K1706" s="834" t="s">
        <v>113</v>
      </c>
      <c r="L1706" s="834" t="s">
        <v>113</v>
      </c>
      <c r="M1706" s="834" t="s">
        <v>113</v>
      </c>
      <c r="N1706" s="834" t="s">
        <v>113</v>
      </c>
      <c r="O1706" s="113" t="s">
        <v>30</v>
      </c>
      <c r="P1706" s="23" t="s">
        <v>1091</v>
      </c>
      <c r="Q1706" s="24">
        <v>46022</v>
      </c>
      <c r="R1706" s="24" t="s">
        <v>28</v>
      </c>
      <c r="S1706" s="834" t="s">
        <v>32</v>
      </c>
      <c r="T1706" s="22">
        <v>16</v>
      </c>
      <c r="U1706" s="24" t="s">
        <v>28</v>
      </c>
      <c r="V1706" s="24">
        <v>46022</v>
      </c>
      <c r="W1706" s="96" t="s">
        <v>113</v>
      </c>
      <c r="X1706" s="96"/>
      <c r="Y1706" s="91"/>
      <c r="Z1706" s="96"/>
      <c r="AA1706" s="96"/>
      <c r="AB1706" s="96"/>
      <c r="AC1706" s="96"/>
      <c r="AD1706" s="96"/>
      <c r="AE1706" s="96"/>
      <c r="AF1706" s="96"/>
      <c r="AG1706" s="96"/>
      <c r="AH1706" s="110"/>
      <c r="AI1706" s="110"/>
      <c r="AJ1706" s="110"/>
      <c r="AK1706" s="110"/>
      <c r="AL1706" s="110" t="s">
        <v>32</v>
      </c>
      <c r="AM1706" s="840"/>
      <c r="AN1706" s="6">
        <v>0</v>
      </c>
      <c r="AO1706" s="6">
        <v>13</v>
      </c>
      <c r="AP1706" s="6">
        <v>2</v>
      </c>
      <c r="AQ1706" s="6">
        <v>1</v>
      </c>
      <c r="AR1706" s="6">
        <f>SUM(AN1706:AQ1706)</f>
        <v>16</v>
      </c>
      <c r="AS1706" s="104">
        <f>+AN1706/AR1706*AS$1</f>
        <v>0</v>
      </c>
      <c r="AT1706" s="105">
        <f>+AO1706/AR1706*AT$1</f>
        <v>0</v>
      </c>
      <c r="AU1706" s="105">
        <f>+AP1706/AR1706*AU$1</f>
        <v>0</v>
      </c>
      <c r="AV1706" s="105">
        <f>+AQ1706/AR1706*AV$1</f>
        <v>0</v>
      </c>
    </row>
    <row r="1707" spans="1:48">
      <c r="A1707" s="834" t="s">
        <v>2342</v>
      </c>
      <c r="B1707" s="835">
        <v>1704</v>
      </c>
      <c r="C1707" s="834" t="s">
        <v>2495</v>
      </c>
      <c r="D1707" s="834" t="s">
        <v>937</v>
      </c>
      <c r="E1707" s="839">
        <v>45964.375</v>
      </c>
      <c r="F1707" s="838" t="s">
        <v>140</v>
      </c>
      <c r="G1707" s="838">
        <v>14</v>
      </c>
      <c r="H1707" s="838" t="s">
        <v>1077</v>
      </c>
      <c r="I1707" s="838"/>
      <c r="J1707" s="838"/>
      <c r="K1707" s="834" t="s">
        <v>113</v>
      </c>
      <c r="L1707" s="834" t="s">
        <v>113</v>
      </c>
      <c r="M1707" s="834" t="s">
        <v>113</v>
      </c>
      <c r="N1707" s="834" t="s">
        <v>113</v>
      </c>
      <c r="O1707" s="848"/>
      <c r="P1707" s="23" t="s">
        <v>1091</v>
      </c>
      <c r="Q1707" s="24">
        <v>46022</v>
      </c>
      <c r="R1707" s="852" t="s">
        <v>67</v>
      </c>
      <c r="S1707" s="834" t="s">
        <v>32</v>
      </c>
      <c r="T1707" s="22">
        <v>14</v>
      </c>
      <c r="U1707" s="24" t="s">
        <v>67</v>
      </c>
      <c r="V1707" s="24">
        <v>46022</v>
      </c>
      <c r="W1707" s="96" t="s">
        <v>113</v>
      </c>
      <c r="X1707" s="96"/>
      <c r="Y1707" s="91"/>
      <c r="Z1707" s="96"/>
      <c r="AA1707" s="96"/>
      <c r="AB1707" s="96"/>
      <c r="AC1707" s="96"/>
      <c r="AD1707" s="96"/>
      <c r="AE1707" s="96"/>
      <c r="AF1707" s="96"/>
      <c r="AG1707" s="96"/>
      <c r="AH1707" s="110"/>
      <c r="AI1707" s="110"/>
      <c r="AJ1707" s="110"/>
      <c r="AK1707" s="110"/>
      <c r="AL1707" s="110" t="s">
        <v>32</v>
      </c>
      <c r="AM1707" s="840"/>
      <c r="AN1707" s="87"/>
      <c r="AO1707" s="87"/>
      <c r="AS1707" s="71"/>
      <c r="AT1707" s="92"/>
      <c r="AU1707" s="92"/>
      <c r="AV1707" s="105"/>
    </row>
    <row r="1708" spans="1:48">
      <c r="A1708" s="834" t="s">
        <v>2342</v>
      </c>
      <c r="B1708" s="835">
        <v>1705</v>
      </c>
      <c r="C1708" s="834" t="s">
        <v>2496</v>
      </c>
      <c r="D1708" s="834" t="s">
        <v>2497</v>
      </c>
      <c r="E1708" s="839">
        <v>45964.375</v>
      </c>
      <c r="F1708" s="838" t="s">
        <v>140</v>
      </c>
      <c r="G1708" s="838">
        <v>8</v>
      </c>
      <c r="H1708" s="838" t="s">
        <v>1076</v>
      </c>
      <c r="I1708" s="838"/>
      <c r="J1708" s="838"/>
      <c r="K1708" s="834" t="s">
        <v>113</v>
      </c>
      <c r="L1708" s="834" t="s">
        <v>113</v>
      </c>
      <c r="M1708" s="834" t="s">
        <v>113</v>
      </c>
      <c r="N1708" s="834" t="s">
        <v>113</v>
      </c>
      <c r="O1708" s="848"/>
      <c r="P1708" s="848" t="s">
        <v>1091</v>
      </c>
      <c r="Q1708" s="24">
        <v>46022</v>
      </c>
      <c r="R1708" s="852" t="s">
        <v>67</v>
      </c>
      <c r="S1708" s="834" t="s">
        <v>32</v>
      </c>
      <c r="T1708" s="834">
        <v>8</v>
      </c>
      <c r="U1708" s="24" t="s">
        <v>67</v>
      </c>
      <c r="V1708" s="24">
        <v>46022</v>
      </c>
      <c r="W1708" s="96" t="s">
        <v>113</v>
      </c>
      <c r="X1708" s="96"/>
      <c r="Y1708" s="103"/>
      <c r="Z1708" s="96"/>
      <c r="AA1708" s="91"/>
      <c r="AB1708" s="96"/>
      <c r="AC1708" s="96"/>
      <c r="AD1708" s="96"/>
      <c r="AE1708" s="96"/>
      <c r="AF1708" s="96"/>
      <c r="AG1708" s="96"/>
      <c r="AH1708" s="110"/>
      <c r="AI1708" s="110"/>
      <c r="AJ1708" s="110"/>
      <c r="AK1708" s="110"/>
      <c r="AL1708" s="110" t="s">
        <v>32</v>
      </c>
      <c r="AM1708" s="840"/>
      <c r="AS1708" s="71"/>
      <c r="AT1708" s="92"/>
      <c r="AU1708" s="92"/>
      <c r="AV1708" s="105"/>
    </row>
    <row r="1709" spans="1:48">
      <c r="A1709" s="834" t="s">
        <v>2342</v>
      </c>
      <c r="B1709" s="835">
        <v>1706</v>
      </c>
      <c r="C1709" s="834" t="s">
        <v>2498</v>
      </c>
      <c r="D1709" s="834" t="s">
        <v>818</v>
      </c>
      <c r="E1709" s="839">
        <v>45964</v>
      </c>
      <c r="F1709" s="838" t="s">
        <v>140</v>
      </c>
      <c r="G1709" s="838">
        <v>3</v>
      </c>
      <c r="H1709" s="838" t="s">
        <v>1076</v>
      </c>
      <c r="I1709" s="838"/>
      <c r="J1709" s="838"/>
      <c r="K1709" s="834" t="s">
        <v>113</v>
      </c>
      <c r="L1709" s="834" t="s">
        <v>113</v>
      </c>
      <c r="M1709" s="834" t="s">
        <v>113</v>
      </c>
      <c r="N1709" s="834" t="s">
        <v>113</v>
      </c>
      <c r="O1709" s="848"/>
      <c r="P1709" s="23" t="s">
        <v>1091</v>
      </c>
      <c r="Q1709" s="24">
        <v>46022</v>
      </c>
      <c r="R1709" s="852" t="s">
        <v>67</v>
      </c>
      <c r="S1709" s="834" t="s">
        <v>32</v>
      </c>
      <c r="T1709" s="22">
        <v>3</v>
      </c>
      <c r="U1709" s="24" t="s">
        <v>67</v>
      </c>
      <c r="V1709" s="24">
        <v>46022</v>
      </c>
      <c r="W1709" s="96" t="s">
        <v>113</v>
      </c>
      <c r="X1709" s="96"/>
      <c r="Y1709" s="91"/>
      <c r="Z1709" s="96"/>
      <c r="AA1709" s="96"/>
      <c r="AB1709" s="96"/>
      <c r="AC1709" s="96"/>
      <c r="AD1709" s="96"/>
      <c r="AE1709" s="96"/>
      <c r="AF1709" s="96"/>
      <c r="AG1709" s="96"/>
      <c r="AH1709" s="110"/>
      <c r="AI1709" s="110"/>
      <c r="AJ1709" s="107"/>
      <c r="AK1709" s="107"/>
      <c r="AL1709" s="110" t="s">
        <v>32</v>
      </c>
      <c r="AM1709" s="840"/>
      <c r="AV1709" s="105"/>
    </row>
    <row r="1710" spans="1:48">
      <c r="A1710" s="834" t="s">
        <v>2342</v>
      </c>
      <c r="B1710" s="835">
        <v>1707</v>
      </c>
      <c r="C1710" s="834" t="s">
        <v>2499</v>
      </c>
      <c r="D1710" s="834" t="s">
        <v>2500</v>
      </c>
      <c r="E1710" s="839">
        <v>45978.375</v>
      </c>
      <c r="F1710" s="838" t="s">
        <v>140</v>
      </c>
      <c r="G1710" s="838">
        <v>11</v>
      </c>
      <c r="H1710" s="838" t="s">
        <v>2501</v>
      </c>
      <c r="I1710" s="838"/>
      <c r="J1710" s="838"/>
      <c r="K1710" s="834" t="s">
        <v>113</v>
      </c>
      <c r="L1710" s="834" t="s">
        <v>113</v>
      </c>
      <c r="M1710" s="834" t="s">
        <v>113</v>
      </c>
      <c r="N1710" s="834" t="s">
        <v>113</v>
      </c>
      <c r="O1710" s="113"/>
      <c r="P1710" s="23" t="s">
        <v>1091</v>
      </c>
      <c r="Q1710" s="24">
        <v>46022</v>
      </c>
      <c r="R1710" s="852" t="s">
        <v>67</v>
      </c>
      <c r="S1710" s="834" t="s">
        <v>32</v>
      </c>
      <c r="T1710" s="22">
        <v>11</v>
      </c>
      <c r="U1710" s="24" t="s">
        <v>67</v>
      </c>
      <c r="V1710" s="24">
        <v>46022</v>
      </c>
      <c r="W1710" s="96" t="s">
        <v>113</v>
      </c>
      <c r="X1710" s="96"/>
      <c r="Y1710" s="91"/>
      <c r="Z1710" s="96"/>
      <c r="AA1710" s="91"/>
      <c r="AB1710" s="96"/>
      <c r="AC1710" s="96"/>
      <c r="AD1710" s="96"/>
      <c r="AE1710" s="96"/>
      <c r="AF1710" s="96"/>
      <c r="AG1710" s="96"/>
      <c r="AH1710" s="110"/>
      <c r="AI1710" s="110"/>
      <c r="AJ1710" s="110"/>
      <c r="AK1710" s="110"/>
      <c r="AL1710" s="110" t="s">
        <v>32</v>
      </c>
      <c r="AM1710" s="840"/>
      <c r="AS1710" s="71"/>
      <c r="AT1710" s="92"/>
      <c r="AU1710" s="92"/>
      <c r="AV1710" s="105"/>
    </row>
    <row r="1711" spans="1:48">
      <c r="A1711" s="834" t="s">
        <v>2342</v>
      </c>
      <c r="B1711" s="835">
        <v>1708</v>
      </c>
      <c r="C1711" s="834" t="s">
        <v>2502</v>
      </c>
      <c r="D1711" s="834" t="s">
        <v>1198</v>
      </c>
      <c r="E1711" s="839">
        <v>45978</v>
      </c>
      <c r="F1711" s="838" t="s">
        <v>140</v>
      </c>
      <c r="G1711" s="838">
        <v>5</v>
      </c>
      <c r="H1711" s="838" t="s">
        <v>1076</v>
      </c>
      <c r="I1711" s="838"/>
      <c r="J1711" s="838"/>
      <c r="K1711" s="834" t="s">
        <v>113</v>
      </c>
      <c r="L1711" s="834" t="s">
        <v>113</v>
      </c>
      <c r="M1711" s="834" t="s">
        <v>113</v>
      </c>
      <c r="N1711" s="834" t="s">
        <v>113</v>
      </c>
      <c r="O1711" s="848"/>
      <c r="P1711" s="848" t="s">
        <v>1091</v>
      </c>
      <c r="Q1711" s="24">
        <v>46007</v>
      </c>
      <c r="R1711" s="852" t="s">
        <v>67</v>
      </c>
      <c r="S1711" s="834" t="s">
        <v>32</v>
      </c>
      <c r="T1711" s="834">
        <v>5</v>
      </c>
      <c r="U1711" s="24" t="s">
        <v>67</v>
      </c>
      <c r="V1711" s="24">
        <v>46007</v>
      </c>
      <c r="W1711" s="96" t="s">
        <v>113</v>
      </c>
      <c r="X1711" s="96"/>
      <c r="Y1711" s="91"/>
      <c r="Z1711" s="96"/>
      <c r="AA1711" s="96"/>
      <c r="AB1711" s="96"/>
      <c r="AC1711" s="96"/>
      <c r="AD1711" s="96"/>
      <c r="AE1711" s="96"/>
      <c r="AF1711" s="96"/>
      <c r="AG1711" s="96"/>
      <c r="AH1711" s="110"/>
      <c r="AI1711" s="110"/>
      <c r="AJ1711" s="110"/>
      <c r="AK1711" s="107"/>
      <c r="AL1711" s="110" t="s">
        <v>32</v>
      </c>
      <c r="AM1711" s="840"/>
      <c r="AS1711" s="71"/>
      <c r="AT1711" s="92"/>
      <c r="AU1711" s="92"/>
      <c r="AV1711" s="105"/>
    </row>
    <row r="1712" spans="1:48">
      <c r="A1712" s="834" t="s">
        <v>2342</v>
      </c>
      <c r="B1712" s="835">
        <v>1709</v>
      </c>
      <c r="C1712" s="834" t="s">
        <v>2503</v>
      </c>
      <c r="D1712" s="834" t="s">
        <v>2462</v>
      </c>
      <c r="E1712" s="839">
        <v>45978.041666666664</v>
      </c>
      <c r="F1712" s="838" t="s">
        <v>140</v>
      </c>
      <c r="G1712" s="838">
        <v>1</v>
      </c>
      <c r="H1712" s="838" t="s">
        <v>127</v>
      </c>
      <c r="I1712" s="838"/>
      <c r="J1712" s="838"/>
      <c r="K1712" s="834" t="s">
        <v>113</v>
      </c>
      <c r="L1712" s="834" t="s">
        <v>113</v>
      </c>
      <c r="M1712" s="834" t="s">
        <v>113</v>
      </c>
      <c r="N1712" s="834" t="s">
        <v>113</v>
      </c>
      <c r="O1712" s="848"/>
      <c r="P1712" s="23" t="s">
        <v>1091</v>
      </c>
      <c r="Q1712" s="24">
        <v>46022</v>
      </c>
      <c r="R1712" s="24" t="s">
        <v>28</v>
      </c>
      <c r="S1712" s="834" t="s">
        <v>32</v>
      </c>
      <c r="T1712" s="22">
        <v>1</v>
      </c>
      <c r="U1712" s="24" t="s">
        <v>28</v>
      </c>
      <c r="V1712" s="24">
        <v>46022</v>
      </c>
      <c r="W1712" s="96" t="s">
        <v>113</v>
      </c>
      <c r="X1712" s="103"/>
      <c r="Y1712" s="103"/>
      <c r="Z1712" s="96"/>
      <c r="AA1712" s="96"/>
      <c r="AB1712" s="96"/>
      <c r="AC1712" s="96"/>
      <c r="AD1712" s="96"/>
      <c r="AE1712" s="96"/>
      <c r="AF1712" s="96"/>
      <c r="AG1712" s="96"/>
      <c r="AH1712" s="110"/>
      <c r="AI1712" s="110"/>
      <c r="AJ1712" s="110"/>
      <c r="AK1712" s="110"/>
      <c r="AL1712" s="110" t="s">
        <v>32</v>
      </c>
      <c r="AM1712" s="840"/>
      <c r="AV1712" s="105"/>
    </row>
    <row r="1713" spans="1:48">
      <c r="A1713" s="834" t="s">
        <v>2342</v>
      </c>
      <c r="B1713" s="835">
        <v>1710</v>
      </c>
      <c r="C1713" s="834" t="s">
        <v>2504</v>
      </c>
      <c r="D1713" s="834" t="s">
        <v>1184</v>
      </c>
      <c r="E1713" s="839">
        <v>45978.375</v>
      </c>
      <c r="F1713" s="838" t="s">
        <v>140</v>
      </c>
      <c r="G1713" s="838">
        <v>20</v>
      </c>
      <c r="H1713" s="838" t="s">
        <v>1076</v>
      </c>
      <c r="I1713" s="838"/>
      <c r="J1713" s="838"/>
      <c r="K1713" s="834" t="s">
        <v>113</v>
      </c>
      <c r="L1713" s="834" t="s">
        <v>113</v>
      </c>
      <c r="M1713" s="834" t="s">
        <v>113</v>
      </c>
      <c r="N1713" s="834" t="s">
        <v>113</v>
      </c>
      <c r="O1713" s="113" t="s">
        <v>30</v>
      </c>
      <c r="P1713" s="23" t="s">
        <v>1091</v>
      </c>
      <c r="Q1713" s="24">
        <v>46022</v>
      </c>
      <c r="R1713" s="24" t="s">
        <v>28</v>
      </c>
      <c r="S1713" s="834" t="s">
        <v>32</v>
      </c>
      <c r="T1713" s="22">
        <v>20</v>
      </c>
      <c r="U1713" s="24" t="s">
        <v>28</v>
      </c>
      <c r="V1713" s="24">
        <v>46022</v>
      </c>
      <c r="W1713" s="96" t="s">
        <v>113</v>
      </c>
      <c r="X1713" s="96"/>
      <c r="Y1713" s="91"/>
      <c r="Z1713" s="91"/>
      <c r="AA1713" s="91"/>
      <c r="AB1713" s="91"/>
      <c r="AC1713" s="96"/>
      <c r="AD1713" s="96"/>
      <c r="AE1713" s="96"/>
      <c r="AF1713" s="96"/>
      <c r="AG1713" s="96"/>
      <c r="AH1713" s="110"/>
      <c r="AI1713" s="96"/>
      <c r="AJ1713" s="96"/>
      <c r="AK1713" s="96"/>
      <c r="AL1713" s="110" t="s">
        <v>32</v>
      </c>
      <c r="AM1713" s="840"/>
      <c r="AN1713" s="6">
        <v>0</v>
      </c>
      <c r="AO1713" s="6">
        <v>20</v>
      </c>
      <c r="AP1713" s="6">
        <v>0</v>
      </c>
      <c r="AQ1713" s="6">
        <v>0</v>
      </c>
      <c r="AR1713" s="6">
        <f>SUM(AN1713:AQ1713)</f>
        <v>20</v>
      </c>
      <c r="AS1713" s="104">
        <f>+AN1713/AR1713*AS$1</f>
        <v>0</v>
      </c>
      <c r="AT1713" s="105">
        <f>+AO1713/AR1713*AT$1</f>
        <v>0</v>
      </c>
      <c r="AU1713" s="105">
        <f>+AP1713/AR1713*AU$1</f>
        <v>0</v>
      </c>
      <c r="AV1713" s="105">
        <f>+AQ1713/AR1713*AV$1</f>
        <v>0</v>
      </c>
    </row>
    <row r="1714" spans="1:48">
      <c r="A1714" s="834" t="s">
        <v>2342</v>
      </c>
      <c r="B1714" s="835">
        <v>1711</v>
      </c>
      <c r="C1714" s="834" t="s">
        <v>2505</v>
      </c>
      <c r="D1714" s="834" t="s">
        <v>2506</v>
      </c>
      <c r="E1714" s="839">
        <v>45978.375</v>
      </c>
      <c r="F1714" s="838" t="s">
        <v>140</v>
      </c>
      <c r="G1714" s="838">
        <v>8</v>
      </c>
      <c r="H1714" s="838" t="s">
        <v>1721</v>
      </c>
      <c r="I1714" s="838"/>
      <c r="J1714" s="838"/>
      <c r="K1714" s="834" t="s">
        <v>113</v>
      </c>
      <c r="L1714" s="834" t="s">
        <v>113</v>
      </c>
      <c r="M1714" s="834" t="s">
        <v>113</v>
      </c>
      <c r="N1714" s="834" t="s">
        <v>113</v>
      </c>
      <c r="O1714" s="113"/>
      <c r="P1714" s="848" t="s">
        <v>1091</v>
      </c>
      <c r="Q1714" s="24">
        <v>46022</v>
      </c>
      <c r="R1714" s="852" t="s">
        <v>67</v>
      </c>
      <c r="S1714" s="834" t="s">
        <v>32</v>
      </c>
      <c r="T1714" s="834">
        <v>7</v>
      </c>
      <c r="U1714" s="24" t="s">
        <v>67</v>
      </c>
      <c r="V1714" s="24">
        <v>46022</v>
      </c>
      <c r="W1714" s="96" t="s">
        <v>113</v>
      </c>
      <c r="X1714" s="96"/>
      <c r="Y1714" s="91"/>
      <c r="Z1714" s="96"/>
      <c r="AA1714" s="96"/>
      <c r="AB1714" s="96"/>
      <c r="AC1714" s="96"/>
      <c r="AD1714" s="96"/>
      <c r="AE1714" s="96"/>
      <c r="AF1714" s="96"/>
      <c r="AG1714" s="96"/>
      <c r="AH1714" s="110"/>
      <c r="AI1714" s="107"/>
      <c r="AJ1714" s="107"/>
      <c r="AK1714" s="107"/>
      <c r="AL1714" s="110" t="s">
        <v>32</v>
      </c>
      <c r="AM1714" s="840"/>
      <c r="AR1714" s="84"/>
      <c r="AS1714" s="71"/>
      <c r="AT1714" s="71"/>
      <c r="AU1714" s="71"/>
      <c r="AV1714" s="105"/>
    </row>
    <row r="1715" spans="1:48">
      <c r="A1715" s="834" t="s">
        <v>2342</v>
      </c>
      <c r="B1715" s="835">
        <v>1712</v>
      </c>
      <c r="C1715" s="834" t="s">
        <v>2507</v>
      </c>
      <c r="D1715" s="834" t="s">
        <v>2508</v>
      </c>
      <c r="E1715" s="839">
        <v>45978.375</v>
      </c>
      <c r="F1715" s="838" t="s">
        <v>140</v>
      </c>
      <c r="G1715" s="838">
        <v>8</v>
      </c>
      <c r="H1715" s="838" t="s">
        <v>1721</v>
      </c>
      <c r="I1715" s="838"/>
      <c r="J1715" s="838"/>
      <c r="K1715" s="834" t="s">
        <v>113</v>
      </c>
      <c r="L1715" s="834" t="s">
        <v>113</v>
      </c>
      <c r="M1715" s="834" t="s">
        <v>113</v>
      </c>
      <c r="N1715" s="834" t="s">
        <v>113</v>
      </c>
      <c r="O1715" s="848"/>
      <c r="P1715" s="23" t="s">
        <v>1091</v>
      </c>
      <c r="Q1715" s="24">
        <v>46022</v>
      </c>
      <c r="R1715" s="852" t="s">
        <v>67</v>
      </c>
      <c r="S1715" s="834" t="s">
        <v>32</v>
      </c>
      <c r="T1715" s="22">
        <v>8</v>
      </c>
      <c r="U1715" s="24" t="s">
        <v>67</v>
      </c>
      <c r="V1715" s="24">
        <v>46022</v>
      </c>
      <c r="W1715" s="96" t="s">
        <v>113</v>
      </c>
      <c r="X1715" s="96"/>
      <c r="Y1715" s="91"/>
      <c r="Z1715" s="96"/>
      <c r="AA1715" s="96"/>
      <c r="AB1715" s="96"/>
      <c r="AC1715" s="96"/>
      <c r="AD1715" s="96"/>
      <c r="AE1715" s="96"/>
      <c r="AF1715" s="96"/>
      <c r="AG1715" s="96"/>
      <c r="AH1715" s="110"/>
      <c r="AI1715" s="110"/>
      <c r="AJ1715" s="110"/>
      <c r="AK1715" s="110"/>
      <c r="AL1715" s="110" t="s">
        <v>32</v>
      </c>
      <c r="AM1715" s="840"/>
      <c r="AS1715" s="71"/>
      <c r="AT1715" s="92"/>
      <c r="AU1715" s="92"/>
      <c r="AV1715" s="105"/>
    </row>
    <row r="1716" spans="1:48">
      <c r="A1716" s="834" t="s">
        <v>2342</v>
      </c>
      <c r="B1716" s="835">
        <v>1713</v>
      </c>
      <c r="C1716" s="834" t="s">
        <v>2509</v>
      </c>
      <c r="D1716" s="834" t="s">
        <v>1250</v>
      </c>
      <c r="E1716" s="839">
        <v>45971</v>
      </c>
      <c r="F1716" s="838" t="s">
        <v>140</v>
      </c>
      <c r="G1716" s="838">
        <v>5</v>
      </c>
      <c r="H1716" s="838" t="s">
        <v>2379</v>
      </c>
      <c r="I1716" s="838"/>
      <c r="J1716" s="838"/>
      <c r="K1716" s="834" t="s">
        <v>113</v>
      </c>
      <c r="L1716" s="834" t="s">
        <v>113</v>
      </c>
      <c r="M1716" s="834" t="s">
        <v>113</v>
      </c>
      <c r="N1716" s="834" t="s">
        <v>113</v>
      </c>
      <c r="O1716" s="113"/>
      <c r="P1716" s="23" t="s">
        <v>1091</v>
      </c>
      <c r="Q1716" s="24">
        <v>46022</v>
      </c>
      <c r="R1716" s="852" t="s">
        <v>67</v>
      </c>
      <c r="S1716" s="834" t="s">
        <v>32</v>
      </c>
      <c r="T1716" s="22">
        <v>5</v>
      </c>
      <c r="U1716" s="24" t="s">
        <v>67</v>
      </c>
      <c r="V1716" s="24">
        <v>46022</v>
      </c>
      <c r="W1716" s="96" t="s">
        <v>113</v>
      </c>
      <c r="X1716" s="103"/>
      <c r="Y1716" s="103"/>
      <c r="Z1716" s="96"/>
      <c r="AA1716" s="96"/>
      <c r="AB1716" s="96"/>
      <c r="AC1716" s="96"/>
      <c r="AD1716" s="96"/>
      <c r="AE1716" s="96"/>
      <c r="AF1716" s="96"/>
      <c r="AG1716" s="96"/>
      <c r="AH1716" s="110"/>
      <c r="AI1716" s="110"/>
      <c r="AJ1716" s="110"/>
      <c r="AK1716" s="110"/>
      <c r="AL1716" s="110" t="s">
        <v>32</v>
      </c>
      <c r="AM1716" s="840"/>
      <c r="AV1716" s="105"/>
    </row>
    <row r="1717" spans="1:48">
      <c r="A1717" s="834" t="s">
        <v>2342</v>
      </c>
      <c r="B1717" s="835">
        <v>1714</v>
      </c>
      <c r="C1717" s="834" t="s">
        <v>2510</v>
      </c>
      <c r="D1717" s="834" t="s">
        <v>779</v>
      </c>
      <c r="E1717" s="839">
        <v>45971.375</v>
      </c>
      <c r="F1717" s="838" t="s">
        <v>140</v>
      </c>
      <c r="G1717" s="838">
        <v>12</v>
      </c>
      <c r="H1717" s="838" t="s">
        <v>2379</v>
      </c>
      <c r="I1717" s="838"/>
      <c r="J1717" s="838"/>
      <c r="K1717" s="834" t="s">
        <v>113</v>
      </c>
      <c r="L1717" s="834" t="s">
        <v>113</v>
      </c>
      <c r="M1717" s="834" t="s">
        <v>113</v>
      </c>
      <c r="N1717" s="834" t="s">
        <v>113</v>
      </c>
      <c r="O1717" s="848"/>
      <c r="P1717" s="23" t="s">
        <v>1091</v>
      </c>
      <c r="Q1717" s="24">
        <v>46022</v>
      </c>
      <c r="R1717" s="852" t="s">
        <v>67</v>
      </c>
      <c r="S1717" s="834" t="s">
        <v>32</v>
      </c>
      <c r="T1717" s="22">
        <v>12</v>
      </c>
      <c r="U1717" s="24" t="s">
        <v>67</v>
      </c>
      <c r="V1717" s="24">
        <v>46022</v>
      </c>
      <c r="W1717" s="96" t="s">
        <v>113</v>
      </c>
      <c r="X1717" s="96"/>
      <c r="Y1717" s="91"/>
      <c r="Z1717" s="96"/>
      <c r="AA1717" s="96"/>
      <c r="AB1717" s="96"/>
      <c r="AC1717" s="96"/>
      <c r="AD1717" s="96"/>
      <c r="AE1717" s="96"/>
      <c r="AF1717" s="96"/>
      <c r="AG1717" s="96"/>
      <c r="AH1717" s="110"/>
      <c r="AI1717" s="107"/>
      <c r="AJ1717" s="107"/>
      <c r="AK1717" s="107"/>
      <c r="AL1717" s="110" t="s">
        <v>32</v>
      </c>
      <c r="AM1717" s="840"/>
      <c r="AV1717" s="105"/>
    </row>
    <row r="1718" spans="1:48">
      <c r="A1718" s="834" t="s">
        <v>2342</v>
      </c>
      <c r="B1718" s="835">
        <v>1715</v>
      </c>
      <c r="C1718" s="834" t="s">
        <v>2511</v>
      </c>
      <c r="D1718" s="834" t="s">
        <v>2512</v>
      </c>
      <c r="E1718" s="839">
        <v>45971.375</v>
      </c>
      <c r="F1718" s="838" t="s">
        <v>140</v>
      </c>
      <c r="G1718" s="838">
        <v>2</v>
      </c>
      <c r="H1718" s="838" t="s">
        <v>1721</v>
      </c>
      <c r="I1718" s="838"/>
      <c r="J1718" s="838"/>
      <c r="K1718" s="834" t="s">
        <v>113</v>
      </c>
      <c r="L1718" s="834" t="s">
        <v>113</v>
      </c>
      <c r="M1718" s="834" t="s">
        <v>113</v>
      </c>
      <c r="N1718" s="834" t="s">
        <v>113</v>
      </c>
      <c r="O1718" s="848"/>
      <c r="P1718" s="245" t="s">
        <v>1091</v>
      </c>
      <c r="Q1718" s="24">
        <v>46007</v>
      </c>
      <c r="R1718" s="24" t="s">
        <v>28</v>
      </c>
      <c r="S1718" s="22" t="s">
        <v>32</v>
      </c>
      <c r="T1718" s="22">
        <v>2</v>
      </c>
      <c r="U1718" s="24" t="s">
        <v>28</v>
      </c>
      <c r="V1718" s="24">
        <v>46007</v>
      </c>
      <c r="W1718" s="96" t="s">
        <v>113</v>
      </c>
      <c r="X1718" s="96"/>
      <c r="Y1718" s="91"/>
      <c r="Z1718" s="96"/>
      <c r="AA1718" s="96"/>
      <c r="AB1718" s="96"/>
      <c r="AC1718" s="96"/>
      <c r="AD1718" s="96"/>
      <c r="AE1718" s="96"/>
      <c r="AF1718" s="96"/>
      <c r="AG1718" s="96"/>
      <c r="AH1718" s="110"/>
      <c r="AI1718" s="110"/>
      <c r="AJ1718" s="110"/>
      <c r="AK1718" s="110"/>
      <c r="AL1718" s="110" t="s">
        <v>32</v>
      </c>
      <c r="AM1718" s="840"/>
      <c r="AO1718" s="776"/>
      <c r="AP1718" s="776"/>
      <c r="AQ1718" s="776"/>
      <c r="AR1718" s="776"/>
      <c r="AV1718" s="105"/>
    </row>
    <row r="1719" spans="1:48">
      <c r="A1719" s="834" t="s">
        <v>2342</v>
      </c>
      <c r="B1719" s="835">
        <v>1716</v>
      </c>
      <c r="C1719" s="834" t="s">
        <v>2513</v>
      </c>
      <c r="D1719" s="834" t="s">
        <v>1236</v>
      </c>
      <c r="E1719" s="839">
        <v>45971</v>
      </c>
      <c r="F1719" s="838" t="s">
        <v>140</v>
      </c>
      <c r="G1719" s="838">
        <v>1</v>
      </c>
      <c r="H1719" s="838" t="s">
        <v>127</v>
      </c>
      <c r="I1719" s="838"/>
      <c r="J1719" s="838"/>
      <c r="K1719" s="834" t="s">
        <v>113</v>
      </c>
      <c r="L1719" s="834" t="s">
        <v>113</v>
      </c>
      <c r="M1719" s="834" t="s">
        <v>113</v>
      </c>
      <c r="N1719" s="834" t="s">
        <v>113</v>
      </c>
      <c r="O1719" s="848"/>
      <c r="P1719" s="848" t="s">
        <v>1091</v>
      </c>
      <c r="Q1719" s="24">
        <v>46006</v>
      </c>
      <c r="R1719" s="852" t="s">
        <v>67</v>
      </c>
      <c r="S1719" s="834" t="s">
        <v>32</v>
      </c>
      <c r="T1719" s="834">
        <v>2</v>
      </c>
      <c r="U1719" s="24" t="s">
        <v>67</v>
      </c>
      <c r="V1719" s="24">
        <v>46006</v>
      </c>
      <c r="W1719" s="96" t="s">
        <v>113</v>
      </c>
      <c r="X1719" s="90"/>
      <c r="Y1719" s="91"/>
      <c r="Z1719" s="96"/>
      <c r="AA1719" s="96"/>
      <c r="AB1719" s="96"/>
      <c r="AC1719" s="96"/>
      <c r="AD1719" s="96"/>
      <c r="AE1719" s="96"/>
      <c r="AF1719" s="96"/>
      <c r="AG1719" s="96"/>
      <c r="AH1719" s="110"/>
      <c r="AI1719" s="110"/>
      <c r="AJ1719" s="110"/>
      <c r="AK1719" s="110"/>
      <c r="AL1719" s="110" t="s">
        <v>32</v>
      </c>
      <c r="AM1719" s="840"/>
      <c r="AS1719" s="71"/>
      <c r="AT1719" s="92"/>
      <c r="AU1719" s="92"/>
      <c r="AV1719" s="105"/>
    </row>
    <row r="1720" spans="1:48">
      <c r="A1720" s="834" t="s">
        <v>2342</v>
      </c>
      <c r="B1720" s="835">
        <v>1717</v>
      </c>
      <c r="C1720" s="834" t="s">
        <v>2514</v>
      </c>
      <c r="D1720" s="834" t="s">
        <v>846</v>
      </c>
      <c r="E1720" s="839">
        <v>45971.375</v>
      </c>
      <c r="F1720" s="838" t="s">
        <v>140</v>
      </c>
      <c r="G1720" s="838">
        <v>1</v>
      </c>
      <c r="H1720" s="838" t="s">
        <v>1076</v>
      </c>
      <c r="I1720" s="838"/>
      <c r="J1720" s="838"/>
      <c r="K1720" s="834" t="s">
        <v>113</v>
      </c>
      <c r="L1720" s="834" t="s">
        <v>113</v>
      </c>
      <c r="M1720" s="834" t="s">
        <v>113</v>
      </c>
      <c r="N1720" s="834" t="s">
        <v>113</v>
      </c>
      <c r="O1720" s="848"/>
      <c r="P1720" s="848" t="s">
        <v>1091</v>
      </c>
      <c r="Q1720" s="24">
        <v>46022</v>
      </c>
      <c r="R1720" s="852" t="s">
        <v>67</v>
      </c>
      <c r="S1720" s="834" t="s">
        <v>32</v>
      </c>
      <c r="T1720" s="834">
        <v>1</v>
      </c>
      <c r="U1720" s="24" t="s">
        <v>67</v>
      </c>
      <c r="V1720" s="24">
        <v>46022</v>
      </c>
      <c r="W1720" s="96" t="s">
        <v>113</v>
      </c>
      <c r="X1720" s="96"/>
      <c r="Y1720" s="91"/>
      <c r="Z1720" s="96"/>
      <c r="AA1720" s="96"/>
      <c r="AB1720" s="96"/>
      <c r="AC1720" s="96"/>
      <c r="AD1720" s="96"/>
      <c r="AE1720" s="96"/>
      <c r="AF1720" s="96"/>
      <c r="AG1720" s="96"/>
      <c r="AH1720" s="110"/>
      <c r="AI1720" s="96"/>
      <c r="AJ1720" s="96"/>
      <c r="AK1720" s="96"/>
      <c r="AL1720" s="110" t="s">
        <v>32</v>
      </c>
      <c r="AM1720" s="840"/>
      <c r="AO1720" s="776"/>
      <c r="AP1720" s="776"/>
      <c r="AQ1720" s="776"/>
      <c r="AR1720" s="776"/>
      <c r="AV1720" s="105"/>
    </row>
    <row r="1721" spans="1:48">
      <c r="A1721" s="834" t="s">
        <v>2342</v>
      </c>
      <c r="B1721" s="835">
        <v>1718</v>
      </c>
      <c r="C1721" s="834" t="s">
        <v>2515</v>
      </c>
      <c r="D1721" s="834" t="s">
        <v>2516</v>
      </c>
      <c r="E1721" s="839">
        <v>45978.375</v>
      </c>
      <c r="F1721" s="838" t="s">
        <v>140</v>
      </c>
      <c r="G1721" s="838">
        <v>15</v>
      </c>
      <c r="H1721" s="838" t="s">
        <v>1721</v>
      </c>
      <c r="I1721" s="838"/>
      <c r="J1721" s="838"/>
      <c r="K1721" s="834" t="s">
        <v>113</v>
      </c>
      <c r="L1721" s="834" t="s">
        <v>113</v>
      </c>
      <c r="M1721" s="834" t="s">
        <v>113</v>
      </c>
      <c r="N1721" s="834" t="s">
        <v>113</v>
      </c>
      <c r="O1721" s="113" t="s">
        <v>30</v>
      </c>
      <c r="P1721" s="247" t="s">
        <v>1091</v>
      </c>
      <c r="Q1721" s="24">
        <v>46024</v>
      </c>
      <c r="R1721" s="24" t="s">
        <v>67</v>
      </c>
      <c r="S1721" s="22" t="s">
        <v>32</v>
      </c>
      <c r="T1721" s="22">
        <v>15</v>
      </c>
      <c r="U1721" s="24" t="s">
        <v>67</v>
      </c>
      <c r="V1721" s="24">
        <v>46024</v>
      </c>
      <c r="W1721" s="96" t="s">
        <v>113</v>
      </c>
      <c r="X1721" s="90"/>
      <c r="Y1721" s="103"/>
      <c r="Z1721" s="96"/>
      <c r="AA1721" s="96"/>
      <c r="AB1721" s="96"/>
      <c r="AC1721" s="96"/>
      <c r="AD1721" s="96"/>
      <c r="AE1721" s="96"/>
      <c r="AF1721" s="96"/>
      <c r="AG1721" s="96"/>
      <c r="AH1721" s="110"/>
      <c r="AI1721" s="110"/>
      <c r="AJ1721" s="110"/>
      <c r="AK1721" s="110"/>
      <c r="AL1721" s="110" t="s">
        <v>32</v>
      </c>
      <c r="AM1721" s="840"/>
      <c r="AN1721" s="6">
        <v>0</v>
      </c>
      <c r="AO1721" s="6">
        <v>0</v>
      </c>
      <c r="AP1721" s="6">
        <v>15</v>
      </c>
      <c r="AQ1721" s="6">
        <v>0</v>
      </c>
      <c r="AR1721" s="6">
        <f>SUM(AN1721:AQ1721)</f>
        <v>15</v>
      </c>
      <c r="AS1721" s="104">
        <f>+AN1721/AR1721*AS$1</f>
        <v>0</v>
      </c>
      <c r="AT1721" s="105">
        <f>+AO1721/AR1721*AT$1</f>
        <v>0</v>
      </c>
      <c r="AU1721" s="105">
        <f>+AP1721/AR1721*AU$1</f>
        <v>0</v>
      </c>
      <c r="AV1721" s="105">
        <f>+AQ1721/AR1721*AV$1</f>
        <v>0</v>
      </c>
    </row>
    <row r="1722" spans="1:48">
      <c r="A1722" s="834" t="s">
        <v>2342</v>
      </c>
      <c r="B1722" s="835">
        <v>1719</v>
      </c>
      <c r="C1722" s="834" t="s">
        <v>2517</v>
      </c>
      <c r="D1722" s="834" t="s">
        <v>2518</v>
      </c>
      <c r="E1722" s="839">
        <v>45978.375</v>
      </c>
      <c r="F1722" s="838" t="s">
        <v>140</v>
      </c>
      <c r="G1722" s="838">
        <v>8</v>
      </c>
      <c r="H1722" s="838" t="s">
        <v>1721</v>
      </c>
      <c r="I1722" s="838"/>
      <c r="J1722" s="838"/>
      <c r="K1722" s="834" t="s">
        <v>113</v>
      </c>
      <c r="L1722" s="834" t="s">
        <v>113</v>
      </c>
      <c r="M1722" s="834" t="s">
        <v>113</v>
      </c>
      <c r="N1722" s="834" t="s">
        <v>113</v>
      </c>
      <c r="O1722" s="848"/>
      <c r="P1722" s="247" t="s">
        <v>1091</v>
      </c>
      <c r="Q1722" s="24">
        <v>46024</v>
      </c>
      <c r="R1722" s="24" t="s">
        <v>28</v>
      </c>
      <c r="S1722" s="22" t="s">
        <v>32</v>
      </c>
      <c r="T1722" s="22">
        <v>8</v>
      </c>
      <c r="U1722" s="24" t="s">
        <v>28</v>
      </c>
      <c r="V1722" s="24">
        <v>46024</v>
      </c>
      <c r="W1722" s="96" t="s">
        <v>113</v>
      </c>
      <c r="X1722" s="103"/>
      <c r="Y1722" s="103"/>
      <c r="Z1722" s="96"/>
      <c r="AA1722" s="96"/>
      <c r="AB1722" s="96"/>
      <c r="AC1722" s="96"/>
      <c r="AD1722" s="96"/>
      <c r="AE1722" s="96"/>
      <c r="AF1722" s="96"/>
      <c r="AG1722" s="96"/>
      <c r="AH1722" s="110"/>
      <c r="AI1722" s="110"/>
      <c r="AJ1722" s="110"/>
      <c r="AK1722" s="110"/>
      <c r="AL1722" s="110" t="s">
        <v>32</v>
      </c>
      <c r="AM1722" s="840"/>
      <c r="AV1722" s="105"/>
    </row>
    <row r="1723" spans="1:48">
      <c r="A1723" s="834" t="s">
        <v>2342</v>
      </c>
      <c r="B1723" s="835">
        <v>1720</v>
      </c>
      <c r="C1723" s="834" t="s">
        <v>2519</v>
      </c>
      <c r="D1723" s="834" t="s">
        <v>1008</v>
      </c>
      <c r="E1723" s="839">
        <v>45978.375</v>
      </c>
      <c r="F1723" s="838" t="s">
        <v>140</v>
      </c>
      <c r="G1723" s="838">
        <v>15</v>
      </c>
      <c r="H1723" s="838" t="s">
        <v>1721</v>
      </c>
      <c r="I1723" s="838"/>
      <c r="J1723" s="838"/>
      <c r="K1723" s="834" t="s">
        <v>113</v>
      </c>
      <c r="L1723" s="834" t="s">
        <v>113</v>
      </c>
      <c r="M1723" s="834" t="s">
        <v>113</v>
      </c>
      <c r="N1723" s="834" t="s">
        <v>113</v>
      </c>
      <c r="O1723" s="113" t="s">
        <v>30</v>
      </c>
      <c r="P1723" s="247" t="s">
        <v>1091</v>
      </c>
      <c r="Q1723" s="24">
        <v>46024</v>
      </c>
      <c r="R1723" s="24" t="s">
        <v>67</v>
      </c>
      <c r="S1723" s="22" t="s">
        <v>32</v>
      </c>
      <c r="T1723" s="22">
        <v>15</v>
      </c>
      <c r="U1723" s="24" t="s">
        <v>67</v>
      </c>
      <c r="V1723" s="24">
        <v>46024</v>
      </c>
      <c r="W1723" s="96" t="s">
        <v>113</v>
      </c>
      <c r="X1723" s="103"/>
      <c r="Y1723" s="103"/>
      <c r="Z1723" s="96"/>
      <c r="AA1723" s="96"/>
      <c r="AB1723" s="96"/>
      <c r="AC1723" s="96"/>
      <c r="AD1723" s="96"/>
      <c r="AE1723" s="96"/>
      <c r="AF1723" s="96"/>
      <c r="AG1723" s="96"/>
      <c r="AH1723" s="110"/>
      <c r="AI1723" s="110"/>
      <c r="AJ1723" s="110"/>
      <c r="AK1723" s="110"/>
      <c r="AL1723" s="110" t="s">
        <v>32</v>
      </c>
      <c r="AM1723" s="840"/>
      <c r="AN1723" s="6">
        <v>0</v>
      </c>
      <c r="AO1723" s="6">
        <v>0</v>
      </c>
      <c r="AP1723" s="6">
        <v>15</v>
      </c>
      <c r="AQ1723" s="6">
        <v>0</v>
      </c>
      <c r="AR1723" s="6">
        <f>SUM(AN1723:AQ1723)</f>
        <v>15</v>
      </c>
      <c r="AS1723" s="104">
        <f>+AN1723/AR1723*AS$1</f>
        <v>0</v>
      </c>
      <c r="AT1723" s="105">
        <f>+AO1723/AR1723*AT$1</f>
        <v>0</v>
      </c>
      <c r="AU1723" s="105">
        <f>+AP1723/AR1723*AU$1</f>
        <v>0</v>
      </c>
      <c r="AV1723" s="105">
        <f>+AQ1723/AR1723*AV$1</f>
        <v>0</v>
      </c>
    </row>
    <row r="1724" spans="1:48">
      <c r="A1724" s="834" t="s">
        <v>2342</v>
      </c>
      <c r="B1724" s="835">
        <v>1721</v>
      </c>
      <c r="C1724" s="834" t="s">
        <v>2520</v>
      </c>
      <c r="D1724" s="834" t="s">
        <v>1042</v>
      </c>
      <c r="E1724" s="839">
        <v>45978</v>
      </c>
      <c r="F1724" s="838" t="s">
        <v>140</v>
      </c>
      <c r="G1724" s="838">
        <v>1</v>
      </c>
      <c r="H1724" s="838" t="s">
        <v>1076</v>
      </c>
      <c r="I1724" s="838"/>
      <c r="J1724" s="838"/>
      <c r="K1724" s="834" t="s">
        <v>113</v>
      </c>
      <c r="L1724" s="834" t="s">
        <v>113</v>
      </c>
      <c r="M1724" s="834" t="s">
        <v>113</v>
      </c>
      <c r="N1724" s="834" t="s">
        <v>113</v>
      </c>
      <c r="O1724" s="848"/>
      <c r="P1724" s="247" t="s">
        <v>1091</v>
      </c>
      <c r="Q1724" s="24">
        <v>46024</v>
      </c>
      <c r="R1724" s="24" t="s">
        <v>28</v>
      </c>
      <c r="S1724" s="22" t="s">
        <v>32</v>
      </c>
      <c r="T1724" s="22">
        <v>1</v>
      </c>
      <c r="U1724" s="24" t="s">
        <v>28</v>
      </c>
      <c r="V1724" s="24">
        <v>46024</v>
      </c>
      <c r="W1724" s="96" t="s">
        <v>113</v>
      </c>
      <c r="X1724" s="103"/>
      <c r="Y1724" s="103"/>
      <c r="Z1724" s="96"/>
      <c r="AA1724" s="96"/>
      <c r="AB1724" s="96"/>
      <c r="AC1724" s="96"/>
      <c r="AD1724" s="96"/>
      <c r="AE1724" s="96"/>
      <c r="AF1724" s="96"/>
      <c r="AG1724" s="96"/>
      <c r="AH1724" s="110"/>
      <c r="AI1724" s="110"/>
      <c r="AJ1724" s="110"/>
      <c r="AK1724" s="110"/>
      <c r="AL1724" s="110" t="s">
        <v>32</v>
      </c>
      <c r="AM1724" s="840"/>
      <c r="AN1724" s="6"/>
      <c r="AO1724" s="6"/>
      <c r="AP1724" s="6"/>
      <c r="AQ1724" s="6"/>
      <c r="AR1724" s="6"/>
      <c r="AS1724" s="104"/>
      <c r="AT1724" s="105"/>
      <c r="AU1724" s="105"/>
      <c r="AV1724" s="105"/>
    </row>
    <row r="1725" spans="1:48">
      <c r="A1725" s="834" t="s">
        <v>2342</v>
      </c>
      <c r="B1725" s="835">
        <v>1722</v>
      </c>
      <c r="C1725" s="834" t="s">
        <v>2521</v>
      </c>
      <c r="D1725" s="834" t="s">
        <v>779</v>
      </c>
      <c r="E1725" s="839">
        <v>45978</v>
      </c>
      <c r="F1725" s="838" t="s">
        <v>140</v>
      </c>
      <c r="G1725" s="838">
        <v>1</v>
      </c>
      <c r="H1725" s="838" t="s">
        <v>1076</v>
      </c>
      <c r="I1725" s="838"/>
      <c r="J1725" s="838"/>
      <c r="K1725" s="834" t="s">
        <v>113</v>
      </c>
      <c r="L1725" s="834" t="s">
        <v>113</v>
      </c>
      <c r="M1725" s="834" t="s">
        <v>113</v>
      </c>
      <c r="N1725" s="834" t="s">
        <v>113</v>
      </c>
      <c r="O1725" s="848"/>
      <c r="P1725" s="848" t="s">
        <v>1091</v>
      </c>
      <c r="Q1725" s="24">
        <v>46022</v>
      </c>
      <c r="R1725" s="852" t="s">
        <v>67</v>
      </c>
      <c r="S1725" s="834" t="s">
        <v>32</v>
      </c>
      <c r="T1725" s="834">
        <v>2</v>
      </c>
      <c r="U1725" s="24" t="s">
        <v>67</v>
      </c>
      <c r="V1725" s="24">
        <v>46022</v>
      </c>
      <c r="W1725" s="96" t="s">
        <v>113</v>
      </c>
      <c r="X1725" s="103"/>
      <c r="Y1725" s="103"/>
      <c r="Z1725" s="96"/>
      <c r="AA1725" s="91"/>
      <c r="AB1725" s="96"/>
      <c r="AC1725" s="96"/>
      <c r="AD1725" s="96"/>
      <c r="AE1725" s="96"/>
      <c r="AF1725" s="96"/>
      <c r="AG1725" s="96"/>
      <c r="AH1725" s="110"/>
      <c r="AI1725" s="110"/>
      <c r="AJ1725" s="110"/>
      <c r="AK1725" s="110"/>
      <c r="AL1725" s="110" t="s">
        <v>32</v>
      </c>
      <c r="AM1725" s="840"/>
      <c r="AV1725" s="105"/>
    </row>
    <row r="1726" spans="1:48">
      <c r="A1726" s="834" t="s">
        <v>2342</v>
      </c>
      <c r="B1726" s="835">
        <v>1723</v>
      </c>
      <c r="C1726" s="834" t="s">
        <v>2522</v>
      </c>
      <c r="D1726" s="834" t="s">
        <v>2523</v>
      </c>
      <c r="E1726" s="839">
        <v>45985.375</v>
      </c>
      <c r="F1726" s="838" t="s">
        <v>140</v>
      </c>
      <c r="G1726" s="838">
        <v>4</v>
      </c>
      <c r="H1726" s="838" t="s">
        <v>2501</v>
      </c>
      <c r="I1726" s="838"/>
      <c r="J1726" s="838"/>
      <c r="K1726" s="834" t="s">
        <v>113</v>
      </c>
      <c r="L1726" s="834" t="s">
        <v>113</v>
      </c>
      <c r="M1726" s="834" t="s">
        <v>113</v>
      </c>
      <c r="N1726" s="834" t="s">
        <v>113</v>
      </c>
      <c r="O1726" s="113"/>
      <c r="P1726" s="23" t="s">
        <v>1091</v>
      </c>
      <c r="Q1726" s="24">
        <v>46022</v>
      </c>
      <c r="R1726" s="852" t="s">
        <v>67</v>
      </c>
      <c r="S1726" s="834" t="s">
        <v>32</v>
      </c>
      <c r="T1726" s="22">
        <v>11</v>
      </c>
      <c r="U1726" s="24" t="s">
        <v>67</v>
      </c>
      <c r="V1726" s="24">
        <v>46022</v>
      </c>
      <c r="W1726" s="96" t="s">
        <v>113</v>
      </c>
      <c r="X1726" s="96"/>
      <c r="Y1726" s="91"/>
      <c r="Z1726" s="96"/>
      <c r="AA1726" s="96"/>
      <c r="AB1726" s="96"/>
      <c r="AC1726" s="96"/>
      <c r="AD1726" s="96"/>
      <c r="AE1726" s="96"/>
      <c r="AF1726" s="96"/>
      <c r="AG1726" s="96"/>
      <c r="AH1726" s="110"/>
      <c r="AI1726" s="96"/>
      <c r="AJ1726" s="96"/>
      <c r="AK1726" s="96"/>
      <c r="AL1726" s="110" t="s">
        <v>32</v>
      </c>
      <c r="AM1726" s="840"/>
      <c r="AN1726" s="87"/>
      <c r="AO1726" s="87"/>
      <c r="AS1726" s="71"/>
      <c r="AT1726" s="92"/>
      <c r="AU1726" s="92"/>
      <c r="AV1726" s="105"/>
    </row>
    <row r="1727" spans="1:48">
      <c r="A1727" s="834" t="s">
        <v>2342</v>
      </c>
      <c r="B1727" s="835">
        <v>1724</v>
      </c>
      <c r="C1727" s="834" t="s">
        <v>2524</v>
      </c>
      <c r="D1727" s="834" t="s">
        <v>2525</v>
      </c>
      <c r="E1727" s="839">
        <v>45985.375</v>
      </c>
      <c r="F1727" s="838" t="s">
        <v>140</v>
      </c>
      <c r="G1727" s="838">
        <v>1</v>
      </c>
      <c r="H1727" s="838" t="s">
        <v>127</v>
      </c>
      <c r="I1727" s="838"/>
      <c r="J1727" s="838"/>
      <c r="K1727" s="834" t="s">
        <v>113</v>
      </c>
      <c r="L1727" s="834" t="s">
        <v>113</v>
      </c>
      <c r="M1727" s="834" t="s">
        <v>113</v>
      </c>
      <c r="N1727" s="834" t="s">
        <v>113</v>
      </c>
      <c r="O1727" s="848"/>
      <c r="P1727" s="247" t="s">
        <v>1091</v>
      </c>
      <c r="Q1727" s="24">
        <v>46024</v>
      </c>
      <c r="R1727" s="24" t="s">
        <v>28</v>
      </c>
      <c r="S1727" s="22" t="s">
        <v>32</v>
      </c>
      <c r="T1727" s="22">
        <v>1</v>
      </c>
      <c r="U1727" s="24" t="s">
        <v>28</v>
      </c>
      <c r="V1727" s="24">
        <v>46024</v>
      </c>
      <c r="W1727" s="96" t="s">
        <v>113</v>
      </c>
      <c r="X1727" s="103"/>
      <c r="Y1727" s="91"/>
      <c r="Z1727" s="96"/>
      <c r="AA1727" s="96"/>
      <c r="AB1727" s="96"/>
      <c r="AC1727" s="96"/>
      <c r="AD1727" s="96"/>
      <c r="AE1727" s="96"/>
      <c r="AF1727" s="96"/>
      <c r="AG1727" s="96"/>
      <c r="AH1727" s="110"/>
      <c r="AI1727" s="110"/>
      <c r="AJ1727" s="110"/>
      <c r="AK1727" s="110"/>
      <c r="AL1727" s="110" t="s">
        <v>32</v>
      </c>
      <c r="AM1727" s="840"/>
      <c r="AS1727" s="71"/>
      <c r="AT1727" s="92"/>
      <c r="AU1727" s="92"/>
      <c r="AV1727" s="105"/>
    </row>
    <row r="1728" spans="1:48">
      <c r="A1728" s="834" t="s">
        <v>2342</v>
      </c>
      <c r="B1728" s="835">
        <v>1725</v>
      </c>
      <c r="C1728" s="834" t="s">
        <v>2526</v>
      </c>
      <c r="D1728" s="834" t="s">
        <v>2527</v>
      </c>
      <c r="E1728" s="839">
        <v>45985.041666666664</v>
      </c>
      <c r="F1728" s="838" t="s">
        <v>140</v>
      </c>
      <c r="G1728" s="838">
        <v>2</v>
      </c>
      <c r="H1728" s="838" t="s">
        <v>127</v>
      </c>
      <c r="I1728" s="838"/>
      <c r="J1728" s="838"/>
      <c r="K1728" s="834" t="s">
        <v>113</v>
      </c>
      <c r="L1728" s="834" t="s">
        <v>113</v>
      </c>
      <c r="M1728" s="834" t="s">
        <v>113</v>
      </c>
      <c r="N1728" s="834" t="s">
        <v>113</v>
      </c>
      <c r="O1728" s="848"/>
      <c r="P1728" s="247" t="s">
        <v>1091</v>
      </c>
      <c r="Q1728" s="24">
        <v>46024</v>
      </c>
      <c r="R1728" s="24" t="s">
        <v>28</v>
      </c>
      <c r="S1728" s="22" t="s">
        <v>32</v>
      </c>
      <c r="T1728" s="22">
        <v>2</v>
      </c>
      <c r="U1728" s="24" t="s">
        <v>28</v>
      </c>
      <c r="V1728" s="24">
        <v>46024</v>
      </c>
      <c r="W1728" s="96" t="s">
        <v>113</v>
      </c>
      <c r="X1728" s="103"/>
      <c r="Y1728" s="103"/>
      <c r="Z1728" s="96"/>
      <c r="AA1728" s="91"/>
      <c r="AB1728" s="96"/>
      <c r="AC1728" s="96"/>
      <c r="AD1728" s="96"/>
      <c r="AE1728" s="96"/>
      <c r="AF1728" s="96"/>
      <c r="AG1728" s="96"/>
      <c r="AH1728" s="110"/>
      <c r="AI1728" s="110"/>
      <c r="AJ1728" s="110"/>
      <c r="AK1728" s="110"/>
      <c r="AL1728" s="110" t="s">
        <v>32</v>
      </c>
      <c r="AM1728" s="840"/>
      <c r="AN1728" s="87"/>
      <c r="AO1728" s="87"/>
      <c r="AS1728" s="71"/>
      <c r="AT1728" s="92"/>
      <c r="AU1728" s="92"/>
      <c r="AV1728" s="105"/>
    </row>
    <row r="1729" spans="1:48">
      <c r="A1729" s="834" t="s">
        <v>2342</v>
      </c>
      <c r="B1729" s="835">
        <v>1726</v>
      </c>
      <c r="C1729" s="834" t="s">
        <v>2528</v>
      </c>
      <c r="D1729" s="834" t="s">
        <v>2529</v>
      </c>
      <c r="E1729" s="839">
        <v>45985.375</v>
      </c>
      <c r="F1729" s="838" t="s">
        <v>140</v>
      </c>
      <c r="G1729" s="838">
        <v>2</v>
      </c>
      <c r="H1729" s="838" t="s">
        <v>1076</v>
      </c>
      <c r="I1729" s="838"/>
      <c r="J1729" s="838"/>
      <c r="K1729" s="834" t="s">
        <v>113</v>
      </c>
      <c r="L1729" s="834" t="s">
        <v>113</v>
      </c>
      <c r="M1729" s="834" t="s">
        <v>113</v>
      </c>
      <c r="N1729" s="834" t="s">
        <v>113</v>
      </c>
      <c r="O1729" s="848"/>
      <c r="P1729" s="247" t="s">
        <v>1091</v>
      </c>
      <c r="Q1729" s="24">
        <v>46024</v>
      </c>
      <c r="R1729" s="24" t="s">
        <v>28</v>
      </c>
      <c r="S1729" s="22" t="s">
        <v>32</v>
      </c>
      <c r="T1729" s="22">
        <v>2</v>
      </c>
      <c r="U1729" s="24" t="s">
        <v>28</v>
      </c>
      <c r="V1729" s="24">
        <v>46024</v>
      </c>
      <c r="W1729" s="96" t="s">
        <v>113</v>
      </c>
      <c r="X1729" s="103"/>
      <c r="Y1729" s="103"/>
      <c r="Z1729" s="96"/>
      <c r="AA1729" s="96"/>
      <c r="AB1729" s="96"/>
      <c r="AC1729" s="96"/>
      <c r="AD1729" s="96"/>
      <c r="AE1729" s="96"/>
      <c r="AF1729" s="96"/>
      <c r="AG1729" s="96"/>
      <c r="AH1729" s="110"/>
      <c r="AI1729" s="110"/>
      <c r="AJ1729" s="110"/>
      <c r="AK1729" s="110"/>
      <c r="AL1729" s="110" t="s">
        <v>32</v>
      </c>
      <c r="AM1729" s="840"/>
      <c r="AS1729" s="71"/>
      <c r="AT1729" s="92"/>
      <c r="AU1729" s="92"/>
      <c r="AV1729" s="105"/>
    </row>
    <row r="1730" spans="1:48">
      <c r="A1730" s="834" t="s">
        <v>2342</v>
      </c>
      <c r="B1730" s="835">
        <v>1727</v>
      </c>
      <c r="C1730" s="834" t="s">
        <v>2530</v>
      </c>
      <c r="D1730" s="834" t="s">
        <v>1184</v>
      </c>
      <c r="E1730" s="839">
        <v>45985</v>
      </c>
      <c r="F1730" s="838" t="s">
        <v>140</v>
      </c>
      <c r="G1730" s="838">
        <v>8</v>
      </c>
      <c r="H1730" s="838" t="s">
        <v>1076</v>
      </c>
      <c r="I1730" s="838"/>
      <c r="J1730" s="838"/>
      <c r="K1730" s="834" t="s">
        <v>113</v>
      </c>
      <c r="L1730" s="834" t="s">
        <v>113</v>
      </c>
      <c r="M1730" s="834" t="s">
        <v>113</v>
      </c>
      <c r="N1730" s="834" t="s">
        <v>113</v>
      </c>
      <c r="O1730" s="113"/>
      <c r="P1730" s="247" t="s">
        <v>1091</v>
      </c>
      <c r="Q1730" s="24">
        <v>46024</v>
      </c>
      <c r="R1730" s="24" t="s">
        <v>28</v>
      </c>
      <c r="S1730" s="22" t="s">
        <v>32</v>
      </c>
      <c r="T1730" s="22">
        <v>8</v>
      </c>
      <c r="U1730" s="24" t="s">
        <v>28</v>
      </c>
      <c r="V1730" s="24">
        <v>46024</v>
      </c>
      <c r="W1730" s="96" t="s">
        <v>113</v>
      </c>
      <c r="X1730" s="103"/>
      <c r="Y1730" s="103"/>
      <c r="Z1730" s="96"/>
      <c r="AA1730" s="96"/>
      <c r="AB1730" s="96"/>
      <c r="AC1730" s="96"/>
      <c r="AD1730" s="96"/>
      <c r="AE1730" s="96"/>
      <c r="AF1730" s="96"/>
      <c r="AG1730" s="96"/>
      <c r="AH1730" s="110"/>
      <c r="AI1730" s="110"/>
      <c r="AJ1730" s="110"/>
      <c r="AK1730" s="110"/>
      <c r="AL1730" s="110" t="s">
        <v>32</v>
      </c>
      <c r="AM1730" s="840"/>
      <c r="AV1730" s="105"/>
    </row>
    <row r="1731" spans="1:48">
      <c r="A1731" s="834" t="s">
        <v>2342</v>
      </c>
      <c r="B1731" s="835">
        <v>1728</v>
      </c>
      <c r="C1731" s="834" t="s">
        <v>2531</v>
      </c>
      <c r="D1731" s="834" t="s">
        <v>1178</v>
      </c>
      <c r="E1731" s="839">
        <v>45985.041666666664</v>
      </c>
      <c r="F1731" s="838" t="s">
        <v>140</v>
      </c>
      <c r="G1731" s="838">
        <v>6</v>
      </c>
      <c r="H1731" s="838" t="s">
        <v>2501</v>
      </c>
      <c r="I1731" s="838"/>
      <c r="J1731" s="838"/>
      <c r="K1731" s="834" t="s">
        <v>113</v>
      </c>
      <c r="L1731" s="834" t="s">
        <v>113</v>
      </c>
      <c r="M1731" s="834" t="s">
        <v>113</v>
      </c>
      <c r="N1731" s="834" t="s">
        <v>113</v>
      </c>
      <c r="O1731" s="848"/>
      <c r="P1731" s="247" t="s">
        <v>1091</v>
      </c>
      <c r="Q1731" s="24">
        <v>46024</v>
      </c>
      <c r="R1731" s="24" t="s">
        <v>28</v>
      </c>
      <c r="S1731" s="22" t="s">
        <v>32</v>
      </c>
      <c r="T1731" s="22">
        <v>6</v>
      </c>
      <c r="U1731" s="24" t="s">
        <v>28</v>
      </c>
      <c r="V1731" s="24">
        <v>46024</v>
      </c>
      <c r="W1731" s="96" t="s">
        <v>113</v>
      </c>
      <c r="X1731" s="103"/>
      <c r="Y1731" s="103"/>
      <c r="Z1731" s="96"/>
      <c r="AA1731" s="91"/>
      <c r="AB1731" s="96"/>
      <c r="AC1731" s="96"/>
      <c r="AD1731" s="96"/>
      <c r="AE1731" s="96"/>
      <c r="AF1731" s="96"/>
      <c r="AG1731" s="96"/>
      <c r="AH1731" s="110"/>
      <c r="AI1731" s="110"/>
      <c r="AJ1731" s="110"/>
      <c r="AK1731" s="110"/>
      <c r="AL1731" s="110" t="s">
        <v>32</v>
      </c>
      <c r="AM1731" s="840"/>
      <c r="AS1731" s="71"/>
      <c r="AT1731" s="92"/>
      <c r="AU1731" s="92"/>
      <c r="AV1731" s="105"/>
    </row>
    <row r="1732" spans="1:48">
      <c r="A1732" s="834" t="s">
        <v>2342</v>
      </c>
      <c r="B1732" s="835">
        <v>1729</v>
      </c>
      <c r="C1732" s="834" t="s">
        <v>2532</v>
      </c>
      <c r="D1732" s="834" t="s">
        <v>2533</v>
      </c>
      <c r="E1732" s="839">
        <v>45985.375</v>
      </c>
      <c r="F1732" s="838" t="s">
        <v>140</v>
      </c>
      <c r="G1732" s="838">
        <v>5</v>
      </c>
      <c r="H1732" s="838" t="s">
        <v>1721</v>
      </c>
      <c r="I1732" s="838"/>
      <c r="J1732" s="838"/>
      <c r="K1732" s="834" t="s">
        <v>113</v>
      </c>
      <c r="L1732" s="834" t="s">
        <v>113</v>
      </c>
      <c r="M1732" s="834" t="s">
        <v>113</v>
      </c>
      <c r="N1732" s="834" t="s">
        <v>113</v>
      </c>
      <c r="O1732" s="848"/>
      <c r="P1732" s="247" t="s">
        <v>1091</v>
      </c>
      <c r="Q1732" s="24">
        <v>46024</v>
      </c>
      <c r="R1732" s="24" t="s">
        <v>28</v>
      </c>
      <c r="S1732" s="22" t="s">
        <v>32</v>
      </c>
      <c r="T1732" s="22">
        <v>5</v>
      </c>
      <c r="U1732" s="24" t="s">
        <v>28</v>
      </c>
      <c r="V1732" s="24">
        <v>46024</v>
      </c>
      <c r="W1732" s="96" t="s">
        <v>113</v>
      </c>
      <c r="X1732" s="103"/>
      <c r="Y1732" s="103"/>
      <c r="Z1732" s="103"/>
      <c r="AA1732" s="103"/>
      <c r="AB1732" s="103"/>
      <c r="AC1732" s="96"/>
      <c r="AD1732" s="96"/>
      <c r="AE1732" s="96"/>
      <c r="AF1732" s="96"/>
      <c r="AG1732" s="96"/>
      <c r="AH1732" s="110"/>
      <c r="AI1732" s="110"/>
      <c r="AJ1732" s="110"/>
      <c r="AK1732" s="110"/>
      <c r="AL1732" s="110" t="s">
        <v>32</v>
      </c>
      <c r="AM1732" s="840" t="s">
        <v>2300</v>
      </c>
      <c r="AS1732" s="71"/>
      <c r="AT1732" s="92"/>
      <c r="AU1732" s="92"/>
      <c r="AV1732" s="105"/>
    </row>
    <row r="1733" spans="1:48">
      <c r="A1733" s="834" t="s">
        <v>2342</v>
      </c>
      <c r="B1733" s="835">
        <v>1730</v>
      </c>
      <c r="C1733" s="834" t="s">
        <v>2534</v>
      </c>
      <c r="D1733" s="834" t="s">
        <v>989</v>
      </c>
      <c r="E1733" s="839">
        <v>45985</v>
      </c>
      <c r="F1733" s="838" t="s">
        <v>140</v>
      </c>
      <c r="G1733" s="838">
        <v>6</v>
      </c>
      <c r="H1733" s="838" t="s">
        <v>1076</v>
      </c>
      <c r="I1733" s="838"/>
      <c r="J1733" s="838"/>
      <c r="K1733" s="834" t="s">
        <v>113</v>
      </c>
      <c r="L1733" s="834" t="s">
        <v>113</v>
      </c>
      <c r="M1733" s="834" t="s">
        <v>113</v>
      </c>
      <c r="N1733" s="834" t="s">
        <v>113</v>
      </c>
      <c r="O1733" s="848"/>
      <c r="P1733" s="247" t="s">
        <v>1091</v>
      </c>
      <c r="Q1733" s="24">
        <v>46024</v>
      </c>
      <c r="R1733" s="24" t="s">
        <v>28</v>
      </c>
      <c r="S1733" s="22" t="s">
        <v>32</v>
      </c>
      <c r="T1733" s="22">
        <v>6</v>
      </c>
      <c r="U1733" s="24" t="s">
        <v>28</v>
      </c>
      <c r="V1733" s="24">
        <v>46024</v>
      </c>
      <c r="W1733" s="96" t="s">
        <v>113</v>
      </c>
      <c r="X1733" s="103"/>
      <c r="Y1733" s="103"/>
      <c r="Z1733" s="96"/>
      <c r="AA1733" s="96"/>
      <c r="AB1733" s="96"/>
      <c r="AC1733" s="96"/>
      <c r="AD1733" s="96"/>
      <c r="AE1733" s="96"/>
      <c r="AF1733" s="96"/>
      <c r="AG1733" s="96"/>
      <c r="AH1733" s="110"/>
      <c r="AI1733" s="110"/>
      <c r="AJ1733" s="110"/>
      <c r="AK1733" s="110"/>
      <c r="AL1733" s="110" t="s">
        <v>32</v>
      </c>
      <c r="AM1733" s="840"/>
      <c r="AS1733" s="71"/>
      <c r="AT1733" s="92"/>
      <c r="AU1733" s="92"/>
      <c r="AV1733" s="105"/>
    </row>
    <row r="1734" spans="1:48">
      <c r="A1734" s="834" t="s">
        <v>2342</v>
      </c>
      <c r="B1734" s="835">
        <v>1731</v>
      </c>
      <c r="C1734" s="834" t="s">
        <v>2535</v>
      </c>
      <c r="D1734" s="834" t="s">
        <v>1406</v>
      </c>
      <c r="E1734" s="839">
        <v>45985</v>
      </c>
      <c r="F1734" s="838" t="s">
        <v>140</v>
      </c>
      <c r="G1734" s="838">
        <v>7</v>
      </c>
      <c r="H1734" s="838" t="s">
        <v>1076</v>
      </c>
      <c r="I1734" s="838"/>
      <c r="J1734" s="838"/>
      <c r="K1734" s="834" t="s">
        <v>113</v>
      </c>
      <c r="L1734" s="834" t="s">
        <v>113</v>
      </c>
      <c r="M1734" s="834" t="s">
        <v>113</v>
      </c>
      <c r="N1734" s="834" t="s">
        <v>113</v>
      </c>
      <c r="O1734" s="848"/>
      <c r="P1734" s="247" t="s">
        <v>1091</v>
      </c>
      <c r="Q1734" s="24">
        <v>46024</v>
      </c>
      <c r="R1734" s="24" t="s">
        <v>28</v>
      </c>
      <c r="S1734" s="22" t="s">
        <v>32</v>
      </c>
      <c r="T1734" s="22">
        <v>7</v>
      </c>
      <c r="U1734" s="24" t="s">
        <v>28</v>
      </c>
      <c r="V1734" s="24">
        <v>46024</v>
      </c>
      <c r="W1734" s="96" t="s">
        <v>113</v>
      </c>
      <c r="X1734" s="96"/>
      <c r="Y1734" s="103"/>
      <c r="Z1734" s="96"/>
      <c r="AA1734" s="96"/>
      <c r="AB1734" s="96"/>
      <c r="AC1734" s="96"/>
      <c r="AD1734" s="96"/>
      <c r="AE1734" s="96"/>
      <c r="AF1734" s="96"/>
      <c r="AG1734" s="96"/>
      <c r="AH1734" s="110"/>
      <c r="AI1734" s="110"/>
      <c r="AJ1734" s="110"/>
      <c r="AK1734" s="110"/>
      <c r="AL1734" s="110" t="s">
        <v>32</v>
      </c>
      <c r="AM1734" s="840"/>
      <c r="AS1734" s="92"/>
      <c r="AT1734" s="92"/>
      <c r="AU1734" s="92"/>
      <c r="AV1734" s="105"/>
    </row>
    <row r="1735" spans="1:48">
      <c r="A1735" s="834" t="s">
        <v>2342</v>
      </c>
      <c r="B1735" s="835">
        <v>1732</v>
      </c>
      <c r="C1735" s="834" t="s">
        <v>2536</v>
      </c>
      <c r="D1735" s="834" t="s">
        <v>865</v>
      </c>
      <c r="E1735" s="839">
        <v>45985</v>
      </c>
      <c r="F1735" s="838" t="s">
        <v>140</v>
      </c>
      <c r="G1735" s="838">
        <v>3</v>
      </c>
      <c r="H1735" s="838" t="s">
        <v>1076</v>
      </c>
      <c r="I1735" s="838"/>
      <c r="J1735" s="838"/>
      <c r="K1735" s="834" t="s">
        <v>113</v>
      </c>
      <c r="L1735" s="834" t="s">
        <v>113</v>
      </c>
      <c r="M1735" s="834" t="s">
        <v>113</v>
      </c>
      <c r="N1735" s="834" t="s">
        <v>113</v>
      </c>
      <c r="O1735" s="848"/>
      <c r="P1735" s="247" t="s">
        <v>1091</v>
      </c>
      <c r="Q1735" s="24">
        <v>46024</v>
      </c>
      <c r="R1735" s="24" t="s">
        <v>28</v>
      </c>
      <c r="S1735" s="22" t="s">
        <v>32</v>
      </c>
      <c r="T1735" s="22">
        <v>3</v>
      </c>
      <c r="U1735" s="24" t="s">
        <v>28</v>
      </c>
      <c r="V1735" s="24">
        <v>46024</v>
      </c>
      <c r="W1735" s="96" t="s">
        <v>113</v>
      </c>
      <c r="X1735" s="103"/>
      <c r="Y1735" s="103"/>
      <c r="Z1735" s="96"/>
      <c r="AA1735" s="103"/>
      <c r="AB1735" s="96"/>
      <c r="AC1735" s="96"/>
      <c r="AD1735" s="96"/>
      <c r="AE1735" s="96"/>
      <c r="AF1735" s="96"/>
      <c r="AG1735" s="96"/>
      <c r="AH1735" s="110"/>
      <c r="AI1735" s="110"/>
      <c r="AJ1735" s="110"/>
      <c r="AK1735" s="110"/>
      <c r="AL1735" s="110" t="s">
        <v>32</v>
      </c>
      <c r="AM1735" s="840"/>
      <c r="AS1735" s="92"/>
      <c r="AT1735" s="92"/>
      <c r="AU1735" s="92"/>
      <c r="AV1735" s="105"/>
    </row>
    <row r="1736" spans="1:48">
      <c r="A1736" s="834" t="s">
        <v>2342</v>
      </c>
      <c r="B1736" s="835">
        <v>1733</v>
      </c>
      <c r="C1736" s="834" t="s">
        <v>2537</v>
      </c>
      <c r="D1736" s="834" t="s">
        <v>1393</v>
      </c>
      <c r="E1736" s="839">
        <v>45985.375</v>
      </c>
      <c r="F1736" s="838" t="s">
        <v>140</v>
      </c>
      <c r="G1736" s="838">
        <v>4</v>
      </c>
      <c r="H1736" s="838" t="s">
        <v>1076</v>
      </c>
      <c r="I1736" s="838"/>
      <c r="J1736" s="838"/>
      <c r="K1736" s="834" t="s">
        <v>113</v>
      </c>
      <c r="L1736" s="834" t="s">
        <v>113</v>
      </c>
      <c r="M1736" s="834" t="s">
        <v>113</v>
      </c>
      <c r="N1736" s="834" t="s">
        <v>113</v>
      </c>
      <c r="O1736" s="848"/>
      <c r="P1736" s="247" t="s">
        <v>1091</v>
      </c>
      <c r="Q1736" s="24">
        <v>46024</v>
      </c>
      <c r="R1736" s="24" t="s">
        <v>28</v>
      </c>
      <c r="S1736" s="22" t="s">
        <v>32</v>
      </c>
      <c r="T1736" s="22">
        <v>4</v>
      </c>
      <c r="U1736" s="24" t="s">
        <v>28</v>
      </c>
      <c r="V1736" s="24">
        <v>46024</v>
      </c>
      <c r="W1736" s="96" t="s">
        <v>113</v>
      </c>
      <c r="X1736" s="103"/>
      <c r="Y1736" s="103"/>
      <c r="Z1736" s="96"/>
      <c r="AA1736" s="96"/>
      <c r="AB1736" s="96"/>
      <c r="AC1736" s="96"/>
      <c r="AD1736" s="96"/>
      <c r="AE1736" s="96"/>
      <c r="AF1736" s="96"/>
      <c r="AG1736" s="96"/>
      <c r="AH1736" s="110"/>
      <c r="AI1736" s="110"/>
      <c r="AJ1736" s="110"/>
      <c r="AK1736" s="110"/>
      <c r="AL1736" s="110" t="s">
        <v>32</v>
      </c>
      <c r="AM1736" s="840"/>
      <c r="AO1736" s="85"/>
      <c r="AP1736" s="85"/>
      <c r="AQ1736" s="85"/>
      <c r="AR1736" s="84"/>
      <c r="AS1736" s="92"/>
      <c r="AT1736" s="92"/>
      <c r="AU1736" s="92"/>
      <c r="AV1736" s="105"/>
    </row>
    <row r="1737" spans="1:48">
      <c r="A1737" s="834" t="s">
        <v>24</v>
      </c>
      <c r="B1737" s="835">
        <v>1734</v>
      </c>
      <c r="C1737" s="838" t="s">
        <v>2538</v>
      </c>
      <c r="D1737" s="838" t="s">
        <v>403</v>
      </c>
      <c r="E1737" s="839">
        <v>45993</v>
      </c>
      <c r="F1737" s="838" t="s">
        <v>106</v>
      </c>
      <c r="G1737" s="838">
        <v>6</v>
      </c>
      <c r="H1737" s="838" t="s">
        <v>1721</v>
      </c>
      <c r="I1737" s="838" t="s">
        <v>1638</v>
      </c>
      <c r="J1737" s="838"/>
      <c r="K1737" s="834" t="s">
        <v>2056</v>
      </c>
      <c r="L1737" s="834" t="s">
        <v>2093</v>
      </c>
      <c r="M1737" s="834" t="s">
        <v>2200</v>
      </c>
      <c r="N1737" s="136" t="s">
        <v>2050</v>
      </c>
      <c r="O1737" s="848"/>
      <c r="P1737" s="848" t="s">
        <v>30</v>
      </c>
      <c r="Q1737" s="848">
        <v>46049</v>
      </c>
      <c r="R1737" s="852" t="s">
        <v>1638</v>
      </c>
      <c r="S1737" s="834" t="s">
        <v>32</v>
      </c>
      <c r="T1737" s="834">
        <v>7</v>
      </c>
      <c r="U1737" s="852" t="s">
        <v>1638</v>
      </c>
      <c r="V1737" s="848">
        <v>46049</v>
      </c>
      <c r="W1737" s="96" t="s">
        <v>30</v>
      </c>
      <c r="X1737" s="96" t="s">
        <v>30</v>
      </c>
      <c r="Y1737" s="96" t="s">
        <v>30</v>
      </c>
      <c r="Z1737" s="96" t="s">
        <v>30</v>
      </c>
      <c r="AA1737" s="96" t="s">
        <v>30</v>
      </c>
      <c r="AB1737" s="96" t="s">
        <v>30</v>
      </c>
      <c r="AC1737" s="96" t="s">
        <v>30</v>
      </c>
      <c r="AD1737" s="96" t="s">
        <v>30</v>
      </c>
      <c r="AE1737" s="96" t="s">
        <v>30</v>
      </c>
      <c r="AF1737" s="96" t="s">
        <v>30</v>
      </c>
      <c r="AG1737" s="96" t="s">
        <v>30</v>
      </c>
      <c r="AH1737" s="96" t="s">
        <v>30</v>
      </c>
      <c r="AI1737" s="96" t="s">
        <v>30</v>
      </c>
      <c r="AJ1737" s="96" t="s">
        <v>30</v>
      </c>
      <c r="AK1737" s="96" t="s">
        <v>30</v>
      </c>
      <c r="AL1737" s="91" t="s">
        <v>32</v>
      </c>
      <c r="AM1737" s="840"/>
      <c r="AO1737" s="776"/>
      <c r="AP1737" s="776"/>
      <c r="AQ1737" s="776"/>
      <c r="AR1737" s="776"/>
    </row>
    <row r="1738" spans="1:48">
      <c r="A1738" s="834" t="s">
        <v>24</v>
      </c>
      <c r="B1738" s="835">
        <v>1735</v>
      </c>
      <c r="C1738" s="838" t="s">
        <v>2539</v>
      </c>
      <c r="D1738" s="838" t="s">
        <v>34</v>
      </c>
      <c r="E1738" s="839">
        <v>45993</v>
      </c>
      <c r="F1738" s="838" t="s">
        <v>412</v>
      </c>
      <c r="G1738" s="838">
        <v>10</v>
      </c>
      <c r="H1738" s="838" t="s">
        <v>1077</v>
      </c>
      <c r="I1738" s="838" t="s">
        <v>1138</v>
      </c>
      <c r="J1738" s="838"/>
      <c r="K1738" s="834" t="s">
        <v>2052</v>
      </c>
      <c r="L1738" s="834" t="s">
        <v>2299</v>
      </c>
      <c r="M1738" s="834" t="s">
        <v>2299</v>
      </c>
      <c r="N1738" s="834" t="s">
        <v>2050</v>
      </c>
      <c r="O1738" s="848"/>
      <c r="P1738" s="848" t="s">
        <v>30</v>
      </c>
      <c r="Q1738" s="848">
        <v>46028</v>
      </c>
      <c r="R1738" s="852" t="s">
        <v>1138</v>
      </c>
      <c r="S1738" s="834" t="s">
        <v>32</v>
      </c>
      <c r="T1738" s="834">
        <v>6</v>
      </c>
      <c r="U1738" s="852" t="s">
        <v>1138</v>
      </c>
      <c r="V1738" s="848">
        <v>46028</v>
      </c>
      <c r="W1738" s="96" t="s">
        <v>30</v>
      </c>
      <c r="X1738" s="91" t="s">
        <v>32</v>
      </c>
      <c r="Y1738" s="96" t="s">
        <v>30</v>
      </c>
      <c r="Z1738" s="96" t="s">
        <v>30</v>
      </c>
      <c r="AA1738" s="96" t="s">
        <v>30</v>
      </c>
      <c r="AB1738" s="96" t="s">
        <v>30</v>
      </c>
      <c r="AC1738" s="96" t="s">
        <v>30</v>
      </c>
      <c r="AD1738" s="96" t="s">
        <v>30</v>
      </c>
      <c r="AE1738" s="96" t="s">
        <v>30</v>
      </c>
      <c r="AF1738" s="96" t="s">
        <v>30</v>
      </c>
      <c r="AG1738" s="96" t="s">
        <v>30</v>
      </c>
      <c r="AH1738" s="96" t="s">
        <v>30</v>
      </c>
      <c r="AI1738" s="96" t="s">
        <v>30</v>
      </c>
      <c r="AJ1738" s="96" t="s">
        <v>30</v>
      </c>
      <c r="AK1738" s="96" t="s">
        <v>30</v>
      </c>
      <c r="AL1738" s="91"/>
      <c r="AM1738" s="840"/>
      <c r="AO1738" s="776"/>
      <c r="AP1738" s="776"/>
      <c r="AQ1738" s="776"/>
      <c r="AR1738" s="776"/>
    </row>
    <row r="1739" spans="1:48">
      <c r="A1739" s="834" t="s">
        <v>24</v>
      </c>
      <c r="B1739" s="835">
        <v>1736</v>
      </c>
      <c r="C1739" s="838" t="s">
        <v>2540</v>
      </c>
      <c r="D1739" s="838" t="s">
        <v>1746</v>
      </c>
      <c r="E1739" s="839">
        <v>45994</v>
      </c>
      <c r="F1739" s="838" t="s">
        <v>110</v>
      </c>
      <c r="G1739" s="838">
        <v>12</v>
      </c>
      <c r="H1739" s="838" t="s">
        <v>1077</v>
      </c>
      <c r="I1739" s="838" t="s">
        <v>1138</v>
      </c>
      <c r="J1739" s="838"/>
      <c r="K1739" s="834" t="s">
        <v>2096</v>
      </c>
      <c r="L1739" s="834" t="s">
        <v>2541</v>
      </c>
      <c r="M1739" s="834" t="s">
        <v>2541</v>
      </c>
      <c r="N1739" s="834" t="s">
        <v>110</v>
      </c>
      <c r="O1739" s="113"/>
      <c r="P1739" s="848" t="s">
        <v>30</v>
      </c>
      <c r="Q1739" s="848">
        <v>46044</v>
      </c>
      <c r="R1739" s="852" t="s">
        <v>1138</v>
      </c>
      <c r="S1739" s="834" t="s">
        <v>32</v>
      </c>
      <c r="T1739" s="834">
        <v>12</v>
      </c>
      <c r="U1739" s="852" t="s">
        <v>1138</v>
      </c>
      <c r="V1739" s="848">
        <v>46044</v>
      </c>
      <c r="W1739" s="80" t="s">
        <v>113</v>
      </c>
      <c r="X1739" s="91" t="s">
        <v>32</v>
      </c>
      <c r="Y1739" s="91"/>
      <c r="Z1739" s="107" t="s">
        <v>30</v>
      </c>
      <c r="AA1739" s="107" t="s">
        <v>30</v>
      </c>
      <c r="AB1739" s="107" t="s">
        <v>30</v>
      </c>
      <c r="AC1739" s="107" t="s">
        <v>30</v>
      </c>
      <c r="AD1739" s="107" t="s">
        <v>30</v>
      </c>
      <c r="AE1739" s="107" t="s">
        <v>30</v>
      </c>
      <c r="AF1739" s="91" t="s">
        <v>32</v>
      </c>
      <c r="AG1739" s="91" t="s">
        <v>32</v>
      </c>
      <c r="AH1739" s="110"/>
      <c r="AI1739" s="107" t="s">
        <v>30</v>
      </c>
      <c r="AJ1739" s="107" t="s">
        <v>30</v>
      </c>
      <c r="AK1739" s="107" t="s">
        <v>30</v>
      </c>
      <c r="AL1739" s="91"/>
      <c r="AM1739" s="840"/>
      <c r="AO1739" s="776"/>
      <c r="AP1739" s="776"/>
      <c r="AQ1739" s="776"/>
      <c r="AR1739" s="776"/>
    </row>
    <row r="1740" spans="1:48">
      <c r="A1740" s="834" t="s">
        <v>24</v>
      </c>
      <c r="B1740" s="835">
        <v>1737</v>
      </c>
      <c r="C1740" s="838" t="s">
        <v>2542</v>
      </c>
      <c r="D1740" s="838" t="s">
        <v>446</v>
      </c>
      <c r="E1740" s="839">
        <v>45994</v>
      </c>
      <c r="F1740" s="838" t="s">
        <v>202</v>
      </c>
      <c r="G1740" s="838">
        <v>13</v>
      </c>
      <c r="H1740" s="838" t="s">
        <v>127</v>
      </c>
      <c r="I1740" s="838" t="s">
        <v>178</v>
      </c>
      <c r="J1740" s="838"/>
      <c r="K1740" s="834" t="s">
        <v>2222</v>
      </c>
      <c r="L1740" s="834" t="s">
        <v>2541</v>
      </c>
      <c r="M1740" s="834" t="s">
        <v>2541</v>
      </c>
      <c r="N1740" s="834" t="s">
        <v>2058</v>
      </c>
      <c r="O1740" s="113"/>
      <c r="P1740" s="848" t="s">
        <v>30</v>
      </c>
      <c r="Q1740" s="848">
        <v>46030</v>
      </c>
      <c r="R1740" s="24" t="s">
        <v>28</v>
      </c>
      <c r="S1740" s="834" t="s">
        <v>32</v>
      </c>
      <c r="T1740" s="834">
        <v>12</v>
      </c>
      <c r="U1740" s="852" t="s">
        <v>28</v>
      </c>
      <c r="V1740" s="848">
        <v>46030</v>
      </c>
      <c r="W1740" s="96" t="s">
        <v>30</v>
      </c>
      <c r="X1740" s="107" t="s">
        <v>30</v>
      </c>
      <c r="Y1740" s="96" t="s">
        <v>30</v>
      </c>
      <c r="Z1740" s="107" t="s">
        <v>30</v>
      </c>
      <c r="AA1740" s="107" t="s">
        <v>30</v>
      </c>
      <c r="AB1740" s="107" t="s">
        <v>30</v>
      </c>
      <c r="AC1740" s="107" t="s">
        <v>30</v>
      </c>
      <c r="AD1740" s="107" t="s">
        <v>30</v>
      </c>
      <c r="AE1740" s="107" t="s">
        <v>30</v>
      </c>
      <c r="AF1740" s="107" t="s">
        <v>30</v>
      </c>
      <c r="AG1740" s="107" t="s">
        <v>30</v>
      </c>
      <c r="AH1740" s="96" t="s">
        <v>30</v>
      </c>
      <c r="AI1740" s="107" t="s">
        <v>30</v>
      </c>
      <c r="AJ1740" s="107" t="s">
        <v>30</v>
      </c>
      <c r="AK1740" s="107" t="s">
        <v>30</v>
      </c>
      <c r="AL1740" s="107" t="s">
        <v>30</v>
      </c>
      <c r="AM1740" s="840"/>
      <c r="AO1740" s="776"/>
      <c r="AP1740" s="776"/>
      <c r="AQ1740" s="776"/>
      <c r="AR1740" s="776"/>
    </row>
    <row r="1741" spans="1:48">
      <c r="A1741" s="834" t="s">
        <v>24</v>
      </c>
      <c r="B1741" s="835">
        <v>1738</v>
      </c>
      <c r="C1741" s="838" t="s">
        <v>2543</v>
      </c>
      <c r="D1741" s="838" t="s">
        <v>406</v>
      </c>
      <c r="E1741" s="839">
        <v>45994</v>
      </c>
      <c r="F1741" s="838" t="s">
        <v>97</v>
      </c>
      <c r="G1741" s="838">
        <v>18</v>
      </c>
      <c r="H1741" s="838" t="s">
        <v>1721</v>
      </c>
      <c r="I1741" s="838" t="s">
        <v>1638</v>
      </c>
      <c r="J1741" s="98" t="s">
        <v>2544</v>
      </c>
      <c r="K1741" s="834" t="s">
        <v>2056</v>
      </c>
      <c r="L1741" s="834" t="s">
        <v>2541</v>
      </c>
      <c r="M1741" s="834" t="s">
        <v>2541</v>
      </c>
      <c r="N1741" s="834" t="s">
        <v>2058</v>
      </c>
      <c r="O1741" s="113" t="s">
        <v>31</v>
      </c>
      <c r="P1741" s="848" t="s">
        <v>30</v>
      </c>
      <c r="Q1741" s="848">
        <v>46057</v>
      </c>
      <c r="R1741" s="852" t="s">
        <v>1638</v>
      </c>
      <c r="S1741" s="834" t="s">
        <v>1140</v>
      </c>
      <c r="T1741" s="834">
        <v>8</v>
      </c>
      <c r="U1741" s="852" t="s">
        <v>1638</v>
      </c>
      <c r="V1741" s="848">
        <v>46057</v>
      </c>
      <c r="W1741" s="96" t="s">
        <v>30</v>
      </c>
      <c r="X1741" s="96" t="s">
        <v>30</v>
      </c>
      <c r="Y1741" s="96" t="s">
        <v>30</v>
      </c>
      <c r="Z1741" s="96" t="s">
        <v>30</v>
      </c>
      <c r="AA1741" s="96" t="s">
        <v>30</v>
      </c>
      <c r="AB1741" s="96" t="s">
        <v>30</v>
      </c>
      <c r="AC1741" s="96" t="s">
        <v>30</v>
      </c>
      <c r="AD1741" s="96" t="s">
        <v>30</v>
      </c>
      <c r="AE1741" s="96" t="s">
        <v>30</v>
      </c>
      <c r="AF1741" s="96" t="s">
        <v>30</v>
      </c>
      <c r="AG1741" s="96" t="s">
        <v>30</v>
      </c>
      <c r="AH1741" s="96" t="s">
        <v>30</v>
      </c>
      <c r="AI1741" s="96" t="s">
        <v>30</v>
      </c>
      <c r="AJ1741" s="96" t="s">
        <v>30</v>
      </c>
      <c r="AK1741" s="110" t="s">
        <v>32</v>
      </c>
      <c r="AL1741" s="91"/>
      <c r="AM1741" s="840" t="s">
        <v>2545</v>
      </c>
    </row>
    <row r="1742" spans="1:48">
      <c r="A1742" s="834" t="s">
        <v>24</v>
      </c>
      <c r="B1742" s="835">
        <v>1739</v>
      </c>
      <c r="C1742" s="838" t="s">
        <v>2546</v>
      </c>
      <c r="D1742" s="838" t="s">
        <v>446</v>
      </c>
      <c r="E1742" s="839">
        <v>45994</v>
      </c>
      <c r="F1742" s="838" t="s">
        <v>1618</v>
      </c>
      <c r="G1742" s="838">
        <v>12</v>
      </c>
      <c r="H1742" s="838" t="s">
        <v>1077</v>
      </c>
      <c r="I1742" s="838" t="s">
        <v>1138</v>
      </c>
      <c r="J1742" s="838"/>
      <c r="K1742" s="834" t="s">
        <v>2135</v>
      </c>
      <c r="L1742" s="834" t="s">
        <v>2541</v>
      </c>
      <c r="M1742" s="834" t="s">
        <v>2541</v>
      </c>
      <c r="N1742" s="834" t="s">
        <v>2050</v>
      </c>
      <c r="O1742" s="848"/>
      <c r="P1742" s="848" t="s">
        <v>30</v>
      </c>
      <c r="Q1742" s="848">
        <v>46000</v>
      </c>
      <c r="R1742" s="852" t="s">
        <v>1138</v>
      </c>
      <c r="S1742" s="834" t="s">
        <v>32</v>
      </c>
      <c r="T1742" s="834">
        <v>11</v>
      </c>
      <c r="U1742" s="834" t="s">
        <v>1138</v>
      </c>
      <c r="V1742" s="848">
        <v>46000</v>
      </c>
      <c r="W1742" s="96" t="s">
        <v>30</v>
      </c>
      <c r="X1742" s="96" t="s">
        <v>30</v>
      </c>
      <c r="Y1742" s="96" t="s">
        <v>30</v>
      </c>
      <c r="Z1742" s="91" t="s">
        <v>32</v>
      </c>
      <c r="AA1742" s="91" t="s">
        <v>32</v>
      </c>
      <c r="AB1742" s="91" t="s">
        <v>32</v>
      </c>
      <c r="AC1742" s="96" t="s">
        <v>30</v>
      </c>
      <c r="AD1742" s="96" t="s">
        <v>30</v>
      </c>
      <c r="AE1742" s="96" t="s">
        <v>30</v>
      </c>
      <c r="AF1742" s="96" t="s">
        <v>30</v>
      </c>
      <c r="AG1742" s="96" t="s">
        <v>30</v>
      </c>
      <c r="AH1742" s="96" t="s">
        <v>30</v>
      </c>
      <c r="AI1742" s="91" t="s">
        <v>32</v>
      </c>
      <c r="AJ1742" s="96" t="s">
        <v>30</v>
      </c>
      <c r="AK1742" s="96" t="s">
        <v>30</v>
      </c>
      <c r="AL1742" s="91" t="s">
        <v>32</v>
      </c>
      <c r="AM1742" s="840" t="s">
        <v>2545</v>
      </c>
      <c r="AO1742" s="776"/>
      <c r="AP1742" s="776"/>
      <c r="AQ1742" s="776"/>
      <c r="AR1742" s="776"/>
    </row>
    <row r="1743" spans="1:48">
      <c r="A1743" s="834" t="s">
        <v>24</v>
      </c>
      <c r="B1743" s="835">
        <v>1740</v>
      </c>
      <c r="C1743" s="838" t="s">
        <v>2547</v>
      </c>
      <c r="D1743" s="838" t="s">
        <v>406</v>
      </c>
      <c r="E1743" s="839">
        <v>45995</v>
      </c>
      <c r="F1743" s="838" t="s">
        <v>707</v>
      </c>
      <c r="G1743" s="838">
        <v>13</v>
      </c>
      <c r="H1743" s="838" t="s">
        <v>67</v>
      </c>
      <c r="I1743" s="838" t="s">
        <v>47</v>
      </c>
      <c r="J1743" s="838"/>
      <c r="K1743" s="834" t="s">
        <v>2066</v>
      </c>
      <c r="L1743" s="834" t="s">
        <v>2541</v>
      </c>
      <c r="M1743" s="834" t="s">
        <v>2541</v>
      </c>
      <c r="N1743" s="834" t="s">
        <v>2058</v>
      </c>
      <c r="O1743" s="848"/>
      <c r="P1743" s="848" t="s">
        <v>30</v>
      </c>
      <c r="Q1743" s="848">
        <v>46036</v>
      </c>
      <c r="R1743" s="24" t="s">
        <v>47</v>
      </c>
      <c r="S1743" s="834" t="s">
        <v>32</v>
      </c>
      <c r="T1743" s="834">
        <v>13</v>
      </c>
      <c r="U1743" s="852" t="s">
        <v>47</v>
      </c>
      <c r="V1743" s="848">
        <v>46036</v>
      </c>
      <c r="W1743" s="96" t="s">
        <v>30</v>
      </c>
      <c r="X1743" s="96" t="s">
        <v>30</v>
      </c>
      <c r="Y1743" s="96" t="s">
        <v>30</v>
      </c>
      <c r="Z1743" s="96" t="s">
        <v>30</v>
      </c>
      <c r="AA1743" s="91" t="s">
        <v>32</v>
      </c>
      <c r="AB1743" s="96" t="s">
        <v>30</v>
      </c>
      <c r="AC1743" s="96" t="s">
        <v>30</v>
      </c>
      <c r="AD1743" s="96" t="s">
        <v>30</v>
      </c>
      <c r="AE1743" s="96" t="s">
        <v>30</v>
      </c>
      <c r="AF1743" s="91" t="s">
        <v>32</v>
      </c>
      <c r="AG1743" s="96" t="s">
        <v>30</v>
      </c>
      <c r="AH1743" s="110" t="s">
        <v>32</v>
      </c>
      <c r="AI1743" s="91" t="s">
        <v>32</v>
      </c>
      <c r="AJ1743" s="91" t="s">
        <v>32</v>
      </c>
      <c r="AK1743" s="96" t="s">
        <v>30</v>
      </c>
      <c r="AL1743" s="91"/>
      <c r="AM1743" s="840" t="s">
        <v>2548</v>
      </c>
      <c r="AO1743" s="776"/>
      <c r="AP1743" s="776"/>
      <c r="AQ1743" s="776"/>
      <c r="AR1743" s="776"/>
    </row>
    <row r="1744" spans="1:48">
      <c r="A1744" s="834" t="s">
        <v>24</v>
      </c>
      <c r="B1744" s="835">
        <v>1741</v>
      </c>
      <c r="C1744" s="838" t="s">
        <v>2549</v>
      </c>
      <c r="D1744" s="838" t="s">
        <v>403</v>
      </c>
      <c r="E1744" s="839">
        <v>45996</v>
      </c>
      <c r="F1744" s="838" t="s">
        <v>707</v>
      </c>
      <c r="G1744" s="838">
        <v>13</v>
      </c>
      <c r="H1744" s="838" t="s">
        <v>67</v>
      </c>
      <c r="I1744" s="838" t="s">
        <v>47</v>
      </c>
      <c r="J1744" s="838"/>
      <c r="K1744" s="834" t="s">
        <v>2066</v>
      </c>
      <c r="L1744" s="834" t="s">
        <v>2541</v>
      </c>
      <c r="M1744" s="834" t="s">
        <v>2541</v>
      </c>
      <c r="N1744" s="834" t="s">
        <v>2058</v>
      </c>
      <c r="O1744" s="113"/>
      <c r="P1744" s="848" t="s">
        <v>30</v>
      </c>
      <c r="Q1744" s="848">
        <v>46036</v>
      </c>
      <c r="R1744" s="24" t="s">
        <v>47</v>
      </c>
      <c r="S1744" s="834" t="s">
        <v>32</v>
      </c>
      <c r="T1744" s="834">
        <v>13</v>
      </c>
      <c r="U1744" s="852" t="s">
        <v>47</v>
      </c>
      <c r="V1744" s="848">
        <v>46036</v>
      </c>
      <c r="W1744" s="96" t="s">
        <v>30</v>
      </c>
      <c r="X1744" s="96" t="s">
        <v>30</v>
      </c>
      <c r="Y1744" s="96" t="s">
        <v>30</v>
      </c>
      <c r="Z1744" s="96" t="s">
        <v>30</v>
      </c>
      <c r="AA1744" s="91" t="s">
        <v>32</v>
      </c>
      <c r="AB1744" s="96" t="s">
        <v>30</v>
      </c>
      <c r="AC1744" s="96" t="s">
        <v>30</v>
      </c>
      <c r="AD1744" s="96" t="s">
        <v>30</v>
      </c>
      <c r="AE1744" s="96" t="s">
        <v>30</v>
      </c>
      <c r="AF1744" s="91" t="s">
        <v>32</v>
      </c>
      <c r="AG1744" s="91" t="s">
        <v>32</v>
      </c>
      <c r="AH1744" s="110" t="s">
        <v>32</v>
      </c>
      <c r="AI1744" s="91" t="s">
        <v>32</v>
      </c>
      <c r="AJ1744" s="91" t="s">
        <v>32</v>
      </c>
      <c r="AK1744" s="96" t="s">
        <v>30</v>
      </c>
      <c r="AL1744" s="91"/>
      <c r="AM1744" s="840" t="s">
        <v>2548</v>
      </c>
    </row>
    <row r="1745" spans="1:44">
      <c r="A1745" s="834" t="s">
        <v>24</v>
      </c>
      <c r="B1745" s="835">
        <v>1742</v>
      </c>
      <c r="C1745" s="838" t="s">
        <v>2550</v>
      </c>
      <c r="D1745" s="838" t="s">
        <v>43</v>
      </c>
      <c r="E1745" s="839">
        <v>45996</v>
      </c>
      <c r="F1745" s="838" t="s">
        <v>1124</v>
      </c>
      <c r="G1745" s="838">
        <v>13</v>
      </c>
      <c r="H1745" s="838" t="s">
        <v>1077</v>
      </c>
      <c r="I1745" s="838" t="s">
        <v>1138</v>
      </c>
      <c r="J1745" s="838"/>
      <c r="K1745" s="834" t="s">
        <v>2296</v>
      </c>
      <c r="L1745" s="834" t="s">
        <v>2541</v>
      </c>
      <c r="M1745" s="834" t="s">
        <v>2551</v>
      </c>
      <c r="N1745" s="834" t="s">
        <v>2058</v>
      </c>
      <c r="O1745" s="848"/>
      <c r="P1745" s="848" t="s">
        <v>30</v>
      </c>
      <c r="Q1745" s="848">
        <v>46027</v>
      </c>
      <c r="R1745" s="852" t="s">
        <v>1138</v>
      </c>
      <c r="S1745" s="834" t="s">
        <v>32</v>
      </c>
      <c r="T1745" s="834">
        <v>10</v>
      </c>
      <c r="U1745" s="852" t="s">
        <v>1138</v>
      </c>
      <c r="V1745" s="848">
        <v>46027</v>
      </c>
      <c r="W1745" s="96" t="s">
        <v>30</v>
      </c>
      <c r="X1745" s="96" t="s">
        <v>30</v>
      </c>
      <c r="Y1745" s="96" t="s">
        <v>30</v>
      </c>
      <c r="Z1745" s="96" t="s">
        <v>30</v>
      </c>
      <c r="AA1745" s="96" t="s">
        <v>30</v>
      </c>
      <c r="AB1745" s="96" t="s">
        <v>30</v>
      </c>
      <c r="AC1745" s="96" t="s">
        <v>30</v>
      </c>
      <c r="AD1745" s="96" t="s">
        <v>30</v>
      </c>
      <c r="AE1745" s="96" t="s">
        <v>30</v>
      </c>
      <c r="AF1745" s="96" t="s">
        <v>30</v>
      </c>
      <c r="AG1745" s="96" t="s">
        <v>30</v>
      </c>
      <c r="AH1745" s="96" t="s">
        <v>30</v>
      </c>
      <c r="AI1745" s="96" t="s">
        <v>30</v>
      </c>
      <c r="AJ1745" s="96" t="s">
        <v>30</v>
      </c>
      <c r="AK1745" s="96" t="s">
        <v>30</v>
      </c>
      <c r="AL1745" s="91"/>
      <c r="AM1745" s="840"/>
    </row>
    <row r="1746" spans="1:44">
      <c r="A1746" s="834" t="s">
        <v>24</v>
      </c>
      <c r="B1746" s="835">
        <v>1743</v>
      </c>
      <c r="C1746" s="838" t="s">
        <v>2552</v>
      </c>
      <c r="D1746" s="838" t="s">
        <v>2553</v>
      </c>
      <c r="E1746" s="839">
        <v>45996</v>
      </c>
      <c r="F1746" s="838" t="s">
        <v>2554</v>
      </c>
      <c r="G1746" s="838">
        <v>15</v>
      </c>
      <c r="H1746" s="838" t="s">
        <v>1077</v>
      </c>
      <c r="I1746" s="838" t="s">
        <v>1138</v>
      </c>
      <c r="J1746" s="838"/>
      <c r="K1746" s="840" t="s">
        <v>2098</v>
      </c>
      <c r="L1746" s="840" t="s">
        <v>2555</v>
      </c>
      <c r="M1746" s="840" t="s">
        <v>2555</v>
      </c>
      <c r="N1746" s="840" t="s">
        <v>2050</v>
      </c>
      <c r="O1746" s="113" t="s">
        <v>31</v>
      </c>
      <c r="P1746" s="848" t="s">
        <v>30</v>
      </c>
      <c r="Q1746" s="848">
        <v>46027</v>
      </c>
      <c r="R1746" s="852" t="s">
        <v>1138</v>
      </c>
      <c r="S1746" s="834" t="s">
        <v>32</v>
      </c>
      <c r="T1746" s="834">
        <v>15</v>
      </c>
      <c r="U1746" s="852" t="s">
        <v>1138</v>
      </c>
      <c r="V1746" s="848">
        <v>46027</v>
      </c>
      <c r="W1746" s="96" t="s">
        <v>30</v>
      </c>
      <c r="X1746" s="96" t="s">
        <v>30</v>
      </c>
      <c r="Y1746" s="96" t="s">
        <v>30</v>
      </c>
      <c r="Z1746" s="96" t="s">
        <v>30</v>
      </c>
      <c r="AA1746" s="96" t="s">
        <v>30</v>
      </c>
      <c r="AB1746" s="96" t="s">
        <v>30</v>
      </c>
      <c r="AC1746" s="96" t="s">
        <v>30</v>
      </c>
      <c r="AD1746" s="96" t="s">
        <v>30</v>
      </c>
      <c r="AE1746" s="96" t="s">
        <v>30</v>
      </c>
      <c r="AF1746" s="96" t="s">
        <v>30</v>
      </c>
      <c r="AG1746" s="96" t="s">
        <v>30</v>
      </c>
      <c r="AH1746" s="96" t="s">
        <v>30</v>
      </c>
      <c r="AI1746" s="96" t="s">
        <v>30</v>
      </c>
      <c r="AJ1746" s="96" t="s">
        <v>30</v>
      </c>
      <c r="AK1746" s="96" t="s">
        <v>30</v>
      </c>
      <c r="AL1746" s="91" t="s">
        <v>32</v>
      </c>
      <c r="AM1746" s="840" t="s">
        <v>2548</v>
      </c>
    </row>
    <row r="1747" spans="1:44">
      <c r="A1747" s="834" t="s">
        <v>24</v>
      </c>
      <c r="B1747" s="835">
        <v>1744</v>
      </c>
      <c r="C1747" s="838" t="s">
        <v>2556</v>
      </c>
      <c r="D1747" s="838" t="s">
        <v>43</v>
      </c>
      <c r="E1747" s="839">
        <v>45996</v>
      </c>
      <c r="F1747" s="838" t="s">
        <v>2557</v>
      </c>
      <c r="G1747" s="838">
        <v>22</v>
      </c>
      <c r="H1747" s="838" t="s">
        <v>67</v>
      </c>
      <c r="I1747" s="838" t="s">
        <v>47</v>
      </c>
      <c r="J1747" s="838"/>
      <c r="K1747" s="840" t="s">
        <v>2056</v>
      </c>
      <c r="L1747" s="840" t="s">
        <v>2558</v>
      </c>
      <c r="M1747" s="840" t="s">
        <v>2551</v>
      </c>
      <c r="N1747" s="840" t="s">
        <v>2050</v>
      </c>
      <c r="O1747" s="113" t="s">
        <v>31</v>
      </c>
      <c r="P1747" s="853" t="s">
        <v>30</v>
      </c>
      <c r="Q1747" s="848">
        <v>46055</v>
      </c>
      <c r="R1747" s="24" t="s">
        <v>47</v>
      </c>
      <c r="S1747" s="834" t="s">
        <v>32</v>
      </c>
      <c r="T1747" s="834">
        <v>25</v>
      </c>
      <c r="U1747" s="852" t="s">
        <v>47</v>
      </c>
      <c r="V1747" s="848">
        <v>46055</v>
      </c>
      <c r="W1747" s="96" t="s">
        <v>30</v>
      </c>
      <c r="X1747" s="91" t="s">
        <v>32</v>
      </c>
      <c r="Y1747" s="96" t="s">
        <v>30</v>
      </c>
      <c r="Z1747" s="96" t="s">
        <v>30</v>
      </c>
      <c r="AA1747" s="96" t="s">
        <v>30</v>
      </c>
      <c r="AB1747" s="96" t="s">
        <v>30</v>
      </c>
      <c r="AC1747" s="96" t="s">
        <v>30</v>
      </c>
      <c r="AD1747" s="96" t="s">
        <v>30</v>
      </c>
      <c r="AE1747" s="96" t="s">
        <v>30</v>
      </c>
      <c r="AF1747" s="96" t="s">
        <v>30</v>
      </c>
      <c r="AG1747" s="96" t="s">
        <v>30</v>
      </c>
      <c r="AH1747" s="96" t="s">
        <v>30</v>
      </c>
      <c r="AI1747" s="96" t="s">
        <v>30</v>
      </c>
      <c r="AJ1747" s="96" t="s">
        <v>30</v>
      </c>
      <c r="AK1747" s="96" t="s">
        <v>30</v>
      </c>
      <c r="AL1747" s="91"/>
      <c r="AM1747" s="840" t="s">
        <v>2545</v>
      </c>
      <c r="AN1747" s="6"/>
    </row>
    <row r="1748" spans="1:44">
      <c r="A1748" s="834" t="s">
        <v>24</v>
      </c>
      <c r="B1748" s="835">
        <v>1745</v>
      </c>
      <c r="C1748" s="838" t="s">
        <v>2559</v>
      </c>
      <c r="D1748" s="838" t="s">
        <v>270</v>
      </c>
      <c r="E1748" s="839">
        <v>45997</v>
      </c>
      <c r="F1748" s="838" t="s">
        <v>2161</v>
      </c>
      <c r="G1748" s="838">
        <v>12</v>
      </c>
      <c r="H1748" s="838" t="s">
        <v>1077</v>
      </c>
      <c r="I1748" s="838" t="s">
        <v>1138</v>
      </c>
      <c r="J1748" s="838"/>
      <c r="K1748" s="840" t="s">
        <v>2162</v>
      </c>
      <c r="L1748" s="840" t="s">
        <v>2560</v>
      </c>
      <c r="M1748" s="840" t="s">
        <v>2560</v>
      </c>
      <c r="N1748" s="840" t="s">
        <v>2050</v>
      </c>
      <c r="O1748" s="248"/>
      <c r="P1748" s="848" t="s">
        <v>30</v>
      </c>
      <c r="Q1748" s="848">
        <v>46027</v>
      </c>
      <c r="R1748" s="852" t="s">
        <v>1138</v>
      </c>
      <c r="S1748" s="834" t="s">
        <v>32</v>
      </c>
      <c r="T1748" s="834">
        <v>9</v>
      </c>
      <c r="U1748" s="852" t="s">
        <v>1138</v>
      </c>
      <c r="V1748" s="848">
        <v>46027</v>
      </c>
      <c r="W1748" s="96" t="s">
        <v>30</v>
      </c>
      <c r="X1748" s="96" t="s">
        <v>30</v>
      </c>
      <c r="Y1748" s="96" t="s">
        <v>30</v>
      </c>
      <c r="Z1748" s="96" t="s">
        <v>30</v>
      </c>
      <c r="AA1748" s="96" t="s">
        <v>30</v>
      </c>
      <c r="AB1748" s="96" t="s">
        <v>30</v>
      </c>
      <c r="AC1748" s="96" t="s">
        <v>30</v>
      </c>
      <c r="AD1748" s="96" t="s">
        <v>30</v>
      </c>
      <c r="AE1748" s="96" t="s">
        <v>30</v>
      </c>
      <c r="AF1748" s="96" t="s">
        <v>30</v>
      </c>
      <c r="AG1748" s="96" t="s">
        <v>30</v>
      </c>
      <c r="AH1748" s="96" t="s">
        <v>30</v>
      </c>
      <c r="AI1748" s="96" t="s">
        <v>30</v>
      </c>
      <c r="AJ1748" s="96" t="s">
        <v>30</v>
      </c>
      <c r="AK1748" s="96" t="s">
        <v>30</v>
      </c>
      <c r="AL1748" s="91"/>
      <c r="AM1748" s="840"/>
    </row>
    <row r="1749" spans="1:44">
      <c r="A1749" s="834" t="s">
        <v>24</v>
      </c>
      <c r="B1749" s="835">
        <v>1746</v>
      </c>
      <c r="C1749" s="838" t="s">
        <v>2561</v>
      </c>
      <c r="D1749" s="838" t="s">
        <v>34</v>
      </c>
      <c r="E1749" s="839">
        <v>45997</v>
      </c>
      <c r="F1749" s="838" t="s">
        <v>2107</v>
      </c>
      <c r="G1749" s="838">
        <v>13</v>
      </c>
      <c r="H1749" s="838" t="s">
        <v>1077</v>
      </c>
      <c r="I1749" s="838" t="s">
        <v>1138</v>
      </c>
      <c r="J1749" s="840"/>
      <c r="K1749" s="834" t="s">
        <v>2135</v>
      </c>
      <c r="L1749" s="834" t="s">
        <v>2560</v>
      </c>
      <c r="M1749" s="834" t="s">
        <v>2560</v>
      </c>
      <c r="N1749" s="834" t="s">
        <v>2083</v>
      </c>
      <c r="O1749" s="113"/>
      <c r="P1749" s="848" t="s">
        <v>30</v>
      </c>
      <c r="Q1749" s="848">
        <v>46027</v>
      </c>
      <c r="R1749" s="852" t="s">
        <v>1138</v>
      </c>
      <c r="S1749" s="834" t="s">
        <v>32</v>
      </c>
      <c r="T1749" s="834">
        <v>10</v>
      </c>
      <c r="U1749" s="852" t="s">
        <v>1138</v>
      </c>
      <c r="V1749" s="848">
        <v>46027</v>
      </c>
      <c r="W1749" s="96" t="s">
        <v>30</v>
      </c>
      <c r="X1749" s="96" t="s">
        <v>30</v>
      </c>
      <c r="Y1749" s="96" t="s">
        <v>30</v>
      </c>
      <c r="Z1749" s="91" t="s">
        <v>32</v>
      </c>
      <c r="AA1749" s="91" t="s">
        <v>32</v>
      </c>
      <c r="AB1749" s="91" t="s">
        <v>32</v>
      </c>
      <c r="AC1749" s="96" t="s">
        <v>30</v>
      </c>
      <c r="AD1749" s="96" t="s">
        <v>30</v>
      </c>
      <c r="AE1749" s="96" t="s">
        <v>30</v>
      </c>
      <c r="AF1749" s="96" t="s">
        <v>30</v>
      </c>
      <c r="AG1749" s="96" t="s">
        <v>30</v>
      </c>
      <c r="AH1749" s="96" t="s">
        <v>30</v>
      </c>
      <c r="AI1749" s="91" t="s">
        <v>32</v>
      </c>
      <c r="AJ1749" s="96" t="s">
        <v>30</v>
      </c>
      <c r="AK1749" s="91" t="s">
        <v>32</v>
      </c>
      <c r="AL1749" s="91" t="s">
        <v>32</v>
      </c>
      <c r="AM1749" s="840" t="s">
        <v>2545</v>
      </c>
    </row>
    <row r="1750" spans="1:44">
      <c r="A1750" s="834" t="s">
        <v>24</v>
      </c>
      <c r="B1750" s="835">
        <v>1747</v>
      </c>
      <c r="C1750" s="838" t="s">
        <v>2562</v>
      </c>
      <c r="D1750" s="838" t="s">
        <v>34</v>
      </c>
      <c r="E1750" s="839">
        <v>45997</v>
      </c>
      <c r="F1750" s="838" t="s">
        <v>2107</v>
      </c>
      <c r="G1750" s="217">
        <v>1</v>
      </c>
      <c r="H1750" s="838" t="s">
        <v>1077</v>
      </c>
      <c r="I1750" s="838" t="s">
        <v>1138</v>
      </c>
      <c r="J1750" s="838"/>
      <c r="K1750" s="834" t="s">
        <v>2135</v>
      </c>
      <c r="L1750" s="834" t="s">
        <v>2560</v>
      </c>
      <c r="M1750" s="834" t="s">
        <v>2560</v>
      </c>
      <c r="N1750" s="834" t="s">
        <v>2083</v>
      </c>
      <c r="O1750" s="853"/>
      <c r="P1750" s="848" t="s">
        <v>30</v>
      </c>
      <c r="Q1750" s="848">
        <v>46027</v>
      </c>
      <c r="R1750" s="852" t="s">
        <v>1138</v>
      </c>
      <c r="S1750" s="834" t="s">
        <v>32</v>
      </c>
      <c r="T1750" s="834">
        <v>1</v>
      </c>
      <c r="U1750" s="852" t="s">
        <v>1138</v>
      </c>
      <c r="V1750" s="848">
        <v>46027</v>
      </c>
      <c r="W1750" s="96" t="s">
        <v>30</v>
      </c>
      <c r="X1750" s="96" t="s">
        <v>30</v>
      </c>
      <c r="Y1750" s="96" t="s">
        <v>30</v>
      </c>
      <c r="Z1750" s="91" t="s">
        <v>32</v>
      </c>
      <c r="AA1750" s="91" t="s">
        <v>32</v>
      </c>
      <c r="AB1750" s="91" t="s">
        <v>32</v>
      </c>
      <c r="AC1750" s="96" t="s">
        <v>30</v>
      </c>
      <c r="AD1750" s="96" t="s">
        <v>30</v>
      </c>
      <c r="AE1750" s="96" t="s">
        <v>30</v>
      </c>
      <c r="AF1750" s="96" t="s">
        <v>30</v>
      </c>
      <c r="AG1750" s="96" t="s">
        <v>30</v>
      </c>
      <c r="AH1750" s="110" t="s">
        <v>32</v>
      </c>
      <c r="AI1750" s="91" t="s">
        <v>32</v>
      </c>
      <c r="AJ1750" s="91" t="s">
        <v>32</v>
      </c>
      <c r="AK1750" s="91" t="s">
        <v>32</v>
      </c>
      <c r="AL1750" s="91"/>
      <c r="AM1750" s="840" t="s">
        <v>2545</v>
      </c>
    </row>
    <row r="1751" spans="1:44">
      <c r="A1751" s="834" t="s">
        <v>24</v>
      </c>
      <c r="B1751" s="835">
        <v>1748</v>
      </c>
      <c r="C1751" s="838" t="s">
        <v>2563</v>
      </c>
      <c r="D1751" s="838" t="s">
        <v>34</v>
      </c>
      <c r="E1751" s="839">
        <v>45997</v>
      </c>
      <c r="F1751" s="838" t="s">
        <v>2564</v>
      </c>
      <c r="G1751" s="838">
        <v>38</v>
      </c>
      <c r="H1751" s="838" t="s">
        <v>1077</v>
      </c>
      <c r="I1751" s="838" t="s">
        <v>1138</v>
      </c>
      <c r="J1751" s="98"/>
      <c r="K1751" s="834" t="s">
        <v>2052</v>
      </c>
      <c r="L1751" s="834" t="s">
        <v>2560</v>
      </c>
      <c r="M1751" s="834" t="s">
        <v>2560</v>
      </c>
      <c r="N1751" s="834" t="s">
        <v>2050</v>
      </c>
      <c r="O1751" s="113" t="s">
        <v>31</v>
      </c>
      <c r="P1751" s="848" t="s">
        <v>30</v>
      </c>
      <c r="Q1751" s="848">
        <v>46037</v>
      </c>
      <c r="R1751" s="852" t="s">
        <v>1138</v>
      </c>
      <c r="S1751" s="834" t="s">
        <v>30</v>
      </c>
      <c r="T1751" s="834">
        <v>36</v>
      </c>
      <c r="U1751" s="852" t="s">
        <v>1138</v>
      </c>
      <c r="V1751" s="848">
        <v>46037</v>
      </c>
      <c r="W1751" s="96" t="s">
        <v>30</v>
      </c>
      <c r="X1751" s="96" t="s">
        <v>30</v>
      </c>
      <c r="Y1751" s="96" t="s">
        <v>30</v>
      </c>
      <c r="Z1751" s="96" t="s">
        <v>30</v>
      </c>
      <c r="AA1751" s="96" t="s">
        <v>30</v>
      </c>
      <c r="AB1751" s="96" t="s">
        <v>30</v>
      </c>
      <c r="AC1751" s="96" t="s">
        <v>30</v>
      </c>
      <c r="AD1751" s="96" t="s">
        <v>30</v>
      </c>
      <c r="AE1751" s="96" t="s">
        <v>30</v>
      </c>
      <c r="AF1751" s="96" t="s">
        <v>30</v>
      </c>
      <c r="AG1751" s="96" t="s">
        <v>30</v>
      </c>
      <c r="AH1751" s="96" t="s">
        <v>30</v>
      </c>
      <c r="AI1751" s="96" t="s">
        <v>30</v>
      </c>
      <c r="AJ1751" s="96" t="s">
        <v>30</v>
      </c>
      <c r="AK1751" s="96" t="s">
        <v>30</v>
      </c>
      <c r="AL1751" s="91" t="s">
        <v>32</v>
      </c>
      <c r="AM1751" s="840"/>
    </row>
    <row r="1752" spans="1:44">
      <c r="A1752" s="834" t="s">
        <v>24</v>
      </c>
      <c r="B1752" s="835">
        <v>1749</v>
      </c>
      <c r="C1752" s="838" t="s">
        <v>2565</v>
      </c>
      <c r="D1752" s="838" t="s">
        <v>43</v>
      </c>
      <c r="E1752" s="839">
        <v>45997</v>
      </c>
      <c r="F1752" s="838" t="s">
        <v>2566</v>
      </c>
      <c r="G1752" s="838">
        <v>12</v>
      </c>
      <c r="H1752" s="838" t="s">
        <v>67</v>
      </c>
      <c r="I1752" s="838" t="s">
        <v>47</v>
      </c>
      <c r="J1752" s="838"/>
      <c r="K1752" s="840" t="s">
        <v>2296</v>
      </c>
      <c r="L1752" s="840" t="s">
        <v>2555</v>
      </c>
      <c r="M1752" s="72" t="s">
        <v>2560</v>
      </c>
      <c r="N1752" s="840" t="s">
        <v>2567</v>
      </c>
      <c r="O1752" s="853"/>
      <c r="P1752" s="853" t="s">
        <v>30</v>
      </c>
      <c r="Q1752" s="848">
        <v>46035</v>
      </c>
      <c r="R1752" s="24" t="s">
        <v>47</v>
      </c>
      <c r="S1752" s="834" t="s">
        <v>32</v>
      </c>
      <c r="T1752" s="834">
        <v>10</v>
      </c>
      <c r="U1752" s="852" t="s">
        <v>47</v>
      </c>
      <c r="V1752" s="848">
        <v>46035</v>
      </c>
      <c r="W1752" s="96" t="s">
        <v>30</v>
      </c>
      <c r="X1752" s="96" t="s">
        <v>30</v>
      </c>
      <c r="Y1752" s="96" t="s">
        <v>30</v>
      </c>
      <c r="Z1752" s="96" t="s">
        <v>30</v>
      </c>
      <c r="AA1752" s="96" t="s">
        <v>30</v>
      </c>
      <c r="AB1752" s="96" t="s">
        <v>30</v>
      </c>
      <c r="AC1752" s="96" t="s">
        <v>30</v>
      </c>
      <c r="AD1752" s="96" t="s">
        <v>30</v>
      </c>
      <c r="AE1752" s="96" t="s">
        <v>30</v>
      </c>
      <c r="AF1752" s="96" t="s">
        <v>30</v>
      </c>
      <c r="AG1752" s="96" t="s">
        <v>30</v>
      </c>
      <c r="AH1752" s="96" t="s">
        <v>30</v>
      </c>
      <c r="AI1752" s="96" t="s">
        <v>30</v>
      </c>
      <c r="AJ1752" s="96" t="s">
        <v>30</v>
      </c>
      <c r="AK1752" s="96" t="s">
        <v>30</v>
      </c>
      <c r="AL1752" s="91"/>
      <c r="AM1752" s="840"/>
      <c r="AO1752" s="776"/>
      <c r="AP1752" s="776"/>
      <c r="AQ1752" s="776"/>
      <c r="AR1752" s="776"/>
    </row>
    <row r="1753" spans="1:44">
      <c r="A1753" s="834" t="s">
        <v>24</v>
      </c>
      <c r="B1753" s="835">
        <v>1750</v>
      </c>
      <c r="C1753" s="838" t="s">
        <v>2568</v>
      </c>
      <c r="D1753" s="838" t="s">
        <v>102</v>
      </c>
      <c r="E1753" s="839">
        <v>45997</v>
      </c>
      <c r="F1753" s="838" t="s">
        <v>439</v>
      </c>
      <c r="G1753" s="838">
        <v>14</v>
      </c>
      <c r="H1753" s="838" t="s">
        <v>127</v>
      </c>
      <c r="I1753" s="838" t="s">
        <v>178</v>
      </c>
      <c r="J1753" s="98"/>
      <c r="K1753" s="840" t="s">
        <v>2142</v>
      </c>
      <c r="L1753" s="840" t="s">
        <v>2541</v>
      </c>
      <c r="M1753" s="840" t="s">
        <v>2541</v>
      </c>
      <c r="N1753" s="840" t="s">
        <v>2050</v>
      </c>
      <c r="O1753" s="248"/>
      <c r="P1753" s="853" t="s">
        <v>30</v>
      </c>
      <c r="Q1753" s="848">
        <v>46044</v>
      </c>
      <c r="R1753" s="24" t="s">
        <v>28</v>
      </c>
      <c r="S1753" s="834" t="s">
        <v>32</v>
      </c>
      <c r="T1753" s="834">
        <v>15</v>
      </c>
      <c r="U1753" s="834" t="s">
        <v>28</v>
      </c>
      <c r="V1753" s="848">
        <v>46044</v>
      </c>
      <c r="W1753" s="118" t="s">
        <v>30</v>
      </c>
      <c r="X1753" s="96" t="s">
        <v>30</v>
      </c>
      <c r="Y1753" s="96" t="s">
        <v>30</v>
      </c>
      <c r="Z1753" s="91" t="s">
        <v>32</v>
      </c>
      <c r="AA1753" s="91" t="s">
        <v>32</v>
      </c>
      <c r="AB1753" s="96" t="s">
        <v>30</v>
      </c>
      <c r="AC1753" s="96" t="s">
        <v>30</v>
      </c>
      <c r="AD1753" s="96" t="s">
        <v>30</v>
      </c>
      <c r="AE1753" s="96" t="s">
        <v>30</v>
      </c>
      <c r="AF1753" s="96" t="s">
        <v>30</v>
      </c>
      <c r="AG1753" s="96" t="s">
        <v>30</v>
      </c>
      <c r="AH1753" s="96" t="s">
        <v>30</v>
      </c>
      <c r="AI1753" s="96" t="s">
        <v>30</v>
      </c>
      <c r="AJ1753" s="96" t="s">
        <v>30</v>
      </c>
      <c r="AK1753" s="96" t="s">
        <v>30</v>
      </c>
      <c r="AL1753" s="91" t="s">
        <v>32</v>
      </c>
      <c r="AM1753" s="840" t="s">
        <v>2548</v>
      </c>
      <c r="AO1753" s="776"/>
      <c r="AP1753" s="776"/>
      <c r="AQ1753" s="776"/>
      <c r="AR1753" s="776"/>
    </row>
    <row r="1754" spans="1:44">
      <c r="A1754" s="834" t="s">
        <v>24</v>
      </c>
      <c r="B1754" s="835">
        <v>1751</v>
      </c>
      <c r="C1754" s="838" t="s">
        <v>2569</v>
      </c>
      <c r="D1754" s="838" t="s">
        <v>34</v>
      </c>
      <c r="E1754" s="839">
        <v>45997</v>
      </c>
      <c r="F1754" s="838" t="s">
        <v>282</v>
      </c>
      <c r="G1754" s="838">
        <v>9</v>
      </c>
      <c r="H1754" s="838" t="s">
        <v>1721</v>
      </c>
      <c r="I1754" s="838" t="s">
        <v>1638</v>
      </c>
      <c r="J1754" s="838"/>
      <c r="K1754" s="840" t="s">
        <v>2092</v>
      </c>
      <c r="L1754" s="840" t="s">
        <v>2560</v>
      </c>
      <c r="M1754" s="840" t="s">
        <v>2560</v>
      </c>
      <c r="N1754" s="840" t="s">
        <v>2050</v>
      </c>
      <c r="O1754" s="248"/>
      <c r="P1754" s="853" t="s">
        <v>30</v>
      </c>
      <c r="Q1754" s="848">
        <v>46038</v>
      </c>
      <c r="R1754" s="852" t="s">
        <v>1638</v>
      </c>
      <c r="S1754" s="834" t="s">
        <v>1140</v>
      </c>
      <c r="T1754" s="834">
        <v>6</v>
      </c>
      <c r="U1754" s="834" t="s">
        <v>1638</v>
      </c>
      <c r="V1754" s="848">
        <v>46038</v>
      </c>
      <c r="W1754" s="96" t="s">
        <v>30</v>
      </c>
      <c r="X1754" s="96" t="s">
        <v>30</v>
      </c>
      <c r="Y1754" s="96" t="s">
        <v>30</v>
      </c>
      <c r="Z1754" s="121"/>
      <c r="AA1754" s="121"/>
      <c r="AB1754" s="121"/>
      <c r="AC1754" s="96" t="s">
        <v>30</v>
      </c>
      <c r="AD1754" s="96" t="s">
        <v>30</v>
      </c>
      <c r="AE1754" s="96" t="s">
        <v>30</v>
      </c>
      <c r="AF1754" s="96" t="s">
        <v>30</v>
      </c>
      <c r="AG1754" s="96" t="s">
        <v>30</v>
      </c>
      <c r="AH1754" s="96" t="s">
        <v>30</v>
      </c>
      <c r="AI1754" s="96" t="s">
        <v>30</v>
      </c>
      <c r="AJ1754" s="96" t="s">
        <v>30</v>
      </c>
      <c r="AK1754" s="96" t="s">
        <v>30</v>
      </c>
      <c r="AL1754" s="91" t="s">
        <v>32</v>
      </c>
      <c r="AM1754" s="840"/>
      <c r="AO1754" s="776"/>
      <c r="AP1754" s="776"/>
      <c r="AQ1754" s="776"/>
      <c r="AR1754" s="776"/>
    </row>
    <row r="1755" spans="1:44">
      <c r="A1755" s="834" t="s">
        <v>24</v>
      </c>
      <c r="B1755" s="835">
        <v>1752</v>
      </c>
      <c r="C1755" s="838" t="s">
        <v>2570</v>
      </c>
      <c r="D1755" s="838" t="s">
        <v>34</v>
      </c>
      <c r="E1755" s="839">
        <v>45997</v>
      </c>
      <c r="F1755" s="838" t="s">
        <v>2571</v>
      </c>
      <c r="G1755" s="838">
        <v>10</v>
      </c>
      <c r="H1755" s="838" t="s">
        <v>67</v>
      </c>
      <c r="I1755" s="838" t="s">
        <v>47</v>
      </c>
      <c r="J1755" s="838"/>
      <c r="K1755" s="840" t="s">
        <v>2098</v>
      </c>
      <c r="L1755" s="840" t="s">
        <v>2572</v>
      </c>
      <c r="M1755" s="840" t="s">
        <v>2560</v>
      </c>
      <c r="N1755" s="840" t="s">
        <v>2573</v>
      </c>
      <c r="O1755" s="248"/>
      <c r="P1755" s="853" t="s">
        <v>30</v>
      </c>
      <c r="Q1755" s="848">
        <v>46036</v>
      </c>
      <c r="R1755" s="24" t="s">
        <v>47</v>
      </c>
      <c r="S1755" s="834" t="s">
        <v>32</v>
      </c>
      <c r="T1755" s="834">
        <v>10</v>
      </c>
      <c r="U1755" s="24" t="s">
        <v>47</v>
      </c>
      <c r="V1755" s="848">
        <v>46036</v>
      </c>
      <c r="W1755" s="96" t="s">
        <v>30</v>
      </c>
      <c r="X1755" s="96" t="s">
        <v>30</v>
      </c>
      <c r="Y1755" s="96" t="s">
        <v>30</v>
      </c>
      <c r="Z1755" s="96" t="s">
        <v>30</v>
      </c>
      <c r="AA1755" s="96" t="s">
        <v>30</v>
      </c>
      <c r="AB1755" s="96" t="s">
        <v>30</v>
      </c>
      <c r="AC1755" s="96" t="s">
        <v>30</v>
      </c>
      <c r="AD1755" s="96" t="s">
        <v>30</v>
      </c>
      <c r="AE1755" s="96" t="s">
        <v>30</v>
      </c>
      <c r="AF1755" s="96" t="s">
        <v>30</v>
      </c>
      <c r="AG1755" s="96" t="s">
        <v>30</v>
      </c>
      <c r="AH1755" s="96" t="s">
        <v>30</v>
      </c>
      <c r="AI1755" s="96" t="s">
        <v>30</v>
      </c>
      <c r="AJ1755" s="96" t="s">
        <v>30</v>
      </c>
      <c r="AK1755" s="96" t="s">
        <v>30</v>
      </c>
      <c r="AL1755" s="91" t="s">
        <v>32</v>
      </c>
      <c r="AM1755" s="840" t="s">
        <v>2548</v>
      </c>
    </row>
    <row r="1756" spans="1:44">
      <c r="A1756" s="834" t="s">
        <v>24</v>
      </c>
      <c r="B1756" s="835">
        <v>1753</v>
      </c>
      <c r="C1756" s="838" t="s">
        <v>2574</v>
      </c>
      <c r="D1756" s="838" t="s">
        <v>1641</v>
      </c>
      <c r="E1756" s="839">
        <v>46000</v>
      </c>
      <c r="F1756" s="838" t="s">
        <v>110</v>
      </c>
      <c r="G1756" s="838">
        <v>17</v>
      </c>
      <c r="H1756" s="838" t="s">
        <v>1077</v>
      </c>
      <c r="I1756" s="838" t="s">
        <v>1138</v>
      </c>
      <c r="J1756" s="838"/>
      <c r="K1756" s="840" t="s">
        <v>2096</v>
      </c>
      <c r="L1756" s="840" t="s">
        <v>2560</v>
      </c>
      <c r="M1756" s="840" t="s">
        <v>2560</v>
      </c>
      <c r="N1756" s="840" t="s">
        <v>110</v>
      </c>
      <c r="O1756" s="113" t="s">
        <v>31</v>
      </c>
      <c r="P1756" s="848" t="s">
        <v>30</v>
      </c>
      <c r="Q1756" s="848">
        <v>46044</v>
      </c>
      <c r="R1756" s="852" t="s">
        <v>1138</v>
      </c>
      <c r="S1756" s="834" t="s">
        <v>32</v>
      </c>
      <c r="T1756" s="834">
        <v>17</v>
      </c>
      <c r="U1756" s="852" t="s">
        <v>1138</v>
      </c>
      <c r="V1756" s="848">
        <v>46044</v>
      </c>
      <c r="W1756" s="80" t="s">
        <v>113</v>
      </c>
      <c r="X1756" s="91" t="s">
        <v>32</v>
      </c>
      <c r="Y1756" s="91"/>
      <c r="Z1756" s="107" t="s">
        <v>30</v>
      </c>
      <c r="AA1756" s="107" t="s">
        <v>30</v>
      </c>
      <c r="AB1756" s="107" t="s">
        <v>30</v>
      </c>
      <c r="AC1756" s="107" t="s">
        <v>30</v>
      </c>
      <c r="AD1756" s="107" t="s">
        <v>30</v>
      </c>
      <c r="AE1756" s="107" t="s">
        <v>30</v>
      </c>
      <c r="AF1756" s="91" t="s">
        <v>32</v>
      </c>
      <c r="AG1756" s="91" t="s">
        <v>32</v>
      </c>
      <c r="AH1756" s="91" t="s">
        <v>32</v>
      </c>
      <c r="AI1756" s="107" t="s">
        <v>30</v>
      </c>
      <c r="AJ1756" s="107" t="s">
        <v>30</v>
      </c>
      <c r="AK1756" s="107" t="s">
        <v>30</v>
      </c>
      <c r="AL1756" s="91"/>
      <c r="AM1756" s="840" t="s">
        <v>2545</v>
      </c>
    </row>
    <row r="1757" spans="1:44">
      <c r="A1757" s="834" t="s">
        <v>24</v>
      </c>
      <c r="B1757" s="835">
        <v>1754</v>
      </c>
      <c r="C1757" s="838" t="s">
        <v>2575</v>
      </c>
      <c r="D1757" s="838" t="s">
        <v>102</v>
      </c>
      <c r="E1757" s="839">
        <v>46000</v>
      </c>
      <c r="F1757" s="838" t="s">
        <v>272</v>
      </c>
      <c r="G1757" s="838">
        <v>7</v>
      </c>
      <c r="H1757" s="838" t="s">
        <v>67</v>
      </c>
      <c r="I1757" s="838" t="s">
        <v>47</v>
      </c>
      <c r="J1757" s="215" t="s">
        <v>2576</v>
      </c>
      <c r="K1757" s="840" t="s">
        <v>2123</v>
      </c>
      <c r="L1757" s="840" t="s">
        <v>2560</v>
      </c>
      <c r="M1757" s="840" t="s">
        <v>2560</v>
      </c>
      <c r="N1757" s="840" t="s">
        <v>2050</v>
      </c>
      <c r="O1757" s="248"/>
      <c r="P1757" s="853"/>
      <c r="Q1757" s="848"/>
      <c r="R1757" s="24" t="s">
        <v>47</v>
      </c>
      <c r="S1757" s="834" t="s">
        <v>32</v>
      </c>
      <c r="T1757" s="834">
        <v>7</v>
      </c>
      <c r="U1757" s="852" t="s">
        <v>1138</v>
      </c>
      <c r="V1757" s="848"/>
      <c r="W1757" s="96" t="s">
        <v>30</v>
      </c>
      <c r="X1757" s="96" t="s">
        <v>30</v>
      </c>
      <c r="Y1757" s="96" t="s">
        <v>30</v>
      </c>
      <c r="Z1757" s="96" t="s">
        <v>30</v>
      </c>
      <c r="AA1757" s="96" t="s">
        <v>30</v>
      </c>
      <c r="AB1757" s="96" t="s">
        <v>30</v>
      </c>
      <c r="AC1757" s="96" t="s">
        <v>30</v>
      </c>
      <c r="AD1757" s="96" t="s">
        <v>30</v>
      </c>
      <c r="AE1757" s="96" t="s">
        <v>30</v>
      </c>
      <c r="AF1757" s="96" t="s">
        <v>30</v>
      </c>
      <c r="AG1757" s="96" t="s">
        <v>30</v>
      </c>
      <c r="AH1757" s="96" t="s">
        <v>30</v>
      </c>
      <c r="AI1757" s="96" t="s">
        <v>30</v>
      </c>
      <c r="AJ1757" s="96" t="s">
        <v>30</v>
      </c>
      <c r="AK1757" s="96" t="s">
        <v>30</v>
      </c>
      <c r="AL1757" s="91"/>
      <c r="AM1757" s="840"/>
    </row>
    <row r="1758" spans="1:44">
      <c r="A1758" s="834" t="s">
        <v>24</v>
      </c>
      <c r="B1758" s="835">
        <v>1755</v>
      </c>
      <c r="C1758" s="838" t="s">
        <v>2577</v>
      </c>
      <c r="D1758" s="838" t="s">
        <v>50</v>
      </c>
      <c r="E1758" s="839">
        <v>46001</v>
      </c>
      <c r="F1758" s="838" t="s">
        <v>97</v>
      </c>
      <c r="G1758" s="838">
        <v>13</v>
      </c>
      <c r="H1758" s="838" t="s">
        <v>127</v>
      </c>
      <c r="I1758" s="838" t="s">
        <v>178</v>
      </c>
      <c r="J1758" s="838"/>
      <c r="K1758" s="840" t="s">
        <v>2578</v>
      </c>
      <c r="L1758" s="840" t="s">
        <v>2560</v>
      </c>
      <c r="M1758" s="840" t="s">
        <v>2560</v>
      </c>
      <c r="N1758" s="840" t="s">
        <v>2579</v>
      </c>
      <c r="O1758" s="248"/>
      <c r="P1758" s="853" t="s">
        <v>30</v>
      </c>
      <c r="Q1758" s="848">
        <v>46028</v>
      </c>
      <c r="R1758" s="24" t="s">
        <v>28</v>
      </c>
      <c r="S1758" s="834" t="s">
        <v>32</v>
      </c>
      <c r="T1758" s="834">
        <v>9</v>
      </c>
      <c r="U1758" s="852" t="s">
        <v>28</v>
      </c>
      <c r="V1758" s="848">
        <v>46028</v>
      </c>
      <c r="W1758" s="91" t="s">
        <v>32</v>
      </c>
      <c r="X1758" s="90" t="s">
        <v>30</v>
      </c>
      <c r="Y1758" s="90" t="s">
        <v>30</v>
      </c>
      <c r="Z1758" s="90" t="s">
        <v>30</v>
      </c>
      <c r="AA1758" s="90" t="s">
        <v>30</v>
      </c>
      <c r="AB1758" s="90" t="s">
        <v>30</v>
      </c>
      <c r="AC1758" s="90" t="s">
        <v>30</v>
      </c>
      <c r="AD1758" s="90" t="s">
        <v>30</v>
      </c>
      <c r="AE1758" s="90" t="s">
        <v>30</v>
      </c>
      <c r="AF1758" s="90" t="s">
        <v>30</v>
      </c>
      <c r="AG1758" s="90" t="s">
        <v>30</v>
      </c>
      <c r="AH1758" s="110" t="s">
        <v>32</v>
      </c>
      <c r="AI1758" s="90" t="s">
        <v>30</v>
      </c>
      <c r="AJ1758" s="90" t="s">
        <v>30</v>
      </c>
      <c r="AK1758" s="90" t="s">
        <v>30</v>
      </c>
      <c r="AL1758" s="91"/>
      <c r="AM1758" s="840"/>
    </row>
    <row r="1759" spans="1:44">
      <c r="A1759" s="834" t="s">
        <v>24</v>
      </c>
      <c r="B1759" s="835">
        <v>1756</v>
      </c>
      <c r="C1759" s="838" t="s">
        <v>2580</v>
      </c>
      <c r="D1759" s="838" t="s">
        <v>406</v>
      </c>
      <c r="E1759" s="839">
        <v>46001</v>
      </c>
      <c r="F1759" s="838" t="s">
        <v>97</v>
      </c>
      <c r="G1759" s="838">
        <v>18</v>
      </c>
      <c r="H1759" s="838" t="s">
        <v>1721</v>
      </c>
      <c r="I1759" s="838" t="s">
        <v>1638</v>
      </c>
      <c r="J1759" s="98" t="s">
        <v>2544</v>
      </c>
      <c r="K1759" s="840" t="s">
        <v>2056</v>
      </c>
      <c r="L1759" s="840" t="s">
        <v>2541</v>
      </c>
      <c r="M1759" s="840" t="s">
        <v>2541</v>
      </c>
      <c r="N1759" s="840" t="s">
        <v>2058</v>
      </c>
      <c r="O1759" s="113" t="s">
        <v>31</v>
      </c>
      <c r="P1759" s="853" t="s">
        <v>30</v>
      </c>
      <c r="Q1759" s="848">
        <v>46050</v>
      </c>
      <c r="R1759" s="852" t="s">
        <v>1638</v>
      </c>
      <c r="S1759" s="834" t="s">
        <v>32</v>
      </c>
      <c r="T1759" s="834">
        <v>18</v>
      </c>
      <c r="U1759" s="852" t="s">
        <v>1638</v>
      </c>
      <c r="V1759" s="848">
        <v>46050</v>
      </c>
      <c r="W1759" s="96" t="s">
        <v>30</v>
      </c>
      <c r="X1759" s="91" t="s">
        <v>32</v>
      </c>
      <c r="Y1759" s="96" t="s">
        <v>30</v>
      </c>
      <c r="Z1759" s="96"/>
      <c r="AA1759" s="91"/>
      <c r="AB1759" s="96"/>
      <c r="AC1759" s="96"/>
      <c r="AD1759" s="96"/>
      <c r="AE1759" s="96"/>
      <c r="AF1759" s="96"/>
      <c r="AG1759" s="96"/>
      <c r="AH1759" s="96" t="s">
        <v>30</v>
      </c>
      <c r="AI1759" s="108"/>
      <c r="AJ1759" s="108"/>
      <c r="AK1759" s="91" t="s">
        <v>32</v>
      </c>
      <c r="AL1759" s="91"/>
      <c r="AM1759" s="840" t="s">
        <v>2581</v>
      </c>
    </row>
    <row r="1760" spans="1:44">
      <c r="A1760" s="834" t="s">
        <v>24</v>
      </c>
      <c r="B1760" s="835">
        <v>1757</v>
      </c>
      <c r="C1760" s="838" t="s">
        <v>2582</v>
      </c>
      <c r="D1760" s="838" t="s">
        <v>26</v>
      </c>
      <c r="E1760" s="839">
        <v>46001</v>
      </c>
      <c r="F1760" s="838" t="s">
        <v>62</v>
      </c>
      <c r="G1760" s="838">
        <v>12</v>
      </c>
      <c r="H1760" s="838" t="s">
        <v>1077</v>
      </c>
      <c r="I1760" s="838" t="s">
        <v>1138</v>
      </c>
      <c r="J1760" s="98"/>
      <c r="K1760" s="834" t="s">
        <v>2135</v>
      </c>
      <c r="L1760" s="834" t="s">
        <v>2560</v>
      </c>
      <c r="M1760" s="834" t="s">
        <v>2560</v>
      </c>
      <c r="N1760" s="834" t="s">
        <v>2050</v>
      </c>
      <c r="O1760" s="848"/>
      <c r="P1760" s="853" t="s">
        <v>30</v>
      </c>
      <c r="Q1760" s="848">
        <v>46028</v>
      </c>
      <c r="R1760" s="852" t="s">
        <v>1138</v>
      </c>
      <c r="S1760" s="834" t="s">
        <v>30</v>
      </c>
      <c r="T1760" s="834">
        <v>12</v>
      </c>
      <c r="U1760" s="852" t="s">
        <v>1138</v>
      </c>
      <c r="V1760" s="848">
        <v>46028</v>
      </c>
      <c r="W1760" s="90" t="s">
        <v>30</v>
      </c>
      <c r="X1760" s="90" t="s">
        <v>30</v>
      </c>
      <c r="Y1760" s="90" t="s">
        <v>30</v>
      </c>
      <c r="Z1760" s="91" t="s">
        <v>32</v>
      </c>
      <c r="AA1760" s="91" t="s">
        <v>32</v>
      </c>
      <c r="AB1760" s="91" t="s">
        <v>32</v>
      </c>
      <c r="AC1760" s="96" t="s">
        <v>30</v>
      </c>
      <c r="AD1760" s="96" t="s">
        <v>30</v>
      </c>
      <c r="AE1760" s="96" t="s">
        <v>30</v>
      </c>
      <c r="AF1760" s="96" t="s">
        <v>30</v>
      </c>
      <c r="AG1760" s="96" t="s">
        <v>30</v>
      </c>
      <c r="AH1760" s="96" t="s">
        <v>30</v>
      </c>
      <c r="AI1760" s="96" t="s">
        <v>30</v>
      </c>
      <c r="AJ1760" s="96" t="s">
        <v>30</v>
      </c>
      <c r="AK1760" s="96" t="s">
        <v>30</v>
      </c>
      <c r="AL1760" s="91"/>
      <c r="AM1760" s="840"/>
    </row>
    <row r="1761" spans="1:47">
      <c r="A1761" s="834" t="s">
        <v>24</v>
      </c>
      <c r="B1761" s="835">
        <v>1758</v>
      </c>
      <c r="C1761" s="838" t="s">
        <v>2583</v>
      </c>
      <c r="D1761" s="838" t="s">
        <v>102</v>
      </c>
      <c r="E1761" s="839">
        <v>46002</v>
      </c>
      <c r="F1761" s="838" t="s">
        <v>1621</v>
      </c>
      <c r="G1761" s="838">
        <v>17</v>
      </c>
      <c r="H1761" s="838" t="s">
        <v>67</v>
      </c>
      <c r="I1761" s="838" t="s">
        <v>47</v>
      </c>
      <c r="J1761" s="838"/>
      <c r="K1761" s="840" t="s">
        <v>2061</v>
      </c>
      <c r="L1761" s="840" t="s">
        <v>2584</v>
      </c>
      <c r="M1761" s="840" t="s">
        <v>2585</v>
      </c>
      <c r="N1761" s="840" t="s">
        <v>2058</v>
      </c>
      <c r="O1761" s="113" t="s">
        <v>31</v>
      </c>
      <c r="P1761" s="853" t="s">
        <v>30</v>
      </c>
      <c r="Q1761" s="848">
        <v>46038</v>
      </c>
      <c r="R1761" s="24" t="s">
        <v>47</v>
      </c>
      <c r="S1761" s="834" t="s">
        <v>32</v>
      </c>
      <c r="T1761" s="834">
        <v>15</v>
      </c>
      <c r="U1761" s="24" t="s">
        <v>47</v>
      </c>
      <c r="V1761" s="848">
        <v>46038</v>
      </c>
      <c r="W1761" s="96" t="s">
        <v>30</v>
      </c>
      <c r="X1761" s="96" t="s">
        <v>30</v>
      </c>
      <c r="Y1761" s="96" t="s">
        <v>30</v>
      </c>
      <c r="Z1761" s="96" t="s">
        <v>30</v>
      </c>
      <c r="AA1761" s="96" t="s">
        <v>30</v>
      </c>
      <c r="AB1761" s="96" t="s">
        <v>30</v>
      </c>
      <c r="AC1761" s="96" t="s">
        <v>30</v>
      </c>
      <c r="AD1761" s="96" t="s">
        <v>30</v>
      </c>
      <c r="AE1761" s="96" t="s">
        <v>30</v>
      </c>
      <c r="AF1761" s="96" t="s">
        <v>30</v>
      </c>
      <c r="AG1761" s="96" t="s">
        <v>30</v>
      </c>
      <c r="AH1761" s="96" t="s">
        <v>30</v>
      </c>
      <c r="AI1761" s="96" t="s">
        <v>30</v>
      </c>
      <c r="AJ1761" s="96" t="s">
        <v>30</v>
      </c>
      <c r="AK1761" s="96" t="s">
        <v>30</v>
      </c>
      <c r="AL1761" s="91"/>
      <c r="AM1761" s="840"/>
    </row>
    <row r="1762" spans="1:47">
      <c r="A1762" s="834" t="s">
        <v>24</v>
      </c>
      <c r="B1762" s="835">
        <v>1759</v>
      </c>
      <c r="C1762" s="838" t="s">
        <v>2586</v>
      </c>
      <c r="D1762" s="838" t="s">
        <v>50</v>
      </c>
      <c r="E1762" s="839">
        <v>46003</v>
      </c>
      <c r="F1762" s="838" t="s">
        <v>161</v>
      </c>
      <c r="G1762" s="838">
        <v>36</v>
      </c>
      <c r="H1762" s="838" t="s">
        <v>67</v>
      </c>
      <c r="I1762" s="838" t="s">
        <v>47</v>
      </c>
      <c r="J1762" s="838"/>
      <c r="K1762" s="840" t="s">
        <v>2098</v>
      </c>
      <c r="L1762" s="840" t="s">
        <v>2585</v>
      </c>
      <c r="M1762" s="840" t="s">
        <v>2585</v>
      </c>
      <c r="N1762" s="840" t="s">
        <v>2050</v>
      </c>
      <c r="O1762" s="113" t="s">
        <v>31</v>
      </c>
      <c r="P1762" s="853" t="s">
        <v>30</v>
      </c>
      <c r="Q1762" s="848">
        <v>46053</v>
      </c>
      <c r="R1762" s="24" t="s">
        <v>48</v>
      </c>
      <c r="S1762" s="834" t="s">
        <v>32</v>
      </c>
      <c r="T1762" s="834">
        <v>31</v>
      </c>
      <c r="U1762" s="24" t="s">
        <v>48</v>
      </c>
      <c r="V1762" s="848">
        <v>46053</v>
      </c>
      <c r="W1762" s="96" t="s">
        <v>30</v>
      </c>
      <c r="X1762" s="96" t="s">
        <v>30</v>
      </c>
      <c r="Y1762" s="96" t="s">
        <v>30</v>
      </c>
      <c r="Z1762" s="96" t="s">
        <v>30</v>
      </c>
      <c r="AA1762" s="96" t="s">
        <v>30</v>
      </c>
      <c r="AB1762" s="96" t="s">
        <v>30</v>
      </c>
      <c r="AC1762" s="96" t="s">
        <v>30</v>
      </c>
      <c r="AD1762" s="96" t="s">
        <v>30</v>
      </c>
      <c r="AE1762" s="96" t="s">
        <v>30</v>
      </c>
      <c r="AF1762" s="96" t="s">
        <v>30</v>
      </c>
      <c r="AG1762" s="96" t="s">
        <v>30</v>
      </c>
      <c r="AH1762" s="96" t="s">
        <v>30</v>
      </c>
      <c r="AI1762" s="96" t="s">
        <v>30</v>
      </c>
      <c r="AJ1762" s="96" t="s">
        <v>30</v>
      </c>
      <c r="AK1762" s="96" t="s">
        <v>30</v>
      </c>
      <c r="AL1762" s="91" t="s">
        <v>32</v>
      </c>
      <c r="AM1762" s="840" t="s">
        <v>2548</v>
      </c>
    </row>
    <row r="1763" spans="1:47">
      <c r="A1763" s="834" t="s">
        <v>24</v>
      </c>
      <c r="B1763" s="835">
        <v>1760</v>
      </c>
      <c r="C1763" s="838" t="s">
        <v>2587</v>
      </c>
      <c r="D1763" s="838" t="s">
        <v>1641</v>
      </c>
      <c r="E1763" s="839">
        <v>46003</v>
      </c>
      <c r="F1763" s="838" t="s">
        <v>666</v>
      </c>
      <c r="G1763" s="838">
        <v>12</v>
      </c>
      <c r="H1763" s="838" t="s">
        <v>1721</v>
      </c>
      <c r="I1763" s="838" t="s">
        <v>1638</v>
      </c>
      <c r="J1763" s="838"/>
      <c r="K1763" s="840" t="s">
        <v>2264</v>
      </c>
      <c r="L1763" s="840" t="s">
        <v>2585</v>
      </c>
      <c r="M1763" s="840" t="s">
        <v>2585</v>
      </c>
      <c r="N1763" s="840" t="s">
        <v>2050</v>
      </c>
      <c r="O1763" s="853"/>
      <c r="P1763" s="853" t="s">
        <v>30</v>
      </c>
      <c r="Q1763" s="848">
        <v>46036</v>
      </c>
      <c r="R1763" s="852" t="s">
        <v>1638</v>
      </c>
      <c r="S1763" s="834" t="s">
        <v>32</v>
      </c>
      <c r="T1763" s="834">
        <v>10</v>
      </c>
      <c r="U1763" s="852" t="s">
        <v>1638</v>
      </c>
      <c r="V1763" s="848">
        <v>46036</v>
      </c>
      <c r="W1763" s="96" t="s">
        <v>30</v>
      </c>
      <c r="X1763" s="96" t="s">
        <v>30</v>
      </c>
      <c r="Y1763" s="96" t="s">
        <v>30</v>
      </c>
      <c r="Z1763" s="96" t="s">
        <v>30</v>
      </c>
      <c r="AA1763" s="96" t="s">
        <v>30</v>
      </c>
      <c r="AB1763" s="96" t="s">
        <v>30</v>
      </c>
      <c r="AC1763" s="96" t="s">
        <v>30</v>
      </c>
      <c r="AD1763" s="91" t="s">
        <v>32</v>
      </c>
      <c r="AE1763" s="96" t="s">
        <v>30</v>
      </c>
      <c r="AF1763" s="96" t="s">
        <v>30</v>
      </c>
      <c r="AG1763" s="96" t="s">
        <v>30</v>
      </c>
      <c r="AH1763" s="96" t="s">
        <v>30</v>
      </c>
      <c r="AI1763" s="107" t="s">
        <v>30</v>
      </c>
      <c r="AJ1763" s="107" t="s">
        <v>30</v>
      </c>
      <c r="AK1763" s="107" t="s">
        <v>30</v>
      </c>
      <c r="AL1763" s="91"/>
      <c r="AM1763" s="840"/>
      <c r="AO1763" s="776"/>
      <c r="AP1763" s="776"/>
      <c r="AQ1763" s="776"/>
      <c r="AR1763" s="776"/>
    </row>
    <row r="1764" spans="1:47">
      <c r="A1764" s="834" t="s">
        <v>24</v>
      </c>
      <c r="B1764" s="835">
        <v>1761</v>
      </c>
      <c r="C1764" s="838" t="s">
        <v>2588</v>
      </c>
      <c r="D1764" s="838" t="s">
        <v>606</v>
      </c>
      <c r="E1764" s="839">
        <v>46003</v>
      </c>
      <c r="F1764" s="838" t="s">
        <v>2589</v>
      </c>
      <c r="G1764" s="838">
        <v>11</v>
      </c>
      <c r="H1764" s="838" t="s">
        <v>1721</v>
      </c>
      <c r="I1764" s="838" t="s">
        <v>1638</v>
      </c>
      <c r="J1764" s="838"/>
      <c r="K1764" s="840" t="s">
        <v>2590</v>
      </c>
      <c r="L1764" s="840" t="s">
        <v>2591</v>
      </c>
      <c r="M1764" s="840" t="s">
        <v>2592</v>
      </c>
      <c r="N1764" s="840" t="s">
        <v>2050</v>
      </c>
      <c r="O1764" s="853"/>
      <c r="P1764" s="853" t="s">
        <v>30</v>
      </c>
      <c r="Q1764" s="848">
        <v>46037</v>
      </c>
      <c r="R1764" s="852" t="s">
        <v>1638</v>
      </c>
      <c r="S1764" s="834" t="s">
        <v>32</v>
      </c>
      <c r="T1764" s="834">
        <v>10</v>
      </c>
      <c r="U1764" s="852" t="s">
        <v>1638</v>
      </c>
      <c r="V1764" s="848">
        <v>46037</v>
      </c>
      <c r="W1764" s="96" t="s">
        <v>30</v>
      </c>
      <c r="X1764" s="96" t="s">
        <v>30</v>
      </c>
      <c r="Y1764" s="96" t="s">
        <v>30</v>
      </c>
      <c r="Z1764" s="91" t="s">
        <v>32</v>
      </c>
      <c r="AA1764" s="91" t="s">
        <v>32</v>
      </c>
      <c r="AB1764" s="91" t="s">
        <v>32</v>
      </c>
      <c r="AC1764" s="96" t="s">
        <v>30</v>
      </c>
      <c r="AD1764" s="96" t="s">
        <v>30</v>
      </c>
      <c r="AE1764" s="96" t="s">
        <v>30</v>
      </c>
      <c r="AF1764" s="96" t="s">
        <v>30</v>
      </c>
      <c r="AG1764" s="96" t="s">
        <v>30</v>
      </c>
      <c r="AH1764" s="96" t="s">
        <v>30</v>
      </c>
      <c r="AI1764" s="96" t="s">
        <v>30</v>
      </c>
      <c r="AJ1764" s="96" t="s">
        <v>30</v>
      </c>
      <c r="AK1764" s="96" t="s">
        <v>30</v>
      </c>
      <c r="AL1764" s="91"/>
      <c r="AM1764" s="840" t="s">
        <v>2548</v>
      </c>
      <c r="AS1764" s="71"/>
      <c r="AT1764" s="92"/>
      <c r="AU1764" s="92"/>
    </row>
    <row r="1765" spans="1:47">
      <c r="A1765" s="834" t="s">
        <v>24</v>
      </c>
      <c r="B1765" s="835">
        <v>1762</v>
      </c>
      <c r="C1765" s="838" t="s">
        <v>2593</v>
      </c>
      <c r="D1765" s="838" t="s">
        <v>451</v>
      </c>
      <c r="E1765" s="839">
        <v>46003</v>
      </c>
      <c r="F1765" s="838" t="s">
        <v>737</v>
      </c>
      <c r="G1765" s="838">
        <v>13</v>
      </c>
      <c r="H1765" s="838" t="s">
        <v>1721</v>
      </c>
      <c r="I1765" s="838" t="s">
        <v>1638</v>
      </c>
      <c r="J1765" s="838"/>
      <c r="K1765" s="840" t="s">
        <v>2594</v>
      </c>
      <c r="L1765" s="840" t="s">
        <v>2592</v>
      </c>
      <c r="M1765" s="840" t="s">
        <v>2592</v>
      </c>
      <c r="N1765" s="840" t="s">
        <v>2050</v>
      </c>
      <c r="O1765" s="248"/>
      <c r="P1765" s="853" t="s">
        <v>30</v>
      </c>
      <c r="Q1765" s="848">
        <v>46051</v>
      </c>
      <c r="R1765" s="852" t="s">
        <v>1638</v>
      </c>
      <c r="S1765" s="834" t="s">
        <v>32</v>
      </c>
      <c r="T1765" s="834">
        <v>9</v>
      </c>
      <c r="U1765" s="852" t="s">
        <v>1638</v>
      </c>
      <c r="V1765" s="848">
        <v>46051</v>
      </c>
      <c r="W1765" s="91" t="s">
        <v>32</v>
      </c>
      <c r="X1765" s="91" t="s">
        <v>32</v>
      </c>
      <c r="Y1765" s="91"/>
      <c r="Z1765" s="96" t="s">
        <v>30</v>
      </c>
      <c r="AA1765" s="96" t="s">
        <v>30</v>
      </c>
      <c r="AB1765" s="96" t="s">
        <v>30</v>
      </c>
      <c r="AC1765" s="96" t="s">
        <v>30</v>
      </c>
      <c r="AD1765" s="96" t="s">
        <v>30</v>
      </c>
      <c r="AE1765" s="96" t="s">
        <v>30</v>
      </c>
      <c r="AF1765" s="96" t="s">
        <v>30</v>
      </c>
      <c r="AG1765" s="96" t="s">
        <v>30</v>
      </c>
      <c r="AH1765" s="110" t="s">
        <v>32</v>
      </c>
      <c r="AI1765" s="96" t="s">
        <v>30</v>
      </c>
      <c r="AJ1765" s="96" t="s">
        <v>30</v>
      </c>
      <c r="AK1765" s="96" t="s">
        <v>30</v>
      </c>
      <c r="AL1765" s="91"/>
      <c r="AM1765" s="840"/>
      <c r="AO1765" s="776"/>
      <c r="AP1765" s="776"/>
      <c r="AQ1765" s="776"/>
      <c r="AR1765" s="776"/>
    </row>
    <row r="1766" spans="1:47">
      <c r="A1766" s="834" t="s">
        <v>24</v>
      </c>
      <c r="B1766" s="835">
        <v>1763</v>
      </c>
      <c r="C1766" s="838" t="s">
        <v>2595</v>
      </c>
      <c r="D1766" s="838" t="s">
        <v>50</v>
      </c>
      <c r="E1766" s="839">
        <v>46003</v>
      </c>
      <c r="F1766" s="838" t="s">
        <v>1105</v>
      </c>
      <c r="G1766" s="838">
        <v>22</v>
      </c>
      <c r="H1766" s="838" t="s">
        <v>1721</v>
      </c>
      <c r="I1766" s="838" t="s">
        <v>1638</v>
      </c>
      <c r="J1766" s="215" t="s">
        <v>2576</v>
      </c>
      <c r="K1766" s="840" t="s">
        <v>2578</v>
      </c>
      <c r="L1766" s="840" t="s">
        <v>2591</v>
      </c>
      <c r="M1766" s="840" t="s">
        <v>2592</v>
      </c>
      <c r="N1766" s="840" t="s">
        <v>2050</v>
      </c>
      <c r="O1766" s="113" t="s">
        <v>31</v>
      </c>
      <c r="P1766" s="853"/>
      <c r="Q1766" s="848"/>
      <c r="R1766" s="852" t="s">
        <v>1638</v>
      </c>
      <c r="S1766" s="834" t="s">
        <v>32</v>
      </c>
      <c r="T1766" s="834">
        <v>22</v>
      </c>
      <c r="U1766" s="852"/>
      <c r="V1766" s="848"/>
      <c r="W1766" s="91" t="s">
        <v>32</v>
      </c>
      <c r="X1766" s="96" t="s">
        <v>30</v>
      </c>
      <c r="Y1766" s="91"/>
      <c r="Z1766" s="90" t="s">
        <v>30</v>
      </c>
      <c r="AA1766" s="90" t="s">
        <v>30</v>
      </c>
      <c r="AB1766" s="90" t="s">
        <v>30</v>
      </c>
      <c r="AC1766" s="96" t="s">
        <v>30</v>
      </c>
      <c r="AD1766" s="96" t="s">
        <v>30</v>
      </c>
      <c r="AE1766" s="96" t="s">
        <v>30</v>
      </c>
      <c r="AF1766" s="96" t="s">
        <v>30</v>
      </c>
      <c r="AG1766" s="96" t="s">
        <v>30</v>
      </c>
      <c r="AH1766" s="110"/>
      <c r="AI1766" s="96" t="s">
        <v>30</v>
      </c>
      <c r="AJ1766" s="96" t="s">
        <v>30</v>
      </c>
      <c r="AK1766" s="96" t="s">
        <v>30</v>
      </c>
      <c r="AL1766" s="91"/>
      <c r="AM1766" s="840" t="s">
        <v>2545</v>
      </c>
      <c r="AO1766" s="776"/>
      <c r="AP1766" s="776"/>
      <c r="AQ1766" s="776"/>
      <c r="AR1766" s="776"/>
    </row>
    <row r="1767" spans="1:47">
      <c r="A1767" s="834" t="s">
        <v>24</v>
      </c>
      <c r="B1767" s="835">
        <v>1764</v>
      </c>
      <c r="C1767" s="838" t="s">
        <v>2596</v>
      </c>
      <c r="D1767" s="838" t="s">
        <v>606</v>
      </c>
      <c r="E1767" s="839">
        <v>46004</v>
      </c>
      <c r="F1767" s="838" t="s">
        <v>77</v>
      </c>
      <c r="G1767" s="838">
        <v>11</v>
      </c>
      <c r="H1767" s="838" t="s">
        <v>1721</v>
      </c>
      <c r="I1767" s="838" t="s">
        <v>1638</v>
      </c>
      <c r="J1767" s="838"/>
      <c r="K1767" s="840" t="s">
        <v>2098</v>
      </c>
      <c r="L1767" s="840" t="s">
        <v>2585</v>
      </c>
      <c r="M1767" s="840" t="s">
        <v>2585</v>
      </c>
      <c r="N1767" s="840" t="s">
        <v>2050</v>
      </c>
      <c r="O1767" s="248"/>
      <c r="P1767" s="853" t="s">
        <v>30</v>
      </c>
      <c r="Q1767" s="848">
        <v>46035</v>
      </c>
      <c r="R1767" s="852" t="s">
        <v>1638</v>
      </c>
      <c r="S1767" s="834" t="s">
        <v>1140</v>
      </c>
      <c r="T1767" s="834">
        <v>11</v>
      </c>
      <c r="U1767" s="852" t="s">
        <v>1638</v>
      </c>
      <c r="V1767" s="848">
        <v>46035</v>
      </c>
      <c r="W1767" s="96" t="s">
        <v>30</v>
      </c>
      <c r="X1767" s="90" t="s">
        <v>30</v>
      </c>
      <c r="Y1767" s="90" t="s">
        <v>30</v>
      </c>
      <c r="Z1767" s="96" t="s">
        <v>30</v>
      </c>
      <c r="AA1767" s="96" t="s">
        <v>30</v>
      </c>
      <c r="AB1767" s="96" t="s">
        <v>30</v>
      </c>
      <c r="AC1767" s="96" t="s">
        <v>30</v>
      </c>
      <c r="AD1767" s="96" t="s">
        <v>30</v>
      </c>
      <c r="AE1767" s="96" t="s">
        <v>30</v>
      </c>
      <c r="AF1767" s="96" t="s">
        <v>30</v>
      </c>
      <c r="AG1767" s="96" t="s">
        <v>30</v>
      </c>
      <c r="AH1767" s="96" t="s">
        <v>30</v>
      </c>
      <c r="AI1767" s="90" t="s">
        <v>30</v>
      </c>
      <c r="AJ1767" s="90" t="s">
        <v>30</v>
      </c>
      <c r="AK1767" s="90" t="s">
        <v>30</v>
      </c>
      <c r="AL1767" s="91" t="s">
        <v>32</v>
      </c>
      <c r="AM1767" s="840" t="s">
        <v>2548</v>
      </c>
    </row>
    <row r="1768" spans="1:47">
      <c r="A1768" s="834" t="s">
        <v>24</v>
      </c>
      <c r="B1768" s="835">
        <v>1765</v>
      </c>
      <c r="C1768" s="838" t="s">
        <v>2597</v>
      </c>
      <c r="D1768" s="838" t="s">
        <v>50</v>
      </c>
      <c r="E1768" s="839">
        <v>46004</v>
      </c>
      <c r="F1768" s="838" t="s">
        <v>35</v>
      </c>
      <c r="G1768" s="838">
        <v>12</v>
      </c>
      <c r="H1768" s="838" t="s">
        <v>1721</v>
      </c>
      <c r="I1768" s="838" t="s">
        <v>1638</v>
      </c>
      <c r="J1768" s="838"/>
      <c r="K1768" s="840" t="s">
        <v>2102</v>
      </c>
      <c r="L1768" s="840" t="s">
        <v>2591</v>
      </c>
      <c r="M1768" s="840" t="s">
        <v>2591</v>
      </c>
      <c r="N1768" s="840" t="s">
        <v>2166</v>
      </c>
      <c r="O1768" s="248"/>
      <c r="P1768" s="853" t="s">
        <v>30</v>
      </c>
      <c r="Q1768" s="848">
        <v>46034</v>
      </c>
      <c r="R1768" s="852" t="s">
        <v>1638</v>
      </c>
      <c r="S1768" s="834" t="s">
        <v>32</v>
      </c>
      <c r="T1768" s="834">
        <v>12</v>
      </c>
      <c r="U1768" s="852" t="s">
        <v>1638</v>
      </c>
      <c r="V1768" s="848">
        <v>46034</v>
      </c>
      <c r="W1768" s="96" t="s">
        <v>30</v>
      </c>
      <c r="X1768" s="96" t="s">
        <v>30</v>
      </c>
      <c r="Y1768" s="96" t="s">
        <v>30</v>
      </c>
      <c r="Z1768" s="96" t="s">
        <v>30</v>
      </c>
      <c r="AA1768" s="96" t="s">
        <v>30</v>
      </c>
      <c r="AB1768" s="96" t="s">
        <v>30</v>
      </c>
      <c r="AC1768" s="96" t="s">
        <v>30</v>
      </c>
      <c r="AD1768" s="96" t="s">
        <v>30</v>
      </c>
      <c r="AE1768" s="96" t="s">
        <v>30</v>
      </c>
      <c r="AF1768" s="96" t="s">
        <v>30</v>
      </c>
      <c r="AG1768" s="96" t="s">
        <v>30</v>
      </c>
      <c r="AH1768" s="96" t="s">
        <v>30</v>
      </c>
      <c r="AI1768" s="110" t="s">
        <v>32</v>
      </c>
      <c r="AJ1768" s="110" t="s">
        <v>32</v>
      </c>
      <c r="AK1768" s="107" t="s">
        <v>30</v>
      </c>
      <c r="AL1768" s="91"/>
      <c r="AM1768" s="840" t="s">
        <v>2548</v>
      </c>
    </row>
    <row r="1769" spans="1:47">
      <c r="A1769" s="834" t="s">
        <v>24</v>
      </c>
      <c r="B1769" s="835">
        <v>1766</v>
      </c>
      <c r="C1769" s="838" t="s">
        <v>2598</v>
      </c>
      <c r="D1769" s="838" t="s">
        <v>102</v>
      </c>
      <c r="E1769" s="839">
        <v>46004</v>
      </c>
      <c r="F1769" s="838" t="s">
        <v>2107</v>
      </c>
      <c r="G1769" s="838">
        <v>8</v>
      </c>
      <c r="H1769" s="838" t="s">
        <v>1077</v>
      </c>
      <c r="I1769" s="838" t="s">
        <v>1138</v>
      </c>
      <c r="J1769" s="136" t="s">
        <v>30</v>
      </c>
      <c r="K1769" s="840" t="s">
        <v>2066</v>
      </c>
      <c r="L1769" s="840" t="s">
        <v>2591</v>
      </c>
      <c r="M1769" s="840" t="s">
        <v>2592</v>
      </c>
      <c r="N1769" s="840" t="s">
        <v>2083</v>
      </c>
      <c r="O1769" s="853"/>
      <c r="P1769" s="853"/>
      <c r="Q1769" s="848"/>
      <c r="R1769" s="852" t="s">
        <v>1138</v>
      </c>
      <c r="S1769" s="834"/>
      <c r="T1769" s="834"/>
      <c r="U1769" s="852"/>
      <c r="V1769" s="848"/>
      <c r="W1769" s="96" t="s">
        <v>30</v>
      </c>
      <c r="X1769" s="96" t="s">
        <v>30</v>
      </c>
      <c r="Y1769" s="96"/>
      <c r="Z1769" s="96" t="s">
        <v>30</v>
      </c>
      <c r="AA1769" s="91" t="s">
        <v>32</v>
      </c>
      <c r="AB1769" s="96" t="s">
        <v>30</v>
      </c>
      <c r="AC1769" s="96" t="s">
        <v>30</v>
      </c>
      <c r="AD1769" s="96" t="s">
        <v>30</v>
      </c>
      <c r="AE1769" s="96" t="s">
        <v>30</v>
      </c>
      <c r="AF1769" s="96" t="s">
        <v>30</v>
      </c>
      <c r="AG1769" s="96" t="s">
        <v>30</v>
      </c>
      <c r="AH1769" s="110"/>
      <c r="AI1769" s="91" t="s">
        <v>32</v>
      </c>
      <c r="AJ1769" s="96" t="s">
        <v>30</v>
      </c>
      <c r="AK1769" s="91" t="s">
        <v>32</v>
      </c>
      <c r="AL1769" s="91"/>
      <c r="AM1769" s="840" t="s">
        <v>2548</v>
      </c>
    </row>
    <row r="1770" spans="1:47">
      <c r="A1770" s="834" t="s">
        <v>24</v>
      </c>
      <c r="B1770" s="835">
        <v>1767</v>
      </c>
      <c r="C1770" s="838" t="s">
        <v>2599</v>
      </c>
      <c r="D1770" s="838" t="s">
        <v>50</v>
      </c>
      <c r="E1770" s="839">
        <v>46004</v>
      </c>
      <c r="F1770" s="838" t="s">
        <v>2566</v>
      </c>
      <c r="G1770" s="838">
        <v>12</v>
      </c>
      <c r="H1770" s="838" t="s">
        <v>1077</v>
      </c>
      <c r="I1770" s="838" t="s">
        <v>1138</v>
      </c>
      <c r="J1770" s="838"/>
      <c r="K1770" s="840" t="s">
        <v>2600</v>
      </c>
      <c r="L1770" s="840" t="s">
        <v>2591</v>
      </c>
      <c r="M1770" s="840" t="s">
        <v>2592</v>
      </c>
      <c r="N1770" s="840" t="s">
        <v>2567</v>
      </c>
      <c r="O1770" s="853"/>
      <c r="P1770" s="853" t="s">
        <v>30</v>
      </c>
      <c r="Q1770" s="848">
        <v>46029</v>
      </c>
      <c r="R1770" s="852" t="s">
        <v>1138</v>
      </c>
      <c r="S1770" s="834" t="s">
        <v>32</v>
      </c>
      <c r="T1770" s="834">
        <v>10</v>
      </c>
      <c r="U1770" s="852" t="s">
        <v>1138</v>
      </c>
      <c r="V1770" s="848">
        <v>46029</v>
      </c>
      <c r="W1770" s="96" t="s">
        <v>30</v>
      </c>
      <c r="X1770" s="96" t="s">
        <v>30</v>
      </c>
      <c r="Y1770" s="96" t="s">
        <v>30</v>
      </c>
      <c r="Z1770" s="96" t="s">
        <v>30</v>
      </c>
      <c r="AA1770" s="96" t="s">
        <v>30</v>
      </c>
      <c r="AB1770" s="96" t="s">
        <v>30</v>
      </c>
      <c r="AC1770" s="96" t="s">
        <v>30</v>
      </c>
      <c r="AD1770" s="96" t="s">
        <v>30</v>
      </c>
      <c r="AE1770" s="96" t="s">
        <v>30</v>
      </c>
      <c r="AF1770" s="96" t="s">
        <v>30</v>
      </c>
      <c r="AG1770" s="96" t="s">
        <v>30</v>
      </c>
      <c r="AH1770" s="96" t="s">
        <v>30</v>
      </c>
      <c r="AI1770" s="96" t="s">
        <v>30</v>
      </c>
      <c r="AJ1770" s="96" t="s">
        <v>30</v>
      </c>
      <c r="AK1770" s="96" t="s">
        <v>30</v>
      </c>
      <c r="AL1770" s="91"/>
      <c r="AM1770" s="840"/>
    </row>
    <row r="1771" spans="1:47">
      <c r="A1771" s="834" t="s">
        <v>24</v>
      </c>
      <c r="B1771" s="835">
        <v>1768</v>
      </c>
      <c r="C1771" s="838" t="s">
        <v>2601</v>
      </c>
      <c r="D1771" s="838" t="s">
        <v>43</v>
      </c>
      <c r="E1771" s="839">
        <v>46004</v>
      </c>
      <c r="F1771" s="838" t="s">
        <v>2014</v>
      </c>
      <c r="G1771" s="838">
        <v>28</v>
      </c>
      <c r="H1771" s="838" t="s">
        <v>1077</v>
      </c>
      <c r="I1771" s="838" t="s">
        <v>1138</v>
      </c>
      <c r="J1771" s="98"/>
      <c r="K1771" s="834" t="s">
        <v>2108</v>
      </c>
      <c r="L1771" s="834" t="s">
        <v>2592</v>
      </c>
      <c r="M1771" s="834" t="s">
        <v>2592</v>
      </c>
      <c r="N1771" s="834" t="s">
        <v>2050</v>
      </c>
      <c r="O1771" s="113" t="s">
        <v>31</v>
      </c>
      <c r="P1771" s="853" t="s">
        <v>30</v>
      </c>
      <c r="Q1771" s="23">
        <v>46030</v>
      </c>
      <c r="R1771" s="852" t="s">
        <v>1138</v>
      </c>
      <c r="S1771" s="834" t="s">
        <v>30</v>
      </c>
      <c r="T1771" s="22">
        <v>19</v>
      </c>
      <c r="U1771" s="852" t="s">
        <v>1138</v>
      </c>
      <c r="V1771" s="23">
        <v>46030</v>
      </c>
      <c r="W1771" s="96" t="s">
        <v>30</v>
      </c>
      <c r="X1771" s="80" t="s">
        <v>30</v>
      </c>
      <c r="Y1771" s="80" t="s">
        <v>30</v>
      </c>
      <c r="Z1771" s="80" t="s">
        <v>30</v>
      </c>
      <c r="AA1771" s="80" t="s">
        <v>30</v>
      </c>
      <c r="AB1771" s="80" t="s">
        <v>30</v>
      </c>
      <c r="AC1771" s="80" t="s">
        <v>30</v>
      </c>
      <c r="AD1771" s="80" t="s">
        <v>30</v>
      </c>
      <c r="AE1771" s="80" t="s">
        <v>30</v>
      </c>
      <c r="AF1771" s="80" t="s">
        <v>30</v>
      </c>
      <c r="AG1771" s="80" t="s">
        <v>30</v>
      </c>
      <c r="AH1771" s="96" t="s">
        <v>30</v>
      </c>
      <c r="AI1771" s="107" t="s">
        <v>30</v>
      </c>
      <c r="AJ1771" s="107" t="s">
        <v>30</v>
      </c>
      <c r="AK1771" s="107" t="s">
        <v>30</v>
      </c>
      <c r="AL1771" s="91"/>
      <c r="AM1771" s="840"/>
    </row>
    <row r="1772" spans="1:47">
      <c r="A1772" s="834" t="s">
        <v>24</v>
      </c>
      <c r="B1772" s="835">
        <v>1769</v>
      </c>
      <c r="C1772" s="838" t="s">
        <v>2602</v>
      </c>
      <c r="D1772" s="838" t="s">
        <v>50</v>
      </c>
      <c r="E1772" s="839">
        <v>46004</v>
      </c>
      <c r="F1772" s="838" t="s">
        <v>62</v>
      </c>
      <c r="G1772" s="838">
        <v>12</v>
      </c>
      <c r="H1772" s="838" t="s">
        <v>1077</v>
      </c>
      <c r="I1772" s="838" t="s">
        <v>1138</v>
      </c>
      <c r="J1772" s="98"/>
      <c r="K1772" s="834" t="s">
        <v>2135</v>
      </c>
      <c r="L1772" s="834" t="s">
        <v>2592</v>
      </c>
      <c r="M1772" s="834" t="s">
        <v>2603</v>
      </c>
      <c r="N1772" s="834" t="s">
        <v>2050</v>
      </c>
      <c r="O1772" s="113"/>
      <c r="P1772" s="853" t="s">
        <v>30</v>
      </c>
      <c r="Q1772" s="23">
        <v>46030</v>
      </c>
      <c r="R1772" s="852" t="s">
        <v>1138</v>
      </c>
      <c r="S1772" s="834" t="s">
        <v>30</v>
      </c>
      <c r="T1772" s="22">
        <v>12</v>
      </c>
      <c r="U1772" s="852" t="s">
        <v>1138</v>
      </c>
      <c r="V1772" s="23">
        <v>46030</v>
      </c>
      <c r="W1772" s="96" t="s">
        <v>30</v>
      </c>
      <c r="X1772" s="96" t="s">
        <v>30</v>
      </c>
      <c r="Y1772" s="96" t="s">
        <v>30</v>
      </c>
      <c r="Z1772" s="91" t="s">
        <v>32</v>
      </c>
      <c r="AA1772" s="91" t="s">
        <v>32</v>
      </c>
      <c r="AB1772" s="91" t="s">
        <v>32</v>
      </c>
      <c r="AC1772" s="96" t="s">
        <v>30</v>
      </c>
      <c r="AD1772" s="96" t="s">
        <v>30</v>
      </c>
      <c r="AE1772" s="96" t="s">
        <v>30</v>
      </c>
      <c r="AF1772" s="96" t="s">
        <v>30</v>
      </c>
      <c r="AG1772" s="96" t="s">
        <v>30</v>
      </c>
      <c r="AH1772" s="96" t="s">
        <v>30</v>
      </c>
      <c r="AI1772" s="96" t="s">
        <v>30</v>
      </c>
      <c r="AJ1772" s="96" t="s">
        <v>30</v>
      </c>
      <c r="AK1772" s="107" t="s">
        <v>30</v>
      </c>
      <c r="AL1772" s="91"/>
      <c r="AM1772" s="840"/>
    </row>
    <row r="1773" spans="1:47">
      <c r="A1773" s="834" t="s">
        <v>24</v>
      </c>
      <c r="B1773" s="835">
        <v>1770</v>
      </c>
      <c r="C1773" s="838" t="s">
        <v>2604</v>
      </c>
      <c r="D1773" s="838" t="s">
        <v>26</v>
      </c>
      <c r="E1773" s="839">
        <v>46004</v>
      </c>
      <c r="F1773" s="838" t="s">
        <v>683</v>
      </c>
      <c r="G1773" s="838">
        <v>25</v>
      </c>
      <c r="H1773" s="838" t="s">
        <v>67</v>
      </c>
      <c r="I1773" s="838" t="s">
        <v>47</v>
      </c>
      <c r="J1773" s="838"/>
      <c r="K1773" s="840" t="s">
        <v>2226</v>
      </c>
      <c r="L1773" s="840" t="s">
        <v>2591</v>
      </c>
      <c r="M1773" s="840" t="s">
        <v>2591</v>
      </c>
      <c r="N1773" s="840" t="s">
        <v>2050</v>
      </c>
      <c r="O1773" s="113" t="s">
        <v>31</v>
      </c>
      <c r="P1773" s="245" t="s">
        <v>30</v>
      </c>
      <c r="Q1773" s="23">
        <v>46053</v>
      </c>
      <c r="R1773" s="24" t="s">
        <v>48</v>
      </c>
      <c r="S1773" s="22" t="s">
        <v>1140</v>
      </c>
      <c r="T1773" s="22">
        <v>25</v>
      </c>
      <c r="U1773" s="24" t="s">
        <v>48</v>
      </c>
      <c r="V1773" s="23">
        <v>46053</v>
      </c>
      <c r="W1773" s="96" t="s">
        <v>30</v>
      </c>
      <c r="X1773" s="91" t="s">
        <v>32</v>
      </c>
      <c r="Y1773" s="96" t="s">
        <v>30</v>
      </c>
      <c r="Z1773" s="96" t="s">
        <v>30</v>
      </c>
      <c r="AA1773" s="91" t="s">
        <v>32</v>
      </c>
      <c r="AB1773" s="96" t="s">
        <v>30</v>
      </c>
      <c r="AC1773" s="96" t="s">
        <v>30</v>
      </c>
      <c r="AD1773" s="96" t="s">
        <v>30</v>
      </c>
      <c r="AE1773" s="96" t="s">
        <v>30</v>
      </c>
      <c r="AF1773" s="96" t="s">
        <v>30</v>
      </c>
      <c r="AG1773" s="96" t="s">
        <v>30</v>
      </c>
      <c r="AH1773" s="96" t="s">
        <v>30</v>
      </c>
      <c r="AI1773" s="96" t="s">
        <v>30</v>
      </c>
      <c r="AJ1773" s="96" t="s">
        <v>30</v>
      </c>
      <c r="AK1773" s="96" t="s">
        <v>30</v>
      </c>
      <c r="AL1773" s="91"/>
      <c r="AM1773" s="840" t="s">
        <v>2545</v>
      </c>
      <c r="AO1773" s="776"/>
      <c r="AP1773" s="776"/>
      <c r="AQ1773" s="776"/>
      <c r="AR1773" s="776"/>
    </row>
    <row r="1774" spans="1:47">
      <c r="A1774" s="834" t="s">
        <v>24</v>
      </c>
      <c r="B1774" s="835">
        <v>1771</v>
      </c>
      <c r="C1774" s="838" t="s">
        <v>2605</v>
      </c>
      <c r="D1774" s="838" t="s">
        <v>34</v>
      </c>
      <c r="E1774" s="839">
        <v>46004</v>
      </c>
      <c r="F1774" s="838" t="s">
        <v>2016</v>
      </c>
      <c r="G1774" s="838">
        <v>16</v>
      </c>
      <c r="H1774" s="838" t="s">
        <v>1077</v>
      </c>
      <c r="I1774" s="838" t="s">
        <v>1138</v>
      </c>
      <c r="J1774" s="98"/>
      <c r="K1774" s="834" t="s">
        <v>2052</v>
      </c>
      <c r="L1774" s="834" t="s">
        <v>2591</v>
      </c>
      <c r="M1774" s="834" t="s">
        <v>2592</v>
      </c>
      <c r="N1774" s="834" t="s">
        <v>2050</v>
      </c>
      <c r="O1774" s="113" t="s">
        <v>31</v>
      </c>
      <c r="P1774" s="23" t="s">
        <v>30</v>
      </c>
      <c r="Q1774" s="23">
        <v>46030</v>
      </c>
      <c r="R1774" s="852" t="s">
        <v>1138</v>
      </c>
      <c r="S1774" s="834" t="s">
        <v>30</v>
      </c>
      <c r="T1774" s="22">
        <v>12</v>
      </c>
      <c r="U1774" s="24" t="s">
        <v>1138</v>
      </c>
      <c r="V1774" s="23">
        <v>46030</v>
      </c>
      <c r="W1774" s="96" t="s">
        <v>30</v>
      </c>
      <c r="X1774" s="96" t="s">
        <v>30</v>
      </c>
      <c r="Y1774" s="96" t="s">
        <v>30</v>
      </c>
      <c r="Z1774" s="96" t="s">
        <v>30</v>
      </c>
      <c r="AA1774" s="96" t="s">
        <v>30</v>
      </c>
      <c r="AB1774" s="96" t="s">
        <v>30</v>
      </c>
      <c r="AC1774" s="96" t="s">
        <v>30</v>
      </c>
      <c r="AD1774" s="96" t="s">
        <v>30</v>
      </c>
      <c r="AE1774" s="96" t="s">
        <v>30</v>
      </c>
      <c r="AF1774" s="96" t="s">
        <v>30</v>
      </c>
      <c r="AG1774" s="96" t="s">
        <v>30</v>
      </c>
      <c r="AH1774" s="96" t="s">
        <v>30</v>
      </c>
      <c r="AI1774" s="107" t="s">
        <v>30</v>
      </c>
      <c r="AJ1774" s="107" t="s">
        <v>30</v>
      </c>
      <c r="AK1774" s="107" t="s">
        <v>30</v>
      </c>
      <c r="AL1774" s="91"/>
      <c r="AM1774" s="840"/>
      <c r="AS1774" s="71"/>
      <c r="AT1774" s="92"/>
      <c r="AU1774" s="92"/>
    </row>
    <row r="1775" spans="1:47">
      <c r="A1775" s="834" t="s">
        <v>24</v>
      </c>
      <c r="B1775" s="835">
        <v>1772</v>
      </c>
      <c r="C1775" s="838" t="s">
        <v>2606</v>
      </c>
      <c r="D1775" s="838" t="s">
        <v>34</v>
      </c>
      <c r="E1775" s="839">
        <v>46004</v>
      </c>
      <c r="F1775" s="838" t="s">
        <v>1295</v>
      </c>
      <c r="G1775" s="838">
        <v>13</v>
      </c>
      <c r="H1775" s="838" t="s">
        <v>67</v>
      </c>
      <c r="I1775" s="838" t="s">
        <v>47</v>
      </c>
      <c r="J1775" s="98" t="s">
        <v>2544</v>
      </c>
      <c r="K1775" s="840" t="s">
        <v>2195</v>
      </c>
      <c r="L1775" s="840" t="s">
        <v>2592</v>
      </c>
      <c r="M1775" s="840" t="s">
        <v>2592</v>
      </c>
      <c r="N1775" s="840" t="s">
        <v>2607</v>
      </c>
      <c r="O1775" s="853"/>
      <c r="P1775" s="245"/>
      <c r="Q1775" s="23"/>
      <c r="R1775" s="24" t="s">
        <v>48</v>
      </c>
      <c r="S1775" s="22"/>
      <c r="T1775" s="22"/>
      <c r="U1775" s="24"/>
      <c r="V1775" s="23"/>
      <c r="W1775" s="91" t="s">
        <v>32</v>
      </c>
      <c r="X1775" s="91" t="s">
        <v>32</v>
      </c>
      <c r="Y1775" s="96" t="s">
        <v>30</v>
      </c>
      <c r="Z1775" s="91" t="s">
        <v>32</v>
      </c>
      <c r="AA1775" s="91" t="s">
        <v>32</v>
      </c>
      <c r="AB1775" s="107" t="s">
        <v>30</v>
      </c>
      <c r="AC1775" s="107" t="s">
        <v>30</v>
      </c>
      <c r="AD1775" s="107" t="s">
        <v>30</v>
      </c>
      <c r="AE1775" s="107" t="s">
        <v>30</v>
      </c>
      <c r="AF1775" s="107" t="s">
        <v>30</v>
      </c>
      <c r="AG1775" s="107" t="s">
        <v>30</v>
      </c>
      <c r="AH1775" s="107" t="s">
        <v>30</v>
      </c>
      <c r="AI1775" s="107" t="s">
        <v>30</v>
      </c>
      <c r="AJ1775" s="107" t="s">
        <v>30</v>
      </c>
      <c r="AK1775" s="110" t="s">
        <v>32</v>
      </c>
      <c r="AL1775" s="91"/>
      <c r="AM1775" s="840"/>
    </row>
    <row r="1776" spans="1:47">
      <c r="A1776" s="834" t="s">
        <v>24</v>
      </c>
      <c r="B1776" s="835">
        <v>1773</v>
      </c>
      <c r="C1776" s="838" t="s">
        <v>2608</v>
      </c>
      <c r="D1776" s="838" t="s">
        <v>50</v>
      </c>
      <c r="E1776" s="839">
        <v>46004</v>
      </c>
      <c r="F1776" s="838" t="s">
        <v>1470</v>
      </c>
      <c r="G1776" s="838">
        <v>12</v>
      </c>
      <c r="H1776" s="838" t="s">
        <v>67</v>
      </c>
      <c r="I1776" s="838" t="s">
        <v>47</v>
      </c>
      <c r="J1776" s="838"/>
      <c r="K1776" s="840" t="s">
        <v>2126</v>
      </c>
      <c r="L1776" s="840" t="s">
        <v>2591</v>
      </c>
      <c r="M1776" s="840" t="s">
        <v>2603</v>
      </c>
      <c r="N1776" s="840" t="s">
        <v>2609</v>
      </c>
      <c r="O1776" s="853"/>
      <c r="P1776" s="245" t="s">
        <v>30</v>
      </c>
      <c r="Q1776" s="23">
        <v>46053</v>
      </c>
      <c r="R1776" s="24" t="s">
        <v>48</v>
      </c>
      <c r="S1776" s="22" t="s">
        <v>32</v>
      </c>
      <c r="T1776" s="22">
        <v>10</v>
      </c>
      <c r="U1776" s="24" t="s">
        <v>48</v>
      </c>
      <c r="V1776" s="23">
        <v>46053</v>
      </c>
      <c r="W1776" s="90" t="s">
        <v>30</v>
      </c>
      <c r="X1776" s="96" t="s">
        <v>30</v>
      </c>
      <c r="Y1776" s="96" t="s">
        <v>30</v>
      </c>
      <c r="Z1776" s="96" t="s">
        <v>30</v>
      </c>
      <c r="AA1776" s="96" t="s">
        <v>30</v>
      </c>
      <c r="AB1776" s="96" t="s">
        <v>30</v>
      </c>
      <c r="AC1776" s="96" t="s">
        <v>30</v>
      </c>
      <c r="AD1776" s="96" t="s">
        <v>30</v>
      </c>
      <c r="AE1776" s="96" t="s">
        <v>30</v>
      </c>
      <c r="AF1776" s="96" t="s">
        <v>30</v>
      </c>
      <c r="AG1776" s="96" t="s">
        <v>30</v>
      </c>
      <c r="AH1776" s="96" t="s">
        <v>30</v>
      </c>
      <c r="AI1776" s="96" t="s">
        <v>30</v>
      </c>
      <c r="AJ1776" s="96" t="s">
        <v>30</v>
      </c>
      <c r="AK1776" s="96" t="s">
        <v>30</v>
      </c>
      <c r="AL1776" s="91"/>
      <c r="AM1776" s="840"/>
    </row>
    <row r="1777" spans="1:47">
      <c r="A1777" s="834" t="s">
        <v>24</v>
      </c>
      <c r="B1777" s="835">
        <v>1774</v>
      </c>
      <c r="C1777" s="838" t="s">
        <v>2610</v>
      </c>
      <c r="D1777" s="838" t="s">
        <v>34</v>
      </c>
      <c r="E1777" s="839">
        <v>46004</v>
      </c>
      <c r="F1777" s="838" t="s">
        <v>2611</v>
      </c>
      <c r="G1777" s="838">
        <v>13</v>
      </c>
      <c r="H1777" s="838" t="s">
        <v>67</v>
      </c>
      <c r="I1777" s="838" t="s">
        <v>47</v>
      </c>
      <c r="J1777" s="838"/>
      <c r="K1777" s="840" t="s">
        <v>2123</v>
      </c>
      <c r="L1777" s="840" t="s">
        <v>2603</v>
      </c>
      <c r="M1777" s="840" t="s">
        <v>2603</v>
      </c>
      <c r="N1777" s="840" t="s">
        <v>2050</v>
      </c>
      <c r="O1777" s="853"/>
      <c r="P1777" s="853" t="s">
        <v>1057</v>
      </c>
      <c r="Q1777" s="23">
        <v>46056</v>
      </c>
      <c r="R1777" s="24" t="s">
        <v>1638</v>
      </c>
      <c r="S1777" s="22" t="s">
        <v>32</v>
      </c>
      <c r="T1777" s="22">
        <v>13</v>
      </c>
      <c r="U1777" s="24" t="s">
        <v>1638</v>
      </c>
      <c r="V1777" s="23">
        <v>46056</v>
      </c>
      <c r="W1777" s="96" t="s">
        <v>30</v>
      </c>
      <c r="X1777" s="91" t="s">
        <v>32</v>
      </c>
      <c r="Y1777" s="96" t="s">
        <v>30</v>
      </c>
      <c r="Z1777" s="96" t="s">
        <v>30</v>
      </c>
      <c r="AA1777" s="96" t="s">
        <v>30</v>
      </c>
      <c r="AB1777" s="96" t="s">
        <v>30</v>
      </c>
      <c r="AC1777" s="96" t="s">
        <v>30</v>
      </c>
      <c r="AD1777" s="96" t="s">
        <v>30</v>
      </c>
      <c r="AE1777" s="96" t="s">
        <v>30</v>
      </c>
      <c r="AF1777" s="96" t="s">
        <v>30</v>
      </c>
      <c r="AG1777" s="96" t="s">
        <v>30</v>
      </c>
      <c r="AH1777" s="96" t="s">
        <v>30</v>
      </c>
      <c r="AI1777" s="96" t="s">
        <v>30</v>
      </c>
      <c r="AJ1777" s="96" t="s">
        <v>30</v>
      </c>
      <c r="AK1777" s="96" t="s">
        <v>30</v>
      </c>
      <c r="AL1777" s="91"/>
      <c r="AM1777" s="840"/>
      <c r="AS1777" s="71"/>
      <c r="AT1777" s="92"/>
      <c r="AU1777" s="92"/>
    </row>
    <row r="1778" spans="1:47">
      <c r="A1778" s="834" t="s">
        <v>24</v>
      </c>
      <c r="B1778" s="835">
        <v>1775</v>
      </c>
      <c r="C1778" s="838" t="s">
        <v>2612</v>
      </c>
      <c r="D1778" s="838" t="s">
        <v>606</v>
      </c>
      <c r="E1778" s="839">
        <v>46004</v>
      </c>
      <c r="F1778" s="838" t="s">
        <v>187</v>
      </c>
      <c r="G1778" s="838">
        <v>11</v>
      </c>
      <c r="H1778" s="838" t="s">
        <v>67</v>
      </c>
      <c r="I1778" s="838" t="s">
        <v>47</v>
      </c>
      <c r="J1778" s="98"/>
      <c r="K1778" s="840" t="s">
        <v>2590</v>
      </c>
      <c r="L1778" s="840" t="s">
        <v>2603</v>
      </c>
      <c r="M1778" s="840" t="s">
        <v>2603</v>
      </c>
      <c r="N1778" s="840" t="s">
        <v>2050</v>
      </c>
      <c r="O1778" s="853"/>
      <c r="P1778" s="853" t="s">
        <v>30</v>
      </c>
      <c r="Q1778" s="23">
        <v>46055</v>
      </c>
      <c r="R1778" s="24" t="s">
        <v>67</v>
      </c>
      <c r="S1778" s="22" t="s">
        <v>32</v>
      </c>
      <c r="T1778" s="22">
        <v>11</v>
      </c>
      <c r="U1778" s="24" t="s">
        <v>67</v>
      </c>
      <c r="V1778" s="23">
        <v>46055</v>
      </c>
      <c r="W1778" s="96" t="s">
        <v>30</v>
      </c>
      <c r="X1778" s="96" t="s">
        <v>30</v>
      </c>
      <c r="Y1778" s="96" t="s">
        <v>30</v>
      </c>
      <c r="Z1778" s="91" t="s">
        <v>32</v>
      </c>
      <c r="AA1778" s="91" t="s">
        <v>32</v>
      </c>
      <c r="AB1778" s="91" t="s">
        <v>32</v>
      </c>
      <c r="AC1778" s="96" t="s">
        <v>30</v>
      </c>
      <c r="AD1778" s="91" t="s">
        <v>32</v>
      </c>
      <c r="AE1778" s="96" t="s">
        <v>30</v>
      </c>
      <c r="AF1778" s="91" t="s">
        <v>32</v>
      </c>
      <c r="AG1778" s="96" t="s">
        <v>30</v>
      </c>
      <c r="AH1778" s="96" t="s">
        <v>30</v>
      </c>
      <c r="AI1778" s="96" t="s">
        <v>30</v>
      </c>
      <c r="AJ1778" s="96" t="s">
        <v>30</v>
      </c>
      <c r="AK1778" s="91" t="s">
        <v>32</v>
      </c>
      <c r="AL1778" s="91"/>
      <c r="AM1778" s="840" t="s">
        <v>2548</v>
      </c>
    </row>
    <row r="1779" spans="1:47">
      <c r="A1779" s="834" t="s">
        <v>24</v>
      </c>
      <c r="B1779" s="835">
        <v>1776</v>
      </c>
      <c r="C1779" s="838" t="s">
        <v>2613</v>
      </c>
      <c r="D1779" s="838" t="s">
        <v>50</v>
      </c>
      <c r="E1779" s="839">
        <v>46004</v>
      </c>
      <c r="F1779" s="838" t="s">
        <v>688</v>
      </c>
      <c r="G1779" s="838">
        <v>11</v>
      </c>
      <c r="H1779" s="838" t="s">
        <v>67</v>
      </c>
      <c r="I1779" s="838" t="s">
        <v>47</v>
      </c>
      <c r="J1779" s="838"/>
      <c r="K1779" s="840" t="s">
        <v>2113</v>
      </c>
      <c r="L1779" s="840" t="s">
        <v>2592</v>
      </c>
      <c r="M1779" s="840" t="s">
        <v>2603</v>
      </c>
      <c r="N1779" s="840" t="s">
        <v>2614</v>
      </c>
      <c r="O1779" s="853"/>
      <c r="P1779" s="245" t="s">
        <v>30</v>
      </c>
      <c r="Q1779" s="23">
        <v>46053</v>
      </c>
      <c r="R1779" s="24" t="s">
        <v>48</v>
      </c>
      <c r="S1779" s="22" t="s">
        <v>32</v>
      </c>
      <c r="T1779" s="22">
        <v>6</v>
      </c>
      <c r="U1779" s="24" t="s">
        <v>48</v>
      </c>
      <c r="V1779" s="23">
        <v>46053</v>
      </c>
      <c r="W1779" s="96" t="s">
        <v>30</v>
      </c>
      <c r="X1779" s="96" t="s">
        <v>30</v>
      </c>
      <c r="Y1779" s="96" t="s">
        <v>30</v>
      </c>
      <c r="Z1779" s="96" t="s">
        <v>30</v>
      </c>
      <c r="AA1779" s="96" t="s">
        <v>30</v>
      </c>
      <c r="AB1779" s="96" t="s">
        <v>30</v>
      </c>
      <c r="AC1779" s="96" t="s">
        <v>30</v>
      </c>
      <c r="AD1779" s="96" t="s">
        <v>30</v>
      </c>
      <c r="AE1779" s="96" t="s">
        <v>30</v>
      </c>
      <c r="AF1779" s="96" t="s">
        <v>30</v>
      </c>
      <c r="AG1779" s="96" t="s">
        <v>30</v>
      </c>
      <c r="AH1779" s="96" t="s">
        <v>30</v>
      </c>
      <c r="AI1779" s="96" t="s">
        <v>30</v>
      </c>
      <c r="AJ1779" s="96" t="s">
        <v>30</v>
      </c>
      <c r="AK1779" s="96" t="s">
        <v>30</v>
      </c>
      <c r="AL1779" s="91"/>
      <c r="AM1779" s="840"/>
    </row>
    <row r="1780" spans="1:47">
      <c r="A1780" s="834" t="s">
        <v>24</v>
      </c>
      <c r="B1780" s="835">
        <v>1777</v>
      </c>
      <c r="C1780" s="838" t="s">
        <v>2615</v>
      </c>
      <c r="D1780" s="838" t="s">
        <v>102</v>
      </c>
      <c r="E1780" s="839">
        <v>46004</v>
      </c>
      <c r="F1780" s="838" t="s">
        <v>97</v>
      </c>
      <c r="G1780" s="838">
        <v>10</v>
      </c>
      <c r="H1780" s="838" t="s">
        <v>127</v>
      </c>
      <c r="I1780" s="838" t="s">
        <v>178</v>
      </c>
      <c r="J1780" s="838"/>
      <c r="K1780" s="840" t="s">
        <v>2056</v>
      </c>
      <c r="L1780" s="840" t="s">
        <v>2603</v>
      </c>
      <c r="M1780" s="840" t="s">
        <v>2603</v>
      </c>
      <c r="N1780" s="840" t="s">
        <v>2058</v>
      </c>
      <c r="O1780" s="853"/>
      <c r="P1780" s="853" t="s">
        <v>30</v>
      </c>
      <c r="Q1780" s="23">
        <v>46056</v>
      </c>
      <c r="R1780" s="24" t="s">
        <v>47</v>
      </c>
      <c r="S1780" s="22" t="s">
        <v>32</v>
      </c>
      <c r="T1780" s="22">
        <v>10</v>
      </c>
      <c r="U1780" s="24" t="s">
        <v>47</v>
      </c>
      <c r="V1780" s="23">
        <v>46056</v>
      </c>
      <c r="W1780" s="96" t="s">
        <v>30</v>
      </c>
      <c r="X1780" s="91" t="s">
        <v>32</v>
      </c>
      <c r="Y1780" s="96" t="s">
        <v>30</v>
      </c>
      <c r="Z1780" s="96" t="s">
        <v>30</v>
      </c>
      <c r="AA1780" s="96" t="s">
        <v>30</v>
      </c>
      <c r="AB1780" s="96" t="s">
        <v>30</v>
      </c>
      <c r="AC1780" s="96" t="s">
        <v>30</v>
      </c>
      <c r="AD1780" s="96" t="s">
        <v>30</v>
      </c>
      <c r="AE1780" s="96" t="s">
        <v>30</v>
      </c>
      <c r="AF1780" s="96" t="s">
        <v>30</v>
      </c>
      <c r="AG1780" s="96" t="s">
        <v>30</v>
      </c>
      <c r="AH1780" s="96" t="s">
        <v>30</v>
      </c>
      <c r="AI1780" s="96" t="s">
        <v>30</v>
      </c>
      <c r="AJ1780" s="96" t="s">
        <v>30</v>
      </c>
      <c r="AK1780" s="96" t="s">
        <v>30</v>
      </c>
      <c r="AL1780" s="91"/>
      <c r="AM1780" s="840" t="s">
        <v>2545</v>
      </c>
    </row>
    <row r="1781" spans="1:47">
      <c r="A1781" s="834" t="s">
        <v>24</v>
      </c>
      <c r="B1781" s="835">
        <v>1778</v>
      </c>
      <c r="C1781" s="838" t="s">
        <v>2616</v>
      </c>
      <c r="D1781" s="838" t="s">
        <v>1131</v>
      </c>
      <c r="E1781" s="839">
        <v>46004</v>
      </c>
      <c r="F1781" s="838" t="s">
        <v>117</v>
      </c>
      <c r="G1781" s="838">
        <v>10</v>
      </c>
      <c r="H1781" s="838" t="s">
        <v>127</v>
      </c>
      <c r="I1781" s="838" t="s">
        <v>178</v>
      </c>
      <c r="J1781" s="98"/>
      <c r="K1781" s="840" t="s">
        <v>2061</v>
      </c>
      <c r="L1781" s="840" t="s">
        <v>2592</v>
      </c>
      <c r="M1781" s="840" t="s">
        <v>2592</v>
      </c>
      <c r="N1781" s="840" t="s">
        <v>2058</v>
      </c>
      <c r="O1781" s="248"/>
      <c r="P1781" s="853" t="s">
        <v>30</v>
      </c>
      <c r="Q1781" s="23">
        <v>46056</v>
      </c>
      <c r="R1781" s="24" t="s">
        <v>127</v>
      </c>
      <c r="S1781" s="22" t="s">
        <v>32</v>
      </c>
      <c r="T1781" s="22">
        <v>10</v>
      </c>
      <c r="U1781" s="24" t="s">
        <v>127</v>
      </c>
      <c r="V1781" s="23">
        <v>46056</v>
      </c>
      <c r="W1781" s="96" t="s">
        <v>30</v>
      </c>
      <c r="X1781" s="91" t="s">
        <v>32</v>
      </c>
      <c r="Y1781" s="96" t="s">
        <v>30</v>
      </c>
      <c r="Z1781" s="96" t="s">
        <v>30</v>
      </c>
      <c r="AA1781" s="96" t="s">
        <v>30</v>
      </c>
      <c r="AB1781" s="96" t="s">
        <v>30</v>
      </c>
      <c r="AC1781" s="96" t="s">
        <v>30</v>
      </c>
      <c r="AD1781" s="96" t="s">
        <v>30</v>
      </c>
      <c r="AE1781" s="96" t="s">
        <v>30</v>
      </c>
      <c r="AF1781" s="96" t="s">
        <v>30</v>
      </c>
      <c r="AG1781" s="96" t="s">
        <v>30</v>
      </c>
      <c r="AH1781" s="96" t="s">
        <v>30</v>
      </c>
      <c r="AI1781" s="96" t="s">
        <v>30</v>
      </c>
      <c r="AJ1781" s="96" t="s">
        <v>30</v>
      </c>
      <c r="AK1781" s="91" t="s">
        <v>32</v>
      </c>
      <c r="AL1781" s="91"/>
      <c r="AM1781" s="840" t="s">
        <v>2545</v>
      </c>
    </row>
    <row r="1782" spans="1:47">
      <c r="A1782" s="834" t="s">
        <v>24</v>
      </c>
      <c r="B1782" s="835">
        <v>1779</v>
      </c>
      <c r="C1782" s="838" t="s">
        <v>2617</v>
      </c>
      <c r="D1782" s="838" t="s">
        <v>34</v>
      </c>
      <c r="E1782" s="839">
        <v>46004</v>
      </c>
      <c r="F1782" s="838" t="s">
        <v>1165</v>
      </c>
      <c r="G1782" s="838">
        <v>30</v>
      </c>
      <c r="H1782" s="838" t="s">
        <v>127</v>
      </c>
      <c r="I1782" s="838" t="s">
        <v>178</v>
      </c>
      <c r="J1782" s="838"/>
      <c r="K1782" s="840" t="s">
        <v>2244</v>
      </c>
      <c r="L1782" s="840" t="s">
        <v>2591</v>
      </c>
      <c r="M1782" s="840" t="s">
        <v>2591</v>
      </c>
      <c r="N1782" s="840" t="s">
        <v>2050</v>
      </c>
      <c r="O1782" s="113" t="s">
        <v>31</v>
      </c>
      <c r="P1782" s="853" t="s">
        <v>30</v>
      </c>
      <c r="Q1782" s="23">
        <v>46037</v>
      </c>
      <c r="R1782" s="24" t="s">
        <v>28</v>
      </c>
      <c r="S1782" s="22" t="s">
        <v>1055</v>
      </c>
      <c r="T1782" s="22">
        <v>33</v>
      </c>
      <c r="U1782" s="24" t="s">
        <v>28</v>
      </c>
      <c r="V1782" s="23">
        <v>46037</v>
      </c>
      <c r="W1782" s="96" t="s">
        <v>30</v>
      </c>
      <c r="X1782" s="96" t="s">
        <v>30</v>
      </c>
      <c r="Y1782" s="96" t="s">
        <v>30</v>
      </c>
      <c r="Z1782" s="96" t="s">
        <v>30</v>
      </c>
      <c r="AA1782" s="96" t="s">
        <v>30</v>
      </c>
      <c r="AB1782" s="96" t="s">
        <v>30</v>
      </c>
      <c r="AC1782" s="96" t="s">
        <v>30</v>
      </c>
      <c r="AD1782" s="96" t="s">
        <v>30</v>
      </c>
      <c r="AE1782" s="96" t="s">
        <v>30</v>
      </c>
      <c r="AF1782" s="96" t="s">
        <v>30</v>
      </c>
      <c r="AG1782" s="96" t="s">
        <v>30</v>
      </c>
      <c r="AH1782" s="96" t="s">
        <v>30</v>
      </c>
      <c r="AI1782" s="96" t="s">
        <v>30</v>
      </c>
      <c r="AJ1782" s="96" t="s">
        <v>30</v>
      </c>
      <c r="AK1782" s="96" t="s">
        <v>30</v>
      </c>
      <c r="AL1782" s="91"/>
      <c r="AM1782" s="840"/>
    </row>
    <row r="1783" spans="1:47">
      <c r="A1783" s="834" t="s">
        <v>24</v>
      </c>
      <c r="B1783" s="835">
        <v>1780</v>
      </c>
      <c r="C1783" s="838" t="s">
        <v>2618</v>
      </c>
      <c r="D1783" s="838" t="s">
        <v>34</v>
      </c>
      <c r="E1783" s="839">
        <v>46004</v>
      </c>
      <c r="F1783" s="838" t="s">
        <v>439</v>
      </c>
      <c r="G1783" s="838">
        <v>13</v>
      </c>
      <c r="H1783" s="838" t="s">
        <v>127</v>
      </c>
      <c r="I1783" s="838" t="s">
        <v>178</v>
      </c>
      <c r="J1783" s="838"/>
      <c r="K1783" s="840" t="s">
        <v>2087</v>
      </c>
      <c r="L1783" s="840" t="s">
        <v>2591</v>
      </c>
      <c r="M1783" s="840" t="s">
        <v>2591</v>
      </c>
      <c r="N1783" s="840" t="s">
        <v>2050</v>
      </c>
      <c r="O1783" s="840"/>
      <c r="P1783" s="853" t="s">
        <v>30</v>
      </c>
      <c r="Q1783" s="23">
        <v>46036</v>
      </c>
      <c r="R1783" s="24" t="s">
        <v>28</v>
      </c>
      <c r="S1783" s="22" t="s">
        <v>1140</v>
      </c>
      <c r="T1783" s="22">
        <v>12</v>
      </c>
      <c r="U1783" s="24" t="s">
        <v>28</v>
      </c>
      <c r="V1783" s="23">
        <v>46036</v>
      </c>
      <c r="W1783" s="96" t="s">
        <v>30</v>
      </c>
      <c r="X1783" s="96" t="s">
        <v>30</v>
      </c>
      <c r="Y1783" s="96" t="s">
        <v>30</v>
      </c>
      <c r="Z1783" s="120"/>
      <c r="AA1783" s="120"/>
      <c r="AB1783" s="120"/>
      <c r="AC1783" s="96" t="s">
        <v>30</v>
      </c>
      <c r="AD1783" s="96" t="s">
        <v>30</v>
      </c>
      <c r="AE1783" s="96" t="s">
        <v>30</v>
      </c>
      <c r="AF1783" s="96" t="s">
        <v>30</v>
      </c>
      <c r="AG1783" s="96" t="s">
        <v>30</v>
      </c>
      <c r="AH1783" s="96" t="s">
        <v>30</v>
      </c>
      <c r="AI1783" s="96" t="s">
        <v>30</v>
      </c>
      <c r="AJ1783" s="96" t="s">
        <v>30</v>
      </c>
      <c r="AK1783" s="96" t="s">
        <v>30</v>
      </c>
      <c r="AL1783" s="91"/>
      <c r="AM1783" s="840"/>
    </row>
    <row r="1784" spans="1:47">
      <c r="A1784" s="834" t="s">
        <v>24</v>
      </c>
      <c r="B1784" s="835">
        <v>1781</v>
      </c>
      <c r="C1784" s="838" t="s">
        <v>2619</v>
      </c>
      <c r="D1784" s="838" t="s">
        <v>34</v>
      </c>
      <c r="E1784" s="839">
        <v>46004</v>
      </c>
      <c r="F1784" s="838" t="s">
        <v>106</v>
      </c>
      <c r="G1784" s="838">
        <v>12</v>
      </c>
      <c r="H1784" s="838" t="s">
        <v>127</v>
      </c>
      <c r="I1784" s="838" t="s">
        <v>178</v>
      </c>
      <c r="J1784" s="215" t="s">
        <v>2576</v>
      </c>
      <c r="K1784" s="840" t="s">
        <v>2180</v>
      </c>
      <c r="L1784" s="840" t="s">
        <v>2591</v>
      </c>
      <c r="M1784" s="840" t="s">
        <v>2591</v>
      </c>
      <c r="N1784" s="840" t="s">
        <v>2050</v>
      </c>
      <c r="O1784" s="853"/>
      <c r="P1784" s="245"/>
      <c r="Q1784" s="23"/>
      <c r="R1784" s="24" t="s">
        <v>28</v>
      </c>
      <c r="S1784" s="834" t="s">
        <v>32</v>
      </c>
      <c r="T1784" s="22">
        <v>15</v>
      </c>
      <c r="U1784" s="24" t="s">
        <v>28</v>
      </c>
      <c r="V1784" s="23"/>
      <c r="W1784" s="118" t="s">
        <v>30</v>
      </c>
      <c r="X1784" s="118" t="s">
        <v>30</v>
      </c>
      <c r="Y1784" s="107" t="s">
        <v>30</v>
      </c>
      <c r="Z1784" s="120"/>
      <c r="AA1784" s="120"/>
      <c r="AB1784" s="120"/>
      <c r="AC1784" s="107" t="s">
        <v>30</v>
      </c>
      <c r="AD1784" s="107" t="s">
        <v>30</v>
      </c>
      <c r="AE1784" s="107" t="s">
        <v>30</v>
      </c>
      <c r="AF1784" s="107" t="s">
        <v>30</v>
      </c>
      <c r="AG1784" s="107" t="s">
        <v>30</v>
      </c>
      <c r="AH1784" s="96" t="s">
        <v>30</v>
      </c>
      <c r="AI1784" s="107" t="s">
        <v>30</v>
      </c>
      <c r="AJ1784" s="107" t="s">
        <v>30</v>
      </c>
      <c r="AK1784" s="107" t="s">
        <v>30</v>
      </c>
      <c r="AL1784" s="91"/>
      <c r="AM1784" s="840"/>
    </row>
    <row r="1785" spans="1:47">
      <c r="A1785" s="834" t="s">
        <v>24</v>
      </c>
      <c r="B1785" s="835">
        <v>1782</v>
      </c>
      <c r="C1785" s="838" t="s">
        <v>2620</v>
      </c>
      <c r="D1785" s="838" t="s">
        <v>34</v>
      </c>
      <c r="E1785" s="839">
        <v>46004</v>
      </c>
      <c r="F1785" s="838" t="s">
        <v>1943</v>
      </c>
      <c r="G1785" s="838">
        <v>12</v>
      </c>
      <c r="H1785" s="838" t="s">
        <v>127</v>
      </c>
      <c r="I1785" s="838" t="s">
        <v>36</v>
      </c>
      <c r="J1785" s="98"/>
      <c r="K1785" s="840" t="s">
        <v>2130</v>
      </c>
      <c r="L1785" s="840" t="s">
        <v>2591</v>
      </c>
      <c r="M1785" s="840" t="s">
        <v>2591</v>
      </c>
      <c r="N1785" s="840" t="s">
        <v>2050</v>
      </c>
      <c r="O1785" s="248"/>
      <c r="P1785" s="853" t="s">
        <v>30</v>
      </c>
      <c r="Q1785" s="23">
        <v>46057</v>
      </c>
      <c r="R1785" s="24" t="s">
        <v>28</v>
      </c>
      <c r="S1785" s="834" t="s">
        <v>32</v>
      </c>
      <c r="T1785" s="22">
        <v>12</v>
      </c>
      <c r="U1785" s="24" t="s">
        <v>28</v>
      </c>
      <c r="V1785" s="23">
        <v>46057</v>
      </c>
      <c r="W1785" s="80" t="s">
        <v>30</v>
      </c>
      <c r="X1785" s="96" t="s">
        <v>30</v>
      </c>
      <c r="Y1785" s="96" t="s">
        <v>30</v>
      </c>
      <c r="Z1785" s="91" t="s">
        <v>32</v>
      </c>
      <c r="AA1785" s="91" t="s">
        <v>32</v>
      </c>
      <c r="AB1785" s="96" t="s">
        <v>30</v>
      </c>
      <c r="AC1785" s="96" t="s">
        <v>30</v>
      </c>
      <c r="AD1785" s="96" t="s">
        <v>30</v>
      </c>
      <c r="AE1785" s="96" t="s">
        <v>30</v>
      </c>
      <c r="AF1785" s="96" t="s">
        <v>30</v>
      </c>
      <c r="AG1785" s="96" t="s">
        <v>30</v>
      </c>
      <c r="AH1785" s="96" t="s">
        <v>30</v>
      </c>
      <c r="AI1785" s="107" t="s">
        <v>30</v>
      </c>
      <c r="AJ1785" s="107" t="s">
        <v>30</v>
      </c>
      <c r="AK1785" s="107" t="s">
        <v>30</v>
      </c>
      <c r="AL1785" s="91"/>
      <c r="AM1785" s="840" t="s">
        <v>2545</v>
      </c>
      <c r="AR1785" s="84"/>
      <c r="AS1785" s="71"/>
      <c r="AT1785" s="71"/>
      <c r="AU1785" s="71"/>
    </row>
    <row r="1786" spans="1:47">
      <c r="A1786" s="834" t="s">
        <v>24</v>
      </c>
      <c r="B1786" s="835">
        <v>1783</v>
      </c>
      <c r="C1786" s="838" t="s">
        <v>2621</v>
      </c>
      <c r="D1786" s="838" t="s">
        <v>50</v>
      </c>
      <c r="E1786" s="839">
        <v>46006</v>
      </c>
      <c r="F1786" s="838" t="s">
        <v>1124</v>
      </c>
      <c r="G1786" s="838">
        <v>13</v>
      </c>
      <c r="H1786" s="838" t="s">
        <v>1077</v>
      </c>
      <c r="I1786" s="838" t="s">
        <v>1138</v>
      </c>
      <c r="J1786" s="838"/>
      <c r="K1786" s="840" t="s">
        <v>2296</v>
      </c>
      <c r="L1786" s="840" t="s">
        <v>2592</v>
      </c>
      <c r="M1786" s="840" t="s">
        <v>2592</v>
      </c>
      <c r="N1786" s="840" t="s">
        <v>2058</v>
      </c>
      <c r="O1786" s="840"/>
      <c r="P1786" s="853" t="s">
        <v>30</v>
      </c>
      <c r="Q1786" s="23">
        <v>46030</v>
      </c>
      <c r="R1786" s="852" t="s">
        <v>1138</v>
      </c>
      <c r="S1786" s="22" t="s">
        <v>32</v>
      </c>
      <c r="T1786" s="22">
        <v>11</v>
      </c>
      <c r="U1786" s="24" t="s">
        <v>1138</v>
      </c>
      <c r="V1786" s="23">
        <v>46030</v>
      </c>
      <c r="W1786" s="96" t="s">
        <v>30</v>
      </c>
      <c r="X1786" s="96" t="s">
        <v>30</v>
      </c>
      <c r="Y1786" s="96" t="s">
        <v>30</v>
      </c>
      <c r="Z1786" s="96" t="s">
        <v>30</v>
      </c>
      <c r="AA1786" s="96" t="s">
        <v>30</v>
      </c>
      <c r="AB1786" s="96" t="s">
        <v>30</v>
      </c>
      <c r="AC1786" s="96" t="s">
        <v>30</v>
      </c>
      <c r="AD1786" s="96" t="s">
        <v>30</v>
      </c>
      <c r="AE1786" s="96" t="s">
        <v>30</v>
      </c>
      <c r="AF1786" s="96" t="s">
        <v>30</v>
      </c>
      <c r="AG1786" s="96" t="s">
        <v>30</v>
      </c>
      <c r="AH1786" s="96" t="s">
        <v>30</v>
      </c>
      <c r="AI1786" s="96" t="s">
        <v>30</v>
      </c>
      <c r="AJ1786" s="96" t="s">
        <v>30</v>
      </c>
      <c r="AK1786" s="96" t="s">
        <v>30</v>
      </c>
      <c r="AL1786" s="91"/>
      <c r="AM1786" s="840"/>
    </row>
    <row r="1787" spans="1:47">
      <c r="A1787" s="834" t="s">
        <v>24</v>
      </c>
      <c r="B1787" s="835">
        <v>1784</v>
      </c>
      <c r="C1787" s="838" t="s">
        <v>2622</v>
      </c>
      <c r="D1787" s="838" t="s">
        <v>2623</v>
      </c>
      <c r="E1787" s="839">
        <v>46006</v>
      </c>
      <c r="F1787" s="838" t="s">
        <v>912</v>
      </c>
      <c r="G1787" s="838">
        <v>6</v>
      </c>
      <c r="H1787" s="838" t="s">
        <v>1721</v>
      </c>
      <c r="I1787" s="838" t="s">
        <v>1638</v>
      </c>
      <c r="J1787" s="838"/>
      <c r="K1787" s="840" t="s">
        <v>2594</v>
      </c>
      <c r="L1787" s="840" t="s">
        <v>2603</v>
      </c>
      <c r="M1787" s="840" t="s">
        <v>2603</v>
      </c>
      <c r="N1787" s="840" t="s">
        <v>2083</v>
      </c>
      <c r="O1787" s="840"/>
      <c r="P1787" s="848" t="s">
        <v>30</v>
      </c>
      <c r="Q1787" s="848">
        <v>46049</v>
      </c>
      <c r="R1787" s="852" t="s">
        <v>1638</v>
      </c>
      <c r="S1787" s="834" t="s">
        <v>32</v>
      </c>
      <c r="T1787" s="834">
        <v>6</v>
      </c>
      <c r="U1787" s="852" t="s">
        <v>1638</v>
      </c>
      <c r="V1787" s="848">
        <v>46049</v>
      </c>
      <c r="W1787" s="91" t="s">
        <v>32</v>
      </c>
      <c r="X1787" s="91" t="s">
        <v>32</v>
      </c>
      <c r="Y1787" s="91"/>
      <c r="Z1787" s="96" t="s">
        <v>30</v>
      </c>
      <c r="AA1787" s="96" t="s">
        <v>30</v>
      </c>
      <c r="AB1787" s="96" t="s">
        <v>30</v>
      </c>
      <c r="AC1787" s="96" t="s">
        <v>30</v>
      </c>
      <c r="AD1787" s="91" t="s">
        <v>32</v>
      </c>
      <c r="AE1787" s="96" t="s">
        <v>30</v>
      </c>
      <c r="AF1787" s="91" t="s">
        <v>32</v>
      </c>
      <c r="AG1787" s="91" t="s">
        <v>32</v>
      </c>
      <c r="AH1787" s="110"/>
      <c r="AI1787" s="96" t="s">
        <v>30</v>
      </c>
      <c r="AJ1787" s="96" t="s">
        <v>30</v>
      </c>
      <c r="AK1787" s="96" t="s">
        <v>30</v>
      </c>
      <c r="AL1787" s="91"/>
      <c r="AM1787" s="840"/>
    </row>
    <row r="1788" spans="1:47">
      <c r="A1788" s="834" t="s">
        <v>24</v>
      </c>
      <c r="B1788" s="835">
        <v>1785</v>
      </c>
      <c r="C1788" s="838" t="s">
        <v>2624</v>
      </c>
      <c r="D1788" s="838" t="s">
        <v>102</v>
      </c>
      <c r="E1788" s="839">
        <v>46006</v>
      </c>
      <c r="F1788" s="838" t="s">
        <v>705</v>
      </c>
      <c r="G1788" s="838">
        <v>12</v>
      </c>
      <c r="H1788" s="838" t="s">
        <v>67</v>
      </c>
      <c r="I1788" s="838" t="s">
        <v>47</v>
      </c>
      <c r="J1788" s="838"/>
      <c r="K1788" s="840" t="s">
        <v>2123</v>
      </c>
      <c r="L1788" s="840" t="s">
        <v>2591</v>
      </c>
      <c r="M1788" s="840" t="s">
        <v>2591</v>
      </c>
      <c r="N1788" s="840" t="s">
        <v>2050</v>
      </c>
      <c r="O1788" s="840"/>
      <c r="P1788" s="249" t="s">
        <v>30</v>
      </c>
      <c r="Q1788" s="848">
        <v>46053</v>
      </c>
      <c r="R1788" s="24" t="s">
        <v>48</v>
      </c>
      <c r="S1788" s="22" t="s">
        <v>32</v>
      </c>
      <c r="T1788" s="22">
        <v>9</v>
      </c>
      <c r="U1788" s="24" t="s">
        <v>48</v>
      </c>
      <c r="V1788" s="848">
        <v>46053</v>
      </c>
      <c r="W1788" s="96" t="s">
        <v>30</v>
      </c>
      <c r="X1788" s="91" t="s">
        <v>32</v>
      </c>
      <c r="Y1788" s="96" t="s">
        <v>30</v>
      </c>
      <c r="Z1788" s="96"/>
      <c r="AA1788" s="96"/>
      <c r="AB1788" s="96"/>
      <c r="AC1788" s="96"/>
      <c r="AD1788" s="96"/>
      <c r="AE1788" s="96"/>
      <c r="AF1788" s="96"/>
      <c r="AG1788" s="96"/>
      <c r="AH1788" s="96" t="s">
        <v>30</v>
      </c>
      <c r="AI1788" s="96"/>
      <c r="AJ1788" s="96"/>
      <c r="AK1788" s="96"/>
      <c r="AL1788" s="91"/>
      <c r="AM1788" s="840" t="s">
        <v>2581</v>
      </c>
      <c r="AR1788" s="84"/>
      <c r="AS1788" s="71"/>
      <c r="AT1788" s="71"/>
      <c r="AU1788" s="71"/>
    </row>
    <row r="1789" spans="1:47">
      <c r="A1789" s="834" t="s">
        <v>24</v>
      </c>
      <c r="B1789" s="835">
        <v>1786</v>
      </c>
      <c r="C1789" s="838" t="s">
        <v>2625</v>
      </c>
      <c r="D1789" s="838" t="s">
        <v>102</v>
      </c>
      <c r="E1789" s="839">
        <v>46006</v>
      </c>
      <c r="F1789" s="838" t="s">
        <v>2626</v>
      </c>
      <c r="G1789" s="838">
        <v>14</v>
      </c>
      <c r="H1789" s="838" t="s">
        <v>67</v>
      </c>
      <c r="I1789" s="838" t="s">
        <v>47</v>
      </c>
      <c r="J1789" s="98"/>
      <c r="K1789" s="840" t="s">
        <v>2061</v>
      </c>
      <c r="L1789" s="840" t="s">
        <v>2603</v>
      </c>
      <c r="M1789" s="840" t="s">
        <v>2603</v>
      </c>
      <c r="N1789" s="840" t="s">
        <v>2058</v>
      </c>
      <c r="O1789" s="840"/>
      <c r="P1789" s="249" t="s">
        <v>30</v>
      </c>
      <c r="Q1789" s="848">
        <v>46053</v>
      </c>
      <c r="R1789" s="24" t="s">
        <v>48</v>
      </c>
      <c r="S1789" s="22" t="s">
        <v>30</v>
      </c>
      <c r="T1789" s="22">
        <v>11</v>
      </c>
      <c r="U1789" s="24" t="s">
        <v>48</v>
      </c>
      <c r="V1789" s="848">
        <v>46053</v>
      </c>
      <c r="W1789" s="96" t="s">
        <v>30</v>
      </c>
      <c r="X1789" s="96" t="s">
        <v>30</v>
      </c>
      <c r="Y1789" s="96" t="s">
        <v>30</v>
      </c>
      <c r="Z1789" s="96" t="s">
        <v>30</v>
      </c>
      <c r="AA1789" s="96" t="s">
        <v>30</v>
      </c>
      <c r="AB1789" s="96" t="s">
        <v>30</v>
      </c>
      <c r="AC1789" s="96" t="s">
        <v>30</v>
      </c>
      <c r="AD1789" s="96" t="s">
        <v>30</v>
      </c>
      <c r="AE1789" s="96" t="s">
        <v>30</v>
      </c>
      <c r="AF1789" s="96" t="s">
        <v>30</v>
      </c>
      <c r="AG1789" s="96" t="s">
        <v>30</v>
      </c>
      <c r="AH1789" s="96" t="s">
        <v>30</v>
      </c>
      <c r="AI1789" s="96" t="s">
        <v>30</v>
      </c>
      <c r="AJ1789" s="96" t="s">
        <v>30</v>
      </c>
      <c r="AK1789" s="96" t="s">
        <v>30</v>
      </c>
      <c r="AL1789" s="91"/>
      <c r="AM1789" s="840" t="s">
        <v>2545</v>
      </c>
      <c r="AR1789" s="84"/>
      <c r="AS1789" s="71"/>
      <c r="AT1789" s="71"/>
      <c r="AU1789" s="71"/>
    </row>
    <row r="1790" spans="1:47">
      <c r="A1790" s="834" t="s">
        <v>24</v>
      </c>
      <c r="B1790" s="835">
        <v>1787</v>
      </c>
      <c r="C1790" s="838" t="s">
        <v>2627</v>
      </c>
      <c r="D1790" s="838" t="s">
        <v>1641</v>
      </c>
      <c r="E1790" s="839">
        <v>46007</v>
      </c>
      <c r="F1790" s="838" t="s">
        <v>1065</v>
      </c>
      <c r="G1790" s="838">
        <v>11</v>
      </c>
      <c r="H1790" s="838" t="s">
        <v>1721</v>
      </c>
      <c r="I1790" s="838" t="s">
        <v>1638</v>
      </c>
      <c r="J1790" s="838"/>
      <c r="K1790" s="840" t="s">
        <v>2102</v>
      </c>
      <c r="L1790" s="840" t="s">
        <v>2592</v>
      </c>
      <c r="M1790" s="840" t="s">
        <v>2592</v>
      </c>
      <c r="N1790" s="840" t="s">
        <v>2050</v>
      </c>
      <c r="O1790" s="840"/>
      <c r="P1790" s="853" t="s">
        <v>30</v>
      </c>
      <c r="Q1790" s="848">
        <v>46036</v>
      </c>
      <c r="R1790" s="852" t="s">
        <v>1638</v>
      </c>
      <c r="S1790" s="22" t="s">
        <v>32</v>
      </c>
      <c r="T1790" s="22">
        <v>11</v>
      </c>
      <c r="U1790" s="24" t="s">
        <v>1638</v>
      </c>
      <c r="V1790" s="848">
        <v>46036</v>
      </c>
      <c r="W1790" s="96" t="s">
        <v>30</v>
      </c>
      <c r="X1790" s="96" t="s">
        <v>30</v>
      </c>
      <c r="Y1790" s="96" t="s">
        <v>30</v>
      </c>
      <c r="Z1790" s="96" t="s">
        <v>30</v>
      </c>
      <c r="AA1790" s="96" t="s">
        <v>30</v>
      </c>
      <c r="AB1790" s="96" t="s">
        <v>30</v>
      </c>
      <c r="AC1790" s="96" t="s">
        <v>30</v>
      </c>
      <c r="AD1790" s="110" t="s">
        <v>32</v>
      </c>
      <c r="AE1790" s="96" t="s">
        <v>30</v>
      </c>
      <c r="AF1790" s="110" t="s">
        <v>32</v>
      </c>
      <c r="AG1790" s="110" t="s">
        <v>32</v>
      </c>
      <c r="AH1790" s="96" t="s">
        <v>30</v>
      </c>
      <c r="AI1790" s="96" t="s">
        <v>30</v>
      </c>
      <c r="AJ1790" s="96" t="s">
        <v>30</v>
      </c>
      <c r="AK1790" s="96" t="s">
        <v>30</v>
      </c>
      <c r="AL1790" s="91"/>
      <c r="AM1790" s="840"/>
      <c r="AO1790" s="776"/>
      <c r="AP1790" s="776"/>
      <c r="AQ1790" s="776"/>
      <c r="AR1790" s="776"/>
    </row>
    <row r="1791" spans="1:47">
      <c r="A1791" s="834" t="s">
        <v>24</v>
      </c>
      <c r="B1791" s="835">
        <v>1788</v>
      </c>
      <c r="C1791" s="838" t="s">
        <v>2628</v>
      </c>
      <c r="D1791" s="838" t="s">
        <v>50</v>
      </c>
      <c r="E1791" s="839">
        <v>46007</v>
      </c>
      <c r="F1791" s="838" t="s">
        <v>65</v>
      </c>
      <c r="G1791" s="838">
        <v>9</v>
      </c>
      <c r="H1791" s="838" t="s">
        <v>1077</v>
      </c>
      <c r="I1791" s="838" t="s">
        <v>1138</v>
      </c>
      <c r="J1791" s="838"/>
      <c r="K1791" s="834" t="s">
        <v>2276</v>
      </c>
      <c r="L1791" s="834" t="s">
        <v>2603</v>
      </c>
      <c r="M1791" s="834" t="s">
        <v>2603</v>
      </c>
      <c r="N1791" s="834" t="s">
        <v>2166</v>
      </c>
      <c r="O1791" s="834"/>
      <c r="P1791" s="848" t="s">
        <v>30</v>
      </c>
      <c r="Q1791" s="848" t="s">
        <v>2629</v>
      </c>
      <c r="R1791" s="852" t="s">
        <v>1138</v>
      </c>
      <c r="S1791" s="22" t="s">
        <v>32</v>
      </c>
      <c r="T1791" s="22">
        <v>9</v>
      </c>
      <c r="U1791" s="852" t="s">
        <v>1138</v>
      </c>
      <c r="V1791" s="848" t="s">
        <v>2629</v>
      </c>
      <c r="W1791" s="96" t="s">
        <v>30</v>
      </c>
      <c r="X1791" s="110" t="s">
        <v>32</v>
      </c>
      <c r="Y1791" s="96" t="s">
        <v>30</v>
      </c>
      <c r="Z1791" s="96" t="s">
        <v>30</v>
      </c>
      <c r="AA1791" s="96" t="s">
        <v>30</v>
      </c>
      <c r="AB1791" s="110" t="s">
        <v>32</v>
      </c>
      <c r="AC1791" s="96" t="s">
        <v>30</v>
      </c>
      <c r="AD1791" s="96" t="s">
        <v>30</v>
      </c>
      <c r="AE1791" s="96" t="s">
        <v>30</v>
      </c>
      <c r="AF1791" s="96" t="s">
        <v>30</v>
      </c>
      <c r="AG1791" s="96" t="s">
        <v>30</v>
      </c>
      <c r="AH1791" s="96" t="s">
        <v>30</v>
      </c>
      <c r="AI1791" s="110" t="s">
        <v>32</v>
      </c>
      <c r="AJ1791" s="110" t="s">
        <v>32</v>
      </c>
      <c r="AK1791" s="110" t="s">
        <v>32</v>
      </c>
      <c r="AL1791" s="91"/>
      <c r="AM1791" s="840" t="s">
        <v>2548</v>
      </c>
      <c r="AS1791" s="71"/>
      <c r="AT1791" s="92"/>
      <c r="AU1791" s="92"/>
    </row>
    <row r="1792" spans="1:47">
      <c r="A1792" s="834" t="s">
        <v>24</v>
      </c>
      <c r="B1792" s="835">
        <v>1789</v>
      </c>
      <c r="C1792" s="838" t="s">
        <v>2630</v>
      </c>
      <c r="D1792" s="838" t="s">
        <v>374</v>
      </c>
      <c r="E1792" s="839">
        <v>46008</v>
      </c>
      <c r="F1792" s="838" t="s">
        <v>1065</v>
      </c>
      <c r="G1792" s="838">
        <v>11</v>
      </c>
      <c r="H1792" s="838" t="s">
        <v>1721</v>
      </c>
      <c r="I1792" s="838" t="s">
        <v>1638</v>
      </c>
      <c r="J1792" s="219"/>
      <c r="K1792" s="840" t="s">
        <v>2102</v>
      </c>
      <c r="L1792" s="840" t="s">
        <v>2592</v>
      </c>
      <c r="M1792" s="840" t="s">
        <v>2592</v>
      </c>
      <c r="N1792" s="840" t="s">
        <v>2050</v>
      </c>
      <c r="O1792" s="840"/>
      <c r="P1792" s="853" t="s">
        <v>30</v>
      </c>
      <c r="Q1792" s="848">
        <v>46036</v>
      </c>
      <c r="R1792" s="852" t="s">
        <v>1638</v>
      </c>
      <c r="S1792" s="22" t="s">
        <v>32</v>
      </c>
      <c r="T1792" s="22">
        <v>11</v>
      </c>
      <c r="U1792" s="24" t="s">
        <v>1638</v>
      </c>
      <c r="V1792" s="848">
        <v>46036</v>
      </c>
      <c r="W1792" s="96" t="s">
        <v>30</v>
      </c>
      <c r="X1792" s="96" t="s">
        <v>30</v>
      </c>
      <c r="Y1792" s="96" t="s">
        <v>30</v>
      </c>
      <c r="Z1792" s="96" t="s">
        <v>30</v>
      </c>
      <c r="AA1792" s="96" t="s">
        <v>30</v>
      </c>
      <c r="AB1792" s="96" t="s">
        <v>30</v>
      </c>
      <c r="AC1792" s="96" t="s">
        <v>30</v>
      </c>
      <c r="AD1792" s="96" t="s">
        <v>30</v>
      </c>
      <c r="AE1792" s="96" t="s">
        <v>30</v>
      </c>
      <c r="AF1792" s="96" t="s">
        <v>30</v>
      </c>
      <c r="AG1792" s="96" t="s">
        <v>30</v>
      </c>
      <c r="AH1792" s="96" t="s">
        <v>30</v>
      </c>
      <c r="AI1792" s="96" t="s">
        <v>30</v>
      </c>
      <c r="AJ1792" s="96" t="s">
        <v>30</v>
      </c>
      <c r="AK1792" s="96" t="s">
        <v>30</v>
      </c>
      <c r="AL1792" s="91"/>
      <c r="AM1792" s="840"/>
      <c r="AO1792" s="776"/>
      <c r="AP1792" s="776"/>
      <c r="AQ1792" s="776"/>
      <c r="AR1792" s="776"/>
    </row>
    <row r="1793" spans="1:47">
      <c r="A1793" s="834" t="s">
        <v>24</v>
      </c>
      <c r="B1793" s="835">
        <v>1790</v>
      </c>
      <c r="C1793" s="838" t="s">
        <v>2631</v>
      </c>
      <c r="D1793" s="838" t="s">
        <v>43</v>
      </c>
      <c r="E1793" s="839">
        <v>46008</v>
      </c>
      <c r="F1793" s="838" t="s">
        <v>62</v>
      </c>
      <c r="G1793" s="838">
        <v>12</v>
      </c>
      <c r="H1793" s="838" t="s">
        <v>1077</v>
      </c>
      <c r="I1793" s="838" t="s">
        <v>1138</v>
      </c>
      <c r="J1793" s="98"/>
      <c r="K1793" s="834" t="s">
        <v>2135</v>
      </c>
      <c r="L1793" s="834" t="s">
        <v>2632</v>
      </c>
      <c r="M1793" s="834" t="s">
        <v>2633</v>
      </c>
      <c r="N1793" s="834" t="s">
        <v>2050</v>
      </c>
      <c r="O1793" s="834"/>
      <c r="P1793" s="23" t="s">
        <v>30</v>
      </c>
      <c r="Q1793" s="23">
        <v>46031</v>
      </c>
      <c r="R1793" s="852" t="s">
        <v>1138</v>
      </c>
      <c r="S1793" s="834" t="s">
        <v>30</v>
      </c>
      <c r="T1793" s="22">
        <v>12</v>
      </c>
      <c r="U1793" s="852" t="s">
        <v>1138</v>
      </c>
      <c r="V1793" s="23">
        <v>46031</v>
      </c>
      <c r="W1793" s="96" t="s">
        <v>30</v>
      </c>
      <c r="X1793" s="96" t="s">
        <v>30</v>
      </c>
      <c r="Y1793" s="96" t="s">
        <v>30</v>
      </c>
      <c r="Z1793" s="91" t="s">
        <v>32</v>
      </c>
      <c r="AA1793" s="91" t="s">
        <v>32</v>
      </c>
      <c r="AB1793" s="91" t="s">
        <v>32</v>
      </c>
      <c r="AC1793" s="96" t="s">
        <v>30</v>
      </c>
      <c r="AD1793" s="96" t="s">
        <v>30</v>
      </c>
      <c r="AE1793" s="96" t="s">
        <v>30</v>
      </c>
      <c r="AF1793" s="96" t="s">
        <v>30</v>
      </c>
      <c r="AG1793" s="96" t="s">
        <v>30</v>
      </c>
      <c r="AH1793" s="96" t="s">
        <v>30</v>
      </c>
      <c r="AI1793" s="96" t="s">
        <v>30</v>
      </c>
      <c r="AJ1793" s="96" t="s">
        <v>30</v>
      </c>
      <c r="AK1793" s="91" t="s">
        <v>32</v>
      </c>
      <c r="AL1793" s="91"/>
      <c r="AM1793" s="840" t="s">
        <v>2545</v>
      </c>
      <c r="AO1793" s="776"/>
      <c r="AP1793" s="776"/>
      <c r="AQ1793" s="776"/>
      <c r="AR1793" s="776"/>
    </row>
    <row r="1794" spans="1:47">
      <c r="A1794" s="834" t="s">
        <v>24</v>
      </c>
      <c r="B1794" s="835">
        <v>1791</v>
      </c>
      <c r="C1794" s="838" t="s">
        <v>2634</v>
      </c>
      <c r="D1794" s="838" t="s">
        <v>50</v>
      </c>
      <c r="E1794" s="839">
        <v>46009</v>
      </c>
      <c r="F1794" s="838" t="s">
        <v>1065</v>
      </c>
      <c r="G1794" s="838">
        <v>11</v>
      </c>
      <c r="H1794" s="838" t="s">
        <v>1721</v>
      </c>
      <c r="I1794" s="838" t="s">
        <v>1638</v>
      </c>
      <c r="J1794" s="219"/>
      <c r="K1794" s="840" t="s">
        <v>2102</v>
      </c>
      <c r="L1794" s="840" t="s">
        <v>2592</v>
      </c>
      <c r="M1794" s="840" t="s">
        <v>2592</v>
      </c>
      <c r="N1794" s="840" t="s">
        <v>2050</v>
      </c>
      <c r="O1794" s="840"/>
      <c r="P1794" s="853" t="s">
        <v>30</v>
      </c>
      <c r="Q1794" s="848">
        <v>46036</v>
      </c>
      <c r="R1794" s="852" t="s">
        <v>1638</v>
      </c>
      <c r="S1794" s="22" t="s">
        <v>32</v>
      </c>
      <c r="T1794" s="22">
        <v>11</v>
      </c>
      <c r="U1794" s="24" t="s">
        <v>1638</v>
      </c>
      <c r="V1794" s="848">
        <v>46036</v>
      </c>
      <c r="W1794" s="96" t="s">
        <v>30</v>
      </c>
      <c r="X1794" s="96" t="s">
        <v>30</v>
      </c>
      <c r="Y1794" s="96" t="s">
        <v>30</v>
      </c>
      <c r="Z1794" s="96" t="s">
        <v>30</v>
      </c>
      <c r="AA1794" s="96" t="s">
        <v>30</v>
      </c>
      <c r="AB1794" s="96" t="s">
        <v>30</v>
      </c>
      <c r="AC1794" s="96" t="s">
        <v>30</v>
      </c>
      <c r="AD1794" s="96" t="s">
        <v>30</v>
      </c>
      <c r="AE1794" s="96" t="s">
        <v>30</v>
      </c>
      <c r="AF1794" s="96" t="s">
        <v>30</v>
      </c>
      <c r="AG1794" s="96" t="s">
        <v>30</v>
      </c>
      <c r="AH1794" s="96" t="s">
        <v>30</v>
      </c>
      <c r="AI1794" s="96" t="s">
        <v>30</v>
      </c>
      <c r="AJ1794" s="96" t="s">
        <v>30</v>
      </c>
      <c r="AK1794" s="96" t="s">
        <v>30</v>
      </c>
      <c r="AL1794" s="91"/>
      <c r="AM1794" s="840"/>
    </row>
    <row r="1795" spans="1:47">
      <c r="A1795" s="834" t="s">
        <v>24</v>
      </c>
      <c r="B1795" s="835">
        <v>1792</v>
      </c>
      <c r="C1795" s="838" t="s">
        <v>2635</v>
      </c>
      <c r="D1795" s="838" t="s">
        <v>657</v>
      </c>
      <c r="E1795" s="839">
        <v>46009</v>
      </c>
      <c r="F1795" s="838" t="s">
        <v>439</v>
      </c>
      <c r="G1795" s="838">
        <v>18</v>
      </c>
      <c r="H1795" s="838" t="s">
        <v>127</v>
      </c>
      <c r="I1795" s="838" t="s">
        <v>178</v>
      </c>
      <c r="J1795" s="838"/>
      <c r="K1795" s="840" t="s">
        <v>2056</v>
      </c>
      <c r="L1795" s="840" t="s">
        <v>2632</v>
      </c>
      <c r="M1795" s="840" t="s">
        <v>2636</v>
      </c>
      <c r="N1795" s="840" t="s">
        <v>2050</v>
      </c>
      <c r="O1795" s="113" t="s">
        <v>31</v>
      </c>
      <c r="P1795" s="853" t="s">
        <v>30</v>
      </c>
      <c r="Q1795" s="848">
        <v>46056</v>
      </c>
      <c r="R1795" s="24" t="s">
        <v>67</v>
      </c>
      <c r="S1795" s="22" t="s">
        <v>32</v>
      </c>
      <c r="T1795" s="22">
        <v>16</v>
      </c>
      <c r="U1795" s="24" t="s">
        <v>67</v>
      </c>
      <c r="V1795" s="848">
        <v>46056</v>
      </c>
      <c r="W1795" s="96" t="s">
        <v>30</v>
      </c>
      <c r="X1795" s="91" t="s">
        <v>32</v>
      </c>
      <c r="Y1795" s="91"/>
      <c r="Z1795" s="96" t="s">
        <v>30</v>
      </c>
      <c r="AA1795" s="96" t="s">
        <v>30</v>
      </c>
      <c r="AB1795" s="96" t="s">
        <v>30</v>
      </c>
      <c r="AC1795" s="96" t="s">
        <v>30</v>
      </c>
      <c r="AD1795" s="96" t="s">
        <v>30</v>
      </c>
      <c r="AE1795" s="96" t="s">
        <v>30</v>
      </c>
      <c r="AF1795" s="96" t="s">
        <v>30</v>
      </c>
      <c r="AG1795" s="96" t="s">
        <v>30</v>
      </c>
      <c r="AH1795" s="96" t="s">
        <v>30</v>
      </c>
      <c r="AI1795" s="96" t="s">
        <v>30</v>
      </c>
      <c r="AJ1795" s="96" t="s">
        <v>30</v>
      </c>
      <c r="AK1795" s="96" t="s">
        <v>30</v>
      </c>
      <c r="AL1795" s="91"/>
      <c r="AM1795" s="840" t="s">
        <v>2545</v>
      </c>
    </row>
    <row r="1796" spans="1:47">
      <c r="A1796" s="834" t="s">
        <v>24</v>
      </c>
      <c r="B1796" s="835">
        <v>1793</v>
      </c>
      <c r="C1796" s="838" t="s">
        <v>2637</v>
      </c>
      <c r="D1796" s="838" t="s">
        <v>2638</v>
      </c>
      <c r="E1796" s="839">
        <v>46009</v>
      </c>
      <c r="F1796" s="838" t="s">
        <v>2639</v>
      </c>
      <c r="G1796" s="838">
        <v>12</v>
      </c>
      <c r="H1796" s="838" t="s">
        <v>1077</v>
      </c>
      <c r="I1796" s="838" t="s">
        <v>1138</v>
      </c>
      <c r="J1796" s="98" t="s">
        <v>2544</v>
      </c>
      <c r="K1796" s="840" t="s">
        <v>2640</v>
      </c>
      <c r="L1796" s="840" t="s">
        <v>2636</v>
      </c>
      <c r="M1796" s="840" t="s">
        <v>2636</v>
      </c>
      <c r="N1796" s="840" t="s">
        <v>2050</v>
      </c>
      <c r="O1796" s="840"/>
      <c r="P1796" s="248"/>
      <c r="Q1796" s="848"/>
      <c r="R1796" s="852" t="s">
        <v>1138</v>
      </c>
      <c r="S1796" s="22"/>
      <c r="T1796" s="22"/>
      <c r="U1796" s="24"/>
      <c r="V1796" s="23"/>
      <c r="W1796" s="91" t="s">
        <v>32</v>
      </c>
      <c r="X1796" s="91" t="s">
        <v>32</v>
      </c>
      <c r="Y1796" s="91"/>
      <c r="Z1796" s="96" t="s">
        <v>30</v>
      </c>
      <c r="AA1796" s="91" t="s">
        <v>32</v>
      </c>
      <c r="AB1796" s="91" t="s">
        <v>32</v>
      </c>
      <c r="AC1796" s="91" t="s">
        <v>32</v>
      </c>
      <c r="AD1796" s="91" t="s">
        <v>32</v>
      </c>
      <c r="AE1796" s="96"/>
      <c r="AF1796" s="91" t="s">
        <v>32</v>
      </c>
      <c r="AG1796" s="91" t="s">
        <v>32</v>
      </c>
      <c r="AH1796" s="110"/>
      <c r="AI1796" s="91" t="s">
        <v>32</v>
      </c>
      <c r="AJ1796" s="91" t="s">
        <v>32</v>
      </c>
      <c r="AK1796" s="91" t="s">
        <v>32</v>
      </c>
      <c r="AL1796" s="91"/>
      <c r="AM1796" s="840" t="s">
        <v>2545</v>
      </c>
    </row>
    <row r="1797" spans="1:47">
      <c r="A1797" s="834" t="s">
        <v>24</v>
      </c>
      <c r="B1797" s="835">
        <v>1794</v>
      </c>
      <c r="C1797" s="838" t="s">
        <v>2641</v>
      </c>
      <c r="D1797" s="838" t="s">
        <v>50</v>
      </c>
      <c r="E1797" s="839">
        <v>46009</v>
      </c>
      <c r="F1797" s="838" t="s">
        <v>628</v>
      </c>
      <c r="G1797" s="838">
        <v>12</v>
      </c>
      <c r="H1797" s="838" t="s">
        <v>127</v>
      </c>
      <c r="I1797" s="838" t="s">
        <v>36</v>
      </c>
      <c r="J1797" s="250"/>
      <c r="K1797" s="840" t="s">
        <v>2061</v>
      </c>
      <c r="L1797" s="840" t="s">
        <v>2632</v>
      </c>
      <c r="M1797" s="840" t="s">
        <v>2636</v>
      </c>
      <c r="N1797" s="840" t="s">
        <v>2642</v>
      </c>
      <c r="O1797" s="840"/>
      <c r="P1797" s="23" t="s">
        <v>30</v>
      </c>
      <c r="Q1797" s="23">
        <v>46051</v>
      </c>
      <c r="R1797" s="24" t="s">
        <v>28</v>
      </c>
      <c r="S1797" s="834" t="s">
        <v>30</v>
      </c>
      <c r="T1797" s="22">
        <v>3</v>
      </c>
      <c r="U1797" s="24" t="s">
        <v>28</v>
      </c>
      <c r="V1797" s="23">
        <v>46051</v>
      </c>
      <c r="W1797" s="96" t="s">
        <v>30</v>
      </c>
      <c r="X1797" s="96" t="s">
        <v>30</v>
      </c>
      <c r="Y1797" s="96" t="s">
        <v>30</v>
      </c>
      <c r="Z1797" s="96" t="s">
        <v>30</v>
      </c>
      <c r="AA1797" s="96" t="s">
        <v>30</v>
      </c>
      <c r="AB1797" s="96" t="s">
        <v>30</v>
      </c>
      <c r="AC1797" s="96" t="s">
        <v>30</v>
      </c>
      <c r="AD1797" s="96" t="s">
        <v>30</v>
      </c>
      <c r="AE1797" s="96" t="s">
        <v>30</v>
      </c>
      <c r="AF1797" s="96" t="s">
        <v>30</v>
      </c>
      <c r="AG1797" s="96" t="s">
        <v>30</v>
      </c>
      <c r="AH1797" s="96" t="s">
        <v>30</v>
      </c>
      <c r="AI1797" s="96" t="s">
        <v>30</v>
      </c>
      <c r="AJ1797" s="96" t="s">
        <v>30</v>
      </c>
      <c r="AK1797" s="96" t="s">
        <v>30</v>
      </c>
      <c r="AL1797" s="91"/>
      <c r="AM1797" s="840" t="s">
        <v>2545</v>
      </c>
    </row>
    <row r="1798" spans="1:47">
      <c r="A1798" s="834" t="s">
        <v>24</v>
      </c>
      <c r="B1798" s="835">
        <v>1795</v>
      </c>
      <c r="C1798" s="838" t="s">
        <v>2643</v>
      </c>
      <c r="D1798" s="838" t="s">
        <v>43</v>
      </c>
      <c r="E1798" s="839">
        <v>46009</v>
      </c>
      <c r="F1798" s="838" t="s">
        <v>628</v>
      </c>
      <c r="G1798" s="838">
        <v>20</v>
      </c>
      <c r="H1798" s="838" t="s">
        <v>127</v>
      </c>
      <c r="I1798" s="838" t="s">
        <v>36</v>
      </c>
      <c r="J1798" s="838"/>
      <c r="K1798" s="840" t="s">
        <v>2244</v>
      </c>
      <c r="L1798" s="840" t="s">
        <v>2632</v>
      </c>
      <c r="M1798" s="840" t="s">
        <v>2632</v>
      </c>
      <c r="N1798" s="840" t="s">
        <v>2058</v>
      </c>
      <c r="O1798" s="113" t="s">
        <v>31</v>
      </c>
      <c r="P1798" s="249" t="s">
        <v>30</v>
      </c>
      <c r="Q1798" s="848">
        <v>46034</v>
      </c>
      <c r="R1798" s="24" t="s">
        <v>28</v>
      </c>
      <c r="S1798" s="22" t="s">
        <v>32</v>
      </c>
      <c r="T1798" s="22">
        <v>19</v>
      </c>
      <c r="U1798" s="24" t="s">
        <v>28</v>
      </c>
      <c r="V1798" s="848">
        <v>46034</v>
      </c>
      <c r="W1798" s="96" t="s">
        <v>30</v>
      </c>
      <c r="X1798" s="96" t="s">
        <v>30</v>
      </c>
      <c r="Y1798" s="96" t="s">
        <v>30</v>
      </c>
      <c r="Z1798" s="96" t="s">
        <v>30</v>
      </c>
      <c r="AA1798" s="96" t="s">
        <v>30</v>
      </c>
      <c r="AB1798" s="96" t="s">
        <v>30</v>
      </c>
      <c r="AC1798" s="96" t="s">
        <v>30</v>
      </c>
      <c r="AD1798" s="96" t="s">
        <v>30</v>
      </c>
      <c r="AE1798" s="96" t="s">
        <v>30</v>
      </c>
      <c r="AF1798" s="96" t="s">
        <v>30</v>
      </c>
      <c r="AG1798" s="96" t="s">
        <v>30</v>
      </c>
      <c r="AH1798" s="96" t="s">
        <v>30</v>
      </c>
      <c r="AI1798" s="96" t="s">
        <v>30</v>
      </c>
      <c r="AJ1798" s="96" t="s">
        <v>30</v>
      </c>
      <c r="AK1798" s="96" t="s">
        <v>30</v>
      </c>
      <c r="AL1798" s="91"/>
      <c r="AM1798" s="840"/>
      <c r="AN1798" s="87"/>
      <c r="AO1798" s="87"/>
      <c r="AS1798" s="71"/>
      <c r="AT1798" s="92"/>
      <c r="AU1798" s="92"/>
    </row>
    <row r="1799" spans="1:47">
      <c r="A1799" s="834" t="s">
        <v>24</v>
      </c>
      <c r="B1799" s="835">
        <v>1796</v>
      </c>
      <c r="C1799" s="838" t="s">
        <v>2644</v>
      </c>
      <c r="D1799" s="838" t="s">
        <v>43</v>
      </c>
      <c r="E1799" s="839">
        <v>46009</v>
      </c>
      <c r="F1799" s="838" t="s">
        <v>2295</v>
      </c>
      <c r="G1799" s="838">
        <v>18</v>
      </c>
      <c r="H1799" s="838" t="s">
        <v>1077</v>
      </c>
      <c r="I1799" s="838" t="s">
        <v>1138</v>
      </c>
      <c r="J1799" s="250"/>
      <c r="K1799" s="840" t="s">
        <v>2296</v>
      </c>
      <c r="L1799" s="840" t="s">
        <v>2584</v>
      </c>
      <c r="M1799" s="840" t="s">
        <v>2585</v>
      </c>
      <c r="N1799" s="840" t="s">
        <v>2058</v>
      </c>
      <c r="O1799" s="113" t="s">
        <v>31</v>
      </c>
      <c r="P1799" s="23" t="s">
        <v>30</v>
      </c>
      <c r="Q1799" s="23">
        <v>46031</v>
      </c>
      <c r="R1799" s="852" t="s">
        <v>1138</v>
      </c>
      <c r="S1799" s="834" t="s">
        <v>30</v>
      </c>
      <c r="T1799" s="7">
        <v>15</v>
      </c>
      <c r="U1799" s="852" t="s">
        <v>1138</v>
      </c>
      <c r="V1799" s="23">
        <v>46031</v>
      </c>
      <c r="W1799" s="96" t="s">
        <v>30</v>
      </c>
      <c r="X1799" s="96" t="s">
        <v>30</v>
      </c>
      <c r="Y1799" s="96" t="s">
        <v>30</v>
      </c>
      <c r="Z1799" s="96" t="s">
        <v>30</v>
      </c>
      <c r="AA1799" s="96" t="s">
        <v>30</v>
      </c>
      <c r="AB1799" s="96" t="s">
        <v>30</v>
      </c>
      <c r="AC1799" s="96" t="s">
        <v>30</v>
      </c>
      <c r="AD1799" s="96" t="s">
        <v>30</v>
      </c>
      <c r="AE1799" s="96" t="s">
        <v>30</v>
      </c>
      <c r="AF1799" s="96" t="s">
        <v>30</v>
      </c>
      <c r="AG1799" s="96" t="s">
        <v>30</v>
      </c>
      <c r="AH1799" s="96" t="s">
        <v>30</v>
      </c>
      <c r="AI1799" s="96" t="s">
        <v>30</v>
      </c>
      <c r="AJ1799" s="96" t="s">
        <v>30</v>
      </c>
      <c r="AK1799" s="96" t="s">
        <v>30</v>
      </c>
      <c r="AL1799" s="91"/>
      <c r="AM1799" s="840" t="s">
        <v>2645</v>
      </c>
      <c r="AS1799" s="71"/>
      <c r="AT1799" s="92"/>
      <c r="AU1799" s="92"/>
    </row>
    <row r="1800" spans="1:47">
      <c r="A1800" s="834" t="s">
        <v>24</v>
      </c>
      <c r="B1800" s="835">
        <v>1797</v>
      </c>
      <c r="C1800" s="838" t="s">
        <v>2646</v>
      </c>
      <c r="D1800" s="838" t="s">
        <v>397</v>
      </c>
      <c r="E1800" s="839">
        <v>46009</v>
      </c>
      <c r="F1800" s="838" t="s">
        <v>1342</v>
      </c>
      <c r="G1800" s="838">
        <v>19</v>
      </c>
      <c r="H1800" s="838" t="s">
        <v>67</v>
      </c>
      <c r="I1800" s="838" t="s">
        <v>47</v>
      </c>
      <c r="J1800" s="98" t="s">
        <v>2544</v>
      </c>
      <c r="K1800" s="840" t="s">
        <v>2066</v>
      </c>
      <c r="L1800" s="840" t="s">
        <v>2632</v>
      </c>
      <c r="M1800" s="840" t="s">
        <v>2633</v>
      </c>
      <c r="N1800" s="840" t="s">
        <v>2058</v>
      </c>
      <c r="O1800" s="113" t="s">
        <v>31</v>
      </c>
      <c r="P1800" s="853"/>
      <c r="Q1800" s="848"/>
      <c r="R1800" s="24" t="s">
        <v>48</v>
      </c>
      <c r="S1800" s="22"/>
      <c r="T1800" s="22"/>
      <c r="U1800" s="24"/>
      <c r="V1800" s="23"/>
      <c r="W1800" s="96" t="s">
        <v>30</v>
      </c>
      <c r="X1800" s="96" t="s">
        <v>30</v>
      </c>
      <c r="Y1800" s="91"/>
      <c r="Z1800" s="96" t="s">
        <v>30</v>
      </c>
      <c r="AA1800" s="91" t="s">
        <v>32</v>
      </c>
      <c r="AB1800" s="96" t="s">
        <v>30</v>
      </c>
      <c r="AC1800" s="96" t="s">
        <v>30</v>
      </c>
      <c r="AD1800" s="96" t="s">
        <v>30</v>
      </c>
      <c r="AE1800" s="96" t="s">
        <v>30</v>
      </c>
      <c r="AF1800" s="91" t="s">
        <v>32</v>
      </c>
      <c r="AG1800" s="91" t="s">
        <v>32</v>
      </c>
      <c r="AH1800" s="110"/>
      <c r="AI1800" s="91" t="s">
        <v>32</v>
      </c>
      <c r="AJ1800" s="91" t="s">
        <v>32</v>
      </c>
      <c r="AK1800" s="91" t="s">
        <v>32</v>
      </c>
      <c r="AL1800" s="91"/>
      <c r="AM1800" s="840" t="s">
        <v>2548</v>
      </c>
      <c r="AN1800" s="87"/>
      <c r="AO1800" s="87"/>
      <c r="AS1800" s="71"/>
      <c r="AT1800" s="92"/>
      <c r="AU1800" s="92"/>
    </row>
    <row r="1801" spans="1:47">
      <c r="A1801" s="834" t="s">
        <v>24</v>
      </c>
      <c r="B1801" s="835">
        <v>1798</v>
      </c>
      <c r="C1801" s="838" t="s">
        <v>2647</v>
      </c>
      <c r="D1801" s="838" t="s">
        <v>102</v>
      </c>
      <c r="E1801" s="839">
        <v>46010</v>
      </c>
      <c r="F1801" s="838" t="s">
        <v>395</v>
      </c>
      <c r="G1801" s="838">
        <v>12</v>
      </c>
      <c r="H1801" s="838" t="s">
        <v>127</v>
      </c>
      <c r="I1801" s="838" t="s">
        <v>36</v>
      </c>
      <c r="J1801" s="838"/>
      <c r="K1801" s="840" t="s">
        <v>2061</v>
      </c>
      <c r="L1801" s="840" t="s">
        <v>2632</v>
      </c>
      <c r="M1801" s="840" t="s">
        <v>2636</v>
      </c>
      <c r="N1801" s="840" t="s">
        <v>2058</v>
      </c>
      <c r="O1801" s="840"/>
      <c r="P1801" s="853" t="s">
        <v>30</v>
      </c>
      <c r="Q1801" s="848">
        <v>46051</v>
      </c>
      <c r="R1801" s="24" t="s">
        <v>1638</v>
      </c>
      <c r="S1801" s="22" t="s">
        <v>32</v>
      </c>
      <c r="T1801" s="22">
        <v>12</v>
      </c>
      <c r="U1801" s="24" t="s">
        <v>1638</v>
      </c>
      <c r="V1801" s="848">
        <v>46051</v>
      </c>
      <c r="W1801" s="96" t="s">
        <v>30</v>
      </c>
      <c r="X1801" s="96" t="s">
        <v>30</v>
      </c>
      <c r="Y1801" s="96" t="s">
        <v>30</v>
      </c>
      <c r="Z1801" s="96" t="s">
        <v>30</v>
      </c>
      <c r="AA1801" s="96" t="s">
        <v>30</v>
      </c>
      <c r="AB1801" s="96" t="s">
        <v>30</v>
      </c>
      <c r="AC1801" s="96" t="s">
        <v>30</v>
      </c>
      <c r="AD1801" s="96" t="s">
        <v>30</v>
      </c>
      <c r="AE1801" s="96" t="s">
        <v>30</v>
      </c>
      <c r="AF1801" s="96" t="s">
        <v>30</v>
      </c>
      <c r="AG1801" s="96" t="s">
        <v>30</v>
      </c>
      <c r="AH1801" s="96" t="s">
        <v>30</v>
      </c>
      <c r="AI1801" s="96" t="s">
        <v>30</v>
      </c>
      <c r="AJ1801" s="96" t="s">
        <v>30</v>
      </c>
      <c r="AK1801" s="96" t="s">
        <v>30</v>
      </c>
      <c r="AL1801" s="91"/>
      <c r="AM1801" s="840"/>
      <c r="AS1801" s="71"/>
      <c r="AT1801" s="92"/>
      <c r="AU1801" s="92"/>
    </row>
    <row r="1802" spans="1:47">
      <c r="A1802" s="834" t="s">
        <v>24</v>
      </c>
      <c r="B1802" s="835">
        <v>1799</v>
      </c>
      <c r="C1802" s="838" t="s">
        <v>2648</v>
      </c>
      <c r="D1802" s="838" t="s">
        <v>34</v>
      </c>
      <c r="E1802" s="839">
        <v>46010</v>
      </c>
      <c r="F1802" s="838" t="s">
        <v>245</v>
      </c>
      <c r="G1802" s="838">
        <v>15</v>
      </c>
      <c r="H1802" s="838" t="s">
        <v>1077</v>
      </c>
      <c r="I1802" s="838" t="s">
        <v>1138</v>
      </c>
      <c r="J1802" s="838"/>
      <c r="K1802" s="834" t="s">
        <v>2052</v>
      </c>
      <c r="L1802" s="834" t="s">
        <v>2636</v>
      </c>
      <c r="M1802" s="834" t="s">
        <v>2636</v>
      </c>
      <c r="N1802" s="834" t="s">
        <v>2083</v>
      </c>
      <c r="O1802" s="113" t="s">
        <v>31</v>
      </c>
      <c r="P1802" s="848" t="s">
        <v>30</v>
      </c>
      <c r="Q1802" s="23">
        <v>46031</v>
      </c>
      <c r="R1802" s="852" t="s">
        <v>1138</v>
      </c>
      <c r="S1802" s="22" t="s">
        <v>32</v>
      </c>
      <c r="T1802" s="22">
        <v>18</v>
      </c>
      <c r="U1802" s="24" t="s">
        <v>1138</v>
      </c>
      <c r="V1802" s="23">
        <v>46031</v>
      </c>
      <c r="W1802" s="96" t="s">
        <v>30</v>
      </c>
      <c r="X1802" s="96" t="s">
        <v>30</v>
      </c>
      <c r="Y1802" s="96" t="s">
        <v>30</v>
      </c>
      <c r="Z1802" s="96" t="s">
        <v>30</v>
      </c>
      <c r="AA1802" s="96" t="s">
        <v>30</v>
      </c>
      <c r="AB1802" s="96" t="s">
        <v>30</v>
      </c>
      <c r="AC1802" s="96" t="s">
        <v>30</v>
      </c>
      <c r="AD1802" s="96" t="s">
        <v>30</v>
      </c>
      <c r="AE1802" s="96" t="s">
        <v>30</v>
      </c>
      <c r="AF1802" s="96" t="s">
        <v>30</v>
      </c>
      <c r="AG1802" s="96" t="s">
        <v>30</v>
      </c>
      <c r="AH1802" s="96" t="s">
        <v>30</v>
      </c>
      <c r="AI1802" s="107" t="s">
        <v>30</v>
      </c>
      <c r="AJ1802" s="107" t="s">
        <v>30</v>
      </c>
      <c r="AK1802" s="96" t="s">
        <v>30</v>
      </c>
      <c r="AL1802" s="91"/>
      <c r="AM1802" s="840"/>
    </row>
    <row r="1803" spans="1:47">
      <c r="A1803" s="834" t="s">
        <v>24</v>
      </c>
      <c r="B1803" s="835">
        <v>1800</v>
      </c>
      <c r="C1803" s="838" t="s">
        <v>2649</v>
      </c>
      <c r="D1803" s="838" t="s">
        <v>102</v>
      </c>
      <c r="E1803" s="839">
        <v>46010</v>
      </c>
      <c r="F1803" s="838" t="s">
        <v>55</v>
      </c>
      <c r="G1803" s="838">
        <v>13</v>
      </c>
      <c r="H1803" s="838" t="s">
        <v>67</v>
      </c>
      <c r="I1803" s="838" t="s">
        <v>47</v>
      </c>
      <c r="J1803" s="838"/>
      <c r="K1803" s="840" t="s">
        <v>2126</v>
      </c>
      <c r="L1803" s="840" t="s">
        <v>2650</v>
      </c>
      <c r="M1803" s="840" t="s">
        <v>2650</v>
      </c>
      <c r="N1803" s="840" t="s">
        <v>2050</v>
      </c>
      <c r="O1803" s="840"/>
      <c r="P1803" s="853" t="s">
        <v>30</v>
      </c>
      <c r="Q1803" s="116">
        <v>46051</v>
      </c>
      <c r="R1803" s="24" t="s">
        <v>1638</v>
      </c>
      <c r="S1803" s="834" t="s">
        <v>32</v>
      </c>
      <c r="T1803" s="22">
        <v>13</v>
      </c>
      <c r="U1803" s="24" t="s">
        <v>1638</v>
      </c>
      <c r="V1803" s="23">
        <v>46051</v>
      </c>
      <c r="W1803" s="90" t="s">
        <v>30</v>
      </c>
      <c r="X1803" s="96" t="s">
        <v>30</v>
      </c>
      <c r="Y1803" s="96" t="s">
        <v>30</v>
      </c>
      <c r="Z1803" s="96" t="s">
        <v>30</v>
      </c>
      <c r="AA1803" s="96" t="s">
        <v>30</v>
      </c>
      <c r="AB1803" s="96" t="s">
        <v>30</v>
      </c>
      <c r="AC1803" s="96" t="s">
        <v>30</v>
      </c>
      <c r="AD1803" s="96" t="s">
        <v>30</v>
      </c>
      <c r="AE1803" s="96" t="s">
        <v>30</v>
      </c>
      <c r="AF1803" s="96" t="s">
        <v>30</v>
      </c>
      <c r="AG1803" s="96" t="s">
        <v>30</v>
      </c>
      <c r="AH1803" s="96" t="s">
        <v>30</v>
      </c>
      <c r="AI1803" s="96" t="s">
        <v>30</v>
      </c>
      <c r="AJ1803" s="96" t="s">
        <v>30</v>
      </c>
      <c r="AK1803" s="96" t="s">
        <v>30</v>
      </c>
      <c r="AL1803" s="91"/>
      <c r="AM1803" s="840"/>
      <c r="AS1803" s="71"/>
      <c r="AT1803" s="92"/>
      <c r="AU1803" s="92"/>
    </row>
    <row r="1804" spans="1:47">
      <c r="A1804" s="834" t="s">
        <v>24</v>
      </c>
      <c r="B1804" s="835">
        <v>1801</v>
      </c>
      <c r="C1804" s="838" t="s">
        <v>2651</v>
      </c>
      <c r="D1804" s="838" t="s">
        <v>57</v>
      </c>
      <c r="E1804" s="839">
        <v>46010</v>
      </c>
      <c r="F1804" s="838" t="s">
        <v>737</v>
      </c>
      <c r="G1804" s="838">
        <v>13</v>
      </c>
      <c r="H1804" s="838" t="s">
        <v>1721</v>
      </c>
      <c r="I1804" s="838" t="s">
        <v>1638</v>
      </c>
      <c r="J1804" s="838"/>
      <c r="K1804" s="840" t="s">
        <v>2264</v>
      </c>
      <c r="L1804" s="840" t="s">
        <v>2632</v>
      </c>
      <c r="M1804" s="840" t="s">
        <v>2632</v>
      </c>
      <c r="N1804" s="840" t="s">
        <v>2050</v>
      </c>
      <c r="O1804" s="840"/>
      <c r="P1804" s="249" t="s">
        <v>30</v>
      </c>
      <c r="Q1804" s="23">
        <v>46041</v>
      </c>
      <c r="R1804" s="852" t="s">
        <v>1638</v>
      </c>
      <c r="S1804" s="22" t="s">
        <v>32</v>
      </c>
      <c r="T1804" s="22">
        <v>8</v>
      </c>
      <c r="U1804" s="852" t="s">
        <v>1638</v>
      </c>
      <c r="V1804" s="23">
        <v>46041</v>
      </c>
      <c r="W1804" s="96" t="s">
        <v>30</v>
      </c>
      <c r="X1804" s="96" t="s">
        <v>30</v>
      </c>
      <c r="Y1804" s="90" t="s">
        <v>30</v>
      </c>
      <c r="Z1804" s="96" t="s">
        <v>30</v>
      </c>
      <c r="AA1804" s="96" t="s">
        <v>30</v>
      </c>
      <c r="AB1804" s="96" t="s">
        <v>30</v>
      </c>
      <c r="AC1804" s="96" t="s">
        <v>30</v>
      </c>
      <c r="AD1804" s="91" t="s">
        <v>32</v>
      </c>
      <c r="AE1804" s="96" t="s">
        <v>30</v>
      </c>
      <c r="AF1804" s="96" t="s">
        <v>30</v>
      </c>
      <c r="AG1804" s="96" t="s">
        <v>30</v>
      </c>
      <c r="AH1804" s="96" t="s">
        <v>30</v>
      </c>
      <c r="AI1804" s="107" t="s">
        <v>30</v>
      </c>
      <c r="AJ1804" s="107" t="s">
        <v>30</v>
      </c>
      <c r="AK1804" s="107" t="s">
        <v>30</v>
      </c>
      <c r="AL1804" s="91"/>
      <c r="AM1804" s="840"/>
      <c r="AS1804" s="71"/>
      <c r="AT1804" s="92"/>
      <c r="AU1804" s="92"/>
    </row>
    <row r="1805" spans="1:47">
      <c r="A1805" s="834" t="s">
        <v>24</v>
      </c>
      <c r="B1805" s="835">
        <v>1802</v>
      </c>
      <c r="C1805" s="838" t="s">
        <v>2652</v>
      </c>
      <c r="D1805" s="838" t="s">
        <v>384</v>
      </c>
      <c r="E1805" s="839">
        <v>46010</v>
      </c>
      <c r="F1805" s="838" t="s">
        <v>737</v>
      </c>
      <c r="G1805" s="838">
        <v>13</v>
      </c>
      <c r="H1805" s="838" t="s">
        <v>1721</v>
      </c>
      <c r="I1805" s="838" t="s">
        <v>1638</v>
      </c>
      <c r="J1805" s="838"/>
      <c r="K1805" s="840" t="s">
        <v>2098</v>
      </c>
      <c r="L1805" s="840" t="s">
        <v>2636</v>
      </c>
      <c r="M1805" s="840" t="s">
        <v>2636</v>
      </c>
      <c r="N1805" s="840" t="s">
        <v>2050</v>
      </c>
      <c r="O1805" s="840"/>
      <c r="P1805" s="249" t="s">
        <v>30</v>
      </c>
      <c r="Q1805" s="23">
        <v>46041</v>
      </c>
      <c r="R1805" s="852" t="s">
        <v>1638</v>
      </c>
      <c r="S1805" s="22" t="s">
        <v>32</v>
      </c>
      <c r="T1805" s="22">
        <v>13</v>
      </c>
      <c r="U1805" s="852" t="s">
        <v>1638</v>
      </c>
      <c r="V1805" s="23">
        <v>46041</v>
      </c>
      <c r="W1805" s="90" t="s">
        <v>30</v>
      </c>
      <c r="X1805" s="96" t="s">
        <v>30</v>
      </c>
      <c r="Y1805" s="90" t="s">
        <v>30</v>
      </c>
      <c r="Z1805" s="96" t="s">
        <v>30</v>
      </c>
      <c r="AA1805" s="96" t="s">
        <v>30</v>
      </c>
      <c r="AB1805" s="96" t="s">
        <v>30</v>
      </c>
      <c r="AC1805" s="96" t="s">
        <v>30</v>
      </c>
      <c r="AD1805" s="96" t="s">
        <v>30</v>
      </c>
      <c r="AE1805" s="96" t="s">
        <v>30</v>
      </c>
      <c r="AF1805" s="91" t="s">
        <v>32</v>
      </c>
      <c r="AG1805" s="91" t="s">
        <v>32</v>
      </c>
      <c r="AH1805" s="96" t="s">
        <v>30</v>
      </c>
      <c r="AI1805" s="96" t="s">
        <v>30</v>
      </c>
      <c r="AJ1805" s="96" t="s">
        <v>30</v>
      </c>
      <c r="AK1805" s="96" t="s">
        <v>30</v>
      </c>
      <c r="AL1805" s="91" t="s">
        <v>32</v>
      </c>
      <c r="AM1805" s="840" t="s">
        <v>2548</v>
      </c>
    </row>
    <row r="1806" spans="1:47">
      <c r="A1806" s="834" t="s">
        <v>24</v>
      </c>
      <c r="B1806" s="835">
        <v>1803</v>
      </c>
      <c r="C1806" s="838" t="s">
        <v>2653</v>
      </c>
      <c r="D1806" s="838" t="s">
        <v>50</v>
      </c>
      <c r="E1806" s="839">
        <v>46010</v>
      </c>
      <c r="F1806" s="838" t="s">
        <v>737</v>
      </c>
      <c r="G1806" s="838">
        <v>10</v>
      </c>
      <c r="H1806" s="838" t="s">
        <v>1721</v>
      </c>
      <c r="I1806" s="838" t="s">
        <v>1638</v>
      </c>
      <c r="J1806" s="838"/>
      <c r="K1806" s="840" t="s">
        <v>2226</v>
      </c>
      <c r="L1806" s="840" t="s">
        <v>2632</v>
      </c>
      <c r="M1806" s="840" t="s">
        <v>2632</v>
      </c>
      <c r="N1806" s="840" t="s">
        <v>2050</v>
      </c>
      <c r="O1806" s="840"/>
      <c r="P1806" s="249" t="s">
        <v>30</v>
      </c>
      <c r="Q1806" s="23">
        <v>46038</v>
      </c>
      <c r="R1806" s="852" t="s">
        <v>1638</v>
      </c>
      <c r="S1806" s="22" t="s">
        <v>32</v>
      </c>
      <c r="T1806" s="22">
        <v>10</v>
      </c>
      <c r="U1806" s="852" t="s">
        <v>1638</v>
      </c>
      <c r="V1806" s="23">
        <v>46038</v>
      </c>
      <c r="W1806" s="96" t="s">
        <v>30</v>
      </c>
      <c r="X1806" s="96" t="s">
        <v>30</v>
      </c>
      <c r="Y1806" s="96" t="s">
        <v>30</v>
      </c>
      <c r="Z1806" s="96" t="s">
        <v>30</v>
      </c>
      <c r="AA1806" s="96" t="s">
        <v>30</v>
      </c>
      <c r="AB1806" s="96" t="s">
        <v>30</v>
      </c>
      <c r="AC1806" s="96" t="s">
        <v>30</v>
      </c>
      <c r="AD1806" s="96" t="s">
        <v>30</v>
      </c>
      <c r="AE1806" s="96" t="s">
        <v>30</v>
      </c>
      <c r="AF1806" s="96" t="s">
        <v>30</v>
      </c>
      <c r="AG1806" s="96" t="s">
        <v>30</v>
      </c>
      <c r="AH1806" s="96" t="s">
        <v>30</v>
      </c>
      <c r="AI1806" s="107" t="s">
        <v>30</v>
      </c>
      <c r="AJ1806" s="107" t="s">
        <v>30</v>
      </c>
      <c r="AK1806" s="107" t="s">
        <v>30</v>
      </c>
      <c r="AL1806" s="91"/>
      <c r="AM1806" s="840"/>
    </row>
    <row r="1807" spans="1:47">
      <c r="A1807" s="834" t="s">
        <v>24</v>
      </c>
      <c r="B1807" s="835">
        <v>1804</v>
      </c>
      <c r="C1807" s="838" t="s">
        <v>2654</v>
      </c>
      <c r="D1807" s="838" t="s">
        <v>406</v>
      </c>
      <c r="E1807" s="839">
        <v>46010</v>
      </c>
      <c r="F1807" s="838" t="s">
        <v>1065</v>
      </c>
      <c r="G1807" s="838">
        <v>11</v>
      </c>
      <c r="H1807" s="838" t="s">
        <v>1721</v>
      </c>
      <c r="I1807" s="838" t="s">
        <v>1638</v>
      </c>
      <c r="J1807" s="838"/>
      <c r="K1807" s="840" t="s">
        <v>2102</v>
      </c>
      <c r="L1807" s="840" t="s">
        <v>2592</v>
      </c>
      <c r="M1807" s="840" t="s">
        <v>2592</v>
      </c>
      <c r="N1807" s="840" t="s">
        <v>2050</v>
      </c>
      <c r="O1807" s="840"/>
      <c r="P1807" s="249" t="s">
        <v>30</v>
      </c>
      <c r="Q1807" s="23">
        <v>46041</v>
      </c>
      <c r="R1807" s="852" t="s">
        <v>1638</v>
      </c>
      <c r="S1807" s="22" t="s">
        <v>32</v>
      </c>
      <c r="T1807" s="22">
        <v>11</v>
      </c>
      <c r="U1807" s="852" t="s">
        <v>1638</v>
      </c>
      <c r="V1807" s="23">
        <v>46041</v>
      </c>
      <c r="W1807" s="96" t="s">
        <v>30</v>
      </c>
      <c r="X1807" s="96" t="s">
        <v>30</v>
      </c>
      <c r="Y1807" s="96" t="s">
        <v>30</v>
      </c>
      <c r="Z1807" s="96" t="s">
        <v>30</v>
      </c>
      <c r="AA1807" s="96" t="s">
        <v>30</v>
      </c>
      <c r="AB1807" s="96" t="s">
        <v>30</v>
      </c>
      <c r="AC1807" s="96" t="s">
        <v>30</v>
      </c>
      <c r="AD1807" s="96" t="s">
        <v>30</v>
      </c>
      <c r="AE1807" s="96" t="s">
        <v>30</v>
      </c>
      <c r="AF1807" s="110" t="s">
        <v>32</v>
      </c>
      <c r="AG1807" s="96" t="s">
        <v>30</v>
      </c>
      <c r="AH1807" s="96" t="s">
        <v>30</v>
      </c>
      <c r="AI1807" s="96" t="s">
        <v>30</v>
      </c>
      <c r="AJ1807" s="96" t="s">
        <v>30</v>
      </c>
      <c r="AK1807" s="96" t="s">
        <v>30</v>
      </c>
      <c r="AL1807" s="110"/>
      <c r="AM1807" s="840"/>
      <c r="AR1807" s="84"/>
      <c r="AS1807" s="71"/>
      <c r="AT1807" s="71"/>
      <c r="AU1807" s="71"/>
    </row>
    <row r="1808" spans="1:47">
      <c r="A1808" s="834" t="s">
        <v>24</v>
      </c>
      <c r="B1808" s="835">
        <v>1805</v>
      </c>
      <c r="C1808" s="838" t="s">
        <v>2655</v>
      </c>
      <c r="D1808" s="838" t="s">
        <v>102</v>
      </c>
      <c r="E1808" s="839">
        <v>46011</v>
      </c>
      <c r="F1808" s="838" t="s">
        <v>439</v>
      </c>
      <c r="G1808" s="838">
        <v>12</v>
      </c>
      <c r="H1808" s="838" t="s">
        <v>127</v>
      </c>
      <c r="I1808" s="838" t="s">
        <v>178</v>
      </c>
      <c r="J1808" s="838"/>
      <c r="K1808" s="840" t="s">
        <v>2142</v>
      </c>
      <c r="L1808" s="840" t="s">
        <v>2632</v>
      </c>
      <c r="M1808" s="840" t="s">
        <v>2632</v>
      </c>
      <c r="N1808" s="840" t="s">
        <v>2050</v>
      </c>
      <c r="O1808" s="840"/>
      <c r="P1808" s="249" t="s">
        <v>30</v>
      </c>
      <c r="Q1808" s="848">
        <v>46051</v>
      </c>
      <c r="R1808" s="24" t="s">
        <v>1138</v>
      </c>
      <c r="S1808" s="22" t="s">
        <v>32</v>
      </c>
      <c r="T1808" s="22">
        <v>9</v>
      </c>
      <c r="U1808" s="24" t="s">
        <v>1138</v>
      </c>
      <c r="V1808" s="848">
        <v>46051</v>
      </c>
      <c r="W1808" s="118" t="s">
        <v>30</v>
      </c>
      <c r="X1808" s="96" t="s">
        <v>30</v>
      </c>
      <c r="Y1808" s="118" t="s">
        <v>30</v>
      </c>
      <c r="Z1808" s="91" t="s">
        <v>32</v>
      </c>
      <c r="AA1808" s="91" t="s">
        <v>32</v>
      </c>
      <c r="AB1808" s="96" t="s">
        <v>30</v>
      </c>
      <c r="AC1808" s="96" t="s">
        <v>30</v>
      </c>
      <c r="AD1808" s="96" t="s">
        <v>30</v>
      </c>
      <c r="AE1808" s="96" t="s">
        <v>30</v>
      </c>
      <c r="AF1808" s="96" t="s">
        <v>30</v>
      </c>
      <c r="AG1808" s="96" t="s">
        <v>30</v>
      </c>
      <c r="AH1808" s="96" t="s">
        <v>30</v>
      </c>
      <c r="AI1808" s="96" t="s">
        <v>30</v>
      </c>
      <c r="AJ1808" s="96" t="s">
        <v>30</v>
      </c>
      <c r="AK1808" s="107" t="s">
        <v>30</v>
      </c>
      <c r="AL1808" s="110"/>
      <c r="AM1808" s="840" t="s">
        <v>2548</v>
      </c>
      <c r="AS1808" s="71"/>
      <c r="AT1808" s="92"/>
      <c r="AU1808" s="92"/>
    </row>
    <row r="1809" spans="1:48">
      <c r="A1809" s="834" t="s">
        <v>24</v>
      </c>
      <c r="B1809" s="835">
        <v>1806</v>
      </c>
      <c r="C1809" s="838" t="s">
        <v>2656</v>
      </c>
      <c r="D1809" s="838" t="s">
        <v>83</v>
      </c>
      <c r="E1809" s="839">
        <v>46011</v>
      </c>
      <c r="F1809" s="838" t="s">
        <v>97</v>
      </c>
      <c r="G1809" s="838">
        <v>20</v>
      </c>
      <c r="H1809" s="838" t="s">
        <v>127</v>
      </c>
      <c r="I1809" s="838" t="s">
        <v>178</v>
      </c>
      <c r="J1809" s="250"/>
      <c r="K1809" s="840" t="s">
        <v>2085</v>
      </c>
      <c r="L1809" s="840" t="s">
        <v>2636</v>
      </c>
      <c r="M1809" s="840" t="s">
        <v>2636</v>
      </c>
      <c r="N1809" s="840" t="s">
        <v>2245</v>
      </c>
      <c r="O1809" s="113" t="s">
        <v>31</v>
      </c>
      <c r="P1809" s="23" t="s">
        <v>30</v>
      </c>
      <c r="Q1809" s="23">
        <v>46041</v>
      </c>
      <c r="R1809" s="24" t="s">
        <v>28</v>
      </c>
      <c r="S1809" s="834" t="s">
        <v>30</v>
      </c>
      <c r="T1809" s="22">
        <v>25</v>
      </c>
      <c r="U1809" s="24" t="s">
        <v>1138</v>
      </c>
      <c r="V1809" s="23">
        <v>46041</v>
      </c>
      <c r="W1809" s="96" t="s">
        <v>30</v>
      </c>
      <c r="X1809" s="96" t="s">
        <v>30</v>
      </c>
      <c r="Y1809" s="96" t="s">
        <v>30</v>
      </c>
      <c r="Z1809" s="96" t="s">
        <v>30</v>
      </c>
      <c r="AA1809" s="96" t="s">
        <v>30</v>
      </c>
      <c r="AB1809" s="96" t="s">
        <v>30</v>
      </c>
      <c r="AC1809" s="96" t="s">
        <v>30</v>
      </c>
      <c r="AD1809" s="96" t="s">
        <v>30</v>
      </c>
      <c r="AE1809" s="96" t="s">
        <v>30</v>
      </c>
      <c r="AF1809" s="96" t="s">
        <v>30</v>
      </c>
      <c r="AG1809" s="96" t="s">
        <v>30</v>
      </c>
      <c r="AH1809" s="96" t="s">
        <v>30</v>
      </c>
      <c r="AI1809" s="107" t="s">
        <v>30</v>
      </c>
      <c r="AJ1809" s="107" t="s">
        <v>30</v>
      </c>
      <c r="AK1809" s="107" t="s">
        <v>30</v>
      </c>
      <c r="AL1809" s="110"/>
      <c r="AM1809" s="840"/>
    </row>
    <row r="1810" spans="1:48">
      <c r="A1810" s="834" t="s">
        <v>24</v>
      </c>
      <c r="B1810" s="835">
        <v>1807</v>
      </c>
      <c r="C1810" s="838" t="s">
        <v>2657</v>
      </c>
      <c r="D1810" s="838" t="s">
        <v>374</v>
      </c>
      <c r="E1810" s="839">
        <v>46011</v>
      </c>
      <c r="F1810" s="838" t="s">
        <v>1342</v>
      </c>
      <c r="G1810" s="838">
        <v>32</v>
      </c>
      <c r="H1810" s="838" t="s">
        <v>67</v>
      </c>
      <c r="I1810" s="838" t="s">
        <v>47</v>
      </c>
      <c r="J1810" s="838"/>
      <c r="K1810" s="840" t="s">
        <v>2098</v>
      </c>
      <c r="L1810" s="840" t="s">
        <v>2636</v>
      </c>
      <c r="M1810" s="840" t="s">
        <v>2636</v>
      </c>
      <c r="N1810" s="840" t="s">
        <v>2050</v>
      </c>
      <c r="O1810" s="113" t="s">
        <v>31</v>
      </c>
      <c r="P1810" s="853" t="s">
        <v>30</v>
      </c>
      <c r="Q1810" s="23">
        <v>46056</v>
      </c>
      <c r="R1810" s="24" t="s">
        <v>48</v>
      </c>
      <c r="S1810" s="834" t="s">
        <v>32</v>
      </c>
      <c r="T1810" s="22">
        <v>30</v>
      </c>
      <c r="U1810" s="24"/>
      <c r="V1810" s="23"/>
      <c r="W1810" s="96" t="s">
        <v>30</v>
      </c>
      <c r="X1810" s="96" t="s">
        <v>30</v>
      </c>
      <c r="Y1810" s="96" t="s">
        <v>30</v>
      </c>
      <c r="Z1810" s="96" t="s">
        <v>30</v>
      </c>
      <c r="AA1810" s="96" t="s">
        <v>30</v>
      </c>
      <c r="AB1810" s="96" t="s">
        <v>30</v>
      </c>
      <c r="AC1810" s="96" t="s">
        <v>30</v>
      </c>
      <c r="AD1810" s="96" t="s">
        <v>30</v>
      </c>
      <c r="AE1810" s="96" t="s">
        <v>30</v>
      </c>
      <c r="AF1810" s="96" t="s">
        <v>30</v>
      </c>
      <c r="AG1810" s="96" t="s">
        <v>30</v>
      </c>
      <c r="AH1810" s="96" t="s">
        <v>30</v>
      </c>
      <c r="AI1810" s="107" t="s">
        <v>30</v>
      </c>
      <c r="AJ1810" s="107" t="s">
        <v>30</v>
      </c>
      <c r="AK1810" s="107" t="s">
        <v>30</v>
      </c>
      <c r="AL1810" s="91" t="s">
        <v>32</v>
      </c>
      <c r="AM1810" s="840" t="s">
        <v>2548</v>
      </c>
    </row>
    <row r="1811" spans="1:48">
      <c r="A1811" s="834" t="s">
        <v>24</v>
      </c>
      <c r="B1811" s="835">
        <v>1808</v>
      </c>
      <c r="C1811" s="838" t="s">
        <v>2658</v>
      </c>
      <c r="D1811" s="838" t="s">
        <v>34</v>
      </c>
      <c r="E1811" s="839">
        <v>46011</v>
      </c>
      <c r="F1811" s="838" t="s">
        <v>1295</v>
      </c>
      <c r="G1811" s="838">
        <v>16</v>
      </c>
      <c r="H1811" s="838" t="s">
        <v>67</v>
      </c>
      <c r="I1811" s="838" t="s">
        <v>47</v>
      </c>
      <c r="J1811" s="838"/>
      <c r="K1811" s="840" t="s">
        <v>2195</v>
      </c>
      <c r="L1811" s="840" t="s">
        <v>2632</v>
      </c>
      <c r="M1811" s="840" t="s">
        <v>2632</v>
      </c>
      <c r="N1811" s="840" t="s">
        <v>2050</v>
      </c>
      <c r="O1811" s="113" t="s">
        <v>31</v>
      </c>
      <c r="P1811" s="853" t="s">
        <v>30</v>
      </c>
      <c r="Q1811" s="848">
        <v>46048</v>
      </c>
      <c r="R1811" s="24" t="s">
        <v>67</v>
      </c>
      <c r="S1811" s="22" t="s">
        <v>32</v>
      </c>
      <c r="T1811" s="22">
        <v>13</v>
      </c>
      <c r="U1811" s="24" t="s">
        <v>67</v>
      </c>
      <c r="V1811" s="848">
        <v>46048</v>
      </c>
      <c r="W1811" s="80" t="s">
        <v>30</v>
      </c>
      <c r="X1811" s="91" t="s">
        <v>32</v>
      </c>
      <c r="Y1811" s="96" t="s">
        <v>30</v>
      </c>
      <c r="Z1811" s="91" t="s">
        <v>32</v>
      </c>
      <c r="AA1811" s="91" t="s">
        <v>32</v>
      </c>
      <c r="AB1811" s="107" t="s">
        <v>30</v>
      </c>
      <c r="AC1811" s="107" t="s">
        <v>30</v>
      </c>
      <c r="AD1811" s="107" t="s">
        <v>30</v>
      </c>
      <c r="AE1811" s="107" t="s">
        <v>30</v>
      </c>
      <c r="AF1811" s="107" t="s">
        <v>30</v>
      </c>
      <c r="AG1811" s="107" t="s">
        <v>30</v>
      </c>
      <c r="AH1811" s="96" t="s">
        <v>30</v>
      </c>
      <c r="AI1811" s="107" t="s">
        <v>30</v>
      </c>
      <c r="AJ1811" s="107" t="s">
        <v>30</v>
      </c>
      <c r="AK1811" s="107" t="s">
        <v>30</v>
      </c>
      <c r="AL1811" s="110"/>
      <c r="AM1811" s="840"/>
      <c r="AO1811" s="776"/>
      <c r="AP1811" s="776"/>
      <c r="AQ1811" s="776"/>
      <c r="AR1811" s="776"/>
      <c r="AV1811" s="105"/>
    </row>
    <row r="1812" spans="1:48">
      <c r="A1812" s="834" t="s">
        <v>24</v>
      </c>
      <c r="B1812" s="835">
        <v>1809</v>
      </c>
      <c r="C1812" s="838" t="s">
        <v>2659</v>
      </c>
      <c r="D1812" s="838" t="s">
        <v>34</v>
      </c>
      <c r="E1812" s="839">
        <v>46011</v>
      </c>
      <c r="F1812" s="838" t="s">
        <v>2660</v>
      </c>
      <c r="G1812" s="838">
        <v>10</v>
      </c>
      <c r="H1812" s="838" t="s">
        <v>67</v>
      </c>
      <c r="I1812" s="838" t="s">
        <v>47</v>
      </c>
      <c r="J1812" s="838"/>
      <c r="K1812" s="840" t="s">
        <v>2130</v>
      </c>
      <c r="L1812" s="840" t="s">
        <v>2661</v>
      </c>
      <c r="M1812" s="840" t="s">
        <v>2661</v>
      </c>
      <c r="N1812" s="840" t="s">
        <v>2050</v>
      </c>
      <c r="O1812" s="113"/>
      <c r="P1812" s="853" t="s">
        <v>30</v>
      </c>
      <c r="Q1812" s="848">
        <v>46050</v>
      </c>
      <c r="R1812" s="24" t="s">
        <v>48</v>
      </c>
      <c r="S1812" s="22" t="s">
        <v>32</v>
      </c>
      <c r="T1812" s="22">
        <v>7</v>
      </c>
      <c r="U1812" s="24" t="s">
        <v>48</v>
      </c>
      <c r="V1812" s="848">
        <v>46050</v>
      </c>
      <c r="W1812" s="80" t="s">
        <v>30</v>
      </c>
      <c r="X1812" s="96" t="s">
        <v>30</v>
      </c>
      <c r="Y1812" s="96" t="s">
        <v>30</v>
      </c>
      <c r="Z1812" s="91" t="s">
        <v>32</v>
      </c>
      <c r="AA1812" s="91" t="s">
        <v>32</v>
      </c>
      <c r="AB1812" s="96" t="s">
        <v>30</v>
      </c>
      <c r="AC1812" s="96" t="s">
        <v>30</v>
      </c>
      <c r="AD1812" s="96" t="s">
        <v>30</v>
      </c>
      <c r="AE1812" s="96" t="s">
        <v>30</v>
      </c>
      <c r="AF1812" s="96" t="s">
        <v>30</v>
      </c>
      <c r="AG1812" s="96" t="s">
        <v>30</v>
      </c>
      <c r="AH1812" s="96" t="s">
        <v>30</v>
      </c>
      <c r="AI1812" s="107" t="s">
        <v>30</v>
      </c>
      <c r="AJ1812" s="110" t="s">
        <v>32</v>
      </c>
      <c r="AK1812" s="107" t="s">
        <v>30</v>
      </c>
      <c r="AL1812" s="110"/>
      <c r="AM1812" s="840" t="s">
        <v>2545</v>
      </c>
      <c r="AO1812" s="776"/>
      <c r="AP1812" s="776"/>
      <c r="AQ1812" s="776"/>
      <c r="AR1812" s="776"/>
      <c r="AV1812" s="105"/>
    </row>
    <row r="1813" spans="1:48">
      <c r="A1813" s="834" t="s">
        <v>24</v>
      </c>
      <c r="B1813" s="835">
        <v>1810</v>
      </c>
      <c r="C1813" s="838" t="s">
        <v>2662</v>
      </c>
      <c r="D1813" s="838" t="s">
        <v>34</v>
      </c>
      <c r="E1813" s="839">
        <v>46011</v>
      </c>
      <c r="F1813" s="838" t="s">
        <v>2589</v>
      </c>
      <c r="G1813" s="838">
        <v>10</v>
      </c>
      <c r="H1813" s="838" t="s">
        <v>1721</v>
      </c>
      <c r="I1813" s="838" t="s">
        <v>1638</v>
      </c>
      <c r="J1813" s="838"/>
      <c r="K1813" s="840" t="s">
        <v>2102</v>
      </c>
      <c r="L1813" s="840" t="s">
        <v>2661</v>
      </c>
      <c r="M1813" s="840" t="s">
        <v>2661</v>
      </c>
      <c r="N1813" s="840" t="s">
        <v>2663</v>
      </c>
      <c r="O1813" s="840"/>
      <c r="P1813" s="853" t="s">
        <v>30</v>
      </c>
      <c r="Q1813" s="848">
        <v>46042</v>
      </c>
      <c r="R1813" s="852" t="s">
        <v>1638</v>
      </c>
      <c r="S1813" s="22" t="s">
        <v>32</v>
      </c>
      <c r="T1813" s="22">
        <v>10</v>
      </c>
      <c r="U1813" s="852" t="s">
        <v>1638</v>
      </c>
      <c r="V1813" s="848">
        <v>46042</v>
      </c>
      <c r="W1813" s="96" t="s">
        <v>30</v>
      </c>
      <c r="X1813" s="96" t="s">
        <v>30</v>
      </c>
      <c r="Y1813" s="96" t="s">
        <v>30</v>
      </c>
      <c r="Z1813" s="96" t="s">
        <v>30</v>
      </c>
      <c r="AA1813" s="96" t="s">
        <v>30</v>
      </c>
      <c r="AB1813" s="96" t="s">
        <v>30</v>
      </c>
      <c r="AC1813" s="96" t="s">
        <v>30</v>
      </c>
      <c r="AD1813" s="96" t="s">
        <v>30</v>
      </c>
      <c r="AE1813" s="96" t="s">
        <v>30</v>
      </c>
      <c r="AF1813" s="96" t="s">
        <v>30</v>
      </c>
      <c r="AG1813" s="96" t="s">
        <v>30</v>
      </c>
      <c r="AH1813" s="96" t="s">
        <v>30</v>
      </c>
      <c r="AI1813" s="96" t="s">
        <v>30</v>
      </c>
      <c r="AJ1813" s="96" t="s">
        <v>30</v>
      </c>
      <c r="AK1813" s="96" t="s">
        <v>30</v>
      </c>
      <c r="AL1813" s="110"/>
      <c r="AM1813" s="840"/>
      <c r="AS1813" s="71"/>
      <c r="AT1813" s="92"/>
      <c r="AU1813" s="92"/>
      <c r="AV1813" s="105"/>
    </row>
    <row r="1814" spans="1:48">
      <c r="A1814" s="834" t="s">
        <v>24</v>
      </c>
      <c r="B1814" s="835">
        <v>1811</v>
      </c>
      <c r="C1814" s="838" t="s">
        <v>2664</v>
      </c>
      <c r="D1814" s="838" t="s">
        <v>34</v>
      </c>
      <c r="E1814" s="839">
        <v>46011</v>
      </c>
      <c r="F1814" s="838" t="s">
        <v>2589</v>
      </c>
      <c r="G1814" s="838">
        <v>1</v>
      </c>
      <c r="H1814" s="838" t="s">
        <v>1721</v>
      </c>
      <c r="I1814" s="838" t="s">
        <v>1638</v>
      </c>
      <c r="J1814" s="838"/>
      <c r="K1814" s="840" t="s">
        <v>2102</v>
      </c>
      <c r="L1814" s="840" t="s">
        <v>2661</v>
      </c>
      <c r="M1814" s="840" t="s">
        <v>2661</v>
      </c>
      <c r="N1814" s="840" t="s">
        <v>2663</v>
      </c>
      <c r="O1814" s="840"/>
      <c r="P1814" s="853" t="s">
        <v>30</v>
      </c>
      <c r="Q1814" s="23">
        <v>46037</v>
      </c>
      <c r="R1814" s="852" t="s">
        <v>1638</v>
      </c>
      <c r="S1814" s="22" t="s">
        <v>32</v>
      </c>
      <c r="T1814" s="22">
        <v>1</v>
      </c>
      <c r="U1814" s="24" t="s">
        <v>1638</v>
      </c>
      <c r="V1814" s="23">
        <v>46037</v>
      </c>
      <c r="W1814" s="96" t="s">
        <v>30</v>
      </c>
      <c r="X1814" s="91" t="s">
        <v>32</v>
      </c>
      <c r="Y1814" s="96" t="s">
        <v>30</v>
      </c>
      <c r="Z1814" s="96" t="s">
        <v>30</v>
      </c>
      <c r="AA1814" s="96" t="s">
        <v>30</v>
      </c>
      <c r="AB1814" s="96" t="s">
        <v>30</v>
      </c>
      <c r="AC1814" s="91" t="s">
        <v>32</v>
      </c>
      <c r="AD1814" s="96" t="s">
        <v>30</v>
      </c>
      <c r="AE1814" s="96" t="s">
        <v>30</v>
      </c>
      <c r="AF1814" s="96" t="s">
        <v>30</v>
      </c>
      <c r="AG1814" s="96" t="s">
        <v>30</v>
      </c>
      <c r="AH1814" s="96" t="s">
        <v>30</v>
      </c>
      <c r="AI1814" s="96" t="s">
        <v>30</v>
      </c>
      <c r="AJ1814" s="96" t="s">
        <v>30</v>
      </c>
      <c r="AK1814" s="96" t="s">
        <v>30</v>
      </c>
      <c r="AL1814" s="110"/>
      <c r="AM1814" s="840"/>
      <c r="AO1814" s="776"/>
      <c r="AP1814" s="776"/>
      <c r="AQ1814" s="776"/>
      <c r="AR1814" s="776"/>
      <c r="AV1814" s="105"/>
    </row>
    <row r="1815" spans="1:48">
      <c r="A1815" s="834" t="s">
        <v>24</v>
      </c>
      <c r="B1815" s="835">
        <v>1812</v>
      </c>
      <c r="C1815" s="838" t="s">
        <v>2665</v>
      </c>
      <c r="D1815" s="838" t="s">
        <v>26</v>
      </c>
      <c r="E1815" s="839">
        <v>46011</v>
      </c>
      <c r="F1815" s="838" t="s">
        <v>2566</v>
      </c>
      <c r="G1815" s="838">
        <v>12</v>
      </c>
      <c r="H1815" s="838" t="s">
        <v>1077</v>
      </c>
      <c r="I1815" s="838" t="s">
        <v>1138</v>
      </c>
      <c r="J1815" s="838"/>
      <c r="K1815" s="834" t="s">
        <v>2108</v>
      </c>
      <c r="L1815" s="834" t="s">
        <v>2632</v>
      </c>
      <c r="M1815" s="834" t="s">
        <v>2666</v>
      </c>
      <c r="N1815" s="834" t="s">
        <v>2567</v>
      </c>
      <c r="O1815" s="834"/>
      <c r="P1815" s="848" t="s">
        <v>30</v>
      </c>
      <c r="Q1815" s="23">
        <v>46035</v>
      </c>
      <c r="R1815" s="852" t="s">
        <v>1138</v>
      </c>
      <c r="S1815" s="22" t="s">
        <v>32</v>
      </c>
      <c r="T1815" s="22">
        <v>9</v>
      </c>
      <c r="U1815" s="852" t="s">
        <v>1138</v>
      </c>
      <c r="V1815" s="23">
        <v>46035</v>
      </c>
      <c r="W1815" s="90" t="s">
        <v>30</v>
      </c>
      <c r="X1815" s="80" t="s">
        <v>30</v>
      </c>
      <c r="Y1815" s="80" t="s">
        <v>30</v>
      </c>
      <c r="Z1815" s="80" t="s">
        <v>30</v>
      </c>
      <c r="AA1815" s="80" t="s">
        <v>30</v>
      </c>
      <c r="AB1815" s="80" t="s">
        <v>30</v>
      </c>
      <c r="AC1815" s="80" t="s">
        <v>30</v>
      </c>
      <c r="AD1815" s="80" t="s">
        <v>30</v>
      </c>
      <c r="AE1815" s="80" t="s">
        <v>30</v>
      </c>
      <c r="AF1815" s="80" t="s">
        <v>30</v>
      </c>
      <c r="AG1815" s="80" t="s">
        <v>30</v>
      </c>
      <c r="AH1815" s="96" t="s">
        <v>30</v>
      </c>
      <c r="AI1815" s="107" t="s">
        <v>30</v>
      </c>
      <c r="AJ1815" s="107" t="s">
        <v>30</v>
      </c>
      <c r="AK1815" s="107" t="s">
        <v>30</v>
      </c>
      <c r="AL1815" s="110"/>
      <c r="AM1815" s="840"/>
      <c r="AO1815" s="776"/>
      <c r="AP1815" s="776"/>
      <c r="AQ1815" s="776"/>
      <c r="AR1815" s="776"/>
      <c r="AV1815" s="105"/>
    </row>
    <row r="1816" spans="1:48">
      <c r="A1816" s="834" t="s">
        <v>24</v>
      </c>
      <c r="B1816" s="835">
        <v>1813</v>
      </c>
      <c r="C1816" s="838" t="s">
        <v>2044</v>
      </c>
      <c r="D1816" s="838" t="s">
        <v>34</v>
      </c>
      <c r="E1816" s="839">
        <v>46011</v>
      </c>
      <c r="F1816" s="838" t="s">
        <v>65</v>
      </c>
      <c r="G1816" s="838">
        <v>15</v>
      </c>
      <c r="H1816" s="838" t="s">
        <v>1077</v>
      </c>
      <c r="I1816" s="838" t="s">
        <v>1138</v>
      </c>
      <c r="J1816" s="838"/>
      <c r="K1816" s="834" t="s">
        <v>2052</v>
      </c>
      <c r="L1816" s="834" t="s">
        <v>2666</v>
      </c>
      <c r="M1816" s="834" t="s">
        <v>2661</v>
      </c>
      <c r="N1816" s="834" t="s">
        <v>2050</v>
      </c>
      <c r="O1816" s="113" t="s">
        <v>31</v>
      </c>
      <c r="P1816" s="848" t="s">
        <v>30</v>
      </c>
      <c r="Q1816" s="848">
        <v>46037</v>
      </c>
      <c r="R1816" s="852" t="s">
        <v>1138</v>
      </c>
      <c r="S1816" s="22" t="s">
        <v>32</v>
      </c>
      <c r="T1816" s="22">
        <v>26</v>
      </c>
      <c r="U1816" s="852" t="s">
        <v>1138</v>
      </c>
      <c r="V1816" s="848">
        <v>46037</v>
      </c>
      <c r="W1816" s="118" t="s">
        <v>30</v>
      </c>
      <c r="X1816" s="96" t="s">
        <v>30</v>
      </c>
      <c r="Y1816" s="96" t="s">
        <v>30</v>
      </c>
      <c r="Z1816" s="96" t="s">
        <v>30</v>
      </c>
      <c r="AA1816" s="96" t="s">
        <v>30</v>
      </c>
      <c r="AB1816" s="96" t="s">
        <v>30</v>
      </c>
      <c r="AC1816" s="96" t="s">
        <v>30</v>
      </c>
      <c r="AD1816" s="96" t="s">
        <v>30</v>
      </c>
      <c r="AE1816" s="96" t="s">
        <v>30</v>
      </c>
      <c r="AF1816" s="96" t="s">
        <v>30</v>
      </c>
      <c r="AG1816" s="96" t="s">
        <v>30</v>
      </c>
      <c r="AH1816" s="96" t="s">
        <v>30</v>
      </c>
      <c r="AI1816" s="107" t="s">
        <v>30</v>
      </c>
      <c r="AJ1816" s="96" t="s">
        <v>30</v>
      </c>
      <c r="AK1816" s="107" t="s">
        <v>30</v>
      </c>
      <c r="AL1816" s="110"/>
      <c r="AM1816" s="840"/>
      <c r="AN1816" s="6"/>
      <c r="AO1816" s="6"/>
      <c r="AP1816" s="6"/>
      <c r="AQ1816" s="6"/>
      <c r="AR1816" s="6"/>
      <c r="AS1816" s="104"/>
      <c r="AT1816" s="105"/>
      <c r="AU1816" s="105"/>
      <c r="AV1816" s="105"/>
    </row>
    <row r="1817" spans="1:48">
      <c r="A1817" s="834" t="s">
        <v>24</v>
      </c>
      <c r="B1817" s="835">
        <v>1814</v>
      </c>
      <c r="C1817" s="838" t="s">
        <v>2667</v>
      </c>
      <c r="D1817" s="838" t="s">
        <v>2668</v>
      </c>
      <c r="E1817" s="839">
        <v>46011</v>
      </c>
      <c r="F1817" s="838" t="s">
        <v>2669</v>
      </c>
      <c r="G1817" s="838">
        <v>14</v>
      </c>
      <c r="H1817" s="838" t="s">
        <v>1077</v>
      </c>
      <c r="I1817" s="838" t="s">
        <v>1138</v>
      </c>
      <c r="J1817" s="838"/>
      <c r="K1817" s="834" t="s">
        <v>2115</v>
      </c>
      <c r="L1817" s="834" t="s">
        <v>2666</v>
      </c>
      <c r="M1817" s="834" t="s">
        <v>2666</v>
      </c>
      <c r="N1817" s="834" t="s">
        <v>2050</v>
      </c>
      <c r="O1817" s="834"/>
      <c r="P1817" s="245" t="s">
        <v>30</v>
      </c>
      <c r="Q1817" s="23">
        <v>46035</v>
      </c>
      <c r="R1817" s="852" t="s">
        <v>1138</v>
      </c>
      <c r="S1817" s="22" t="s">
        <v>32</v>
      </c>
      <c r="T1817" s="22">
        <v>17</v>
      </c>
      <c r="U1817" s="24" t="s">
        <v>1138</v>
      </c>
      <c r="V1817" s="23">
        <v>46035</v>
      </c>
      <c r="W1817" s="118" t="s">
        <v>30</v>
      </c>
      <c r="X1817" s="118" t="s">
        <v>30</v>
      </c>
      <c r="Y1817" s="118" t="s">
        <v>30</v>
      </c>
      <c r="Z1817" s="120"/>
      <c r="AA1817" s="120"/>
      <c r="AB1817" s="120"/>
      <c r="AC1817" s="118" t="s">
        <v>30</v>
      </c>
      <c r="AD1817" s="118" t="s">
        <v>30</v>
      </c>
      <c r="AE1817" s="118" t="s">
        <v>30</v>
      </c>
      <c r="AF1817" s="118" t="s">
        <v>30</v>
      </c>
      <c r="AG1817" s="118" t="s">
        <v>30</v>
      </c>
      <c r="AH1817" s="96" t="s">
        <v>30</v>
      </c>
      <c r="AI1817" s="118" t="s">
        <v>30</v>
      </c>
      <c r="AJ1817" s="118" t="s">
        <v>30</v>
      </c>
      <c r="AK1817" s="118" t="s">
        <v>30</v>
      </c>
      <c r="AL1817" s="110"/>
      <c r="AM1817" s="840"/>
      <c r="AV1817" s="105"/>
    </row>
    <row r="1818" spans="1:48">
      <c r="A1818" s="834" t="s">
        <v>24</v>
      </c>
      <c r="B1818" s="835">
        <v>1815</v>
      </c>
      <c r="C1818" s="838" t="s">
        <v>2338</v>
      </c>
      <c r="D1818" s="838" t="s">
        <v>2670</v>
      </c>
      <c r="E1818" s="839">
        <v>46013</v>
      </c>
      <c r="F1818" s="838" t="s">
        <v>737</v>
      </c>
      <c r="G1818" s="838">
        <v>13</v>
      </c>
      <c r="H1818" s="838" t="s">
        <v>1721</v>
      </c>
      <c r="I1818" s="838" t="s">
        <v>1638</v>
      </c>
      <c r="J1818" s="838"/>
      <c r="K1818" s="840" t="s">
        <v>2222</v>
      </c>
      <c r="L1818" s="840" t="s">
        <v>2632</v>
      </c>
      <c r="M1818" s="840" t="s">
        <v>2633</v>
      </c>
      <c r="N1818" s="840" t="s">
        <v>2058</v>
      </c>
      <c r="O1818" s="853"/>
      <c r="P1818" s="853" t="s">
        <v>30</v>
      </c>
      <c r="Q1818" s="23">
        <v>46042</v>
      </c>
      <c r="R1818" s="852" t="s">
        <v>1638</v>
      </c>
      <c r="S1818" s="22" t="s">
        <v>32</v>
      </c>
      <c r="T1818" s="22">
        <v>12</v>
      </c>
      <c r="U1818" s="24" t="s">
        <v>1638</v>
      </c>
      <c r="V1818" s="23">
        <v>46042</v>
      </c>
      <c r="W1818" s="118" t="s">
        <v>30</v>
      </c>
      <c r="X1818" s="107" t="s">
        <v>30</v>
      </c>
      <c r="Y1818" s="96" t="s">
        <v>30</v>
      </c>
      <c r="Z1818" s="107" t="s">
        <v>30</v>
      </c>
      <c r="AA1818" s="107" t="s">
        <v>30</v>
      </c>
      <c r="AB1818" s="107" t="s">
        <v>30</v>
      </c>
      <c r="AC1818" s="107" t="s">
        <v>30</v>
      </c>
      <c r="AD1818" s="107" t="s">
        <v>30</v>
      </c>
      <c r="AE1818" s="107" t="s">
        <v>30</v>
      </c>
      <c r="AF1818" s="107" t="s">
        <v>30</v>
      </c>
      <c r="AG1818" s="107" t="s">
        <v>30</v>
      </c>
      <c r="AH1818" s="96" t="s">
        <v>30</v>
      </c>
      <c r="AI1818" s="107" t="s">
        <v>30</v>
      </c>
      <c r="AJ1818" s="107" t="s">
        <v>30</v>
      </c>
      <c r="AK1818" s="107" t="s">
        <v>30</v>
      </c>
      <c r="AL1818" s="110"/>
      <c r="AM1818" s="840"/>
      <c r="AV1818" s="105"/>
    </row>
    <row r="1819" spans="1:48">
      <c r="A1819" s="834" t="s">
        <v>24</v>
      </c>
      <c r="B1819" s="835">
        <v>1816</v>
      </c>
      <c r="C1819" s="838" t="s">
        <v>2671</v>
      </c>
      <c r="D1819" s="838" t="s">
        <v>50</v>
      </c>
      <c r="E1819" s="839">
        <v>46013</v>
      </c>
      <c r="F1819" s="838" t="s">
        <v>2672</v>
      </c>
      <c r="G1819" s="838">
        <v>16</v>
      </c>
      <c r="H1819" s="838" t="s">
        <v>1721</v>
      </c>
      <c r="I1819" s="838" t="s">
        <v>1638</v>
      </c>
      <c r="J1819" s="838"/>
      <c r="K1819" s="840" t="s">
        <v>2578</v>
      </c>
      <c r="L1819" s="840" t="s">
        <v>2560</v>
      </c>
      <c r="M1819" s="840" t="s">
        <v>2560</v>
      </c>
      <c r="N1819" s="840" t="s">
        <v>2050</v>
      </c>
      <c r="O1819" s="113" t="s">
        <v>31</v>
      </c>
      <c r="P1819" s="853" t="s">
        <v>30</v>
      </c>
      <c r="Q1819" s="848">
        <v>46055</v>
      </c>
      <c r="R1819" s="852" t="s">
        <v>1638</v>
      </c>
      <c r="S1819" s="22" t="s">
        <v>32</v>
      </c>
      <c r="T1819" s="22">
        <v>16</v>
      </c>
      <c r="U1819" s="852" t="s">
        <v>1638</v>
      </c>
      <c r="V1819" s="23">
        <v>46055</v>
      </c>
      <c r="W1819" s="91" t="s">
        <v>32</v>
      </c>
      <c r="X1819" s="91" t="s">
        <v>32</v>
      </c>
      <c r="Y1819" s="91"/>
      <c r="Z1819" s="90" t="s">
        <v>30</v>
      </c>
      <c r="AA1819" s="90" t="s">
        <v>30</v>
      </c>
      <c r="AB1819" s="90" t="s">
        <v>30</v>
      </c>
      <c r="AC1819" s="90" t="s">
        <v>30</v>
      </c>
      <c r="AD1819" s="90" t="s">
        <v>30</v>
      </c>
      <c r="AE1819" s="90" t="s">
        <v>30</v>
      </c>
      <c r="AF1819" s="90" t="s">
        <v>30</v>
      </c>
      <c r="AG1819" s="90" t="s">
        <v>30</v>
      </c>
      <c r="AH1819" s="110"/>
      <c r="AI1819" s="90" t="s">
        <v>30</v>
      </c>
      <c r="AJ1819" s="90" t="s">
        <v>30</v>
      </c>
      <c r="AK1819" s="90" t="s">
        <v>30</v>
      </c>
      <c r="AL1819" s="110"/>
      <c r="AM1819" s="840" t="s">
        <v>2545</v>
      </c>
      <c r="AV1819" s="105"/>
    </row>
    <row r="1820" spans="1:48">
      <c r="A1820" s="834" t="s">
        <v>24</v>
      </c>
      <c r="B1820" s="835">
        <v>1817</v>
      </c>
      <c r="C1820" s="838" t="s">
        <v>2673</v>
      </c>
      <c r="D1820" s="838" t="s">
        <v>34</v>
      </c>
      <c r="E1820" s="839">
        <v>46013</v>
      </c>
      <c r="F1820" s="838" t="s">
        <v>286</v>
      </c>
      <c r="G1820" s="838">
        <v>25</v>
      </c>
      <c r="H1820" s="838" t="s">
        <v>127</v>
      </c>
      <c r="I1820" s="838" t="s">
        <v>178</v>
      </c>
      <c r="J1820" s="250"/>
      <c r="K1820" s="840" t="s">
        <v>2092</v>
      </c>
      <c r="L1820" s="840" t="s">
        <v>2666</v>
      </c>
      <c r="M1820" s="840" t="s">
        <v>2666</v>
      </c>
      <c r="N1820" s="840" t="s">
        <v>2050</v>
      </c>
      <c r="O1820" s="113" t="s">
        <v>31</v>
      </c>
      <c r="P1820" s="23" t="s">
        <v>30</v>
      </c>
      <c r="Q1820" s="23">
        <v>46053</v>
      </c>
      <c r="R1820" s="24" t="s">
        <v>28</v>
      </c>
      <c r="S1820" s="834" t="s">
        <v>30</v>
      </c>
      <c r="T1820" s="22">
        <v>15</v>
      </c>
      <c r="U1820" s="24" t="s">
        <v>28</v>
      </c>
      <c r="V1820" s="23">
        <v>46053</v>
      </c>
      <c r="W1820" s="96" t="s">
        <v>30</v>
      </c>
      <c r="X1820" s="96" t="s">
        <v>30</v>
      </c>
      <c r="Y1820" s="96" t="s">
        <v>30</v>
      </c>
      <c r="Z1820" s="120"/>
      <c r="AA1820" s="120"/>
      <c r="AB1820" s="120"/>
      <c r="AC1820" s="96" t="s">
        <v>30</v>
      </c>
      <c r="AD1820" s="96" t="s">
        <v>30</v>
      </c>
      <c r="AE1820" s="96" t="s">
        <v>30</v>
      </c>
      <c r="AF1820" s="96" t="s">
        <v>30</v>
      </c>
      <c r="AG1820" s="96" t="s">
        <v>30</v>
      </c>
      <c r="AH1820" s="96" t="s">
        <v>30</v>
      </c>
      <c r="AI1820" s="96" t="s">
        <v>30</v>
      </c>
      <c r="AJ1820" s="96" t="s">
        <v>30</v>
      </c>
      <c r="AK1820" s="96" t="s">
        <v>30</v>
      </c>
      <c r="AL1820" s="110"/>
      <c r="AM1820" s="840"/>
      <c r="AV1820" s="105"/>
    </row>
    <row r="1821" spans="1:48">
      <c r="A1821" s="834" t="s">
        <v>24</v>
      </c>
      <c r="B1821" s="835">
        <v>1818</v>
      </c>
      <c r="C1821" s="838" t="s">
        <v>2674</v>
      </c>
      <c r="D1821" s="838" t="s">
        <v>716</v>
      </c>
      <c r="E1821" s="839">
        <v>46013</v>
      </c>
      <c r="F1821" s="838" t="s">
        <v>2626</v>
      </c>
      <c r="G1821" s="838">
        <v>11</v>
      </c>
      <c r="H1821" s="838" t="s">
        <v>127</v>
      </c>
      <c r="I1821" s="838" t="s">
        <v>178</v>
      </c>
      <c r="J1821" s="838"/>
      <c r="K1821" s="840" t="s">
        <v>2056</v>
      </c>
      <c r="L1821" s="840" t="s">
        <v>2666</v>
      </c>
      <c r="M1821" s="840" t="s">
        <v>2661</v>
      </c>
      <c r="N1821" s="840" t="s">
        <v>2058</v>
      </c>
      <c r="O1821" s="853"/>
      <c r="P1821" s="853" t="s">
        <v>30</v>
      </c>
      <c r="Q1821" s="117">
        <v>46055</v>
      </c>
      <c r="R1821" s="24" t="s">
        <v>28</v>
      </c>
      <c r="S1821" s="22" t="s">
        <v>32</v>
      </c>
      <c r="T1821" s="22">
        <v>10</v>
      </c>
      <c r="U1821" s="24" t="s">
        <v>28</v>
      </c>
      <c r="V1821" s="117">
        <v>46055</v>
      </c>
      <c r="W1821" s="96" t="s">
        <v>30</v>
      </c>
      <c r="X1821" s="91" t="s">
        <v>32</v>
      </c>
      <c r="Y1821" s="91"/>
      <c r="Z1821" s="96" t="s">
        <v>30</v>
      </c>
      <c r="AA1821" s="96" t="s">
        <v>30</v>
      </c>
      <c r="AB1821" s="96" t="s">
        <v>30</v>
      </c>
      <c r="AC1821" s="96" t="s">
        <v>30</v>
      </c>
      <c r="AD1821" s="96" t="s">
        <v>30</v>
      </c>
      <c r="AE1821" s="96" t="s">
        <v>30</v>
      </c>
      <c r="AF1821" s="110" t="s">
        <v>32</v>
      </c>
      <c r="AG1821" s="110" t="s">
        <v>32</v>
      </c>
      <c r="AH1821" s="96" t="s">
        <v>30</v>
      </c>
      <c r="AI1821" s="96" t="s">
        <v>30</v>
      </c>
      <c r="AJ1821" s="96" t="s">
        <v>30</v>
      </c>
      <c r="AK1821" s="96" t="s">
        <v>30</v>
      </c>
      <c r="AL1821" s="110"/>
      <c r="AM1821" s="840" t="s">
        <v>2545</v>
      </c>
      <c r="AN1821" s="87"/>
      <c r="AO1821" s="87"/>
      <c r="AS1821" s="71"/>
      <c r="AT1821" s="92"/>
      <c r="AU1821" s="92"/>
      <c r="AV1821" s="105"/>
    </row>
    <row r="1822" spans="1:48">
      <c r="A1822" s="834" t="s">
        <v>24</v>
      </c>
      <c r="B1822" s="835">
        <v>1819</v>
      </c>
      <c r="C1822" s="838" t="s">
        <v>2675</v>
      </c>
      <c r="D1822" s="838" t="s">
        <v>374</v>
      </c>
      <c r="E1822" s="839">
        <v>46013</v>
      </c>
      <c r="F1822" s="838" t="s">
        <v>1945</v>
      </c>
      <c r="G1822" s="838">
        <v>30</v>
      </c>
      <c r="H1822" s="838" t="s">
        <v>127</v>
      </c>
      <c r="I1822" s="838" t="s">
        <v>178</v>
      </c>
      <c r="J1822" s="838"/>
      <c r="K1822" s="840" t="s">
        <v>2085</v>
      </c>
      <c r="L1822" s="840" t="s">
        <v>2666</v>
      </c>
      <c r="M1822" s="840" t="s">
        <v>2666</v>
      </c>
      <c r="N1822" s="840" t="s">
        <v>2050</v>
      </c>
      <c r="O1822" s="113" t="s">
        <v>31</v>
      </c>
      <c r="P1822" s="853" t="s">
        <v>30</v>
      </c>
      <c r="Q1822" s="23">
        <v>46053</v>
      </c>
      <c r="R1822" s="24" t="s">
        <v>28</v>
      </c>
      <c r="S1822" s="22" t="s">
        <v>32</v>
      </c>
      <c r="T1822" s="22">
        <v>27</v>
      </c>
      <c r="U1822" s="24" t="s">
        <v>28</v>
      </c>
      <c r="V1822" s="23">
        <v>46053</v>
      </c>
      <c r="W1822" s="96" t="s">
        <v>30</v>
      </c>
      <c r="X1822" s="96" t="s">
        <v>30</v>
      </c>
      <c r="Y1822" s="96" t="s">
        <v>30</v>
      </c>
      <c r="Z1822" s="96" t="s">
        <v>30</v>
      </c>
      <c r="AA1822" s="96" t="s">
        <v>30</v>
      </c>
      <c r="AB1822" s="96" t="s">
        <v>30</v>
      </c>
      <c r="AC1822" s="96" t="s">
        <v>30</v>
      </c>
      <c r="AD1822" s="96" t="s">
        <v>30</v>
      </c>
      <c r="AE1822" s="96" t="s">
        <v>30</v>
      </c>
      <c r="AF1822" s="96" t="s">
        <v>30</v>
      </c>
      <c r="AG1822" s="96" t="s">
        <v>30</v>
      </c>
      <c r="AH1822" s="96" t="s">
        <v>30</v>
      </c>
      <c r="AI1822" s="107" t="s">
        <v>30</v>
      </c>
      <c r="AJ1822" s="107" t="s">
        <v>30</v>
      </c>
      <c r="AK1822" s="107" t="s">
        <v>30</v>
      </c>
      <c r="AL1822" s="110"/>
      <c r="AM1822" s="840"/>
      <c r="AN1822" s="87"/>
      <c r="AO1822" s="87"/>
      <c r="AS1822" s="71"/>
      <c r="AT1822" s="92"/>
      <c r="AU1822" s="92"/>
      <c r="AV1822" s="105"/>
    </row>
    <row r="1823" spans="1:48">
      <c r="A1823" s="834" t="s">
        <v>24</v>
      </c>
      <c r="B1823" s="835">
        <v>1820</v>
      </c>
      <c r="C1823" s="838" t="s">
        <v>2676</v>
      </c>
      <c r="D1823" s="838" t="s">
        <v>406</v>
      </c>
      <c r="E1823" s="839">
        <v>46013</v>
      </c>
      <c r="F1823" s="838" t="s">
        <v>202</v>
      </c>
      <c r="G1823" s="838">
        <v>40</v>
      </c>
      <c r="H1823" s="838" t="s">
        <v>127</v>
      </c>
      <c r="I1823" s="838" t="s">
        <v>178</v>
      </c>
      <c r="J1823" s="838"/>
      <c r="K1823" s="840" t="s">
        <v>2677</v>
      </c>
      <c r="L1823" s="840" t="s">
        <v>2678</v>
      </c>
      <c r="M1823" s="840" t="s">
        <v>2661</v>
      </c>
      <c r="N1823" s="840" t="s">
        <v>2058</v>
      </c>
      <c r="O1823" s="113" t="s">
        <v>31</v>
      </c>
      <c r="P1823" s="245" t="s">
        <v>30</v>
      </c>
      <c r="Q1823" s="23">
        <v>46031</v>
      </c>
      <c r="R1823" s="24" t="s">
        <v>28</v>
      </c>
      <c r="S1823" s="22" t="s">
        <v>1140</v>
      </c>
      <c r="T1823" s="22">
        <v>37</v>
      </c>
      <c r="U1823" s="24" t="s">
        <v>28</v>
      </c>
      <c r="V1823" s="23">
        <v>46031</v>
      </c>
      <c r="W1823" s="118" t="s">
        <v>30</v>
      </c>
      <c r="X1823" s="96" t="s">
        <v>30</v>
      </c>
      <c r="Y1823" s="96" t="s">
        <v>30</v>
      </c>
      <c r="Z1823" s="96" t="s">
        <v>30</v>
      </c>
      <c r="AA1823" s="96" t="s">
        <v>30</v>
      </c>
      <c r="AB1823" s="96" t="s">
        <v>30</v>
      </c>
      <c r="AC1823" s="96" t="s">
        <v>30</v>
      </c>
      <c r="AD1823" s="96" t="s">
        <v>30</v>
      </c>
      <c r="AE1823" s="96" t="s">
        <v>30</v>
      </c>
      <c r="AF1823" s="91" t="s">
        <v>32</v>
      </c>
      <c r="AG1823" s="91" t="s">
        <v>32</v>
      </c>
      <c r="AH1823" s="96" t="s">
        <v>30</v>
      </c>
      <c r="AI1823" s="107" t="s">
        <v>30</v>
      </c>
      <c r="AJ1823" s="107" t="s">
        <v>30</v>
      </c>
      <c r="AK1823" s="107" t="s">
        <v>30</v>
      </c>
      <c r="AL1823" s="110"/>
      <c r="AM1823" s="840"/>
      <c r="AV1823" s="105"/>
    </row>
    <row r="1824" spans="1:48">
      <c r="A1824" s="834" t="s">
        <v>24</v>
      </c>
      <c r="B1824" s="835">
        <v>1821</v>
      </c>
      <c r="C1824" s="838" t="s">
        <v>2679</v>
      </c>
      <c r="D1824" s="838" t="s">
        <v>43</v>
      </c>
      <c r="E1824" s="839">
        <v>46013</v>
      </c>
      <c r="F1824" s="838" t="s">
        <v>909</v>
      </c>
      <c r="G1824" s="838">
        <v>18</v>
      </c>
      <c r="H1824" s="838" t="s">
        <v>127</v>
      </c>
      <c r="I1824" s="838" t="s">
        <v>178</v>
      </c>
      <c r="J1824" s="838"/>
      <c r="K1824" s="840" t="s">
        <v>2142</v>
      </c>
      <c r="L1824" s="840" t="s">
        <v>2678</v>
      </c>
      <c r="M1824" s="840" t="s">
        <v>2661</v>
      </c>
      <c r="N1824" s="840" t="s">
        <v>2050</v>
      </c>
      <c r="O1824" s="113" t="s">
        <v>31</v>
      </c>
      <c r="P1824" s="853" t="s">
        <v>30</v>
      </c>
      <c r="Q1824" s="23">
        <v>46042</v>
      </c>
      <c r="R1824" s="24" t="s">
        <v>28</v>
      </c>
      <c r="S1824" s="22" t="s">
        <v>32</v>
      </c>
      <c r="T1824" s="22">
        <v>15</v>
      </c>
      <c r="U1824" s="24" t="s">
        <v>28</v>
      </c>
      <c r="V1824" s="23">
        <v>46042</v>
      </c>
      <c r="W1824" s="118" t="s">
        <v>30</v>
      </c>
      <c r="X1824" s="118" t="s">
        <v>30</v>
      </c>
      <c r="Y1824" s="96" t="s">
        <v>30</v>
      </c>
      <c r="Z1824" s="91" t="s">
        <v>32</v>
      </c>
      <c r="AA1824" s="91" t="s">
        <v>32</v>
      </c>
      <c r="AB1824" s="96" t="s">
        <v>30</v>
      </c>
      <c r="AC1824" s="96" t="s">
        <v>30</v>
      </c>
      <c r="AD1824" s="96" t="s">
        <v>30</v>
      </c>
      <c r="AE1824" s="96" t="s">
        <v>30</v>
      </c>
      <c r="AF1824" s="96" t="s">
        <v>30</v>
      </c>
      <c r="AG1824" s="96" t="s">
        <v>30</v>
      </c>
      <c r="AH1824" s="96" t="s">
        <v>30</v>
      </c>
      <c r="AI1824" s="96" t="s">
        <v>30</v>
      </c>
      <c r="AJ1824" s="96" t="s">
        <v>30</v>
      </c>
      <c r="AK1824" s="107" t="s">
        <v>30</v>
      </c>
      <c r="AL1824" s="110"/>
      <c r="AM1824" s="840" t="s">
        <v>2548</v>
      </c>
      <c r="AR1824" s="84"/>
      <c r="AS1824" s="71"/>
      <c r="AT1824" s="71"/>
      <c r="AU1824" s="71"/>
      <c r="AV1824" s="105"/>
    </row>
    <row r="1825" spans="1:48">
      <c r="A1825" s="834" t="s">
        <v>24</v>
      </c>
      <c r="B1825" s="835">
        <v>1822</v>
      </c>
      <c r="C1825" s="838" t="s">
        <v>2680</v>
      </c>
      <c r="D1825" s="838" t="s">
        <v>446</v>
      </c>
      <c r="E1825" s="839">
        <v>46013</v>
      </c>
      <c r="F1825" s="838" t="s">
        <v>202</v>
      </c>
      <c r="G1825" s="838">
        <v>17</v>
      </c>
      <c r="H1825" s="838" t="s">
        <v>127</v>
      </c>
      <c r="I1825" s="838" t="s">
        <v>178</v>
      </c>
      <c r="J1825" s="838"/>
      <c r="K1825" s="840" t="s">
        <v>2244</v>
      </c>
      <c r="L1825" s="840" t="s">
        <v>2661</v>
      </c>
      <c r="M1825" s="840" t="s">
        <v>2661</v>
      </c>
      <c r="N1825" s="840" t="s">
        <v>2050</v>
      </c>
      <c r="O1825" s="113" t="s">
        <v>31</v>
      </c>
      <c r="P1825" s="245" t="s">
        <v>30</v>
      </c>
      <c r="Q1825" s="119">
        <v>46035</v>
      </c>
      <c r="R1825" s="24" t="s">
        <v>28</v>
      </c>
      <c r="S1825" s="22" t="s">
        <v>32</v>
      </c>
      <c r="T1825" s="22">
        <v>14</v>
      </c>
      <c r="U1825" s="24" t="s">
        <v>28</v>
      </c>
      <c r="V1825" s="119">
        <v>46035</v>
      </c>
      <c r="W1825" s="90" t="s">
        <v>30</v>
      </c>
      <c r="X1825" s="96" t="s">
        <v>30</v>
      </c>
      <c r="Y1825" s="96" t="s">
        <v>30</v>
      </c>
      <c r="Z1825" s="96" t="s">
        <v>30</v>
      </c>
      <c r="AA1825" s="96" t="s">
        <v>30</v>
      </c>
      <c r="AB1825" s="96" t="s">
        <v>30</v>
      </c>
      <c r="AC1825" s="96" t="s">
        <v>30</v>
      </c>
      <c r="AD1825" s="96" t="s">
        <v>30</v>
      </c>
      <c r="AE1825" s="96" t="s">
        <v>30</v>
      </c>
      <c r="AF1825" s="96" t="s">
        <v>30</v>
      </c>
      <c r="AG1825" s="96" t="s">
        <v>30</v>
      </c>
      <c r="AH1825" s="96" t="s">
        <v>30</v>
      </c>
      <c r="AI1825" s="96" t="s">
        <v>30</v>
      </c>
      <c r="AJ1825" s="96" t="s">
        <v>30</v>
      </c>
      <c r="AK1825" s="96" t="s">
        <v>30</v>
      </c>
      <c r="AL1825" s="110"/>
      <c r="AM1825" s="840"/>
      <c r="AV1825" s="105"/>
    </row>
    <row r="1826" spans="1:48">
      <c r="A1826" s="834" t="s">
        <v>24</v>
      </c>
      <c r="B1826" s="835">
        <v>1823</v>
      </c>
      <c r="C1826" s="838" t="s">
        <v>2681</v>
      </c>
      <c r="D1826" s="838" t="s">
        <v>43</v>
      </c>
      <c r="E1826" s="839">
        <v>46013</v>
      </c>
      <c r="F1826" s="838" t="s">
        <v>202</v>
      </c>
      <c r="G1826" s="838">
        <v>13</v>
      </c>
      <c r="H1826" s="838" t="s">
        <v>127</v>
      </c>
      <c r="I1826" s="838" t="s">
        <v>178</v>
      </c>
      <c r="J1826" s="838"/>
      <c r="K1826" s="840" t="s">
        <v>2244</v>
      </c>
      <c r="L1826" s="840" t="s">
        <v>2661</v>
      </c>
      <c r="M1826" s="840" t="s">
        <v>2661</v>
      </c>
      <c r="N1826" s="840" t="s">
        <v>2050</v>
      </c>
      <c r="O1826" s="853"/>
      <c r="P1826" s="245" t="s">
        <v>30</v>
      </c>
      <c r="Q1826" s="23">
        <v>46035</v>
      </c>
      <c r="R1826" s="24" t="s">
        <v>28</v>
      </c>
      <c r="S1826" s="22" t="s">
        <v>32</v>
      </c>
      <c r="T1826" s="22">
        <v>13</v>
      </c>
      <c r="U1826" s="24" t="s">
        <v>28</v>
      </c>
      <c r="V1826" s="23">
        <v>46035</v>
      </c>
      <c r="W1826" s="96" t="s">
        <v>30</v>
      </c>
      <c r="X1826" s="96" t="s">
        <v>30</v>
      </c>
      <c r="Y1826" s="96" t="s">
        <v>30</v>
      </c>
      <c r="Z1826" s="96" t="s">
        <v>30</v>
      </c>
      <c r="AA1826" s="96" t="s">
        <v>30</v>
      </c>
      <c r="AB1826" s="96" t="s">
        <v>30</v>
      </c>
      <c r="AC1826" s="96" t="s">
        <v>30</v>
      </c>
      <c r="AD1826" s="96" t="s">
        <v>30</v>
      </c>
      <c r="AE1826" s="96" t="s">
        <v>30</v>
      </c>
      <c r="AF1826" s="96" t="s">
        <v>30</v>
      </c>
      <c r="AG1826" s="96" t="s">
        <v>30</v>
      </c>
      <c r="AH1826" s="96" t="s">
        <v>30</v>
      </c>
      <c r="AI1826" s="96" t="s">
        <v>30</v>
      </c>
      <c r="AJ1826" s="96" t="s">
        <v>30</v>
      </c>
      <c r="AK1826" s="96" t="s">
        <v>30</v>
      </c>
      <c r="AL1826" s="110"/>
      <c r="AM1826" s="840"/>
      <c r="AV1826" s="105"/>
    </row>
    <row r="1827" spans="1:48">
      <c r="A1827" s="834" t="s">
        <v>24</v>
      </c>
      <c r="B1827" s="835">
        <v>1824</v>
      </c>
      <c r="C1827" s="838" t="s">
        <v>2682</v>
      </c>
      <c r="D1827" s="838" t="s">
        <v>1641</v>
      </c>
      <c r="E1827" s="839">
        <v>46013</v>
      </c>
      <c r="F1827" s="838" t="s">
        <v>464</v>
      </c>
      <c r="G1827" s="838">
        <v>12</v>
      </c>
      <c r="H1827" s="838" t="s">
        <v>67</v>
      </c>
      <c r="I1827" s="838" t="s">
        <v>47</v>
      </c>
      <c r="J1827" s="838"/>
      <c r="K1827" s="840" t="s">
        <v>2264</v>
      </c>
      <c r="L1827" s="840" t="s">
        <v>2666</v>
      </c>
      <c r="M1827" s="840" t="s">
        <v>2666</v>
      </c>
      <c r="N1827" s="840" t="s">
        <v>2050</v>
      </c>
      <c r="O1827" s="248"/>
      <c r="P1827" s="853" t="s">
        <v>30</v>
      </c>
      <c r="Q1827" s="23">
        <v>46053</v>
      </c>
      <c r="R1827" s="24" t="s">
        <v>48</v>
      </c>
      <c r="S1827" s="22" t="s">
        <v>32</v>
      </c>
      <c r="T1827" s="22">
        <v>11</v>
      </c>
      <c r="U1827" s="24" t="s">
        <v>48</v>
      </c>
      <c r="V1827" s="23">
        <v>46053</v>
      </c>
      <c r="W1827" s="96" t="s">
        <v>30</v>
      </c>
      <c r="X1827" s="96" t="s">
        <v>30</v>
      </c>
      <c r="Y1827" s="96" t="s">
        <v>30</v>
      </c>
      <c r="Z1827" s="96" t="s">
        <v>30</v>
      </c>
      <c r="AA1827" s="96" t="s">
        <v>30</v>
      </c>
      <c r="AB1827" s="96" t="s">
        <v>30</v>
      </c>
      <c r="AC1827" s="96" t="s">
        <v>30</v>
      </c>
      <c r="AD1827" s="91" t="s">
        <v>32</v>
      </c>
      <c r="AE1827" s="96" t="s">
        <v>30</v>
      </c>
      <c r="AF1827" s="96" t="s">
        <v>30</v>
      </c>
      <c r="AG1827" s="96" t="s">
        <v>30</v>
      </c>
      <c r="AH1827" s="96" t="s">
        <v>30</v>
      </c>
      <c r="AI1827" s="107" t="s">
        <v>30</v>
      </c>
      <c r="AJ1827" s="107" t="s">
        <v>30</v>
      </c>
      <c r="AK1827" s="107" t="s">
        <v>30</v>
      </c>
      <c r="AL1827" s="110"/>
      <c r="AM1827" s="840"/>
      <c r="AR1827" s="84"/>
      <c r="AS1827" s="71"/>
      <c r="AT1827" s="71"/>
      <c r="AU1827" s="71"/>
      <c r="AV1827" s="105"/>
    </row>
    <row r="1828" spans="1:48">
      <c r="A1828" s="834" t="s">
        <v>24</v>
      </c>
      <c r="B1828" s="835">
        <v>1825</v>
      </c>
      <c r="C1828" s="838" t="s">
        <v>2683</v>
      </c>
      <c r="D1828" s="838" t="s">
        <v>34</v>
      </c>
      <c r="E1828" s="839">
        <v>46013</v>
      </c>
      <c r="F1828" s="838" t="s">
        <v>2684</v>
      </c>
      <c r="G1828" s="838">
        <v>16</v>
      </c>
      <c r="H1828" s="838" t="s">
        <v>67</v>
      </c>
      <c r="I1828" s="838" t="s">
        <v>47</v>
      </c>
      <c r="J1828" s="838"/>
      <c r="K1828" s="840" t="s">
        <v>2102</v>
      </c>
      <c r="L1828" s="840" t="s">
        <v>2666</v>
      </c>
      <c r="M1828" s="840" t="s">
        <v>2666</v>
      </c>
      <c r="N1828" s="840" t="s">
        <v>2050</v>
      </c>
      <c r="O1828" s="113" t="s">
        <v>31</v>
      </c>
      <c r="P1828" s="853" t="s">
        <v>30</v>
      </c>
      <c r="Q1828" s="23">
        <v>46053</v>
      </c>
      <c r="R1828" s="24" t="s">
        <v>48</v>
      </c>
      <c r="S1828" s="22" t="s">
        <v>32</v>
      </c>
      <c r="T1828" s="22">
        <v>19</v>
      </c>
      <c r="U1828" s="24" t="s">
        <v>48</v>
      </c>
      <c r="V1828" s="23">
        <v>46053</v>
      </c>
      <c r="W1828" s="96" t="s">
        <v>30</v>
      </c>
      <c r="X1828" s="96" t="s">
        <v>30</v>
      </c>
      <c r="Y1828" s="96" t="s">
        <v>30</v>
      </c>
      <c r="Z1828" s="96" t="s">
        <v>30</v>
      </c>
      <c r="AA1828" s="96" t="s">
        <v>30</v>
      </c>
      <c r="AB1828" s="96" t="s">
        <v>30</v>
      </c>
      <c r="AC1828" s="96" t="s">
        <v>30</v>
      </c>
      <c r="AD1828" s="96" t="s">
        <v>30</v>
      </c>
      <c r="AE1828" s="96" t="s">
        <v>30</v>
      </c>
      <c r="AF1828" s="96" t="s">
        <v>30</v>
      </c>
      <c r="AG1828" s="96" t="s">
        <v>30</v>
      </c>
      <c r="AH1828" s="96" t="s">
        <v>30</v>
      </c>
      <c r="AI1828" s="107" t="s">
        <v>30</v>
      </c>
      <c r="AJ1828" s="107" t="s">
        <v>30</v>
      </c>
      <c r="AK1828" s="107" t="s">
        <v>30</v>
      </c>
      <c r="AL1828" s="110"/>
      <c r="AM1828" s="840" t="s">
        <v>2548</v>
      </c>
      <c r="AO1828" s="776"/>
      <c r="AP1828" s="776"/>
      <c r="AQ1828" s="776"/>
      <c r="AR1828" s="776"/>
      <c r="AV1828" s="105"/>
    </row>
    <row r="1829" spans="1:48">
      <c r="A1829" s="834" t="s">
        <v>24</v>
      </c>
      <c r="B1829" s="835">
        <v>1826</v>
      </c>
      <c r="C1829" s="838" t="s">
        <v>2685</v>
      </c>
      <c r="D1829" s="838" t="s">
        <v>43</v>
      </c>
      <c r="E1829" s="839">
        <v>46013</v>
      </c>
      <c r="F1829" s="838" t="s">
        <v>1342</v>
      </c>
      <c r="G1829" s="838">
        <v>20</v>
      </c>
      <c r="H1829" s="838" t="s">
        <v>67</v>
      </c>
      <c r="I1829" s="838" t="s">
        <v>47</v>
      </c>
      <c r="J1829" s="838"/>
      <c r="K1829" s="840" t="s">
        <v>2226</v>
      </c>
      <c r="L1829" s="840" t="s">
        <v>2636</v>
      </c>
      <c r="M1829" s="840" t="s">
        <v>2636</v>
      </c>
      <c r="N1829" s="840" t="s">
        <v>2058</v>
      </c>
      <c r="O1829" s="113" t="s">
        <v>31</v>
      </c>
      <c r="P1829" s="853" t="s">
        <v>30</v>
      </c>
      <c r="Q1829" s="23">
        <v>46055</v>
      </c>
      <c r="R1829" s="24" t="s">
        <v>1638</v>
      </c>
      <c r="S1829" s="22" t="s">
        <v>32</v>
      </c>
      <c r="T1829" s="22">
        <v>32</v>
      </c>
      <c r="U1829" s="24" t="s">
        <v>1638</v>
      </c>
      <c r="V1829" s="23">
        <v>46055</v>
      </c>
      <c r="W1829" s="96" t="s">
        <v>30</v>
      </c>
      <c r="X1829" s="91" t="s">
        <v>32</v>
      </c>
      <c r="Y1829" s="96" t="s">
        <v>30</v>
      </c>
      <c r="Z1829" s="96" t="s">
        <v>30</v>
      </c>
      <c r="AA1829" s="96" t="s">
        <v>30</v>
      </c>
      <c r="AB1829" s="96" t="s">
        <v>30</v>
      </c>
      <c r="AC1829" s="96" t="s">
        <v>30</v>
      </c>
      <c r="AD1829" s="96" t="s">
        <v>30</v>
      </c>
      <c r="AE1829" s="96" t="s">
        <v>30</v>
      </c>
      <c r="AF1829" s="96" t="s">
        <v>30</v>
      </c>
      <c r="AG1829" s="96" t="s">
        <v>30</v>
      </c>
      <c r="AH1829" s="96" t="s">
        <v>30</v>
      </c>
      <c r="AI1829" s="96" t="s">
        <v>30</v>
      </c>
      <c r="AJ1829" s="96" t="s">
        <v>30</v>
      </c>
      <c r="AK1829" s="96" t="s">
        <v>30</v>
      </c>
      <c r="AL1829" s="110"/>
      <c r="AM1829" s="840"/>
      <c r="AS1829" s="71"/>
      <c r="AT1829" s="92"/>
      <c r="AU1829" s="92"/>
      <c r="AV1829" s="105"/>
    </row>
    <row r="1830" spans="1:48">
      <c r="A1830" s="834" t="s">
        <v>24</v>
      </c>
      <c r="B1830" s="835">
        <v>1827</v>
      </c>
      <c r="C1830" s="838" t="s">
        <v>2686</v>
      </c>
      <c r="D1830" s="838" t="s">
        <v>34</v>
      </c>
      <c r="E1830" s="839">
        <v>46013</v>
      </c>
      <c r="F1830" s="838" t="s">
        <v>2687</v>
      </c>
      <c r="G1830" s="838">
        <v>14</v>
      </c>
      <c r="H1830" s="838" t="s">
        <v>67</v>
      </c>
      <c r="I1830" s="838" t="s">
        <v>47</v>
      </c>
      <c r="J1830" s="838"/>
      <c r="K1830" s="840" t="s">
        <v>2130</v>
      </c>
      <c r="L1830" s="840" t="s">
        <v>2661</v>
      </c>
      <c r="M1830" s="840" t="s">
        <v>2661</v>
      </c>
      <c r="N1830" s="840" t="s">
        <v>2050</v>
      </c>
      <c r="O1830" s="248"/>
      <c r="P1830" s="245" t="s">
        <v>30</v>
      </c>
      <c r="Q1830" s="119">
        <v>46042</v>
      </c>
      <c r="R1830" s="24" t="s">
        <v>47</v>
      </c>
      <c r="S1830" s="22" t="s">
        <v>32</v>
      </c>
      <c r="T1830" s="22">
        <v>19</v>
      </c>
      <c r="U1830" s="24" t="s">
        <v>47</v>
      </c>
      <c r="V1830" s="119">
        <v>46042</v>
      </c>
      <c r="W1830" s="80" t="s">
        <v>30</v>
      </c>
      <c r="X1830" s="91" t="s">
        <v>32</v>
      </c>
      <c r="Y1830" s="96" t="s">
        <v>30</v>
      </c>
      <c r="Z1830" s="91" t="s">
        <v>32</v>
      </c>
      <c r="AA1830" s="91" t="s">
        <v>32</v>
      </c>
      <c r="AB1830" s="96" t="s">
        <v>30</v>
      </c>
      <c r="AC1830" s="96" t="s">
        <v>30</v>
      </c>
      <c r="AD1830" s="96" t="s">
        <v>30</v>
      </c>
      <c r="AE1830" s="96" t="s">
        <v>30</v>
      </c>
      <c r="AF1830" s="96" t="s">
        <v>30</v>
      </c>
      <c r="AG1830" s="96" t="s">
        <v>30</v>
      </c>
      <c r="AH1830" s="96" t="s">
        <v>30</v>
      </c>
      <c r="AI1830" s="107" t="s">
        <v>30</v>
      </c>
      <c r="AJ1830" s="107" t="s">
        <v>30</v>
      </c>
      <c r="AK1830" s="107" t="s">
        <v>30</v>
      </c>
      <c r="AL1830" s="110"/>
      <c r="AM1830" s="840" t="s">
        <v>2545</v>
      </c>
      <c r="AO1830" s="776"/>
      <c r="AP1830" s="776"/>
      <c r="AQ1830" s="776"/>
      <c r="AR1830" s="776"/>
      <c r="AV1830" s="105"/>
    </row>
    <row r="1831" spans="1:48">
      <c r="A1831" s="834" t="s">
        <v>24</v>
      </c>
      <c r="B1831" s="835">
        <v>1828</v>
      </c>
      <c r="C1831" s="838" t="s">
        <v>2688</v>
      </c>
      <c r="D1831" s="838" t="s">
        <v>178</v>
      </c>
      <c r="E1831" s="839">
        <v>46013</v>
      </c>
      <c r="F1831" s="838" t="s">
        <v>2687</v>
      </c>
      <c r="G1831" s="838">
        <v>14</v>
      </c>
      <c r="H1831" s="838" t="s">
        <v>67</v>
      </c>
      <c r="I1831" s="838" t="s">
        <v>47</v>
      </c>
      <c r="J1831" s="838"/>
      <c r="K1831" s="840" t="s">
        <v>2123</v>
      </c>
      <c r="L1831" s="840" t="s">
        <v>2661</v>
      </c>
      <c r="M1831" s="840" t="s">
        <v>2661</v>
      </c>
      <c r="N1831" s="840" t="s">
        <v>2050</v>
      </c>
      <c r="O1831" s="853"/>
      <c r="P1831" s="245" t="s">
        <v>30</v>
      </c>
      <c r="Q1831" s="119">
        <v>46042</v>
      </c>
      <c r="R1831" s="24" t="s">
        <v>47</v>
      </c>
      <c r="S1831" s="22" t="s">
        <v>32</v>
      </c>
      <c r="T1831" s="22">
        <v>13</v>
      </c>
      <c r="U1831" s="24" t="s">
        <v>47</v>
      </c>
      <c r="V1831" s="119">
        <v>46042</v>
      </c>
      <c r="W1831" s="96" t="s">
        <v>30</v>
      </c>
      <c r="X1831" s="96" t="s">
        <v>30</v>
      </c>
      <c r="Y1831" s="96" t="s">
        <v>30</v>
      </c>
      <c r="Z1831" s="96" t="s">
        <v>30</v>
      </c>
      <c r="AA1831" s="96" t="s">
        <v>30</v>
      </c>
      <c r="AB1831" s="96" t="s">
        <v>30</v>
      </c>
      <c r="AC1831" s="96" t="s">
        <v>30</v>
      </c>
      <c r="AD1831" s="96" t="s">
        <v>30</v>
      </c>
      <c r="AE1831" s="96" t="s">
        <v>30</v>
      </c>
      <c r="AF1831" s="96" t="s">
        <v>30</v>
      </c>
      <c r="AG1831" s="96" t="s">
        <v>30</v>
      </c>
      <c r="AH1831" s="96" t="s">
        <v>30</v>
      </c>
      <c r="AI1831" s="96" t="s">
        <v>30</v>
      </c>
      <c r="AJ1831" s="96" t="s">
        <v>30</v>
      </c>
      <c r="AK1831" s="96" t="s">
        <v>30</v>
      </c>
      <c r="AL1831" s="110"/>
      <c r="AM1831" s="840"/>
      <c r="AO1831" s="776"/>
      <c r="AP1831" s="776"/>
      <c r="AQ1831" s="776"/>
      <c r="AR1831" s="776"/>
      <c r="AV1831" s="105"/>
    </row>
    <row r="1832" spans="1:48">
      <c r="A1832" s="834" t="s">
        <v>24</v>
      </c>
      <c r="B1832" s="835">
        <v>1829</v>
      </c>
      <c r="C1832" s="838" t="s">
        <v>2689</v>
      </c>
      <c r="D1832" s="838" t="s">
        <v>34</v>
      </c>
      <c r="E1832" s="839">
        <v>46013</v>
      </c>
      <c r="F1832" s="838" t="s">
        <v>2687</v>
      </c>
      <c r="G1832" s="838">
        <v>20</v>
      </c>
      <c r="H1832" s="838" t="s">
        <v>67</v>
      </c>
      <c r="I1832" s="838" t="s">
        <v>47</v>
      </c>
      <c r="J1832" s="838"/>
      <c r="K1832" s="840" t="s">
        <v>2130</v>
      </c>
      <c r="L1832" s="840" t="s">
        <v>2661</v>
      </c>
      <c r="M1832" s="840" t="s">
        <v>2661</v>
      </c>
      <c r="N1832" s="840" t="s">
        <v>2050</v>
      </c>
      <c r="O1832" s="113" t="s">
        <v>31</v>
      </c>
      <c r="P1832" s="245" t="s">
        <v>30</v>
      </c>
      <c r="Q1832" s="119">
        <v>46042</v>
      </c>
      <c r="R1832" s="24" t="s">
        <v>47</v>
      </c>
      <c r="S1832" s="22" t="s">
        <v>32</v>
      </c>
      <c r="T1832" s="22">
        <v>13</v>
      </c>
      <c r="U1832" s="24" t="s">
        <v>47</v>
      </c>
      <c r="V1832" s="119">
        <v>46042</v>
      </c>
      <c r="W1832" s="80" t="s">
        <v>30</v>
      </c>
      <c r="X1832" s="91" t="s">
        <v>32</v>
      </c>
      <c r="Y1832" s="96" t="s">
        <v>30</v>
      </c>
      <c r="Z1832" s="91" t="s">
        <v>32</v>
      </c>
      <c r="AA1832" s="91" t="s">
        <v>32</v>
      </c>
      <c r="AB1832" s="96" t="s">
        <v>30</v>
      </c>
      <c r="AC1832" s="96" t="s">
        <v>30</v>
      </c>
      <c r="AD1832" s="96" t="s">
        <v>30</v>
      </c>
      <c r="AE1832" s="96" t="s">
        <v>30</v>
      </c>
      <c r="AF1832" s="96" t="s">
        <v>30</v>
      </c>
      <c r="AG1832" s="96" t="s">
        <v>30</v>
      </c>
      <c r="AH1832" s="96" t="s">
        <v>30</v>
      </c>
      <c r="AI1832" s="107" t="s">
        <v>30</v>
      </c>
      <c r="AJ1832" s="107" t="s">
        <v>30</v>
      </c>
      <c r="AK1832" s="107" t="s">
        <v>30</v>
      </c>
      <c r="AL1832" s="110"/>
      <c r="AM1832" s="840" t="s">
        <v>2545</v>
      </c>
      <c r="AN1832" s="6"/>
      <c r="AO1832" s="6"/>
      <c r="AP1832" s="6"/>
      <c r="AQ1832" s="6"/>
      <c r="AR1832" s="6"/>
      <c r="AS1832" s="104"/>
      <c r="AT1832" s="105"/>
      <c r="AU1832" s="105"/>
      <c r="AV1832" s="105"/>
    </row>
    <row r="1833" spans="1:48">
      <c r="A1833" s="834" t="s">
        <v>24</v>
      </c>
      <c r="B1833" s="835">
        <v>1830</v>
      </c>
      <c r="C1833" s="838" t="s">
        <v>2690</v>
      </c>
      <c r="D1833" s="838" t="s">
        <v>178</v>
      </c>
      <c r="E1833" s="839">
        <v>46013</v>
      </c>
      <c r="F1833" s="838" t="s">
        <v>2687</v>
      </c>
      <c r="G1833" s="838">
        <v>20</v>
      </c>
      <c r="H1833" s="838" t="s">
        <v>67</v>
      </c>
      <c r="I1833" s="838" t="s">
        <v>47</v>
      </c>
      <c r="J1833" s="838"/>
      <c r="K1833" s="840" t="s">
        <v>2123</v>
      </c>
      <c r="L1833" s="840" t="s">
        <v>2661</v>
      </c>
      <c r="M1833" s="840" t="s">
        <v>2661</v>
      </c>
      <c r="N1833" s="840" t="s">
        <v>2050</v>
      </c>
      <c r="O1833" s="113" t="s">
        <v>31</v>
      </c>
      <c r="P1833" s="247" t="s">
        <v>30</v>
      </c>
      <c r="Q1833" s="23">
        <v>46044</v>
      </c>
      <c r="R1833" s="24" t="s">
        <v>47</v>
      </c>
      <c r="S1833" s="22" t="s">
        <v>32</v>
      </c>
      <c r="T1833" s="22">
        <v>19</v>
      </c>
      <c r="U1833" s="24" t="s">
        <v>47</v>
      </c>
      <c r="V1833" s="23">
        <v>46044</v>
      </c>
      <c r="W1833" s="96" t="s">
        <v>30</v>
      </c>
      <c r="X1833" s="96" t="s">
        <v>30</v>
      </c>
      <c r="Y1833" s="96" t="s">
        <v>30</v>
      </c>
      <c r="Z1833" s="96" t="s">
        <v>30</v>
      </c>
      <c r="AA1833" s="96" t="s">
        <v>30</v>
      </c>
      <c r="AB1833" s="96" t="s">
        <v>30</v>
      </c>
      <c r="AC1833" s="96" t="s">
        <v>30</v>
      </c>
      <c r="AD1833" s="96" t="s">
        <v>30</v>
      </c>
      <c r="AE1833" s="96" t="s">
        <v>30</v>
      </c>
      <c r="AF1833" s="96" t="s">
        <v>30</v>
      </c>
      <c r="AG1833" s="96" t="s">
        <v>30</v>
      </c>
      <c r="AH1833" s="96" t="s">
        <v>30</v>
      </c>
      <c r="AI1833" s="96" t="s">
        <v>30</v>
      </c>
      <c r="AJ1833" s="96" t="s">
        <v>30</v>
      </c>
      <c r="AK1833" s="96" t="s">
        <v>30</v>
      </c>
      <c r="AL1833" s="110"/>
      <c r="AM1833" s="840"/>
      <c r="AN1833" s="6"/>
      <c r="AO1833" s="6"/>
      <c r="AP1833" s="6"/>
      <c r="AQ1833" s="6"/>
      <c r="AR1833" s="6"/>
      <c r="AS1833" s="104"/>
      <c r="AT1833" s="105"/>
      <c r="AU1833" s="105"/>
      <c r="AV1833" s="105"/>
    </row>
    <row r="1834" spans="1:48">
      <c r="A1834" s="834" t="s">
        <v>24</v>
      </c>
      <c r="B1834" s="835">
        <v>1831</v>
      </c>
      <c r="C1834" s="838" t="s">
        <v>410</v>
      </c>
      <c r="D1834" s="838" t="s">
        <v>1754</v>
      </c>
      <c r="E1834" s="839">
        <v>46013</v>
      </c>
      <c r="F1834" s="838" t="s">
        <v>272</v>
      </c>
      <c r="G1834" s="838">
        <v>10</v>
      </c>
      <c r="H1834" s="838" t="s">
        <v>67</v>
      </c>
      <c r="I1834" s="838" t="s">
        <v>47</v>
      </c>
      <c r="J1834" s="838"/>
      <c r="K1834" s="840" t="s">
        <v>2126</v>
      </c>
      <c r="L1834" s="840" t="s">
        <v>2661</v>
      </c>
      <c r="M1834" s="840" t="s">
        <v>2661</v>
      </c>
      <c r="N1834" s="840" t="s">
        <v>2050</v>
      </c>
      <c r="O1834" s="248"/>
      <c r="P1834" s="853" t="s">
        <v>30</v>
      </c>
      <c r="Q1834" s="848">
        <v>46050</v>
      </c>
      <c r="R1834" s="24" t="s">
        <v>48</v>
      </c>
      <c r="S1834" s="23">
        <v>46053</v>
      </c>
      <c r="T1834" s="22">
        <v>10</v>
      </c>
      <c r="U1834" s="24" t="s">
        <v>48</v>
      </c>
      <c r="V1834" s="848">
        <v>46050</v>
      </c>
      <c r="W1834" s="96" t="s">
        <v>113</v>
      </c>
      <c r="X1834" s="96" t="s">
        <v>30</v>
      </c>
      <c r="Y1834" s="91"/>
      <c r="Z1834" s="96"/>
      <c r="AA1834" s="96"/>
      <c r="AB1834" s="96"/>
      <c r="AC1834" s="96"/>
      <c r="AD1834" s="96"/>
      <c r="AE1834" s="96"/>
      <c r="AF1834" s="96"/>
      <c r="AG1834" s="96"/>
      <c r="AH1834" s="96" t="s">
        <v>30</v>
      </c>
      <c r="AI1834" s="107"/>
      <c r="AJ1834" s="107"/>
      <c r="AK1834" s="107" t="s">
        <v>30</v>
      </c>
      <c r="AL1834" s="110"/>
      <c r="AM1834" s="840" t="s">
        <v>2691</v>
      </c>
      <c r="AV1834" s="105"/>
    </row>
    <row r="1835" spans="1:48">
      <c r="A1835" s="834" t="s">
        <v>24</v>
      </c>
      <c r="B1835" s="835">
        <v>1832</v>
      </c>
      <c r="C1835" s="838" t="s">
        <v>2692</v>
      </c>
      <c r="D1835" s="838" t="s">
        <v>34</v>
      </c>
      <c r="E1835" s="839">
        <v>46013</v>
      </c>
      <c r="F1835" s="838" t="s">
        <v>272</v>
      </c>
      <c r="G1835" s="838">
        <v>16</v>
      </c>
      <c r="H1835" s="838" t="s">
        <v>67</v>
      </c>
      <c r="I1835" s="838" t="s">
        <v>47</v>
      </c>
      <c r="J1835" s="250"/>
      <c r="K1835" s="840" t="s">
        <v>2098</v>
      </c>
      <c r="L1835" s="840" t="s">
        <v>2661</v>
      </c>
      <c r="M1835" s="840" t="s">
        <v>2661</v>
      </c>
      <c r="N1835" s="840" t="s">
        <v>2050</v>
      </c>
      <c r="O1835" s="113" t="s">
        <v>31</v>
      </c>
      <c r="P1835" s="853" t="s">
        <v>30</v>
      </c>
      <c r="Q1835" s="117">
        <v>46050</v>
      </c>
      <c r="R1835" s="24" t="s">
        <v>48</v>
      </c>
      <c r="S1835" s="22" t="s">
        <v>30</v>
      </c>
      <c r="T1835" s="22">
        <v>13</v>
      </c>
      <c r="U1835" s="24" t="s">
        <v>48</v>
      </c>
      <c r="V1835" s="117">
        <v>46050</v>
      </c>
      <c r="W1835" s="96" t="s">
        <v>30</v>
      </c>
      <c r="X1835" s="96" t="s">
        <v>30</v>
      </c>
      <c r="Y1835" s="96" t="s">
        <v>30</v>
      </c>
      <c r="Z1835" s="96" t="s">
        <v>30</v>
      </c>
      <c r="AA1835" s="96" t="s">
        <v>30</v>
      </c>
      <c r="AB1835" s="96" t="s">
        <v>30</v>
      </c>
      <c r="AC1835" s="96" t="s">
        <v>30</v>
      </c>
      <c r="AD1835" s="91" t="s">
        <v>32</v>
      </c>
      <c r="AE1835" s="96" t="s">
        <v>30</v>
      </c>
      <c r="AF1835" s="91" t="s">
        <v>32</v>
      </c>
      <c r="AG1835" s="91" t="s">
        <v>32</v>
      </c>
      <c r="AH1835" s="96" t="s">
        <v>30</v>
      </c>
      <c r="AI1835" s="96" t="s">
        <v>30</v>
      </c>
      <c r="AJ1835" s="96" t="s">
        <v>30</v>
      </c>
      <c r="AK1835" s="96" t="s">
        <v>30</v>
      </c>
      <c r="AL1835" s="91" t="s">
        <v>32</v>
      </c>
      <c r="AM1835" s="840" t="s">
        <v>2548</v>
      </c>
      <c r="AN1835" s="87"/>
      <c r="AO1835" s="87"/>
      <c r="AS1835" s="71"/>
      <c r="AT1835" s="92"/>
      <c r="AU1835" s="92"/>
      <c r="AV1835" s="105"/>
    </row>
    <row r="1836" spans="1:48">
      <c r="A1836" s="834" t="s">
        <v>24</v>
      </c>
      <c r="B1836" s="835">
        <v>1833</v>
      </c>
      <c r="C1836" s="838" t="s">
        <v>2693</v>
      </c>
      <c r="D1836" s="838" t="s">
        <v>374</v>
      </c>
      <c r="E1836" s="839">
        <v>46014</v>
      </c>
      <c r="F1836" s="838" t="s">
        <v>2694</v>
      </c>
      <c r="G1836" s="838">
        <v>12</v>
      </c>
      <c r="H1836" s="838" t="s">
        <v>127</v>
      </c>
      <c r="I1836" s="838" t="s">
        <v>178</v>
      </c>
      <c r="J1836" s="838"/>
      <c r="K1836" s="840" t="s">
        <v>2695</v>
      </c>
      <c r="L1836" s="840" t="s">
        <v>2592</v>
      </c>
      <c r="M1836" s="840" t="s">
        <v>2666</v>
      </c>
      <c r="N1836" s="840" t="s">
        <v>2696</v>
      </c>
      <c r="O1836" s="248"/>
      <c r="P1836" s="245" t="s">
        <v>30</v>
      </c>
      <c r="Q1836" s="117">
        <v>46052</v>
      </c>
      <c r="R1836" s="24" t="s">
        <v>28</v>
      </c>
      <c r="S1836" s="834" t="s">
        <v>32</v>
      </c>
      <c r="T1836" s="7">
        <v>11</v>
      </c>
      <c r="U1836" s="24" t="s">
        <v>28</v>
      </c>
      <c r="V1836" s="117">
        <v>46052</v>
      </c>
      <c r="W1836" s="90" t="s">
        <v>30</v>
      </c>
      <c r="X1836" s="96" t="s">
        <v>30</v>
      </c>
      <c r="Y1836" s="96" t="s">
        <v>30</v>
      </c>
      <c r="Z1836" s="120"/>
      <c r="AA1836" s="120"/>
      <c r="AB1836" s="120"/>
      <c r="AC1836" s="96" t="s">
        <v>30</v>
      </c>
      <c r="AD1836" s="96" t="s">
        <v>30</v>
      </c>
      <c r="AE1836" s="96" t="s">
        <v>30</v>
      </c>
      <c r="AF1836" s="96" t="s">
        <v>30</v>
      </c>
      <c r="AG1836" s="96" t="s">
        <v>30</v>
      </c>
      <c r="AH1836" s="96" t="s">
        <v>30</v>
      </c>
      <c r="AI1836" s="96" t="s">
        <v>30</v>
      </c>
      <c r="AJ1836" s="96" t="s">
        <v>30</v>
      </c>
      <c r="AK1836" s="96" t="s">
        <v>30</v>
      </c>
      <c r="AL1836" s="110"/>
      <c r="AM1836" s="840"/>
      <c r="AS1836" s="71"/>
      <c r="AT1836" s="92"/>
      <c r="AU1836" s="92"/>
      <c r="AV1836" s="105"/>
    </row>
    <row r="1837" spans="1:48">
      <c r="A1837" s="834" t="s">
        <v>24</v>
      </c>
      <c r="B1837" s="835">
        <v>1834</v>
      </c>
      <c r="C1837" s="838" t="s">
        <v>2697</v>
      </c>
      <c r="D1837" s="838" t="s">
        <v>270</v>
      </c>
      <c r="E1837" s="839">
        <v>46014</v>
      </c>
      <c r="F1837" s="838" t="s">
        <v>737</v>
      </c>
      <c r="G1837" s="838">
        <v>19</v>
      </c>
      <c r="H1837" s="838" t="s">
        <v>127</v>
      </c>
      <c r="I1837" s="838" t="s">
        <v>178</v>
      </c>
      <c r="J1837" s="838"/>
      <c r="K1837" s="840" t="s">
        <v>2244</v>
      </c>
      <c r="L1837" s="840" t="s">
        <v>2661</v>
      </c>
      <c r="M1837" s="840" t="s">
        <v>2661</v>
      </c>
      <c r="N1837" s="840" t="s">
        <v>2050</v>
      </c>
      <c r="O1837" s="113" t="s">
        <v>31</v>
      </c>
      <c r="P1837" s="853" t="s">
        <v>30</v>
      </c>
      <c r="Q1837" s="23">
        <v>46044</v>
      </c>
      <c r="R1837" s="24" t="s">
        <v>28</v>
      </c>
      <c r="S1837" s="22" t="s">
        <v>32</v>
      </c>
      <c r="T1837" s="22">
        <v>18</v>
      </c>
      <c r="U1837" s="24" t="s">
        <v>28</v>
      </c>
      <c r="V1837" s="23">
        <v>46044</v>
      </c>
      <c r="W1837" s="90" t="s">
        <v>30</v>
      </c>
      <c r="X1837" s="96" t="s">
        <v>30</v>
      </c>
      <c r="Y1837" s="96" t="s">
        <v>30</v>
      </c>
      <c r="Z1837" s="96" t="s">
        <v>30</v>
      </c>
      <c r="AA1837" s="96" t="s">
        <v>30</v>
      </c>
      <c r="AB1837" s="96" t="s">
        <v>30</v>
      </c>
      <c r="AC1837" s="96" t="s">
        <v>30</v>
      </c>
      <c r="AD1837" s="96" t="s">
        <v>30</v>
      </c>
      <c r="AE1837" s="96" t="s">
        <v>30</v>
      </c>
      <c r="AF1837" s="96" t="s">
        <v>30</v>
      </c>
      <c r="AG1837" s="96" t="s">
        <v>30</v>
      </c>
      <c r="AH1837" s="96" t="s">
        <v>30</v>
      </c>
      <c r="AI1837" s="96" t="s">
        <v>30</v>
      </c>
      <c r="AJ1837" s="96" t="s">
        <v>30</v>
      </c>
      <c r="AK1837" s="96" t="s">
        <v>30</v>
      </c>
      <c r="AL1837" s="110"/>
      <c r="AM1837" s="840"/>
      <c r="AN1837" s="87"/>
      <c r="AO1837" s="87"/>
      <c r="AS1837" s="71"/>
      <c r="AT1837" s="92"/>
      <c r="AU1837" s="92"/>
      <c r="AV1837" s="105"/>
    </row>
    <row r="1838" spans="1:48">
      <c r="A1838" s="834" t="s">
        <v>24</v>
      </c>
      <c r="B1838" s="835">
        <v>1835</v>
      </c>
      <c r="C1838" s="838" t="s">
        <v>2698</v>
      </c>
      <c r="D1838" s="838" t="s">
        <v>34</v>
      </c>
      <c r="E1838" s="839">
        <v>46014</v>
      </c>
      <c r="F1838" s="838" t="s">
        <v>644</v>
      </c>
      <c r="G1838" s="838">
        <v>13</v>
      </c>
      <c r="H1838" s="838" t="s">
        <v>127</v>
      </c>
      <c r="I1838" s="838" t="s">
        <v>178</v>
      </c>
      <c r="J1838" s="250"/>
      <c r="K1838" s="840" t="s">
        <v>2085</v>
      </c>
      <c r="L1838" s="840" t="s">
        <v>2666</v>
      </c>
      <c r="M1838" s="840" t="s">
        <v>2666</v>
      </c>
      <c r="N1838" s="840" t="s">
        <v>2050</v>
      </c>
      <c r="O1838" s="853"/>
      <c r="P1838" s="23" t="s">
        <v>30</v>
      </c>
      <c r="Q1838" s="23">
        <v>46038</v>
      </c>
      <c r="R1838" s="24" t="s">
        <v>28</v>
      </c>
      <c r="S1838" s="834" t="s">
        <v>30</v>
      </c>
      <c r="T1838" s="22">
        <v>11</v>
      </c>
      <c r="U1838" s="24"/>
      <c r="V1838" s="23">
        <v>46038</v>
      </c>
      <c r="W1838" s="96" t="s">
        <v>30</v>
      </c>
      <c r="X1838" s="96" t="s">
        <v>30</v>
      </c>
      <c r="Y1838" s="96" t="s">
        <v>30</v>
      </c>
      <c r="Z1838" s="96" t="s">
        <v>30</v>
      </c>
      <c r="AA1838" s="96" t="s">
        <v>30</v>
      </c>
      <c r="AB1838" s="96" t="s">
        <v>30</v>
      </c>
      <c r="AC1838" s="96" t="s">
        <v>30</v>
      </c>
      <c r="AD1838" s="96" t="s">
        <v>30</v>
      </c>
      <c r="AE1838" s="96" t="s">
        <v>30</v>
      </c>
      <c r="AF1838" s="96" t="s">
        <v>30</v>
      </c>
      <c r="AG1838" s="96" t="s">
        <v>30</v>
      </c>
      <c r="AH1838" s="96" t="s">
        <v>30</v>
      </c>
      <c r="AI1838" s="107" t="s">
        <v>30</v>
      </c>
      <c r="AJ1838" s="107" t="s">
        <v>30</v>
      </c>
      <c r="AK1838" s="107" t="s">
        <v>30</v>
      </c>
      <c r="AL1838" s="110"/>
      <c r="AM1838" s="840"/>
      <c r="AN1838" s="87"/>
      <c r="AO1838" s="87"/>
      <c r="AS1838" s="71"/>
      <c r="AT1838" s="92"/>
      <c r="AU1838" s="92"/>
      <c r="AV1838" s="105"/>
    </row>
    <row r="1839" spans="1:48">
      <c r="A1839" s="834" t="s">
        <v>24</v>
      </c>
      <c r="B1839" s="835">
        <v>1836</v>
      </c>
      <c r="C1839" s="838" t="s">
        <v>2699</v>
      </c>
      <c r="D1839" s="838" t="s">
        <v>64</v>
      </c>
      <c r="E1839" s="839">
        <v>46014</v>
      </c>
      <c r="F1839" s="838" t="s">
        <v>737</v>
      </c>
      <c r="G1839" s="838">
        <v>19</v>
      </c>
      <c r="H1839" s="838" t="s">
        <v>127</v>
      </c>
      <c r="I1839" s="838" t="s">
        <v>178</v>
      </c>
      <c r="J1839" s="838"/>
      <c r="K1839" s="840" t="s">
        <v>2056</v>
      </c>
      <c r="L1839" s="840" t="s">
        <v>2666</v>
      </c>
      <c r="M1839" s="840" t="s">
        <v>2666</v>
      </c>
      <c r="N1839" s="840" t="s">
        <v>2050</v>
      </c>
      <c r="O1839" s="113" t="s">
        <v>31</v>
      </c>
      <c r="P1839" s="853" t="s">
        <v>30</v>
      </c>
      <c r="Q1839" s="23">
        <v>46056</v>
      </c>
      <c r="R1839" s="24" t="s">
        <v>67</v>
      </c>
      <c r="S1839" s="22" t="s">
        <v>32</v>
      </c>
      <c r="T1839" s="22">
        <v>13</v>
      </c>
      <c r="U1839" s="24" t="s">
        <v>67</v>
      </c>
      <c r="V1839" s="23">
        <v>46056</v>
      </c>
      <c r="W1839" s="96" t="s">
        <v>30</v>
      </c>
      <c r="X1839" s="91" t="s">
        <v>32</v>
      </c>
      <c r="Y1839" s="103"/>
      <c r="Z1839" s="96" t="s">
        <v>30</v>
      </c>
      <c r="AA1839" s="96" t="s">
        <v>30</v>
      </c>
      <c r="AB1839" s="96" t="s">
        <v>30</v>
      </c>
      <c r="AC1839" s="96" t="s">
        <v>30</v>
      </c>
      <c r="AD1839" s="96" t="s">
        <v>30</v>
      </c>
      <c r="AE1839" s="96" t="s">
        <v>30</v>
      </c>
      <c r="AF1839" s="96" t="s">
        <v>30</v>
      </c>
      <c r="AG1839" s="96" t="s">
        <v>30</v>
      </c>
      <c r="AH1839" s="96" t="s">
        <v>30</v>
      </c>
      <c r="AI1839" s="96" t="s">
        <v>30</v>
      </c>
      <c r="AJ1839" s="96" t="s">
        <v>30</v>
      </c>
      <c r="AK1839" s="96" t="s">
        <v>30</v>
      </c>
      <c r="AL1839" s="110"/>
      <c r="AM1839" s="840" t="s">
        <v>2545</v>
      </c>
      <c r="AS1839" s="71"/>
      <c r="AT1839" s="92"/>
      <c r="AU1839" s="92"/>
      <c r="AV1839" s="105"/>
    </row>
    <row r="1840" spans="1:48">
      <c r="A1840" s="834" t="s">
        <v>24</v>
      </c>
      <c r="B1840" s="835">
        <v>1837</v>
      </c>
      <c r="C1840" s="838" t="s">
        <v>2700</v>
      </c>
      <c r="D1840" s="838" t="s">
        <v>64</v>
      </c>
      <c r="E1840" s="839">
        <v>46014</v>
      </c>
      <c r="F1840" s="838" t="s">
        <v>2701</v>
      </c>
      <c r="G1840" s="838">
        <v>14</v>
      </c>
      <c r="H1840" s="838" t="s">
        <v>1077</v>
      </c>
      <c r="I1840" s="838" t="s">
        <v>1138</v>
      </c>
      <c r="J1840" s="838"/>
      <c r="K1840" s="840" t="s">
        <v>2098</v>
      </c>
      <c r="L1840" s="840" t="s">
        <v>2661</v>
      </c>
      <c r="M1840" s="840" t="s">
        <v>2661</v>
      </c>
      <c r="N1840" s="840" t="s">
        <v>2050</v>
      </c>
      <c r="O1840" s="853"/>
      <c r="P1840" s="245" t="s">
        <v>30</v>
      </c>
      <c r="Q1840" s="23">
        <v>46036</v>
      </c>
      <c r="R1840" s="852" t="s">
        <v>1138</v>
      </c>
      <c r="S1840" s="22" t="s">
        <v>32</v>
      </c>
      <c r="T1840" s="22">
        <v>14</v>
      </c>
      <c r="U1840" s="24" t="s">
        <v>1138</v>
      </c>
      <c r="V1840" s="23">
        <v>46036</v>
      </c>
      <c r="W1840" s="96" t="s">
        <v>30</v>
      </c>
      <c r="X1840" s="96" t="s">
        <v>30</v>
      </c>
      <c r="Y1840" s="118" t="s">
        <v>30</v>
      </c>
      <c r="Z1840" s="96" t="s">
        <v>30</v>
      </c>
      <c r="AA1840" s="96" t="s">
        <v>30</v>
      </c>
      <c r="AB1840" s="96" t="s">
        <v>30</v>
      </c>
      <c r="AC1840" s="96" t="s">
        <v>30</v>
      </c>
      <c r="AD1840" s="96" t="s">
        <v>30</v>
      </c>
      <c r="AE1840" s="96" t="s">
        <v>30</v>
      </c>
      <c r="AF1840" s="96" t="s">
        <v>30</v>
      </c>
      <c r="AG1840" s="96" t="s">
        <v>30</v>
      </c>
      <c r="AH1840" s="96" t="s">
        <v>30</v>
      </c>
      <c r="AI1840" s="96" t="s">
        <v>30</v>
      </c>
      <c r="AJ1840" s="96" t="s">
        <v>30</v>
      </c>
      <c r="AK1840" s="96" t="s">
        <v>30</v>
      </c>
      <c r="AL1840" s="91" t="s">
        <v>32</v>
      </c>
      <c r="AM1840" s="840" t="s">
        <v>2548</v>
      </c>
      <c r="AV1840" s="105"/>
    </row>
    <row r="1841" spans="1:48">
      <c r="A1841" s="834" t="s">
        <v>24</v>
      </c>
      <c r="B1841" s="835">
        <v>1838</v>
      </c>
      <c r="C1841" s="838" t="s">
        <v>2702</v>
      </c>
      <c r="D1841" s="838" t="s">
        <v>43</v>
      </c>
      <c r="E1841" s="839">
        <v>46014</v>
      </c>
      <c r="F1841" s="838" t="s">
        <v>202</v>
      </c>
      <c r="G1841" s="838">
        <v>40</v>
      </c>
      <c r="H1841" s="838" t="s">
        <v>127</v>
      </c>
      <c r="I1841" s="838" t="s">
        <v>178</v>
      </c>
      <c r="J1841" s="838"/>
      <c r="K1841" s="840" t="s">
        <v>2703</v>
      </c>
      <c r="L1841" s="840" t="s">
        <v>2661</v>
      </c>
      <c r="M1841" s="840" t="s">
        <v>2661</v>
      </c>
      <c r="N1841" s="840" t="s">
        <v>2050</v>
      </c>
      <c r="O1841" s="113" t="s">
        <v>31</v>
      </c>
      <c r="P1841" s="61" t="s">
        <v>30</v>
      </c>
      <c r="Q1841" s="23">
        <v>46030</v>
      </c>
      <c r="R1841" s="24" t="s">
        <v>28</v>
      </c>
      <c r="S1841" s="22" t="s">
        <v>32</v>
      </c>
      <c r="T1841" s="22">
        <v>33</v>
      </c>
      <c r="U1841" s="24" t="s">
        <v>28</v>
      </c>
      <c r="V1841" s="23">
        <v>46030</v>
      </c>
      <c r="W1841" s="96" t="s">
        <v>30</v>
      </c>
      <c r="X1841" s="96" t="s">
        <v>30</v>
      </c>
      <c r="Y1841" s="96" t="s">
        <v>30</v>
      </c>
      <c r="Z1841" s="107" t="s">
        <v>30</v>
      </c>
      <c r="AA1841" s="107" t="s">
        <v>30</v>
      </c>
      <c r="AB1841" s="107" t="s">
        <v>30</v>
      </c>
      <c r="AC1841" s="107" t="s">
        <v>30</v>
      </c>
      <c r="AD1841" s="107" t="s">
        <v>30</v>
      </c>
      <c r="AE1841" s="107" t="s">
        <v>30</v>
      </c>
      <c r="AF1841" s="107" t="s">
        <v>30</v>
      </c>
      <c r="AG1841" s="107" t="s">
        <v>30</v>
      </c>
      <c r="AH1841" s="96" t="s">
        <v>30</v>
      </c>
      <c r="AI1841" s="107" t="s">
        <v>30</v>
      </c>
      <c r="AJ1841" s="107" t="s">
        <v>30</v>
      </c>
      <c r="AK1841" s="107" t="s">
        <v>30</v>
      </c>
      <c r="AL1841" s="110"/>
      <c r="AM1841" s="840"/>
      <c r="AS1841" s="71"/>
      <c r="AT1841" s="92"/>
      <c r="AU1841" s="92"/>
      <c r="AV1841" s="105"/>
    </row>
    <row r="1842" spans="1:48">
      <c r="A1842" s="834" t="s">
        <v>24</v>
      </c>
      <c r="B1842" s="835">
        <v>1839</v>
      </c>
      <c r="C1842" s="838" t="s">
        <v>2704</v>
      </c>
      <c r="D1842" s="838" t="s">
        <v>50</v>
      </c>
      <c r="E1842" s="839">
        <v>46014</v>
      </c>
      <c r="F1842" s="838" t="s">
        <v>202</v>
      </c>
      <c r="G1842" s="838">
        <v>17</v>
      </c>
      <c r="H1842" s="838" t="s">
        <v>127</v>
      </c>
      <c r="I1842" s="838" t="s">
        <v>178</v>
      </c>
      <c r="J1842" s="250"/>
      <c r="K1842" s="840" t="s">
        <v>2705</v>
      </c>
      <c r="L1842" s="840" t="s">
        <v>2706</v>
      </c>
      <c r="M1842" s="840" t="s">
        <v>2706</v>
      </c>
      <c r="N1842" s="840" t="s">
        <v>2050</v>
      </c>
      <c r="O1842" s="113" t="s">
        <v>31</v>
      </c>
      <c r="P1842" s="23" t="s">
        <v>30</v>
      </c>
      <c r="Q1842" s="23">
        <v>46041</v>
      </c>
      <c r="R1842" s="24" t="s">
        <v>2707</v>
      </c>
      <c r="S1842" s="834" t="s">
        <v>30</v>
      </c>
      <c r="T1842" s="22">
        <v>17</v>
      </c>
      <c r="U1842" s="24" t="s">
        <v>2707</v>
      </c>
      <c r="V1842" s="23">
        <v>46041</v>
      </c>
      <c r="W1842" s="118" t="s">
        <v>30</v>
      </c>
      <c r="X1842" s="96" t="s">
        <v>30</v>
      </c>
      <c r="Y1842" s="96" t="s">
        <v>30</v>
      </c>
      <c r="Z1842" s="91" t="s">
        <v>32</v>
      </c>
      <c r="AA1842" s="91" t="s">
        <v>32</v>
      </c>
      <c r="AB1842" s="91" t="s">
        <v>32</v>
      </c>
      <c r="AC1842" s="96" t="s">
        <v>30</v>
      </c>
      <c r="AD1842" s="96" t="s">
        <v>30</v>
      </c>
      <c r="AE1842" s="96" t="s">
        <v>30</v>
      </c>
      <c r="AF1842" s="96" t="s">
        <v>30</v>
      </c>
      <c r="AG1842" s="96" t="s">
        <v>30</v>
      </c>
      <c r="AH1842" s="96" t="s">
        <v>30</v>
      </c>
      <c r="AI1842" s="96" t="s">
        <v>30</v>
      </c>
      <c r="AJ1842" s="96" t="s">
        <v>30</v>
      </c>
      <c r="AK1842" s="107" t="s">
        <v>30</v>
      </c>
      <c r="AL1842" s="110"/>
      <c r="AM1842" s="840" t="s">
        <v>2645</v>
      </c>
      <c r="AS1842" s="71"/>
      <c r="AT1842" s="92"/>
      <c r="AU1842" s="92"/>
      <c r="AV1842" s="105"/>
    </row>
    <row r="1843" spans="1:48">
      <c r="A1843" s="834" t="s">
        <v>24</v>
      </c>
      <c r="B1843" s="835">
        <v>1840</v>
      </c>
      <c r="C1843" s="838" t="s">
        <v>2708</v>
      </c>
      <c r="D1843" s="838" t="s">
        <v>446</v>
      </c>
      <c r="E1843" s="839">
        <v>46014</v>
      </c>
      <c r="F1843" s="838" t="s">
        <v>202</v>
      </c>
      <c r="G1843" s="838">
        <v>13</v>
      </c>
      <c r="H1843" s="838" t="s">
        <v>127</v>
      </c>
      <c r="I1843" s="838" t="s">
        <v>178</v>
      </c>
      <c r="J1843" s="838"/>
      <c r="K1843" s="840" t="s">
        <v>2142</v>
      </c>
      <c r="L1843" s="840" t="s">
        <v>2661</v>
      </c>
      <c r="M1843" s="840" t="s">
        <v>2706</v>
      </c>
      <c r="N1843" s="840" t="s">
        <v>401</v>
      </c>
      <c r="O1843" s="853"/>
      <c r="P1843" s="853" t="s">
        <v>30</v>
      </c>
      <c r="Q1843" s="23">
        <v>46044</v>
      </c>
      <c r="R1843" s="24" t="s">
        <v>2707</v>
      </c>
      <c r="S1843" s="22" t="s">
        <v>32</v>
      </c>
      <c r="T1843" s="22">
        <v>13</v>
      </c>
      <c r="U1843" s="24" t="s">
        <v>2707</v>
      </c>
      <c r="V1843" s="23">
        <v>46044</v>
      </c>
      <c r="W1843" s="118" t="s">
        <v>30</v>
      </c>
      <c r="X1843" s="91" t="s">
        <v>32</v>
      </c>
      <c r="Y1843" s="96" t="s">
        <v>30</v>
      </c>
      <c r="Z1843" s="91" t="s">
        <v>32</v>
      </c>
      <c r="AA1843" s="91" t="s">
        <v>32</v>
      </c>
      <c r="AB1843" s="96" t="s">
        <v>30</v>
      </c>
      <c r="AC1843" s="96" t="s">
        <v>30</v>
      </c>
      <c r="AD1843" s="96" t="s">
        <v>30</v>
      </c>
      <c r="AE1843" s="96" t="s">
        <v>30</v>
      </c>
      <c r="AF1843" s="96" t="s">
        <v>30</v>
      </c>
      <c r="AG1843" s="96" t="s">
        <v>30</v>
      </c>
      <c r="AH1843" s="96" t="s">
        <v>30</v>
      </c>
      <c r="AI1843" s="96" t="s">
        <v>30</v>
      </c>
      <c r="AJ1843" s="96" t="s">
        <v>30</v>
      </c>
      <c r="AK1843" s="107" t="s">
        <v>30</v>
      </c>
      <c r="AL1843" s="110"/>
      <c r="AM1843" s="840" t="s">
        <v>2548</v>
      </c>
      <c r="AV1843" s="105"/>
    </row>
    <row r="1844" spans="1:48">
      <c r="A1844" s="834" t="s">
        <v>24</v>
      </c>
      <c r="B1844" s="835">
        <v>1841</v>
      </c>
      <c r="C1844" s="838" t="s">
        <v>2709</v>
      </c>
      <c r="D1844" s="838" t="s">
        <v>50</v>
      </c>
      <c r="E1844" s="839">
        <v>46014</v>
      </c>
      <c r="F1844" s="838" t="s">
        <v>1945</v>
      </c>
      <c r="G1844" s="838">
        <v>30</v>
      </c>
      <c r="H1844" s="838" t="s">
        <v>127</v>
      </c>
      <c r="I1844" s="838" t="s">
        <v>178</v>
      </c>
      <c r="J1844" s="838"/>
      <c r="K1844" s="840" t="s">
        <v>2087</v>
      </c>
      <c r="L1844" s="840" t="s">
        <v>2666</v>
      </c>
      <c r="M1844" s="840" t="s">
        <v>2636</v>
      </c>
      <c r="N1844" s="840" t="s">
        <v>2050</v>
      </c>
      <c r="O1844" s="113" t="s">
        <v>31</v>
      </c>
      <c r="P1844" s="245" t="s">
        <v>30</v>
      </c>
      <c r="Q1844" s="23">
        <v>46038</v>
      </c>
      <c r="R1844" s="24" t="s">
        <v>2707</v>
      </c>
      <c r="S1844" s="22" t="s">
        <v>32</v>
      </c>
      <c r="T1844" s="22">
        <v>29</v>
      </c>
      <c r="U1844" s="24" t="s">
        <v>2707</v>
      </c>
      <c r="V1844" s="23">
        <v>46038</v>
      </c>
      <c r="W1844" s="96" t="s">
        <v>30</v>
      </c>
      <c r="X1844" s="96" t="s">
        <v>30</v>
      </c>
      <c r="Y1844" s="96" t="s">
        <v>30</v>
      </c>
      <c r="Z1844" s="121"/>
      <c r="AA1844" s="121"/>
      <c r="AB1844" s="121"/>
      <c r="AC1844" s="96" t="s">
        <v>30</v>
      </c>
      <c r="AD1844" s="96" t="s">
        <v>30</v>
      </c>
      <c r="AE1844" s="96" t="s">
        <v>30</v>
      </c>
      <c r="AF1844" s="96" t="s">
        <v>30</v>
      </c>
      <c r="AG1844" s="96" t="s">
        <v>30</v>
      </c>
      <c r="AH1844" s="96" t="s">
        <v>30</v>
      </c>
      <c r="AI1844" s="96" t="s">
        <v>30</v>
      </c>
      <c r="AJ1844" s="96" t="s">
        <v>30</v>
      </c>
      <c r="AK1844" s="96" t="s">
        <v>30</v>
      </c>
      <c r="AL1844" s="110"/>
      <c r="AM1844" s="840"/>
      <c r="AV1844" s="105"/>
    </row>
    <row r="1845" spans="1:48">
      <c r="A1845" s="834" t="s">
        <v>24</v>
      </c>
      <c r="B1845" s="835">
        <v>1842</v>
      </c>
      <c r="C1845" s="838" t="s">
        <v>2710</v>
      </c>
      <c r="D1845" s="838" t="s">
        <v>34</v>
      </c>
      <c r="E1845" s="839">
        <v>46014</v>
      </c>
      <c r="F1845" s="838" t="s">
        <v>93</v>
      </c>
      <c r="G1845" s="838">
        <v>12</v>
      </c>
      <c r="H1845" s="838" t="s">
        <v>127</v>
      </c>
      <c r="I1845" s="838" t="s">
        <v>178</v>
      </c>
      <c r="J1845" s="250"/>
      <c r="K1845" s="840" t="s">
        <v>2180</v>
      </c>
      <c r="L1845" s="840" t="s">
        <v>2661</v>
      </c>
      <c r="M1845" s="840" t="s">
        <v>2706</v>
      </c>
      <c r="N1845" s="840" t="s">
        <v>2711</v>
      </c>
      <c r="O1845" s="248"/>
      <c r="P1845" s="853" t="s">
        <v>30</v>
      </c>
      <c r="Q1845" s="23">
        <v>46053</v>
      </c>
      <c r="R1845" s="24" t="s">
        <v>48</v>
      </c>
      <c r="S1845" s="22" t="s">
        <v>30</v>
      </c>
      <c r="T1845" s="22">
        <v>13</v>
      </c>
      <c r="U1845" s="24" t="s">
        <v>48</v>
      </c>
      <c r="V1845" s="23">
        <v>46053</v>
      </c>
      <c r="W1845" s="118" t="s">
        <v>30</v>
      </c>
      <c r="X1845" s="91" t="s">
        <v>32</v>
      </c>
      <c r="Y1845" s="118" t="s">
        <v>30</v>
      </c>
      <c r="Z1845" s="120"/>
      <c r="AA1845" s="120"/>
      <c r="AB1845" s="120"/>
      <c r="AC1845" s="107" t="s">
        <v>30</v>
      </c>
      <c r="AD1845" s="107" t="s">
        <v>30</v>
      </c>
      <c r="AE1845" s="107" t="s">
        <v>30</v>
      </c>
      <c r="AF1845" s="107" t="s">
        <v>30</v>
      </c>
      <c r="AG1845" s="107" t="s">
        <v>30</v>
      </c>
      <c r="AH1845" s="96" t="s">
        <v>30</v>
      </c>
      <c r="AI1845" s="107" t="s">
        <v>30</v>
      </c>
      <c r="AJ1845" s="107" t="s">
        <v>30</v>
      </c>
      <c r="AK1845" s="107" t="s">
        <v>30</v>
      </c>
      <c r="AL1845" s="110"/>
      <c r="AM1845" s="840"/>
      <c r="AR1845" s="84"/>
      <c r="AS1845" s="71"/>
      <c r="AT1845" s="71"/>
      <c r="AU1845" s="71"/>
      <c r="AV1845" s="105"/>
    </row>
    <row r="1846" spans="1:48">
      <c r="A1846" s="834" t="s">
        <v>24</v>
      </c>
      <c r="B1846" s="835">
        <v>1843</v>
      </c>
      <c r="C1846" s="838" t="s">
        <v>2712</v>
      </c>
      <c r="D1846" s="838" t="s">
        <v>34</v>
      </c>
      <c r="E1846" s="839">
        <v>46014</v>
      </c>
      <c r="F1846" s="838" t="s">
        <v>2713</v>
      </c>
      <c r="G1846" s="838">
        <v>24</v>
      </c>
      <c r="H1846" s="838" t="s">
        <v>67</v>
      </c>
      <c r="I1846" s="838" t="s">
        <v>47</v>
      </c>
      <c r="J1846" s="838"/>
      <c r="K1846" s="840" t="s">
        <v>2102</v>
      </c>
      <c r="L1846" s="840" t="s">
        <v>2636</v>
      </c>
      <c r="M1846" s="840" t="s">
        <v>2636</v>
      </c>
      <c r="N1846" s="840" t="s">
        <v>2050</v>
      </c>
      <c r="O1846" s="113" t="s">
        <v>31</v>
      </c>
      <c r="P1846" s="853" t="s">
        <v>30</v>
      </c>
      <c r="Q1846" s="23">
        <v>46053</v>
      </c>
      <c r="R1846" s="119" t="s">
        <v>48</v>
      </c>
      <c r="S1846" s="243" t="s">
        <v>32</v>
      </c>
      <c r="T1846" s="243">
        <v>31</v>
      </c>
      <c r="U1846" s="119" t="s">
        <v>48</v>
      </c>
      <c r="V1846" s="119">
        <v>46053</v>
      </c>
      <c r="W1846" s="96" t="s">
        <v>30</v>
      </c>
      <c r="X1846" s="96" t="s">
        <v>30</v>
      </c>
      <c r="Y1846" s="118" t="s">
        <v>30</v>
      </c>
      <c r="Z1846" s="96" t="s">
        <v>30</v>
      </c>
      <c r="AA1846" s="96" t="s">
        <v>30</v>
      </c>
      <c r="AB1846" s="96" t="s">
        <v>30</v>
      </c>
      <c r="AC1846" s="96" t="s">
        <v>30</v>
      </c>
      <c r="AD1846" s="96" t="s">
        <v>30</v>
      </c>
      <c r="AE1846" s="96" t="s">
        <v>30</v>
      </c>
      <c r="AF1846" s="96" t="s">
        <v>30</v>
      </c>
      <c r="AG1846" s="96" t="s">
        <v>30</v>
      </c>
      <c r="AH1846" s="96" t="s">
        <v>30</v>
      </c>
      <c r="AI1846" s="107" t="s">
        <v>30</v>
      </c>
      <c r="AJ1846" s="107" t="s">
        <v>30</v>
      </c>
      <c r="AK1846" s="107" t="s">
        <v>30</v>
      </c>
      <c r="AL1846" s="110"/>
      <c r="AM1846" s="840" t="s">
        <v>2548</v>
      </c>
      <c r="AS1846" s="71"/>
      <c r="AT1846" s="92"/>
      <c r="AU1846" s="92"/>
      <c r="AV1846" s="105"/>
    </row>
    <row r="1847" spans="1:48">
      <c r="A1847" s="834" t="s">
        <v>24</v>
      </c>
      <c r="B1847" s="835">
        <v>1844</v>
      </c>
      <c r="C1847" s="838" t="s">
        <v>2714</v>
      </c>
      <c r="D1847" s="838" t="s">
        <v>34</v>
      </c>
      <c r="E1847" s="839">
        <v>46014</v>
      </c>
      <c r="F1847" s="838" t="s">
        <v>2715</v>
      </c>
      <c r="G1847" s="838">
        <v>12</v>
      </c>
      <c r="H1847" s="838" t="s">
        <v>1721</v>
      </c>
      <c r="I1847" s="838" t="s">
        <v>1638</v>
      </c>
      <c r="J1847" s="838"/>
      <c r="K1847" s="840" t="s">
        <v>2100</v>
      </c>
      <c r="L1847" s="840" t="s">
        <v>2706</v>
      </c>
      <c r="M1847" s="840" t="s">
        <v>2706</v>
      </c>
      <c r="N1847" s="840" t="s">
        <v>2050</v>
      </c>
      <c r="O1847" s="248"/>
      <c r="P1847" s="245" t="s">
        <v>30</v>
      </c>
      <c r="Q1847" s="119">
        <v>46049</v>
      </c>
      <c r="R1847" s="852" t="s">
        <v>1638</v>
      </c>
      <c r="S1847" s="22" t="s">
        <v>32</v>
      </c>
      <c r="T1847" s="22">
        <v>10</v>
      </c>
      <c r="U1847" s="24" t="s">
        <v>1638</v>
      </c>
      <c r="V1847" s="119">
        <v>46049</v>
      </c>
      <c r="W1847" s="96" t="s">
        <v>30</v>
      </c>
      <c r="X1847" s="96" t="s">
        <v>30</v>
      </c>
      <c r="Y1847" s="96" t="s">
        <v>30</v>
      </c>
      <c r="Z1847" s="96" t="s">
        <v>30</v>
      </c>
      <c r="AA1847" s="96" t="s">
        <v>30</v>
      </c>
      <c r="AB1847" s="96" t="s">
        <v>30</v>
      </c>
      <c r="AC1847" s="96" t="s">
        <v>30</v>
      </c>
      <c r="AD1847" s="96" t="s">
        <v>30</v>
      </c>
      <c r="AE1847" s="96" t="s">
        <v>30</v>
      </c>
      <c r="AF1847" s="96" t="s">
        <v>30</v>
      </c>
      <c r="AG1847" s="96" t="s">
        <v>30</v>
      </c>
      <c r="AH1847" s="96" t="s">
        <v>30</v>
      </c>
      <c r="AI1847" s="96" t="s">
        <v>30</v>
      </c>
      <c r="AJ1847" s="96" t="s">
        <v>30</v>
      </c>
      <c r="AK1847" s="96" t="s">
        <v>30</v>
      </c>
      <c r="AL1847" s="110"/>
      <c r="AM1847" s="840"/>
      <c r="AV1847" s="105"/>
    </row>
    <row r="1848" spans="1:48">
      <c r="A1848" s="834" t="s">
        <v>24</v>
      </c>
      <c r="B1848" s="835">
        <v>1845</v>
      </c>
      <c r="C1848" s="838" t="s">
        <v>2716</v>
      </c>
      <c r="D1848" s="838" t="s">
        <v>50</v>
      </c>
      <c r="E1848" s="839">
        <v>46014</v>
      </c>
      <c r="F1848" s="838" t="s">
        <v>1342</v>
      </c>
      <c r="G1848" s="838">
        <v>23</v>
      </c>
      <c r="H1848" s="838" t="s">
        <v>67</v>
      </c>
      <c r="I1848" s="838" t="s">
        <v>47</v>
      </c>
      <c r="J1848" s="838"/>
      <c r="K1848" s="840" t="s">
        <v>2203</v>
      </c>
      <c r="L1848" s="840" t="s">
        <v>2636</v>
      </c>
      <c r="M1848" s="840" t="s">
        <v>2706</v>
      </c>
      <c r="N1848" s="840" t="s">
        <v>2058</v>
      </c>
      <c r="O1848" s="113" t="s">
        <v>31</v>
      </c>
      <c r="P1848" s="853" t="s">
        <v>1091</v>
      </c>
      <c r="Q1848" s="23">
        <v>46056</v>
      </c>
      <c r="R1848" s="24" t="s">
        <v>1638</v>
      </c>
      <c r="S1848" s="22" t="s">
        <v>32</v>
      </c>
      <c r="T1848" s="22">
        <v>31</v>
      </c>
      <c r="U1848" s="24" t="s">
        <v>1638</v>
      </c>
      <c r="V1848" s="23">
        <v>46056</v>
      </c>
      <c r="W1848" s="96" t="s">
        <v>30</v>
      </c>
      <c r="X1848" s="91" t="s">
        <v>32</v>
      </c>
      <c r="Y1848" s="96" t="s">
        <v>30</v>
      </c>
      <c r="Z1848" s="91" t="s">
        <v>32</v>
      </c>
      <c r="AA1848" s="91" t="s">
        <v>32</v>
      </c>
      <c r="AB1848" s="91" t="s">
        <v>32</v>
      </c>
      <c r="AC1848" s="96" t="s">
        <v>30</v>
      </c>
      <c r="AD1848" s="96" t="s">
        <v>30</v>
      </c>
      <c r="AE1848" s="96" t="s">
        <v>30</v>
      </c>
      <c r="AF1848" s="96" t="s">
        <v>30</v>
      </c>
      <c r="AG1848" s="96" t="s">
        <v>30</v>
      </c>
      <c r="AH1848" s="96" t="s">
        <v>30</v>
      </c>
      <c r="AI1848" s="96" t="s">
        <v>30</v>
      </c>
      <c r="AJ1848" s="96" t="s">
        <v>30</v>
      </c>
      <c r="AK1848" s="96" t="s">
        <v>30</v>
      </c>
      <c r="AL1848" s="110"/>
      <c r="AM1848" s="840" t="s">
        <v>2548</v>
      </c>
      <c r="AV1848" s="105"/>
    </row>
    <row r="1849" spans="1:48">
      <c r="A1849" s="834" t="s">
        <v>24</v>
      </c>
      <c r="B1849" s="835">
        <v>1846</v>
      </c>
      <c r="C1849" s="838" t="s">
        <v>2717</v>
      </c>
      <c r="D1849" s="838" t="s">
        <v>657</v>
      </c>
      <c r="E1849" s="839">
        <v>46014</v>
      </c>
      <c r="F1849" s="838" t="s">
        <v>1470</v>
      </c>
      <c r="G1849" s="838">
        <v>20</v>
      </c>
      <c r="H1849" s="838" t="s">
        <v>67</v>
      </c>
      <c r="I1849" s="838" t="s">
        <v>47</v>
      </c>
      <c r="J1849" s="838"/>
      <c r="K1849" s="840" t="s">
        <v>2264</v>
      </c>
      <c r="L1849" s="840" t="s">
        <v>2706</v>
      </c>
      <c r="M1849" s="840" t="s">
        <v>2706</v>
      </c>
      <c r="N1849" s="840" t="s">
        <v>2083</v>
      </c>
      <c r="O1849" s="113" t="s">
        <v>31</v>
      </c>
      <c r="P1849" s="245" t="s">
        <v>30</v>
      </c>
      <c r="Q1849" s="23">
        <v>46053</v>
      </c>
      <c r="R1849" s="24" t="s">
        <v>48</v>
      </c>
      <c r="S1849" s="22" t="s">
        <v>32</v>
      </c>
      <c r="T1849" s="22">
        <v>18</v>
      </c>
      <c r="U1849" s="24" t="s">
        <v>48</v>
      </c>
      <c r="V1849" s="23">
        <v>46053</v>
      </c>
      <c r="W1849" s="96" t="s">
        <v>30</v>
      </c>
      <c r="X1849" s="96" t="s">
        <v>30</v>
      </c>
      <c r="Y1849" s="96" t="s">
        <v>30</v>
      </c>
      <c r="Z1849" s="96" t="s">
        <v>30</v>
      </c>
      <c r="AA1849" s="96" t="s">
        <v>30</v>
      </c>
      <c r="AB1849" s="96" t="s">
        <v>30</v>
      </c>
      <c r="AC1849" s="96" t="s">
        <v>30</v>
      </c>
      <c r="AD1849" s="96" t="s">
        <v>30</v>
      </c>
      <c r="AE1849" s="96" t="s">
        <v>30</v>
      </c>
      <c r="AF1849" s="96" t="s">
        <v>30</v>
      </c>
      <c r="AG1849" s="96" t="s">
        <v>30</v>
      </c>
      <c r="AH1849" s="96" t="s">
        <v>30</v>
      </c>
      <c r="AI1849" s="96" t="s">
        <v>30</v>
      </c>
      <c r="AJ1849" s="96" t="s">
        <v>30</v>
      </c>
      <c r="AK1849" s="96" t="s">
        <v>30</v>
      </c>
      <c r="AL1849" s="110"/>
      <c r="AM1849" s="840"/>
      <c r="AO1849" s="776"/>
      <c r="AP1849" s="776"/>
      <c r="AQ1849" s="776"/>
      <c r="AR1849" s="776"/>
      <c r="AV1849" s="105"/>
    </row>
    <row r="1850" spans="1:48">
      <c r="A1850" s="834" t="s">
        <v>24</v>
      </c>
      <c r="B1850" s="835">
        <v>1847</v>
      </c>
      <c r="C1850" s="838" t="s">
        <v>2718</v>
      </c>
      <c r="D1850" s="838" t="s">
        <v>64</v>
      </c>
      <c r="E1850" s="839">
        <v>46014</v>
      </c>
      <c r="F1850" s="838" t="s">
        <v>2684</v>
      </c>
      <c r="G1850" s="838">
        <v>16</v>
      </c>
      <c r="H1850" s="838" t="s">
        <v>67</v>
      </c>
      <c r="I1850" s="838" t="s">
        <v>47</v>
      </c>
      <c r="J1850" s="838"/>
      <c r="K1850" s="840" t="s">
        <v>2126</v>
      </c>
      <c r="L1850" s="840" t="s">
        <v>2666</v>
      </c>
      <c r="M1850" s="840" t="s">
        <v>2666</v>
      </c>
      <c r="N1850" s="840" t="s">
        <v>2050</v>
      </c>
      <c r="O1850" s="113" t="s">
        <v>31</v>
      </c>
      <c r="P1850" s="245" t="s">
        <v>30</v>
      </c>
      <c r="Q1850" s="23">
        <v>46053</v>
      </c>
      <c r="R1850" s="24" t="s">
        <v>48</v>
      </c>
      <c r="S1850" s="22" t="s">
        <v>32</v>
      </c>
      <c r="T1850" s="22">
        <v>16</v>
      </c>
      <c r="U1850" s="24" t="s">
        <v>48</v>
      </c>
      <c r="V1850" s="23">
        <v>46053</v>
      </c>
      <c r="W1850" s="96" t="s">
        <v>30</v>
      </c>
      <c r="X1850" s="96" t="s">
        <v>30</v>
      </c>
      <c r="Y1850" s="96" t="s">
        <v>30</v>
      </c>
      <c r="Z1850" s="96" t="s">
        <v>30</v>
      </c>
      <c r="AA1850" s="96" t="s">
        <v>30</v>
      </c>
      <c r="AB1850" s="96" t="s">
        <v>30</v>
      </c>
      <c r="AC1850" s="96" t="s">
        <v>30</v>
      </c>
      <c r="AD1850" s="96" t="s">
        <v>30</v>
      </c>
      <c r="AE1850" s="96" t="s">
        <v>30</v>
      </c>
      <c r="AF1850" s="96" t="s">
        <v>30</v>
      </c>
      <c r="AG1850" s="96" t="s">
        <v>30</v>
      </c>
      <c r="AH1850" s="96" t="s">
        <v>30</v>
      </c>
      <c r="AI1850" s="96" t="s">
        <v>30</v>
      </c>
      <c r="AJ1850" s="96" t="s">
        <v>30</v>
      </c>
      <c r="AK1850" s="107" t="s">
        <v>30</v>
      </c>
      <c r="AL1850" s="110"/>
      <c r="AM1850" s="840" t="s">
        <v>2548</v>
      </c>
      <c r="AS1850" s="71"/>
      <c r="AT1850" s="92"/>
      <c r="AU1850" s="92"/>
      <c r="AV1850" s="105"/>
    </row>
    <row r="1851" spans="1:48">
      <c r="A1851" s="834" t="s">
        <v>24</v>
      </c>
      <c r="B1851" s="835">
        <v>1848</v>
      </c>
      <c r="C1851" s="838" t="s">
        <v>2719</v>
      </c>
      <c r="D1851" s="838" t="s">
        <v>34</v>
      </c>
      <c r="E1851" s="839">
        <v>46014</v>
      </c>
      <c r="F1851" s="838" t="s">
        <v>2720</v>
      </c>
      <c r="G1851" s="838">
        <v>24</v>
      </c>
      <c r="H1851" s="838" t="s">
        <v>67</v>
      </c>
      <c r="I1851" s="838" t="s">
        <v>47</v>
      </c>
      <c r="J1851" s="838"/>
      <c r="K1851" s="840" t="s">
        <v>2195</v>
      </c>
      <c r="L1851" s="840" t="s">
        <v>2666</v>
      </c>
      <c r="M1851" s="840" t="s">
        <v>2666</v>
      </c>
      <c r="N1851" s="840" t="s">
        <v>2050</v>
      </c>
      <c r="O1851" s="113" t="s">
        <v>31</v>
      </c>
      <c r="P1851" s="245" t="s">
        <v>30</v>
      </c>
      <c r="Q1851" s="23">
        <v>46053</v>
      </c>
      <c r="R1851" s="24" t="s">
        <v>48</v>
      </c>
      <c r="S1851" s="22" t="s">
        <v>32</v>
      </c>
      <c r="T1851" s="22">
        <v>13</v>
      </c>
      <c r="U1851" s="24" t="s">
        <v>48</v>
      </c>
      <c r="V1851" s="23">
        <v>46053</v>
      </c>
      <c r="W1851" s="96" t="s">
        <v>30</v>
      </c>
      <c r="X1851" s="91" t="s">
        <v>32</v>
      </c>
      <c r="Y1851" s="96" t="s">
        <v>30</v>
      </c>
      <c r="Z1851" s="91" t="s">
        <v>32</v>
      </c>
      <c r="AA1851" s="91" t="s">
        <v>32</v>
      </c>
      <c r="AB1851" s="107" t="s">
        <v>30</v>
      </c>
      <c r="AC1851" s="107" t="s">
        <v>30</v>
      </c>
      <c r="AD1851" s="107" t="s">
        <v>30</v>
      </c>
      <c r="AE1851" s="107" t="s">
        <v>30</v>
      </c>
      <c r="AF1851" s="107" t="s">
        <v>30</v>
      </c>
      <c r="AG1851" s="107" t="s">
        <v>30</v>
      </c>
      <c r="AH1851" s="110"/>
      <c r="AI1851" s="96" t="s">
        <v>30</v>
      </c>
      <c r="AJ1851" s="96" t="s">
        <v>30</v>
      </c>
      <c r="AK1851" s="96" t="s">
        <v>30</v>
      </c>
      <c r="AL1851" s="110"/>
      <c r="AM1851" s="840"/>
      <c r="AO1851" s="776"/>
      <c r="AP1851" s="776"/>
      <c r="AQ1851" s="776"/>
      <c r="AR1851" s="776"/>
      <c r="AV1851" s="105"/>
    </row>
    <row r="1852" spans="1:48">
      <c r="A1852" s="834" t="s">
        <v>24</v>
      </c>
      <c r="B1852" s="835">
        <v>1849</v>
      </c>
      <c r="C1852" s="838" t="s">
        <v>2721</v>
      </c>
      <c r="D1852" s="838" t="s">
        <v>34</v>
      </c>
      <c r="E1852" s="839">
        <v>46014</v>
      </c>
      <c r="F1852" s="838" t="s">
        <v>2687</v>
      </c>
      <c r="G1852" s="838">
        <v>14</v>
      </c>
      <c r="H1852" s="838" t="s">
        <v>67</v>
      </c>
      <c r="I1852" s="838" t="s">
        <v>47</v>
      </c>
      <c r="J1852" s="250"/>
      <c r="K1852" s="840" t="s">
        <v>2130</v>
      </c>
      <c r="L1852" s="840" t="s">
        <v>2661</v>
      </c>
      <c r="M1852" s="840" t="s">
        <v>2661</v>
      </c>
      <c r="N1852" s="840" t="s">
        <v>2050</v>
      </c>
      <c r="O1852" s="853"/>
      <c r="P1852" s="245" t="s">
        <v>30</v>
      </c>
      <c r="Q1852" s="23">
        <v>46042</v>
      </c>
      <c r="R1852" s="24" t="s">
        <v>47</v>
      </c>
      <c r="S1852" s="834" t="s">
        <v>30</v>
      </c>
      <c r="T1852" s="22">
        <v>21</v>
      </c>
      <c r="U1852" s="24" t="s">
        <v>47</v>
      </c>
      <c r="V1852" s="23">
        <v>46042</v>
      </c>
      <c r="W1852" s="80" t="s">
        <v>30</v>
      </c>
      <c r="X1852" s="91" t="s">
        <v>32</v>
      </c>
      <c r="Y1852" s="96" t="s">
        <v>30</v>
      </c>
      <c r="Z1852" s="91" t="s">
        <v>32</v>
      </c>
      <c r="AA1852" s="91" t="s">
        <v>32</v>
      </c>
      <c r="AB1852" s="96" t="s">
        <v>30</v>
      </c>
      <c r="AC1852" s="96" t="s">
        <v>30</v>
      </c>
      <c r="AD1852" s="96" t="s">
        <v>30</v>
      </c>
      <c r="AE1852" s="96" t="s">
        <v>30</v>
      </c>
      <c r="AF1852" s="96" t="s">
        <v>30</v>
      </c>
      <c r="AG1852" s="96" t="s">
        <v>30</v>
      </c>
      <c r="AH1852" s="96" t="s">
        <v>30</v>
      </c>
      <c r="AI1852" s="107" t="s">
        <v>30</v>
      </c>
      <c r="AJ1852" s="110" t="s">
        <v>32</v>
      </c>
      <c r="AK1852" s="107" t="s">
        <v>30</v>
      </c>
      <c r="AL1852" s="110"/>
      <c r="AM1852" s="840" t="s">
        <v>2545</v>
      </c>
      <c r="AO1852" s="776"/>
      <c r="AP1852" s="776"/>
      <c r="AQ1852" s="776"/>
      <c r="AR1852" s="776"/>
      <c r="AV1852" s="105"/>
    </row>
    <row r="1853" spans="1:48">
      <c r="A1853" s="834" t="s">
        <v>24</v>
      </c>
      <c r="B1853" s="835">
        <v>1850</v>
      </c>
      <c r="C1853" s="838" t="s">
        <v>2722</v>
      </c>
      <c r="D1853" s="838" t="s">
        <v>34</v>
      </c>
      <c r="E1853" s="839">
        <v>46014</v>
      </c>
      <c r="F1853" s="838" t="s">
        <v>2687</v>
      </c>
      <c r="G1853" s="838">
        <v>20</v>
      </c>
      <c r="H1853" s="838" t="s">
        <v>67</v>
      </c>
      <c r="I1853" s="838" t="s">
        <v>47</v>
      </c>
      <c r="J1853" s="838"/>
      <c r="K1853" s="840" t="s">
        <v>2130</v>
      </c>
      <c r="L1853" s="840" t="s">
        <v>2661</v>
      </c>
      <c r="M1853" s="840" t="s">
        <v>2661</v>
      </c>
      <c r="N1853" s="840" t="s">
        <v>2050</v>
      </c>
      <c r="O1853" s="113" t="s">
        <v>31</v>
      </c>
      <c r="P1853" s="247" t="s">
        <v>30</v>
      </c>
      <c r="Q1853" s="23">
        <v>46045</v>
      </c>
      <c r="R1853" s="24" t="s">
        <v>47</v>
      </c>
      <c r="S1853" s="22" t="s">
        <v>32</v>
      </c>
      <c r="T1853" s="22">
        <v>14</v>
      </c>
      <c r="U1853" s="24" t="s">
        <v>47</v>
      </c>
      <c r="V1853" s="23">
        <v>46045</v>
      </c>
      <c r="W1853" s="80" t="s">
        <v>30</v>
      </c>
      <c r="X1853" s="91" t="s">
        <v>32</v>
      </c>
      <c r="Y1853" s="96" t="s">
        <v>30</v>
      </c>
      <c r="Z1853" s="91" t="s">
        <v>32</v>
      </c>
      <c r="AA1853" s="91" t="s">
        <v>32</v>
      </c>
      <c r="AB1853" s="96" t="s">
        <v>30</v>
      </c>
      <c r="AC1853" s="96" t="s">
        <v>30</v>
      </c>
      <c r="AD1853" s="96" t="s">
        <v>30</v>
      </c>
      <c r="AE1853" s="96" t="s">
        <v>30</v>
      </c>
      <c r="AF1853" s="96" t="s">
        <v>30</v>
      </c>
      <c r="AG1853" s="96" t="s">
        <v>30</v>
      </c>
      <c r="AH1853" s="96" t="s">
        <v>30</v>
      </c>
      <c r="AI1853" s="107" t="s">
        <v>30</v>
      </c>
      <c r="AJ1853" s="110" t="s">
        <v>32</v>
      </c>
      <c r="AK1853" s="107" t="s">
        <v>30</v>
      </c>
      <c r="AL1853" s="110"/>
      <c r="AM1853" s="840" t="s">
        <v>2545</v>
      </c>
      <c r="AV1853" s="105"/>
    </row>
    <row r="1854" spans="1:48">
      <c r="A1854" s="834" t="s">
        <v>24</v>
      </c>
      <c r="B1854" s="835">
        <v>1851</v>
      </c>
      <c r="C1854" s="838" t="s">
        <v>2723</v>
      </c>
      <c r="D1854" s="838" t="s">
        <v>178</v>
      </c>
      <c r="E1854" s="839">
        <v>46014</v>
      </c>
      <c r="F1854" s="838" t="s">
        <v>2687</v>
      </c>
      <c r="G1854" s="838">
        <v>14</v>
      </c>
      <c r="H1854" s="838" t="s">
        <v>67</v>
      </c>
      <c r="I1854" s="838" t="s">
        <v>47</v>
      </c>
      <c r="J1854" s="838"/>
      <c r="K1854" s="840" t="s">
        <v>2123</v>
      </c>
      <c r="L1854" s="840" t="s">
        <v>2661</v>
      </c>
      <c r="M1854" s="840" t="s">
        <v>2661</v>
      </c>
      <c r="N1854" s="840" t="s">
        <v>2050</v>
      </c>
      <c r="O1854" s="853"/>
      <c r="P1854" s="23" t="s">
        <v>30</v>
      </c>
      <c r="Q1854" s="23">
        <v>46046</v>
      </c>
      <c r="R1854" s="24" t="s">
        <v>47</v>
      </c>
      <c r="S1854" s="22" t="s">
        <v>1140</v>
      </c>
      <c r="T1854" s="22">
        <v>14</v>
      </c>
      <c r="U1854" s="24" t="s">
        <v>47</v>
      </c>
      <c r="V1854" s="23">
        <v>46046</v>
      </c>
      <c r="W1854" s="96" t="s">
        <v>30</v>
      </c>
      <c r="X1854" s="96" t="s">
        <v>30</v>
      </c>
      <c r="Y1854" s="96" t="s">
        <v>30</v>
      </c>
      <c r="Z1854" s="96" t="s">
        <v>30</v>
      </c>
      <c r="AA1854" s="96" t="s">
        <v>30</v>
      </c>
      <c r="AB1854" s="96" t="s">
        <v>30</v>
      </c>
      <c r="AC1854" s="96" t="s">
        <v>30</v>
      </c>
      <c r="AD1854" s="96" t="s">
        <v>30</v>
      </c>
      <c r="AE1854" s="96" t="s">
        <v>30</v>
      </c>
      <c r="AF1854" s="96" t="s">
        <v>30</v>
      </c>
      <c r="AG1854" s="96" t="s">
        <v>30</v>
      </c>
      <c r="AH1854" s="96" t="s">
        <v>30</v>
      </c>
      <c r="AI1854" s="107" t="s">
        <v>30</v>
      </c>
      <c r="AJ1854" s="107" t="s">
        <v>30</v>
      </c>
      <c r="AK1854" s="107" t="s">
        <v>30</v>
      </c>
      <c r="AL1854" s="110"/>
      <c r="AM1854" s="840"/>
      <c r="AV1854" s="105"/>
    </row>
    <row r="1855" spans="1:48">
      <c r="A1855" s="834" t="s">
        <v>24</v>
      </c>
      <c r="B1855" s="835">
        <v>1852</v>
      </c>
      <c r="C1855" s="838" t="s">
        <v>2724</v>
      </c>
      <c r="D1855" s="838" t="s">
        <v>178</v>
      </c>
      <c r="E1855" s="839">
        <v>46014</v>
      </c>
      <c r="F1855" s="838" t="s">
        <v>2687</v>
      </c>
      <c r="G1855" s="838">
        <v>20</v>
      </c>
      <c r="H1855" s="838" t="s">
        <v>67</v>
      </c>
      <c r="I1855" s="838" t="s">
        <v>47</v>
      </c>
      <c r="J1855" s="838"/>
      <c r="K1855" s="840" t="s">
        <v>2123</v>
      </c>
      <c r="L1855" s="840" t="s">
        <v>2661</v>
      </c>
      <c r="M1855" s="840" t="s">
        <v>2661</v>
      </c>
      <c r="N1855" s="840" t="s">
        <v>2050</v>
      </c>
      <c r="O1855" s="113" t="s">
        <v>31</v>
      </c>
      <c r="P1855" s="247" t="s">
        <v>30</v>
      </c>
      <c r="Q1855" s="23">
        <v>46045</v>
      </c>
      <c r="R1855" s="24" t="s">
        <v>47</v>
      </c>
      <c r="S1855" s="22" t="s">
        <v>32</v>
      </c>
      <c r="T1855" s="22">
        <v>21</v>
      </c>
      <c r="U1855" s="24" t="s">
        <v>47</v>
      </c>
      <c r="V1855" s="23">
        <v>46045</v>
      </c>
      <c r="W1855" s="96" t="s">
        <v>30</v>
      </c>
      <c r="X1855" s="96" t="s">
        <v>30</v>
      </c>
      <c r="Y1855" s="96" t="s">
        <v>30</v>
      </c>
      <c r="Z1855" s="96" t="s">
        <v>30</v>
      </c>
      <c r="AA1855" s="96" t="s">
        <v>30</v>
      </c>
      <c r="AB1855" s="96" t="s">
        <v>30</v>
      </c>
      <c r="AC1855" s="96" t="s">
        <v>30</v>
      </c>
      <c r="AD1855" s="96" t="s">
        <v>30</v>
      </c>
      <c r="AE1855" s="96" t="s">
        <v>30</v>
      </c>
      <c r="AF1855" s="96" t="s">
        <v>30</v>
      </c>
      <c r="AG1855" s="96" t="s">
        <v>30</v>
      </c>
      <c r="AH1855" s="96" t="s">
        <v>30</v>
      </c>
      <c r="AI1855" s="107" t="s">
        <v>30</v>
      </c>
      <c r="AJ1855" s="107" t="s">
        <v>30</v>
      </c>
      <c r="AK1855" s="107" t="s">
        <v>30</v>
      </c>
      <c r="AL1855" s="110"/>
      <c r="AM1855" s="840"/>
      <c r="AN1855" s="6"/>
      <c r="AO1855" s="6"/>
      <c r="AP1855" s="6"/>
      <c r="AQ1855" s="6"/>
      <c r="AR1855" s="6"/>
      <c r="AS1855" s="104"/>
      <c r="AT1855" s="105"/>
      <c r="AU1855" s="105"/>
      <c r="AV1855" s="105"/>
    </row>
    <row r="1856" spans="1:48">
      <c r="A1856" s="834" t="s">
        <v>24</v>
      </c>
      <c r="B1856" s="835">
        <v>1853</v>
      </c>
      <c r="C1856" s="838" t="s">
        <v>2725</v>
      </c>
      <c r="D1856" s="838" t="s">
        <v>64</v>
      </c>
      <c r="E1856" s="839">
        <v>46017</v>
      </c>
      <c r="F1856" s="838" t="s">
        <v>701</v>
      </c>
      <c r="G1856" s="838">
        <v>15</v>
      </c>
      <c r="H1856" s="838" t="s">
        <v>127</v>
      </c>
      <c r="I1856" s="838" t="s">
        <v>178</v>
      </c>
      <c r="J1856" s="838"/>
      <c r="K1856" s="840" t="s">
        <v>2085</v>
      </c>
      <c r="L1856" s="840" t="s">
        <v>2666</v>
      </c>
      <c r="M1856" s="840" t="s">
        <v>2666</v>
      </c>
      <c r="N1856" s="840" t="s">
        <v>2050</v>
      </c>
      <c r="O1856" s="113" t="s">
        <v>31</v>
      </c>
      <c r="P1856" s="853" t="s">
        <v>30</v>
      </c>
      <c r="Q1856" s="23">
        <v>46053</v>
      </c>
      <c r="R1856" s="24" t="s">
        <v>48</v>
      </c>
      <c r="S1856" s="22" t="s">
        <v>32</v>
      </c>
      <c r="T1856" s="22">
        <v>16</v>
      </c>
      <c r="U1856" s="24" t="s">
        <v>48</v>
      </c>
      <c r="V1856" s="23">
        <v>46053</v>
      </c>
      <c r="W1856" s="96" t="s">
        <v>30</v>
      </c>
      <c r="X1856" s="118" t="s">
        <v>30</v>
      </c>
      <c r="Y1856" s="96" t="s">
        <v>30</v>
      </c>
      <c r="Z1856" s="96" t="s">
        <v>30</v>
      </c>
      <c r="AA1856" s="96" t="s">
        <v>30</v>
      </c>
      <c r="AB1856" s="96" t="s">
        <v>30</v>
      </c>
      <c r="AC1856" s="96" t="s">
        <v>30</v>
      </c>
      <c r="AD1856" s="96" t="s">
        <v>30</v>
      </c>
      <c r="AE1856" s="96" t="s">
        <v>30</v>
      </c>
      <c r="AF1856" s="96" t="s">
        <v>30</v>
      </c>
      <c r="AG1856" s="96" t="s">
        <v>30</v>
      </c>
      <c r="AH1856" s="96" t="s">
        <v>30</v>
      </c>
      <c r="AI1856" s="107" t="s">
        <v>30</v>
      </c>
      <c r="AJ1856" s="107" t="s">
        <v>30</v>
      </c>
      <c r="AK1856" s="107" t="s">
        <v>30</v>
      </c>
      <c r="AL1856" s="110"/>
      <c r="AM1856" s="840"/>
      <c r="AV1856" s="105"/>
    </row>
    <row r="1857" spans="1:48">
      <c r="A1857" s="834" t="s">
        <v>24</v>
      </c>
      <c r="B1857" s="835">
        <v>1854</v>
      </c>
      <c r="C1857" s="838" t="s">
        <v>2726</v>
      </c>
      <c r="D1857" s="838" t="s">
        <v>34</v>
      </c>
      <c r="E1857" s="839">
        <v>46017</v>
      </c>
      <c r="F1857" s="838" t="s">
        <v>668</v>
      </c>
      <c r="G1857" s="838">
        <v>13</v>
      </c>
      <c r="H1857" s="838" t="s">
        <v>127</v>
      </c>
      <c r="I1857" s="838" t="s">
        <v>178</v>
      </c>
      <c r="J1857" s="838"/>
      <c r="K1857" s="840" t="s">
        <v>2126</v>
      </c>
      <c r="L1857" s="840" t="s">
        <v>2706</v>
      </c>
      <c r="M1857" s="853" t="s">
        <v>2706</v>
      </c>
      <c r="N1857" s="840" t="s">
        <v>2050</v>
      </c>
      <c r="O1857" s="840"/>
      <c r="P1857" s="249" t="s">
        <v>30</v>
      </c>
      <c r="Q1857" s="23">
        <v>46049</v>
      </c>
      <c r="R1857" s="24" t="s">
        <v>1638</v>
      </c>
      <c r="S1857" s="22" t="s">
        <v>32</v>
      </c>
      <c r="T1857" s="22">
        <v>11</v>
      </c>
      <c r="U1857" s="24" t="s">
        <v>1638</v>
      </c>
      <c r="V1857" s="23">
        <v>46049</v>
      </c>
      <c r="W1857" s="90" t="s">
        <v>30</v>
      </c>
      <c r="X1857" s="96" t="s">
        <v>30</v>
      </c>
      <c r="Y1857" s="96" t="s">
        <v>30</v>
      </c>
      <c r="Z1857" s="96" t="s">
        <v>30</v>
      </c>
      <c r="AA1857" s="96" t="s">
        <v>30</v>
      </c>
      <c r="AB1857" s="96" t="s">
        <v>30</v>
      </c>
      <c r="AC1857" s="96" t="s">
        <v>30</v>
      </c>
      <c r="AD1857" s="96" t="s">
        <v>30</v>
      </c>
      <c r="AE1857" s="96" t="s">
        <v>30</v>
      </c>
      <c r="AF1857" s="96" t="s">
        <v>30</v>
      </c>
      <c r="AG1857" s="96" t="s">
        <v>30</v>
      </c>
      <c r="AH1857" s="96" t="s">
        <v>30</v>
      </c>
      <c r="AI1857" s="96" t="s">
        <v>30</v>
      </c>
      <c r="AJ1857" s="96" t="s">
        <v>30</v>
      </c>
      <c r="AK1857" s="96" t="s">
        <v>30</v>
      </c>
      <c r="AL1857" s="110"/>
      <c r="AM1857" s="840"/>
      <c r="AN1857" s="87"/>
      <c r="AO1857" s="87"/>
      <c r="AS1857" s="71"/>
      <c r="AT1857" s="92"/>
      <c r="AU1857" s="92"/>
      <c r="AV1857" s="105"/>
    </row>
    <row r="1858" spans="1:48">
      <c r="A1858" s="834" t="s">
        <v>24</v>
      </c>
      <c r="B1858" s="835">
        <v>1855</v>
      </c>
      <c r="C1858" s="838" t="s">
        <v>2727</v>
      </c>
      <c r="D1858" s="838" t="s">
        <v>34</v>
      </c>
      <c r="E1858" s="839">
        <v>46017</v>
      </c>
      <c r="F1858" s="838" t="s">
        <v>91</v>
      </c>
      <c r="G1858" s="838">
        <v>13</v>
      </c>
      <c r="H1858" s="838" t="s">
        <v>127</v>
      </c>
      <c r="I1858" s="838" t="s">
        <v>178</v>
      </c>
      <c r="J1858" s="838"/>
      <c r="K1858" s="840" t="s">
        <v>2180</v>
      </c>
      <c r="L1858" s="840" t="s">
        <v>2706</v>
      </c>
      <c r="M1858" s="853" t="s">
        <v>2728</v>
      </c>
      <c r="N1858" s="840" t="s">
        <v>2050</v>
      </c>
      <c r="O1858" s="840"/>
      <c r="P1858" s="853" t="s">
        <v>30</v>
      </c>
      <c r="Q1858" s="23">
        <v>46038</v>
      </c>
      <c r="R1858" s="24" t="s">
        <v>2707</v>
      </c>
      <c r="S1858" s="22" t="s">
        <v>32</v>
      </c>
      <c r="T1858" s="7">
        <v>9</v>
      </c>
      <c r="U1858" s="24" t="s">
        <v>2707</v>
      </c>
      <c r="V1858" s="23">
        <v>46038</v>
      </c>
      <c r="W1858" s="118" t="s">
        <v>30</v>
      </c>
      <c r="X1858" s="118" t="s">
        <v>30</v>
      </c>
      <c r="Y1858" s="96" t="s">
        <v>30</v>
      </c>
      <c r="Z1858" s="120"/>
      <c r="AA1858" s="120"/>
      <c r="AB1858" s="120"/>
      <c r="AC1858" s="107" t="s">
        <v>30</v>
      </c>
      <c r="AD1858" s="107" t="s">
        <v>30</v>
      </c>
      <c r="AE1858" s="107" t="s">
        <v>30</v>
      </c>
      <c r="AF1858" s="107" t="s">
        <v>30</v>
      </c>
      <c r="AG1858" s="107" t="s">
        <v>30</v>
      </c>
      <c r="AH1858" s="96" t="s">
        <v>30</v>
      </c>
      <c r="AI1858" s="107" t="s">
        <v>30</v>
      </c>
      <c r="AJ1858" s="107" t="s">
        <v>30</v>
      </c>
      <c r="AK1858" s="107" t="s">
        <v>30</v>
      </c>
      <c r="AL1858" s="110"/>
      <c r="AM1858" s="840"/>
      <c r="AS1858" s="71"/>
      <c r="AT1858" s="92"/>
      <c r="AU1858" s="92"/>
      <c r="AV1858" s="105"/>
    </row>
    <row r="1859" spans="1:48">
      <c r="A1859" s="834" t="s">
        <v>24</v>
      </c>
      <c r="B1859" s="835">
        <v>1856</v>
      </c>
      <c r="C1859" s="838" t="s">
        <v>2729</v>
      </c>
      <c r="D1859" s="838" t="s">
        <v>34</v>
      </c>
      <c r="E1859" s="839">
        <v>46017</v>
      </c>
      <c r="F1859" s="838" t="s">
        <v>106</v>
      </c>
      <c r="G1859" s="838">
        <v>16</v>
      </c>
      <c r="H1859" s="838" t="s">
        <v>127</v>
      </c>
      <c r="I1859" s="838" t="s">
        <v>178</v>
      </c>
      <c r="J1859" s="838"/>
      <c r="K1859" s="840" t="s">
        <v>2092</v>
      </c>
      <c r="L1859" s="840" t="s">
        <v>2666</v>
      </c>
      <c r="M1859" s="840" t="s">
        <v>2636</v>
      </c>
      <c r="N1859" s="840" t="s">
        <v>2050</v>
      </c>
      <c r="O1859" s="113" t="s">
        <v>31</v>
      </c>
      <c r="P1859" s="853" t="s">
        <v>30</v>
      </c>
      <c r="Q1859" s="23">
        <v>46052</v>
      </c>
      <c r="R1859" s="24" t="s">
        <v>2707</v>
      </c>
      <c r="S1859" s="22" t="s">
        <v>32</v>
      </c>
      <c r="T1859" s="22">
        <v>10</v>
      </c>
      <c r="U1859" s="24" t="s">
        <v>2707</v>
      </c>
      <c r="V1859" s="23">
        <v>46052</v>
      </c>
      <c r="W1859" s="96" t="s">
        <v>30</v>
      </c>
      <c r="X1859" s="96" t="s">
        <v>30</v>
      </c>
      <c r="Y1859" s="118" t="s">
        <v>30</v>
      </c>
      <c r="Z1859" s="120"/>
      <c r="AA1859" s="121"/>
      <c r="AB1859" s="120"/>
      <c r="AC1859" s="96" t="s">
        <v>30</v>
      </c>
      <c r="AD1859" s="96" t="s">
        <v>30</v>
      </c>
      <c r="AE1859" s="96" t="s">
        <v>30</v>
      </c>
      <c r="AF1859" s="96" t="s">
        <v>30</v>
      </c>
      <c r="AG1859" s="96" t="s">
        <v>30</v>
      </c>
      <c r="AH1859" s="96" t="s">
        <v>30</v>
      </c>
      <c r="AI1859" s="96" t="s">
        <v>30</v>
      </c>
      <c r="AJ1859" s="96" t="s">
        <v>30</v>
      </c>
      <c r="AK1859" s="96" t="s">
        <v>30</v>
      </c>
      <c r="AL1859" s="110"/>
      <c r="AM1859" s="840"/>
      <c r="AN1859" s="87"/>
      <c r="AO1859" s="87"/>
      <c r="AS1859" s="71"/>
      <c r="AT1859" s="92"/>
      <c r="AU1859" s="92"/>
      <c r="AV1859" s="105"/>
    </row>
    <row r="1860" spans="1:48">
      <c r="A1860" s="834" t="s">
        <v>24</v>
      </c>
      <c r="B1860" s="835">
        <v>1857</v>
      </c>
      <c r="C1860" s="838" t="s">
        <v>2730</v>
      </c>
      <c r="D1860" s="838" t="s">
        <v>99</v>
      </c>
      <c r="E1860" s="839">
        <v>46017</v>
      </c>
      <c r="F1860" s="838" t="s">
        <v>646</v>
      </c>
      <c r="G1860" s="838">
        <v>14</v>
      </c>
      <c r="H1860" s="838" t="s">
        <v>1077</v>
      </c>
      <c r="I1860" s="838" t="s">
        <v>1138</v>
      </c>
      <c r="J1860" s="838"/>
      <c r="K1860" s="840" t="s">
        <v>2052</v>
      </c>
      <c r="L1860" s="840" t="s">
        <v>2706</v>
      </c>
      <c r="M1860" s="840" t="s">
        <v>2706</v>
      </c>
      <c r="N1860" s="840" t="s">
        <v>2050</v>
      </c>
      <c r="O1860" s="840"/>
      <c r="P1860" s="853" t="s">
        <v>30</v>
      </c>
      <c r="Q1860" s="23">
        <v>46036</v>
      </c>
      <c r="R1860" s="852" t="s">
        <v>1138</v>
      </c>
      <c r="S1860" s="22" t="s">
        <v>32</v>
      </c>
      <c r="T1860" s="22">
        <v>6</v>
      </c>
      <c r="U1860" s="24" t="s">
        <v>1138</v>
      </c>
      <c r="V1860" s="23">
        <v>46036</v>
      </c>
      <c r="W1860" s="118" t="s">
        <v>30</v>
      </c>
      <c r="X1860" s="96" t="s">
        <v>30</v>
      </c>
      <c r="Y1860" s="118" t="s">
        <v>30</v>
      </c>
      <c r="Z1860" s="96" t="s">
        <v>30</v>
      </c>
      <c r="AA1860" s="96" t="s">
        <v>30</v>
      </c>
      <c r="AB1860" s="96" t="s">
        <v>30</v>
      </c>
      <c r="AC1860" s="96" t="s">
        <v>30</v>
      </c>
      <c r="AD1860" s="96" t="s">
        <v>30</v>
      </c>
      <c r="AE1860" s="96" t="s">
        <v>30</v>
      </c>
      <c r="AF1860" s="96" t="s">
        <v>30</v>
      </c>
      <c r="AG1860" s="96" t="s">
        <v>30</v>
      </c>
      <c r="AH1860" s="96" t="s">
        <v>30</v>
      </c>
      <c r="AI1860" s="107" t="s">
        <v>30</v>
      </c>
      <c r="AJ1860" s="107" t="s">
        <v>30</v>
      </c>
      <c r="AK1860" s="107" t="s">
        <v>30</v>
      </c>
      <c r="AL1860" s="110"/>
      <c r="AM1860" s="840"/>
      <c r="AS1860" s="71"/>
      <c r="AT1860" s="92"/>
      <c r="AU1860" s="92"/>
      <c r="AV1860" s="105"/>
    </row>
    <row r="1861" spans="1:48">
      <c r="A1861" s="834" t="s">
        <v>24</v>
      </c>
      <c r="B1861" s="835">
        <v>1858</v>
      </c>
      <c r="C1861" s="838" t="s">
        <v>2731</v>
      </c>
      <c r="D1861" s="838" t="s">
        <v>34</v>
      </c>
      <c r="E1861" s="839">
        <v>46017</v>
      </c>
      <c r="F1861" s="838" t="s">
        <v>2732</v>
      </c>
      <c r="G1861" s="838">
        <v>18</v>
      </c>
      <c r="H1861" s="838" t="s">
        <v>1077</v>
      </c>
      <c r="I1861" s="838" t="s">
        <v>1138</v>
      </c>
      <c r="J1861" s="838"/>
      <c r="K1861" s="834" t="s">
        <v>2115</v>
      </c>
      <c r="L1861" s="840" t="s">
        <v>2706</v>
      </c>
      <c r="M1861" s="834" t="s">
        <v>2706</v>
      </c>
      <c r="N1861" s="834" t="s">
        <v>2050</v>
      </c>
      <c r="O1861" s="113" t="s">
        <v>31</v>
      </c>
      <c r="P1861" s="848" t="s">
        <v>30</v>
      </c>
      <c r="Q1861" s="23">
        <v>46038</v>
      </c>
      <c r="R1861" s="852" t="s">
        <v>1138</v>
      </c>
      <c r="S1861" s="22" t="s">
        <v>32</v>
      </c>
      <c r="T1861" s="22">
        <v>16</v>
      </c>
      <c r="U1861" s="852" t="s">
        <v>1138</v>
      </c>
      <c r="V1861" s="23">
        <v>46038</v>
      </c>
      <c r="W1861" s="118" t="s">
        <v>30</v>
      </c>
      <c r="X1861" s="118" t="s">
        <v>30</v>
      </c>
      <c r="Y1861" s="118" t="s">
        <v>30</v>
      </c>
      <c r="Z1861" s="120"/>
      <c r="AA1861" s="120"/>
      <c r="AB1861" s="120"/>
      <c r="AC1861" s="118" t="s">
        <v>30</v>
      </c>
      <c r="AD1861" s="118" t="s">
        <v>30</v>
      </c>
      <c r="AE1861" s="118" t="s">
        <v>30</v>
      </c>
      <c r="AF1861" s="118" t="s">
        <v>30</v>
      </c>
      <c r="AG1861" s="118" t="s">
        <v>30</v>
      </c>
      <c r="AH1861" s="96" t="s">
        <v>30</v>
      </c>
      <c r="AI1861" s="118" t="s">
        <v>30</v>
      </c>
      <c r="AJ1861" s="118" t="s">
        <v>30</v>
      </c>
      <c r="AK1861" s="118" t="s">
        <v>30</v>
      </c>
      <c r="AL1861" s="110"/>
      <c r="AM1861" s="840"/>
      <c r="AV1861" s="105"/>
    </row>
    <row r="1862" spans="1:48">
      <c r="A1862" s="834" t="s">
        <v>24</v>
      </c>
      <c r="B1862" s="835">
        <v>1859</v>
      </c>
      <c r="C1862" s="838" t="s">
        <v>2733</v>
      </c>
      <c r="D1862" s="838" t="s">
        <v>178</v>
      </c>
      <c r="E1862" s="839">
        <v>46017</v>
      </c>
      <c r="F1862" s="838" t="s">
        <v>364</v>
      </c>
      <c r="G1862" s="838">
        <v>12</v>
      </c>
      <c r="H1862" s="838" t="s">
        <v>67</v>
      </c>
      <c r="I1862" s="838" t="s">
        <v>47</v>
      </c>
      <c r="J1862" s="838"/>
      <c r="K1862" s="840" t="s">
        <v>2098</v>
      </c>
      <c r="L1862" s="840" t="s">
        <v>2706</v>
      </c>
      <c r="M1862" s="840" t="s">
        <v>2734</v>
      </c>
      <c r="N1862" s="840" t="s">
        <v>2050</v>
      </c>
      <c r="O1862" s="840"/>
      <c r="P1862" s="853" t="s">
        <v>30</v>
      </c>
      <c r="Q1862" s="23">
        <v>46050</v>
      </c>
      <c r="R1862" s="24" t="s">
        <v>48</v>
      </c>
      <c r="S1862" s="22" t="s">
        <v>32</v>
      </c>
      <c r="T1862" s="22">
        <v>11</v>
      </c>
      <c r="U1862" s="24" t="s">
        <v>48</v>
      </c>
      <c r="V1862" s="23">
        <v>46050</v>
      </c>
      <c r="W1862" s="96" t="s">
        <v>30</v>
      </c>
      <c r="X1862" s="118" t="s">
        <v>30</v>
      </c>
      <c r="Y1862" s="118" t="s">
        <v>30</v>
      </c>
      <c r="Z1862" s="96" t="s">
        <v>30</v>
      </c>
      <c r="AA1862" s="96" t="s">
        <v>30</v>
      </c>
      <c r="AB1862" s="96" t="s">
        <v>30</v>
      </c>
      <c r="AC1862" s="96" t="s">
        <v>30</v>
      </c>
      <c r="AD1862" s="96" t="s">
        <v>30</v>
      </c>
      <c r="AE1862" s="96" t="s">
        <v>30</v>
      </c>
      <c r="AF1862" s="96" t="s">
        <v>30</v>
      </c>
      <c r="AG1862" s="96" t="s">
        <v>30</v>
      </c>
      <c r="AH1862" s="96" t="s">
        <v>30</v>
      </c>
      <c r="AI1862" s="118" t="s">
        <v>30</v>
      </c>
      <c r="AJ1862" s="118" t="s">
        <v>30</v>
      </c>
      <c r="AK1862" s="118" t="s">
        <v>30</v>
      </c>
      <c r="AL1862" s="91" t="s">
        <v>32</v>
      </c>
      <c r="AM1862" s="840" t="s">
        <v>2548</v>
      </c>
      <c r="AS1862" s="71"/>
      <c r="AT1862" s="92"/>
      <c r="AU1862" s="92"/>
      <c r="AV1862" s="105"/>
    </row>
    <row r="1863" spans="1:48">
      <c r="A1863" s="834" t="s">
        <v>24</v>
      </c>
      <c r="B1863" s="835">
        <v>1860</v>
      </c>
      <c r="C1863" s="838" t="s">
        <v>2735</v>
      </c>
      <c r="D1863" s="838" t="s">
        <v>34</v>
      </c>
      <c r="E1863" s="839">
        <v>46017</v>
      </c>
      <c r="F1863" s="838" t="s">
        <v>187</v>
      </c>
      <c r="G1863" s="838">
        <v>12</v>
      </c>
      <c r="H1863" s="838" t="s">
        <v>67</v>
      </c>
      <c r="I1863" s="838" t="s">
        <v>47</v>
      </c>
      <c r="J1863" s="838"/>
      <c r="K1863" s="840" t="s">
        <v>2325</v>
      </c>
      <c r="L1863" s="840" t="s">
        <v>2706</v>
      </c>
      <c r="M1863" s="840" t="s">
        <v>2728</v>
      </c>
      <c r="N1863" s="840" t="s">
        <v>2166</v>
      </c>
      <c r="O1863" s="840"/>
      <c r="P1863" s="853" t="s">
        <v>30</v>
      </c>
      <c r="Q1863" s="848">
        <v>46044</v>
      </c>
      <c r="R1863" s="24" t="s">
        <v>1138</v>
      </c>
      <c r="S1863" s="834" t="s">
        <v>32</v>
      </c>
      <c r="T1863" s="834">
        <v>11</v>
      </c>
      <c r="U1863" s="24" t="s">
        <v>1138</v>
      </c>
      <c r="V1863" s="848">
        <v>46044</v>
      </c>
      <c r="W1863" s="96" t="s">
        <v>30</v>
      </c>
      <c r="X1863" s="91" t="s">
        <v>32</v>
      </c>
      <c r="Y1863" s="96" t="s">
        <v>30</v>
      </c>
      <c r="Z1863" s="96" t="s">
        <v>30</v>
      </c>
      <c r="AA1863" s="96" t="s">
        <v>30</v>
      </c>
      <c r="AB1863" s="96" t="s">
        <v>30</v>
      </c>
      <c r="AC1863" s="96" t="s">
        <v>30</v>
      </c>
      <c r="AD1863" s="96" t="s">
        <v>30</v>
      </c>
      <c r="AE1863" s="96" t="s">
        <v>30</v>
      </c>
      <c r="AF1863" s="96" t="s">
        <v>30</v>
      </c>
      <c r="AG1863" s="96" t="s">
        <v>30</v>
      </c>
      <c r="AH1863" s="96" t="s">
        <v>30</v>
      </c>
      <c r="AI1863" s="107" t="s">
        <v>30</v>
      </c>
      <c r="AJ1863" s="107" t="s">
        <v>30</v>
      </c>
      <c r="AK1863" s="107" t="s">
        <v>30</v>
      </c>
      <c r="AL1863" s="110"/>
      <c r="AM1863" s="840"/>
      <c r="AS1863" s="71"/>
      <c r="AT1863" s="92"/>
      <c r="AU1863" s="92"/>
      <c r="AV1863" s="105"/>
    </row>
    <row r="1864" spans="1:48">
      <c r="A1864" s="834" t="s">
        <v>24</v>
      </c>
      <c r="B1864" s="835">
        <v>1861</v>
      </c>
      <c r="C1864" s="838" t="s">
        <v>2736</v>
      </c>
      <c r="D1864" s="838" t="s">
        <v>43</v>
      </c>
      <c r="E1864" s="839">
        <v>46017</v>
      </c>
      <c r="F1864" s="838" t="s">
        <v>187</v>
      </c>
      <c r="G1864" s="838">
        <v>17</v>
      </c>
      <c r="H1864" s="838" t="s">
        <v>67</v>
      </c>
      <c r="I1864" s="838" t="s">
        <v>47</v>
      </c>
      <c r="J1864" s="838"/>
      <c r="K1864" s="840" t="s">
        <v>2102</v>
      </c>
      <c r="L1864" s="840" t="s">
        <v>2666</v>
      </c>
      <c r="M1864" s="840" t="s">
        <v>2666</v>
      </c>
      <c r="N1864" s="840" t="s">
        <v>2050</v>
      </c>
      <c r="O1864" s="113" t="s">
        <v>31</v>
      </c>
      <c r="P1864" s="853" t="s">
        <v>30</v>
      </c>
      <c r="Q1864" s="23">
        <v>46050</v>
      </c>
      <c r="R1864" s="24" t="s">
        <v>47</v>
      </c>
      <c r="S1864" s="22" t="s">
        <v>32</v>
      </c>
      <c r="T1864" s="22">
        <v>14</v>
      </c>
      <c r="U1864" s="24" t="s">
        <v>47</v>
      </c>
      <c r="V1864" s="23">
        <v>46050</v>
      </c>
      <c r="W1864" s="96" t="s">
        <v>30</v>
      </c>
      <c r="X1864" s="96" t="s">
        <v>30</v>
      </c>
      <c r="Y1864" s="96" t="s">
        <v>30</v>
      </c>
      <c r="Z1864" s="96" t="s">
        <v>30</v>
      </c>
      <c r="AA1864" s="96" t="s">
        <v>30</v>
      </c>
      <c r="AB1864" s="96" t="s">
        <v>30</v>
      </c>
      <c r="AC1864" s="96" t="s">
        <v>30</v>
      </c>
      <c r="AD1864" s="96" t="s">
        <v>30</v>
      </c>
      <c r="AE1864" s="96" t="s">
        <v>30</v>
      </c>
      <c r="AF1864" s="96" t="s">
        <v>30</v>
      </c>
      <c r="AG1864" s="96" t="s">
        <v>30</v>
      </c>
      <c r="AH1864" s="96" t="s">
        <v>30</v>
      </c>
      <c r="AI1864" s="107" t="s">
        <v>30</v>
      </c>
      <c r="AJ1864" s="107" t="s">
        <v>30</v>
      </c>
      <c r="AK1864" s="107" t="s">
        <v>30</v>
      </c>
      <c r="AL1864" s="110"/>
      <c r="AM1864" s="840" t="s">
        <v>2548</v>
      </c>
      <c r="AS1864" s="71"/>
      <c r="AT1864" s="92"/>
      <c r="AU1864" s="92"/>
      <c r="AV1864" s="105"/>
    </row>
    <row r="1865" spans="1:48">
      <c r="A1865" s="834" t="s">
        <v>24</v>
      </c>
      <c r="B1865" s="835">
        <v>1862</v>
      </c>
      <c r="C1865" s="838" t="s">
        <v>2737</v>
      </c>
      <c r="D1865" s="838" t="s">
        <v>34</v>
      </c>
      <c r="E1865" s="839">
        <v>46017</v>
      </c>
      <c r="F1865" s="838" t="s">
        <v>1342</v>
      </c>
      <c r="G1865" s="838">
        <v>14</v>
      </c>
      <c r="H1865" s="838" t="s">
        <v>67</v>
      </c>
      <c r="I1865" s="838" t="s">
        <v>47</v>
      </c>
      <c r="J1865" s="838"/>
      <c r="K1865" s="840" t="s">
        <v>2195</v>
      </c>
      <c r="L1865" s="840" t="s">
        <v>2666</v>
      </c>
      <c r="M1865" s="840" t="s">
        <v>2706</v>
      </c>
      <c r="N1865" s="840" t="s">
        <v>2738</v>
      </c>
      <c r="O1865" s="840"/>
      <c r="P1865" s="853" t="s">
        <v>30</v>
      </c>
      <c r="Q1865" s="848">
        <v>46044</v>
      </c>
      <c r="R1865" s="24" t="s">
        <v>1138</v>
      </c>
      <c r="S1865" s="834" t="s">
        <v>32</v>
      </c>
      <c r="T1865" s="834">
        <v>8</v>
      </c>
      <c r="U1865" s="24" t="s">
        <v>1138</v>
      </c>
      <c r="V1865" s="848">
        <v>46044</v>
      </c>
      <c r="W1865" s="96" t="s">
        <v>30</v>
      </c>
      <c r="X1865" s="91" t="s">
        <v>32</v>
      </c>
      <c r="Y1865" s="96" t="s">
        <v>30</v>
      </c>
      <c r="Z1865" s="91" t="s">
        <v>32</v>
      </c>
      <c r="AA1865" s="91" t="s">
        <v>32</v>
      </c>
      <c r="AB1865" s="107" t="s">
        <v>30</v>
      </c>
      <c r="AC1865" s="107" t="s">
        <v>30</v>
      </c>
      <c r="AD1865" s="107" t="s">
        <v>30</v>
      </c>
      <c r="AE1865" s="107" t="s">
        <v>30</v>
      </c>
      <c r="AF1865" s="107" t="s">
        <v>30</v>
      </c>
      <c r="AG1865" s="107" t="s">
        <v>30</v>
      </c>
      <c r="AH1865" s="96" t="s">
        <v>30</v>
      </c>
      <c r="AI1865" s="96" t="s">
        <v>30</v>
      </c>
      <c r="AJ1865" s="96" t="s">
        <v>30</v>
      </c>
      <c r="AK1865" s="96" t="s">
        <v>30</v>
      </c>
      <c r="AL1865" s="110"/>
      <c r="AM1865" s="840"/>
      <c r="AS1865" s="92"/>
      <c r="AT1865" s="92"/>
      <c r="AU1865" s="92"/>
      <c r="AV1865" s="105"/>
    </row>
    <row r="1866" spans="1:48">
      <c r="A1866" s="834" t="s">
        <v>24</v>
      </c>
      <c r="B1866" s="835">
        <v>1863</v>
      </c>
      <c r="C1866" s="838" t="s">
        <v>2739</v>
      </c>
      <c r="D1866" s="838" t="s">
        <v>34</v>
      </c>
      <c r="E1866" s="839">
        <v>46017</v>
      </c>
      <c r="F1866" s="838" t="s">
        <v>2687</v>
      </c>
      <c r="G1866" s="838">
        <v>14</v>
      </c>
      <c r="H1866" s="838" t="s">
        <v>67</v>
      </c>
      <c r="I1866" s="838" t="s">
        <v>47</v>
      </c>
      <c r="J1866" s="250"/>
      <c r="K1866" s="840" t="s">
        <v>2130</v>
      </c>
      <c r="L1866" s="840" t="s">
        <v>2661</v>
      </c>
      <c r="M1866" s="840" t="s">
        <v>2706</v>
      </c>
      <c r="N1866" s="840" t="s">
        <v>2050</v>
      </c>
      <c r="O1866" s="840"/>
      <c r="P1866" s="245" t="s">
        <v>30</v>
      </c>
      <c r="Q1866" s="23">
        <v>46049</v>
      </c>
      <c r="R1866" s="24" t="s">
        <v>47</v>
      </c>
      <c r="S1866" s="834" t="s">
        <v>30</v>
      </c>
      <c r="T1866" s="22">
        <v>21</v>
      </c>
      <c r="U1866" s="24" t="s">
        <v>47</v>
      </c>
      <c r="V1866" s="23">
        <v>46049</v>
      </c>
      <c r="W1866" s="80" t="s">
        <v>30</v>
      </c>
      <c r="X1866" s="91" t="s">
        <v>32</v>
      </c>
      <c r="Y1866" s="96" t="s">
        <v>30</v>
      </c>
      <c r="Z1866" s="91" t="s">
        <v>32</v>
      </c>
      <c r="AA1866" s="91" t="s">
        <v>32</v>
      </c>
      <c r="AB1866" s="96" t="s">
        <v>30</v>
      </c>
      <c r="AC1866" s="96" t="s">
        <v>30</v>
      </c>
      <c r="AD1866" s="96" t="s">
        <v>30</v>
      </c>
      <c r="AE1866" s="96" t="s">
        <v>30</v>
      </c>
      <c r="AF1866" s="96" t="s">
        <v>30</v>
      </c>
      <c r="AG1866" s="96" t="s">
        <v>30</v>
      </c>
      <c r="AH1866" s="96" t="s">
        <v>30</v>
      </c>
      <c r="AI1866" s="107" t="s">
        <v>30</v>
      </c>
      <c r="AJ1866" s="107" t="s">
        <v>30</v>
      </c>
      <c r="AK1866" s="107" t="s">
        <v>30</v>
      </c>
      <c r="AL1866" s="110"/>
      <c r="AM1866" s="840" t="s">
        <v>2545</v>
      </c>
      <c r="AS1866" s="92"/>
      <c r="AT1866" s="92"/>
      <c r="AU1866" s="92"/>
      <c r="AV1866" s="105"/>
    </row>
    <row r="1867" spans="1:48">
      <c r="A1867" s="834" t="s">
        <v>24</v>
      </c>
      <c r="B1867" s="835">
        <v>1864</v>
      </c>
      <c r="C1867" s="838" t="s">
        <v>2740</v>
      </c>
      <c r="D1867" s="838" t="s">
        <v>34</v>
      </c>
      <c r="E1867" s="839">
        <v>46017</v>
      </c>
      <c r="F1867" s="838" t="s">
        <v>2687</v>
      </c>
      <c r="G1867" s="838">
        <v>20</v>
      </c>
      <c r="H1867" s="838" t="s">
        <v>67</v>
      </c>
      <c r="I1867" s="838" t="s">
        <v>47</v>
      </c>
      <c r="J1867" s="838"/>
      <c r="K1867" s="840" t="s">
        <v>2130</v>
      </c>
      <c r="L1867" s="840" t="s">
        <v>2661</v>
      </c>
      <c r="M1867" s="840" t="s">
        <v>2706</v>
      </c>
      <c r="N1867" s="840" t="s">
        <v>2050</v>
      </c>
      <c r="O1867" s="113" t="s">
        <v>31</v>
      </c>
      <c r="P1867" s="249" t="s">
        <v>30</v>
      </c>
      <c r="Q1867" s="23">
        <v>46049</v>
      </c>
      <c r="R1867" s="24" t="s">
        <v>47</v>
      </c>
      <c r="S1867" s="22" t="s">
        <v>1140</v>
      </c>
      <c r="T1867" s="22">
        <v>14</v>
      </c>
      <c r="U1867" s="24" t="s">
        <v>47</v>
      </c>
      <c r="V1867" s="23">
        <v>46049</v>
      </c>
      <c r="W1867" s="80" t="s">
        <v>30</v>
      </c>
      <c r="X1867" s="91" t="s">
        <v>32</v>
      </c>
      <c r="Y1867" s="96" t="s">
        <v>30</v>
      </c>
      <c r="Z1867" s="91" t="s">
        <v>32</v>
      </c>
      <c r="AA1867" s="91" t="s">
        <v>32</v>
      </c>
      <c r="AB1867" s="96" t="s">
        <v>30</v>
      </c>
      <c r="AC1867" s="96" t="s">
        <v>30</v>
      </c>
      <c r="AD1867" s="96" t="s">
        <v>30</v>
      </c>
      <c r="AE1867" s="96" t="s">
        <v>30</v>
      </c>
      <c r="AF1867" s="96" t="s">
        <v>30</v>
      </c>
      <c r="AG1867" s="96" t="s">
        <v>30</v>
      </c>
      <c r="AH1867" s="96" t="s">
        <v>30</v>
      </c>
      <c r="AI1867" s="107" t="s">
        <v>30</v>
      </c>
      <c r="AJ1867" s="107" t="s">
        <v>30</v>
      </c>
      <c r="AK1867" s="107" t="s">
        <v>30</v>
      </c>
      <c r="AL1867" s="110"/>
      <c r="AM1867" s="840" t="s">
        <v>2545</v>
      </c>
      <c r="AO1867" s="85"/>
      <c r="AP1867" s="85"/>
      <c r="AQ1867" s="85"/>
      <c r="AR1867" s="84"/>
      <c r="AS1867" s="92"/>
      <c r="AT1867" s="92"/>
      <c r="AU1867" s="92"/>
      <c r="AV1867" s="105"/>
    </row>
    <row r="1868" spans="1:48">
      <c r="A1868" s="834" t="s">
        <v>24</v>
      </c>
      <c r="B1868" s="835">
        <v>1865</v>
      </c>
      <c r="C1868" s="838" t="s">
        <v>2741</v>
      </c>
      <c r="D1868" s="838" t="s">
        <v>178</v>
      </c>
      <c r="E1868" s="839">
        <v>46017</v>
      </c>
      <c r="F1868" s="838" t="s">
        <v>2687</v>
      </c>
      <c r="G1868" s="838">
        <v>14</v>
      </c>
      <c r="H1868" s="838" t="s">
        <v>67</v>
      </c>
      <c r="I1868" s="838" t="s">
        <v>47</v>
      </c>
      <c r="J1868" s="838"/>
      <c r="K1868" s="840" t="s">
        <v>2123</v>
      </c>
      <c r="L1868" s="840" t="s">
        <v>2661</v>
      </c>
      <c r="M1868" s="840" t="s">
        <v>2706</v>
      </c>
      <c r="N1868" s="840" t="s">
        <v>2050</v>
      </c>
      <c r="O1868" s="840"/>
      <c r="P1868" s="249" t="s">
        <v>30</v>
      </c>
      <c r="Q1868" s="23">
        <v>46048</v>
      </c>
      <c r="R1868" s="24" t="s">
        <v>47</v>
      </c>
      <c r="S1868" s="22" t="s">
        <v>1140</v>
      </c>
      <c r="T1868" s="22">
        <v>14</v>
      </c>
      <c r="U1868" s="24" t="s">
        <v>47</v>
      </c>
      <c r="V1868" s="23">
        <v>46048</v>
      </c>
      <c r="W1868" s="96" t="s">
        <v>30</v>
      </c>
      <c r="X1868" s="96" t="s">
        <v>30</v>
      </c>
      <c r="Y1868" s="96" t="s">
        <v>30</v>
      </c>
      <c r="Z1868" s="96" t="s">
        <v>30</v>
      </c>
      <c r="AA1868" s="96" t="s">
        <v>30</v>
      </c>
      <c r="AB1868" s="96" t="s">
        <v>30</v>
      </c>
      <c r="AC1868" s="96" t="s">
        <v>30</v>
      </c>
      <c r="AD1868" s="96" t="s">
        <v>30</v>
      </c>
      <c r="AE1868" s="96" t="s">
        <v>30</v>
      </c>
      <c r="AF1868" s="96" t="s">
        <v>30</v>
      </c>
      <c r="AG1868" s="96" t="s">
        <v>30</v>
      </c>
      <c r="AH1868" s="96" t="s">
        <v>30</v>
      </c>
      <c r="AI1868" s="107" t="s">
        <v>30</v>
      </c>
      <c r="AJ1868" s="107" t="s">
        <v>30</v>
      </c>
      <c r="AK1868" s="107" t="s">
        <v>30</v>
      </c>
      <c r="AL1868" s="110"/>
      <c r="AM1868" s="840"/>
      <c r="AS1868" s="71"/>
      <c r="AT1868" s="92"/>
      <c r="AU1868" s="92"/>
    </row>
    <row r="1869" spans="1:48">
      <c r="A1869" s="834" t="s">
        <v>24</v>
      </c>
      <c r="B1869" s="835">
        <v>1866</v>
      </c>
      <c r="C1869" s="838" t="s">
        <v>2742</v>
      </c>
      <c r="D1869" s="838" t="s">
        <v>178</v>
      </c>
      <c r="E1869" s="839">
        <v>46017</v>
      </c>
      <c r="F1869" s="838" t="s">
        <v>2687</v>
      </c>
      <c r="G1869" s="838">
        <v>20</v>
      </c>
      <c r="H1869" s="838" t="s">
        <v>67</v>
      </c>
      <c r="I1869" s="838" t="s">
        <v>47</v>
      </c>
      <c r="J1869" s="250"/>
      <c r="K1869" s="840" t="s">
        <v>2123</v>
      </c>
      <c r="L1869" s="840" t="s">
        <v>2661</v>
      </c>
      <c r="M1869" s="840" t="s">
        <v>2706</v>
      </c>
      <c r="N1869" s="840" t="s">
        <v>2050</v>
      </c>
      <c r="O1869" s="113" t="s">
        <v>31</v>
      </c>
      <c r="P1869" s="245" t="s">
        <v>30</v>
      </c>
      <c r="Q1869" s="23">
        <v>46047</v>
      </c>
      <c r="R1869" s="24" t="s">
        <v>47</v>
      </c>
      <c r="S1869" s="834" t="s">
        <v>30</v>
      </c>
      <c r="T1869" s="22">
        <v>21</v>
      </c>
      <c r="U1869" s="24" t="s">
        <v>47</v>
      </c>
      <c r="V1869" s="23">
        <v>46047</v>
      </c>
      <c r="W1869" s="96" t="s">
        <v>30</v>
      </c>
      <c r="X1869" s="96" t="s">
        <v>30</v>
      </c>
      <c r="Y1869" s="96" t="s">
        <v>30</v>
      </c>
      <c r="Z1869" s="96" t="s">
        <v>30</v>
      </c>
      <c r="AA1869" s="96" t="s">
        <v>30</v>
      </c>
      <c r="AB1869" s="96" t="s">
        <v>30</v>
      </c>
      <c r="AC1869" s="96" t="s">
        <v>30</v>
      </c>
      <c r="AD1869" s="96" t="s">
        <v>30</v>
      </c>
      <c r="AE1869" s="96" t="s">
        <v>30</v>
      </c>
      <c r="AF1869" s="96" t="s">
        <v>30</v>
      </c>
      <c r="AG1869" s="96" t="s">
        <v>30</v>
      </c>
      <c r="AH1869" s="96" t="s">
        <v>30</v>
      </c>
      <c r="AI1869" s="96" t="s">
        <v>30</v>
      </c>
      <c r="AJ1869" s="96" t="s">
        <v>30</v>
      </c>
      <c r="AK1869" s="96" t="s">
        <v>30</v>
      </c>
      <c r="AL1869" s="110"/>
      <c r="AM1869" s="840"/>
      <c r="AO1869" s="776"/>
      <c r="AP1869" s="776"/>
      <c r="AQ1869" s="776"/>
      <c r="AR1869" s="776"/>
      <c r="AV1869" s="105"/>
    </row>
    <row r="1870" spans="1:48">
      <c r="A1870" s="834" t="s">
        <v>24</v>
      </c>
      <c r="B1870" s="835">
        <v>1867</v>
      </c>
      <c r="C1870" s="838" t="s">
        <v>2743</v>
      </c>
      <c r="D1870" s="838" t="s">
        <v>34</v>
      </c>
      <c r="E1870" s="839">
        <v>46018</v>
      </c>
      <c r="F1870" s="838" t="s">
        <v>2744</v>
      </c>
      <c r="G1870" s="838">
        <v>25</v>
      </c>
      <c r="H1870" s="838" t="s">
        <v>127</v>
      </c>
      <c r="I1870" s="838" t="s">
        <v>178</v>
      </c>
      <c r="J1870" s="838"/>
      <c r="K1870" s="840" t="s">
        <v>2087</v>
      </c>
      <c r="L1870" s="840" t="s">
        <v>2745</v>
      </c>
      <c r="M1870" s="840" t="s">
        <v>2745</v>
      </c>
      <c r="N1870" s="840" t="s">
        <v>2050</v>
      </c>
      <c r="O1870" s="113" t="s">
        <v>31</v>
      </c>
      <c r="P1870" s="853" t="s">
        <v>30</v>
      </c>
      <c r="Q1870" s="848">
        <v>46051</v>
      </c>
      <c r="R1870" s="24" t="s">
        <v>2707</v>
      </c>
      <c r="S1870" s="834" t="s">
        <v>32</v>
      </c>
      <c r="T1870" s="834">
        <v>22</v>
      </c>
      <c r="U1870" s="24" t="s">
        <v>2707</v>
      </c>
      <c r="V1870" s="848">
        <v>46051</v>
      </c>
      <c r="W1870" s="96" t="s">
        <v>30</v>
      </c>
      <c r="X1870" s="118" t="s">
        <v>30</v>
      </c>
      <c r="Y1870" s="118" t="s">
        <v>30</v>
      </c>
      <c r="Z1870" s="122"/>
      <c r="AA1870" s="122"/>
      <c r="AB1870" s="122"/>
      <c r="AC1870" s="96" t="s">
        <v>30</v>
      </c>
      <c r="AD1870" s="96" t="s">
        <v>30</v>
      </c>
      <c r="AE1870" s="96" t="s">
        <v>30</v>
      </c>
      <c r="AF1870" s="96" t="s">
        <v>30</v>
      </c>
      <c r="AG1870" s="96" t="s">
        <v>30</v>
      </c>
      <c r="AH1870" s="96" t="s">
        <v>30</v>
      </c>
      <c r="AI1870" s="118" t="s">
        <v>30</v>
      </c>
      <c r="AJ1870" s="118" t="s">
        <v>30</v>
      </c>
      <c r="AK1870" s="118" t="s">
        <v>30</v>
      </c>
      <c r="AL1870" s="110"/>
      <c r="AM1870" s="840"/>
      <c r="AS1870" s="71"/>
      <c r="AT1870" s="92"/>
      <c r="AU1870" s="92"/>
      <c r="AV1870" s="105"/>
    </row>
    <row r="1871" spans="1:48">
      <c r="A1871" s="834" t="s">
        <v>24</v>
      </c>
      <c r="B1871" s="835">
        <v>1868</v>
      </c>
      <c r="C1871" s="838" t="s">
        <v>2746</v>
      </c>
      <c r="D1871" s="838" t="s">
        <v>34</v>
      </c>
      <c r="E1871" s="839">
        <v>46018</v>
      </c>
      <c r="F1871" s="838" t="s">
        <v>97</v>
      </c>
      <c r="G1871" s="838">
        <v>14</v>
      </c>
      <c r="H1871" s="838" t="s">
        <v>127</v>
      </c>
      <c r="I1871" s="838" t="s">
        <v>178</v>
      </c>
      <c r="J1871" s="98" t="s">
        <v>2544</v>
      </c>
      <c r="K1871" s="840" t="s">
        <v>2312</v>
      </c>
      <c r="L1871" s="840" t="s">
        <v>2745</v>
      </c>
      <c r="M1871" s="840" t="s">
        <v>2745</v>
      </c>
      <c r="N1871" s="840" t="s">
        <v>2245</v>
      </c>
      <c r="O1871" s="840"/>
      <c r="P1871" s="853"/>
      <c r="Q1871" s="23"/>
      <c r="R1871" s="24" t="s">
        <v>2707</v>
      </c>
      <c r="S1871" s="79"/>
      <c r="T1871" s="22"/>
      <c r="U1871" s="24"/>
      <c r="V1871" s="23"/>
      <c r="W1871" s="91" t="s">
        <v>32</v>
      </c>
      <c r="X1871" s="91" t="s">
        <v>32</v>
      </c>
      <c r="Y1871" s="103"/>
      <c r="Z1871" s="96" t="s">
        <v>30</v>
      </c>
      <c r="AA1871" s="96" t="s">
        <v>30</v>
      </c>
      <c r="AB1871" s="96" t="s">
        <v>30</v>
      </c>
      <c r="AC1871" s="96" t="s">
        <v>30</v>
      </c>
      <c r="AD1871" s="96" t="s">
        <v>30</v>
      </c>
      <c r="AE1871" s="96" t="s">
        <v>30</v>
      </c>
      <c r="AF1871" s="96" t="s">
        <v>30</v>
      </c>
      <c r="AG1871" s="96" t="s">
        <v>30</v>
      </c>
      <c r="AH1871" s="110"/>
      <c r="AI1871" s="96" t="s">
        <v>30</v>
      </c>
      <c r="AJ1871" s="96" t="s">
        <v>30</v>
      </c>
      <c r="AK1871" s="91" t="s">
        <v>32</v>
      </c>
      <c r="AL1871" s="110"/>
      <c r="AM1871" s="840" t="s">
        <v>2545</v>
      </c>
      <c r="AO1871" s="776"/>
      <c r="AP1871" s="776"/>
      <c r="AQ1871" s="776"/>
      <c r="AR1871" s="776"/>
      <c r="AV1871" s="105"/>
    </row>
    <row r="1872" spans="1:48">
      <c r="A1872" s="834" t="s">
        <v>24</v>
      </c>
      <c r="B1872" s="835">
        <v>1869</v>
      </c>
      <c r="C1872" s="838" t="s">
        <v>2747</v>
      </c>
      <c r="D1872" s="838" t="s">
        <v>34</v>
      </c>
      <c r="E1872" s="839">
        <v>46018</v>
      </c>
      <c r="F1872" s="838" t="s">
        <v>117</v>
      </c>
      <c r="G1872" s="838">
        <v>12</v>
      </c>
      <c r="H1872" s="838" t="s">
        <v>127</v>
      </c>
      <c r="I1872" s="838" t="s">
        <v>178</v>
      </c>
      <c r="J1872" s="838"/>
      <c r="K1872" s="840" t="s">
        <v>2180</v>
      </c>
      <c r="L1872" s="840" t="s">
        <v>2706</v>
      </c>
      <c r="M1872" s="840" t="s">
        <v>2734</v>
      </c>
      <c r="N1872" s="840" t="s">
        <v>2050</v>
      </c>
      <c r="O1872" s="840"/>
      <c r="P1872" s="853" t="s">
        <v>30</v>
      </c>
      <c r="Q1872" s="848">
        <v>46051</v>
      </c>
      <c r="R1872" s="24" t="s">
        <v>2707</v>
      </c>
      <c r="S1872" s="834" t="s">
        <v>32</v>
      </c>
      <c r="T1872" s="834">
        <v>90</v>
      </c>
      <c r="U1872" s="24" t="s">
        <v>2707</v>
      </c>
      <c r="V1872" s="848">
        <v>46051</v>
      </c>
      <c r="W1872" s="118" t="s">
        <v>30</v>
      </c>
      <c r="X1872" s="118" t="s">
        <v>30</v>
      </c>
      <c r="Y1872" s="118" t="s">
        <v>30</v>
      </c>
      <c r="Z1872" s="120"/>
      <c r="AA1872" s="120"/>
      <c r="AB1872" s="120"/>
      <c r="AC1872" s="107" t="s">
        <v>30</v>
      </c>
      <c r="AD1872" s="107" t="s">
        <v>30</v>
      </c>
      <c r="AE1872" s="107" t="s">
        <v>30</v>
      </c>
      <c r="AF1872" s="107" t="s">
        <v>30</v>
      </c>
      <c r="AG1872" s="107" t="s">
        <v>30</v>
      </c>
      <c r="AH1872" s="96" t="s">
        <v>30</v>
      </c>
      <c r="AI1872" s="96" t="s">
        <v>30</v>
      </c>
      <c r="AJ1872" s="96" t="s">
        <v>30</v>
      </c>
      <c r="AK1872" s="107" t="s">
        <v>30</v>
      </c>
      <c r="AL1872" s="110"/>
      <c r="AM1872" s="840"/>
      <c r="AO1872" s="776"/>
      <c r="AP1872" s="776"/>
      <c r="AQ1872" s="776"/>
      <c r="AR1872" s="776"/>
      <c r="AV1872" s="105"/>
    </row>
    <row r="1873" spans="1:48">
      <c r="A1873" s="834" t="s">
        <v>24</v>
      </c>
      <c r="B1873" s="835">
        <v>1870</v>
      </c>
      <c r="C1873" s="838" t="s">
        <v>2748</v>
      </c>
      <c r="D1873" s="838" t="s">
        <v>34</v>
      </c>
      <c r="E1873" s="839">
        <v>46018</v>
      </c>
      <c r="F1873" s="838" t="s">
        <v>126</v>
      </c>
      <c r="G1873" s="838">
        <v>13</v>
      </c>
      <c r="H1873" s="838" t="s">
        <v>127</v>
      </c>
      <c r="I1873" s="838" t="s">
        <v>178</v>
      </c>
      <c r="J1873" s="838"/>
      <c r="K1873" s="840" t="s">
        <v>2085</v>
      </c>
      <c r="L1873" s="840" t="s">
        <v>2592</v>
      </c>
      <c r="M1873" s="840" t="s">
        <v>2666</v>
      </c>
      <c r="N1873" s="840" t="s">
        <v>2749</v>
      </c>
      <c r="O1873" s="840"/>
      <c r="P1873" s="249" t="s">
        <v>30</v>
      </c>
      <c r="Q1873" s="119">
        <v>46052</v>
      </c>
      <c r="R1873" s="119" t="s">
        <v>2707</v>
      </c>
      <c r="S1873" s="119" t="s">
        <v>32</v>
      </c>
      <c r="T1873" s="243">
        <v>14</v>
      </c>
      <c r="U1873" s="119" t="s">
        <v>2707</v>
      </c>
      <c r="V1873" s="119">
        <v>46052</v>
      </c>
      <c r="W1873" s="96" t="s">
        <v>30</v>
      </c>
      <c r="X1873" s="118" t="s">
        <v>30</v>
      </c>
      <c r="Y1873" s="118" t="s">
        <v>30</v>
      </c>
      <c r="Z1873" s="96" t="s">
        <v>30</v>
      </c>
      <c r="AA1873" s="96" t="s">
        <v>30</v>
      </c>
      <c r="AB1873" s="96" t="s">
        <v>30</v>
      </c>
      <c r="AC1873" s="96" t="s">
        <v>30</v>
      </c>
      <c r="AD1873" s="96" t="s">
        <v>30</v>
      </c>
      <c r="AE1873" s="96" t="s">
        <v>30</v>
      </c>
      <c r="AF1873" s="96" t="s">
        <v>30</v>
      </c>
      <c r="AG1873" s="96" t="s">
        <v>30</v>
      </c>
      <c r="AH1873" s="96" t="s">
        <v>30</v>
      </c>
      <c r="AI1873" s="96" t="s">
        <v>30</v>
      </c>
      <c r="AJ1873" s="96" t="s">
        <v>30</v>
      </c>
      <c r="AK1873" s="96" t="s">
        <v>30</v>
      </c>
      <c r="AL1873" s="110"/>
      <c r="AM1873" s="840"/>
      <c r="AV1873" s="105"/>
    </row>
    <row r="1874" spans="1:48">
      <c r="A1874" s="834" t="s">
        <v>24</v>
      </c>
      <c r="B1874" s="835">
        <v>1871</v>
      </c>
      <c r="C1874" s="838" t="s">
        <v>2750</v>
      </c>
      <c r="D1874" s="838" t="s">
        <v>50</v>
      </c>
      <c r="E1874" s="839">
        <v>46018</v>
      </c>
      <c r="F1874" s="838" t="s">
        <v>106</v>
      </c>
      <c r="G1874" s="838">
        <v>20</v>
      </c>
      <c r="H1874" s="838" t="s">
        <v>127</v>
      </c>
      <c r="I1874" s="838" t="s">
        <v>178</v>
      </c>
      <c r="J1874" s="838"/>
      <c r="K1874" s="840" t="s">
        <v>2092</v>
      </c>
      <c r="L1874" s="840" t="s">
        <v>2666</v>
      </c>
      <c r="M1874" s="840" t="s">
        <v>2636</v>
      </c>
      <c r="N1874" s="840" t="s">
        <v>2050</v>
      </c>
      <c r="O1874" s="113" t="s">
        <v>31</v>
      </c>
      <c r="P1874" s="853" t="s">
        <v>30</v>
      </c>
      <c r="Q1874" s="119">
        <v>46052</v>
      </c>
      <c r="R1874" s="119" t="s">
        <v>1638</v>
      </c>
      <c r="S1874" s="119" t="s">
        <v>32</v>
      </c>
      <c r="T1874" s="243">
        <v>13</v>
      </c>
      <c r="U1874" s="119" t="s">
        <v>1638</v>
      </c>
      <c r="V1874" s="119">
        <v>46052</v>
      </c>
      <c r="W1874" s="96" t="s">
        <v>30</v>
      </c>
      <c r="X1874" s="96" t="s">
        <v>30</v>
      </c>
      <c r="Y1874" s="96" t="s">
        <v>30</v>
      </c>
      <c r="Z1874" s="120"/>
      <c r="AA1874" s="120"/>
      <c r="AB1874" s="120"/>
      <c r="AC1874" s="96" t="s">
        <v>30</v>
      </c>
      <c r="AD1874" s="96" t="s">
        <v>30</v>
      </c>
      <c r="AE1874" s="96" t="s">
        <v>30</v>
      </c>
      <c r="AF1874" s="96" t="s">
        <v>30</v>
      </c>
      <c r="AG1874" s="96" t="s">
        <v>30</v>
      </c>
      <c r="AH1874" s="96" t="s">
        <v>30</v>
      </c>
      <c r="AI1874" s="96" t="s">
        <v>30</v>
      </c>
      <c r="AJ1874" s="96" t="s">
        <v>30</v>
      </c>
      <c r="AK1874" s="96" t="s">
        <v>30</v>
      </c>
      <c r="AL1874" s="110"/>
      <c r="AM1874" s="840"/>
      <c r="AV1874" s="105"/>
    </row>
    <row r="1875" spans="1:48">
      <c r="A1875" s="834" t="s">
        <v>24</v>
      </c>
      <c r="B1875" s="835">
        <v>1872</v>
      </c>
      <c r="C1875" s="838" t="s">
        <v>2751</v>
      </c>
      <c r="D1875" s="838" t="s">
        <v>374</v>
      </c>
      <c r="E1875" s="839">
        <v>46018</v>
      </c>
      <c r="F1875" s="838" t="s">
        <v>206</v>
      </c>
      <c r="G1875" s="838">
        <v>14</v>
      </c>
      <c r="H1875" s="838" t="s">
        <v>127</v>
      </c>
      <c r="I1875" s="838" t="s">
        <v>178</v>
      </c>
      <c r="J1875" s="838"/>
      <c r="K1875" s="840" t="s">
        <v>2126</v>
      </c>
      <c r="L1875" s="840" t="s">
        <v>2592</v>
      </c>
      <c r="M1875" s="840" t="s">
        <v>2734</v>
      </c>
      <c r="N1875" s="840" t="s">
        <v>2248</v>
      </c>
      <c r="O1875" s="840"/>
      <c r="P1875" s="853" t="s">
        <v>30</v>
      </c>
      <c r="Q1875" s="848">
        <v>46051</v>
      </c>
      <c r="R1875" s="24" t="s">
        <v>2707</v>
      </c>
      <c r="S1875" s="834" t="s">
        <v>32</v>
      </c>
      <c r="T1875" s="834">
        <v>4</v>
      </c>
      <c r="U1875" s="24" t="s">
        <v>2707</v>
      </c>
      <c r="V1875" s="848">
        <v>46051</v>
      </c>
      <c r="W1875" s="90" t="s">
        <v>30</v>
      </c>
      <c r="X1875" s="91" t="s">
        <v>32</v>
      </c>
      <c r="Y1875" s="90" t="s">
        <v>30</v>
      </c>
      <c r="Z1875" s="96" t="s">
        <v>30</v>
      </c>
      <c r="AA1875" s="96" t="s">
        <v>30</v>
      </c>
      <c r="AB1875" s="96" t="s">
        <v>30</v>
      </c>
      <c r="AC1875" s="96" t="s">
        <v>30</v>
      </c>
      <c r="AD1875" s="96" t="s">
        <v>30</v>
      </c>
      <c r="AE1875" s="96" t="s">
        <v>30</v>
      </c>
      <c r="AF1875" s="96" t="s">
        <v>30</v>
      </c>
      <c r="AG1875" s="96" t="s">
        <v>30</v>
      </c>
      <c r="AH1875" s="96" t="s">
        <v>30</v>
      </c>
      <c r="AI1875" s="96" t="s">
        <v>30</v>
      </c>
      <c r="AJ1875" s="96" t="s">
        <v>30</v>
      </c>
      <c r="AK1875" s="96" t="s">
        <v>30</v>
      </c>
      <c r="AL1875" s="110"/>
      <c r="AM1875" s="840"/>
      <c r="AN1875" s="6"/>
      <c r="AO1875" s="6"/>
      <c r="AP1875" s="6"/>
      <c r="AQ1875" s="6"/>
      <c r="AR1875" s="6"/>
      <c r="AS1875" s="104"/>
      <c r="AT1875" s="105"/>
      <c r="AU1875" s="105"/>
      <c r="AV1875" s="105"/>
    </row>
    <row r="1876" spans="1:48">
      <c r="A1876" s="834" t="s">
        <v>24</v>
      </c>
      <c r="B1876" s="835">
        <v>1873</v>
      </c>
      <c r="C1876" s="838" t="s">
        <v>2752</v>
      </c>
      <c r="D1876" s="838" t="s">
        <v>34</v>
      </c>
      <c r="E1876" s="839">
        <v>46018</v>
      </c>
      <c r="F1876" s="838" t="s">
        <v>206</v>
      </c>
      <c r="G1876" s="838">
        <v>12</v>
      </c>
      <c r="H1876" s="838" t="s">
        <v>127</v>
      </c>
      <c r="I1876" s="838" t="s">
        <v>178</v>
      </c>
      <c r="J1876" s="838"/>
      <c r="K1876" s="840" t="s">
        <v>2123</v>
      </c>
      <c r="L1876" s="840" t="s">
        <v>2706</v>
      </c>
      <c r="M1876" s="840" t="s">
        <v>2734</v>
      </c>
      <c r="N1876" s="840" t="s">
        <v>2248</v>
      </c>
      <c r="O1876" s="840"/>
      <c r="P1876" s="853" t="s">
        <v>30</v>
      </c>
      <c r="Q1876" s="23">
        <v>46052</v>
      </c>
      <c r="R1876" s="24" t="s">
        <v>67</v>
      </c>
      <c r="S1876" s="24" t="s">
        <v>32</v>
      </c>
      <c r="T1876" s="22">
        <v>12</v>
      </c>
      <c r="U1876" s="24" t="s">
        <v>67</v>
      </c>
      <c r="V1876" s="23">
        <v>46052</v>
      </c>
      <c r="W1876" s="96" t="s">
        <v>30</v>
      </c>
      <c r="X1876" s="96" t="s">
        <v>30</v>
      </c>
      <c r="Y1876" s="96" t="s">
        <v>30</v>
      </c>
      <c r="Z1876" s="96" t="s">
        <v>30</v>
      </c>
      <c r="AA1876" s="96" t="s">
        <v>30</v>
      </c>
      <c r="AB1876" s="96" t="s">
        <v>30</v>
      </c>
      <c r="AC1876" s="96" t="s">
        <v>30</v>
      </c>
      <c r="AD1876" s="96" t="s">
        <v>30</v>
      </c>
      <c r="AE1876" s="96" t="s">
        <v>30</v>
      </c>
      <c r="AF1876" s="96" t="s">
        <v>30</v>
      </c>
      <c r="AG1876" s="96" t="s">
        <v>30</v>
      </c>
      <c r="AH1876" s="96" t="s">
        <v>30</v>
      </c>
      <c r="AI1876" s="96" t="s">
        <v>30</v>
      </c>
      <c r="AJ1876" s="96" t="s">
        <v>30</v>
      </c>
      <c r="AK1876" s="96" t="s">
        <v>30</v>
      </c>
      <c r="AL1876" s="110"/>
      <c r="AM1876" s="840"/>
      <c r="AV1876" s="105"/>
    </row>
    <row r="1877" spans="1:48">
      <c r="A1877" s="834" t="s">
        <v>24</v>
      </c>
      <c r="B1877" s="835">
        <v>1874</v>
      </c>
      <c r="C1877" s="838" t="s">
        <v>2753</v>
      </c>
      <c r="D1877" s="838" t="s">
        <v>34</v>
      </c>
      <c r="E1877" s="839">
        <v>46018</v>
      </c>
      <c r="F1877" s="838" t="s">
        <v>2754</v>
      </c>
      <c r="G1877" s="838">
        <v>20</v>
      </c>
      <c r="H1877" s="838" t="s">
        <v>67</v>
      </c>
      <c r="I1877" s="838" t="s">
        <v>47</v>
      </c>
      <c r="J1877" s="838"/>
      <c r="K1877" s="840" t="s">
        <v>2098</v>
      </c>
      <c r="L1877" s="840" t="s">
        <v>2706</v>
      </c>
      <c r="M1877" s="840" t="s">
        <v>2706</v>
      </c>
      <c r="N1877" s="853" t="s">
        <v>2050</v>
      </c>
      <c r="O1877" s="113" t="s">
        <v>31</v>
      </c>
      <c r="P1877" s="853" t="s">
        <v>30</v>
      </c>
      <c r="Q1877" s="117">
        <v>46049</v>
      </c>
      <c r="R1877" s="24" t="s">
        <v>1138</v>
      </c>
      <c r="S1877" s="24" t="s">
        <v>32</v>
      </c>
      <c r="T1877" s="22">
        <v>20</v>
      </c>
      <c r="U1877" s="24" t="s">
        <v>1138</v>
      </c>
      <c r="V1877" s="117">
        <v>46049</v>
      </c>
      <c r="W1877" s="96" t="s">
        <v>30</v>
      </c>
      <c r="X1877" s="96" t="s">
        <v>30</v>
      </c>
      <c r="Y1877" s="96" t="s">
        <v>30</v>
      </c>
      <c r="Z1877" s="96" t="s">
        <v>30</v>
      </c>
      <c r="AA1877" s="96" t="s">
        <v>30</v>
      </c>
      <c r="AB1877" s="96" t="s">
        <v>30</v>
      </c>
      <c r="AC1877" s="96" t="s">
        <v>30</v>
      </c>
      <c r="AD1877" s="96" t="s">
        <v>30</v>
      </c>
      <c r="AE1877" s="96" t="s">
        <v>30</v>
      </c>
      <c r="AF1877" s="96" t="s">
        <v>30</v>
      </c>
      <c r="AG1877" s="96" t="s">
        <v>30</v>
      </c>
      <c r="AH1877" s="96" t="s">
        <v>30</v>
      </c>
      <c r="AI1877" s="118" t="s">
        <v>30</v>
      </c>
      <c r="AJ1877" s="118" t="s">
        <v>30</v>
      </c>
      <c r="AK1877" s="118" t="s">
        <v>30</v>
      </c>
      <c r="AL1877" s="91" t="s">
        <v>32</v>
      </c>
      <c r="AM1877" s="840" t="s">
        <v>2548</v>
      </c>
      <c r="AN1877" s="87"/>
      <c r="AO1877" s="87"/>
      <c r="AS1877" s="71"/>
      <c r="AT1877" s="92"/>
      <c r="AU1877" s="92"/>
      <c r="AV1877" s="105"/>
    </row>
    <row r="1878" spans="1:48">
      <c r="A1878" s="834" t="s">
        <v>24</v>
      </c>
      <c r="B1878" s="835">
        <v>1875</v>
      </c>
      <c r="C1878" s="838" t="s">
        <v>2755</v>
      </c>
      <c r="D1878" s="838" t="s">
        <v>34</v>
      </c>
      <c r="E1878" s="839">
        <v>46018</v>
      </c>
      <c r="F1878" s="838" t="s">
        <v>272</v>
      </c>
      <c r="G1878" s="838">
        <v>10</v>
      </c>
      <c r="H1878" s="838" t="s">
        <v>67</v>
      </c>
      <c r="I1878" s="838" t="s">
        <v>47</v>
      </c>
      <c r="J1878" s="838"/>
      <c r="K1878" s="840" t="s">
        <v>2130</v>
      </c>
      <c r="L1878" s="840" t="s">
        <v>2734</v>
      </c>
      <c r="M1878" s="840" t="s">
        <v>2734</v>
      </c>
      <c r="N1878" s="853" t="s">
        <v>2050</v>
      </c>
      <c r="O1878" s="840"/>
      <c r="P1878" s="853" t="s">
        <v>30</v>
      </c>
      <c r="Q1878" s="117">
        <v>46049</v>
      </c>
      <c r="R1878" s="24" t="s">
        <v>1138</v>
      </c>
      <c r="S1878" s="24" t="s">
        <v>32</v>
      </c>
      <c r="T1878" s="22">
        <v>10</v>
      </c>
      <c r="U1878" s="24" t="s">
        <v>1138</v>
      </c>
      <c r="V1878" s="117">
        <v>46049</v>
      </c>
      <c r="W1878" s="96" t="s">
        <v>30</v>
      </c>
      <c r="X1878" s="91" t="s">
        <v>32</v>
      </c>
      <c r="Y1878" s="96" t="s">
        <v>30</v>
      </c>
      <c r="Z1878" s="91" t="s">
        <v>32</v>
      </c>
      <c r="AA1878" s="91" t="s">
        <v>32</v>
      </c>
      <c r="AB1878" s="96" t="s">
        <v>30</v>
      </c>
      <c r="AC1878" s="96" t="s">
        <v>30</v>
      </c>
      <c r="AD1878" s="96" t="s">
        <v>30</v>
      </c>
      <c r="AE1878" s="96" t="s">
        <v>30</v>
      </c>
      <c r="AF1878" s="96" t="s">
        <v>30</v>
      </c>
      <c r="AG1878" s="96" t="s">
        <v>30</v>
      </c>
      <c r="AH1878" s="96" t="s">
        <v>30</v>
      </c>
      <c r="AI1878" s="107" t="s">
        <v>30</v>
      </c>
      <c r="AJ1878" s="107" t="s">
        <v>30</v>
      </c>
      <c r="AK1878" s="107" t="s">
        <v>30</v>
      </c>
      <c r="AL1878" s="110"/>
      <c r="AM1878" s="840" t="s">
        <v>2545</v>
      </c>
      <c r="AS1878" s="71"/>
      <c r="AT1878" s="92"/>
      <c r="AU1878" s="92"/>
      <c r="AV1878" s="105"/>
    </row>
    <row r="1879" spans="1:48">
      <c r="A1879" s="834" t="s">
        <v>24</v>
      </c>
      <c r="B1879" s="835">
        <v>1876</v>
      </c>
      <c r="C1879" s="838" t="s">
        <v>2756</v>
      </c>
      <c r="D1879" s="838" t="s">
        <v>34</v>
      </c>
      <c r="E1879" s="839">
        <v>46018</v>
      </c>
      <c r="F1879" s="838" t="s">
        <v>65</v>
      </c>
      <c r="G1879" s="838">
        <v>9</v>
      </c>
      <c r="H1879" s="838" t="s">
        <v>1077</v>
      </c>
      <c r="I1879" s="838" t="s">
        <v>1138</v>
      </c>
      <c r="J1879" s="838"/>
      <c r="K1879" s="834" t="s">
        <v>2052</v>
      </c>
      <c r="L1879" s="840" t="s">
        <v>2745</v>
      </c>
      <c r="M1879" s="834" t="s">
        <v>2745</v>
      </c>
      <c r="N1879" s="834" t="s">
        <v>2166</v>
      </c>
      <c r="O1879" s="834"/>
      <c r="P1879" s="245" t="s">
        <v>30</v>
      </c>
      <c r="Q1879" s="23">
        <v>46036</v>
      </c>
      <c r="R1879" s="852" t="s">
        <v>1138</v>
      </c>
      <c r="S1879" s="22" t="s">
        <v>32</v>
      </c>
      <c r="T1879" s="22">
        <v>9</v>
      </c>
      <c r="U1879" s="24" t="s">
        <v>1138</v>
      </c>
      <c r="V1879" s="23">
        <v>46036</v>
      </c>
      <c r="W1879" s="118" t="s">
        <v>30</v>
      </c>
      <c r="X1879" s="96" t="s">
        <v>30</v>
      </c>
      <c r="Y1879" s="118" t="s">
        <v>30</v>
      </c>
      <c r="Z1879" s="96" t="s">
        <v>30</v>
      </c>
      <c r="AA1879" s="96" t="s">
        <v>30</v>
      </c>
      <c r="AB1879" s="96" t="s">
        <v>30</v>
      </c>
      <c r="AC1879" s="96" t="s">
        <v>30</v>
      </c>
      <c r="AD1879" s="96" t="s">
        <v>30</v>
      </c>
      <c r="AE1879" s="96" t="s">
        <v>30</v>
      </c>
      <c r="AF1879" s="96" t="s">
        <v>30</v>
      </c>
      <c r="AG1879" s="96" t="s">
        <v>30</v>
      </c>
      <c r="AH1879" s="96" t="s">
        <v>30</v>
      </c>
      <c r="AI1879" s="96" t="s">
        <v>30</v>
      </c>
      <c r="AJ1879" s="96" t="s">
        <v>30</v>
      </c>
      <c r="AK1879" s="96" t="s">
        <v>30</v>
      </c>
      <c r="AL1879" s="110"/>
      <c r="AM1879" s="840"/>
      <c r="AN1879" s="87"/>
      <c r="AO1879" s="87"/>
      <c r="AS1879" s="71"/>
      <c r="AT1879" s="92"/>
      <c r="AU1879" s="92"/>
      <c r="AV1879" s="105"/>
    </row>
    <row r="1880" spans="1:48">
      <c r="A1880" s="834" t="s">
        <v>24</v>
      </c>
      <c r="B1880" s="835">
        <v>1877</v>
      </c>
      <c r="C1880" s="838" t="s">
        <v>2757</v>
      </c>
      <c r="D1880" s="838" t="s">
        <v>64</v>
      </c>
      <c r="E1880" s="839">
        <v>46018</v>
      </c>
      <c r="F1880" s="838" t="s">
        <v>197</v>
      </c>
      <c r="G1880" s="838">
        <v>11</v>
      </c>
      <c r="H1880" s="838" t="s">
        <v>1721</v>
      </c>
      <c r="I1880" s="838" t="s">
        <v>1638</v>
      </c>
      <c r="J1880" s="98" t="s">
        <v>2544</v>
      </c>
      <c r="K1880" s="840" t="s">
        <v>2270</v>
      </c>
      <c r="L1880" s="840" t="s">
        <v>2745</v>
      </c>
      <c r="M1880" s="840" t="s">
        <v>2745</v>
      </c>
      <c r="N1880" s="840" t="s">
        <v>2050</v>
      </c>
      <c r="O1880" s="840"/>
      <c r="P1880" s="853"/>
      <c r="Q1880" s="23"/>
      <c r="R1880" s="852" t="s">
        <v>1638</v>
      </c>
      <c r="S1880" s="79"/>
      <c r="T1880" s="22"/>
      <c r="U1880" s="24"/>
      <c r="V1880" s="23"/>
      <c r="W1880" s="91" t="s">
        <v>32</v>
      </c>
      <c r="X1880" s="91" t="s">
        <v>32</v>
      </c>
      <c r="Y1880" s="103"/>
      <c r="Z1880" s="96" t="s">
        <v>30</v>
      </c>
      <c r="AA1880" s="96" t="s">
        <v>30</v>
      </c>
      <c r="AB1880" s="91" t="s">
        <v>32</v>
      </c>
      <c r="AC1880" s="96" t="s">
        <v>30</v>
      </c>
      <c r="AD1880" s="96" t="s">
        <v>30</v>
      </c>
      <c r="AE1880" s="96" t="s">
        <v>30</v>
      </c>
      <c r="AF1880" s="96" t="s">
        <v>30</v>
      </c>
      <c r="AG1880" s="96" t="s">
        <v>30</v>
      </c>
      <c r="AH1880" s="110"/>
      <c r="AI1880" s="96" t="s">
        <v>30</v>
      </c>
      <c r="AJ1880" s="96" t="s">
        <v>30</v>
      </c>
      <c r="AK1880" s="91" t="s">
        <v>32</v>
      </c>
      <c r="AL1880" s="110"/>
      <c r="AM1880" s="840" t="s">
        <v>2545</v>
      </c>
      <c r="AS1880" s="71"/>
      <c r="AT1880" s="92"/>
      <c r="AU1880" s="92"/>
      <c r="AV1880" s="105"/>
    </row>
    <row r="1881" spans="1:48">
      <c r="A1881" s="834" t="s">
        <v>24</v>
      </c>
      <c r="B1881" s="835">
        <v>1878</v>
      </c>
      <c r="C1881" s="838" t="s">
        <v>2758</v>
      </c>
      <c r="D1881" s="838" t="s">
        <v>64</v>
      </c>
      <c r="E1881" s="839">
        <v>46018</v>
      </c>
      <c r="F1881" s="838" t="s">
        <v>2184</v>
      </c>
      <c r="G1881" s="838">
        <v>25</v>
      </c>
      <c r="H1881" s="838" t="s">
        <v>1721</v>
      </c>
      <c r="I1881" s="838" t="s">
        <v>1638</v>
      </c>
      <c r="J1881" s="838"/>
      <c r="K1881" s="840" t="s">
        <v>2102</v>
      </c>
      <c r="L1881" s="840" t="s">
        <v>2666</v>
      </c>
      <c r="M1881" s="840" t="s">
        <v>2666</v>
      </c>
      <c r="N1881" s="840" t="s">
        <v>2340</v>
      </c>
      <c r="O1881" s="113" t="s">
        <v>31</v>
      </c>
      <c r="P1881" s="249" t="s">
        <v>30</v>
      </c>
      <c r="Q1881" s="117">
        <v>46048</v>
      </c>
      <c r="R1881" s="124" t="s">
        <v>1638</v>
      </c>
      <c r="S1881" s="119" t="s">
        <v>32</v>
      </c>
      <c r="T1881" s="22">
        <v>21</v>
      </c>
      <c r="U1881" s="24" t="s">
        <v>1638</v>
      </c>
      <c r="V1881" s="23">
        <v>46048</v>
      </c>
      <c r="W1881" s="96" t="s">
        <v>30</v>
      </c>
      <c r="X1881" s="118" t="s">
        <v>30</v>
      </c>
      <c r="Y1881" s="96" t="s">
        <v>30</v>
      </c>
      <c r="Z1881" s="96" t="s">
        <v>30</v>
      </c>
      <c r="AA1881" s="96" t="s">
        <v>30</v>
      </c>
      <c r="AB1881" s="96" t="s">
        <v>30</v>
      </c>
      <c r="AC1881" s="96" t="s">
        <v>30</v>
      </c>
      <c r="AD1881" s="96" t="s">
        <v>30</v>
      </c>
      <c r="AE1881" s="96" t="s">
        <v>30</v>
      </c>
      <c r="AF1881" s="96" t="s">
        <v>30</v>
      </c>
      <c r="AG1881" s="96" t="s">
        <v>30</v>
      </c>
      <c r="AH1881" s="96" t="s">
        <v>30</v>
      </c>
      <c r="AI1881" s="107" t="s">
        <v>30</v>
      </c>
      <c r="AJ1881" s="107" t="s">
        <v>30</v>
      </c>
      <c r="AK1881" s="107" t="s">
        <v>30</v>
      </c>
      <c r="AL1881" s="110"/>
      <c r="AM1881" s="840" t="s">
        <v>2548</v>
      </c>
      <c r="AV1881" s="105"/>
    </row>
    <row r="1882" spans="1:48">
      <c r="A1882" s="834" t="s">
        <v>24</v>
      </c>
      <c r="B1882" s="835">
        <v>1879</v>
      </c>
      <c r="C1882" s="838" t="s">
        <v>2759</v>
      </c>
      <c r="D1882" s="838" t="s">
        <v>34</v>
      </c>
      <c r="E1882" s="839">
        <v>46018</v>
      </c>
      <c r="F1882" s="838" t="s">
        <v>2715</v>
      </c>
      <c r="G1882" s="838">
        <v>14</v>
      </c>
      <c r="H1882" s="838" t="s">
        <v>1721</v>
      </c>
      <c r="I1882" s="838" t="s">
        <v>1638</v>
      </c>
      <c r="J1882" s="838"/>
      <c r="K1882" s="840" t="s">
        <v>2100</v>
      </c>
      <c r="L1882" s="840" t="s">
        <v>2728</v>
      </c>
      <c r="M1882" s="840" t="s">
        <v>2728</v>
      </c>
      <c r="N1882" s="840" t="s">
        <v>2760</v>
      </c>
      <c r="O1882" s="840"/>
      <c r="P1882" s="249" t="s">
        <v>30</v>
      </c>
      <c r="Q1882" s="23">
        <v>46044</v>
      </c>
      <c r="R1882" s="852" t="s">
        <v>1638</v>
      </c>
      <c r="S1882" s="24" t="s">
        <v>32</v>
      </c>
      <c r="T1882" s="22">
        <v>15</v>
      </c>
      <c r="U1882" s="852" t="s">
        <v>1638</v>
      </c>
      <c r="V1882" s="23">
        <v>46044</v>
      </c>
      <c r="W1882" s="96" t="s">
        <v>30</v>
      </c>
      <c r="X1882" s="96" t="s">
        <v>30</v>
      </c>
      <c r="Y1882" s="96" t="s">
        <v>30</v>
      </c>
      <c r="Z1882" s="96" t="s">
        <v>30</v>
      </c>
      <c r="AA1882" s="96" t="s">
        <v>30</v>
      </c>
      <c r="AB1882" s="96" t="s">
        <v>30</v>
      </c>
      <c r="AC1882" s="96" t="s">
        <v>30</v>
      </c>
      <c r="AD1882" s="96" t="s">
        <v>30</v>
      </c>
      <c r="AE1882" s="96" t="s">
        <v>30</v>
      </c>
      <c r="AF1882" s="96" t="s">
        <v>30</v>
      </c>
      <c r="AG1882" s="96" t="s">
        <v>30</v>
      </c>
      <c r="AH1882" s="96" t="s">
        <v>30</v>
      </c>
      <c r="AI1882" s="96" t="s">
        <v>30</v>
      </c>
      <c r="AJ1882" s="96" t="s">
        <v>30</v>
      </c>
      <c r="AK1882" s="96" t="s">
        <v>30</v>
      </c>
      <c r="AL1882" s="110"/>
      <c r="AM1882" s="840"/>
      <c r="AS1882" s="71"/>
      <c r="AT1882" s="92"/>
      <c r="AU1882" s="92"/>
      <c r="AV1882" s="105"/>
    </row>
    <row r="1883" spans="1:48">
      <c r="A1883" s="834" t="s">
        <v>24</v>
      </c>
      <c r="B1883" s="835">
        <v>1880</v>
      </c>
      <c r="C1883" s="838" t="s">
        <v>2761</v>
      </c>
      <c r="D1883" s="838" t="s">
        <v>178</v>
      </c>
      <c r="E1883" s="839">
        <v>46020</v>
      </c>
      <c r="F1883" s="838" t="s">
        <v>206</v>
      </c>
      <c r="G1883" s="838">
        <v>15</v>
      </c>
      <c r="H1883" s="838" t="s">
        <v>127</v>
      </c>
      <c r="I1883" s="838" t="s">
        <v>178</v>
      </c>
      <c r="J1883" s="838"/>
      <c r="K1883" s="840" t="s">
        <v>2056</v>
      </c>
      <c r="L1883" s="840" t="s">
        <v>2636</v>
      </c>
      <c r="M1883" s="840" t="s">
        <v>2706</v>
      </c>
      <c r="N1883" s="840" t="s">
        <v>2058</v>
      </c>
      <c r="O1883" s="113" t="s">
        <v>31</v>
      </c>
      <c r="P1883" s="853" t="s">
        <v>30</v>
      </c>
      <c r="Q1883" s="23">
        <v>46055</v>
      </c>
      <c r="R1883" s="24" t="s">
        <v>28</v>
      </c>
      <c r="S1883" s="24" t="s">
        <v>1140</v>
      </c>
      <c r="T1883" s="22">
        <v>6</v>
      </c>
      <c r="U1883" s="24" t="s">
        <v>28</v>
      </c>
      <c r="V1883" s="23">
        <v>46055</v>
      </c>
      <c r="W1883" s="96" t="s">
        <v>30</v>
      </c>
      <c r="X1883" s="91" t="s">
        <v>32</v>
      </c>
      <c r="Y1883" s="103"/>
      <c r="Z1883" s="96" t="s">
        <v>30</v>
      </c>
      <c r="AA1883" s="96" t="s">
        <v>30</v>
      </c>
      <c r="AB1883" s="96" t="s">
        <v>30</v>
      </c>
      <c r="AC1883" s="96" t="s">
        <v>30</v>
      </c>
      <c r="AD1883" s="96" t="s">
        <v>30</v>
      </c>
      <c r="AE1883" s="96" t="s">
        <v>30</v>
      </c>
      <c r="AF1883" s="96" t="s">
        <v>30</v>
      </c>
      <c r="AG1883" s="96" t="s">
        <v>30</v>
      </c>
      <c r="AH1883" s="96" t="s">
        <v>30</v>
      </c>
      <c r="AI1883" s="96" t="s">
        <v>30</v>
      </c>
      <c r="AJ1883" s="96" t="s">
        <v>30</v>
      </c>
      <c r="AK1883" s="96" t="s">
        <v>30</v>
      </c>
      <c r="AL1883" s="110"/>
      <c r="AM1883" s="840" t="s">
        <v>2545</v>
      </c>
      <c r="AS1883" s="71"/>
      <c r="AT1883" s="92"/>
      <c r="AU1883" s="92"/>
      <c r="AV1883" s="105"/>
    </row>
    <row r="1884" spans="1:48">
      <c r="A1884" s="834" t="s">
        <v>24</v>
      </c>
      <c r="B1884" s="835">
        <v>1881</v>
      </c>
      <c r="C1884" s="838" t="s">
        <v>2762</v>
      </c>
      <c r="D1884" s="838" t="s">
        <v>34</v>
      </c>
      <c r="E1884" s="839">
        <v>46020</v>
      </c>
      <c r="F1884" s="838" t="s">
        <v>97</v>
      </c>
      <c r="G1884" s="838">
        <v>16</v>
      </c>
      <c r="H1884" s="838" t="s">
        <v>127</v>
      </c>
      <c r="I1884" s="838" t="s">
        <v>178</v>
      </c>
      <c r="J1884" s="250"/>
      <c r="K1884" s="840" t="s">
        <v>2312</v>
      </c>
      <c r="L1884" s="840" t="s">
        <v>2706</v>
      </c>
      <c r="M1884" s="840" t="s">
        <v>2706</v>
      </c>
      <c r="N1884" s="840" t="s">
        <v>2083</v>
      </c>
      <c r="O1884" s="113" t="s">
        <v>31</v>
      </c>
      <c r="P1884" s="853" t="s">
        <v>30</v>
      </c>
      <c r="Q1884" s="23">
        <v>46054</v>
      </c>
      <c r="R1884" s="24" t="s">
        <v>127</v>
      </c>
      <c r="S1884" s="24" t="s">
        <v>30</v>
      </c>
      <c r="T1884" s="22">
        <v>9</v>
      </c>
      <c r="U1884" s="24" t="s">
        <v>127</v>
      </c>
      <c r="V1884" s="23">
        <v>46054</v>
      </c>
      <c r="W1884" s="96" t="s">
        <v>30</v>
      </c>
      <c r="X1884" s="96" t="s">
        <v>30</v>
      </c>
      <c r="Y1884" s="118" t="s">
        <v>30</v>
      </c>
      <c r="Z1884" s="96" t="s">
        <v>30</v>
      </c>
      <c r="AA1884" s="96" t="s">
        <v>30</v>
      </c>
      <c r="AB1884" s="96" t="s">
        <v>30</v>
      </c>
      <c r="AC1884" s="96" t="s">
        <v>30</v>
      </c>
      <c r="AD1884" s="96" t="s">
        <v>30</v>
      </c>
      <c r="AE1884" s="96" t="s">
        <v>30</v>
      </c>
      <c r="AF1884" s="96" t="s">
        <v>30</v>
      </c>
      <c r="AG1884" s="96" t="s">
        <v>30</v>
      </c>
      <c r="AH1884" s="96" t="s">
        <v>30</v>
      </c>
      <c r="AI1884" s="96" t="s">
        <v>30</v>
      </c>
      <c r="AJ1884" s="96" t="s">
        <v>30</v>
      </c>
      <c r="AK1884" s="96" t="s">
        <v>30</v>
      </c>
      <c r="AL1884" s="110"/>
      <c r="AM1884" s="840"/>
      <c r="AS1884" s="71"/>
      <c r="AT1884" s="92"/>
      <c r="AU1884" s="92"/>
      <c r="AV1884" s="105"/>
    </row>
    <row r="1885" spans="1:48">
      <c r="A1885" s="834" t="s">
        <v>24</v>
      </c>
      <c r="B1885" s="835">
        <v>1882</v>
      </c>
      <c r="C1885" s="838" t="s">
        <v>2763</v>
      </c>
      <c r="D1885" s="838" t="s">
        <v>34</v>
      </c>
      <c r="E1885" s="839">
        <v>46020</v>
      </c>
      <c r="F1885" s="838" t="s">
        <v>1165</v>
      </c>
      <c r="G1885" s="838">
        <v>15</v>
      </c>
      <c r="H1885" s="838" t="s">
        <v>127</v>
      </c>
      <c r="I1885" s="838" t="s">
        <v>178</v>
      </c>
      <c r="J1885" s="838"/>
      <c r="K1885" s="840" t="s">
        <v>2180</v>
      </c>
      <c r="L1885" s="840" t="s">
        <v>2728</v>
      </c>
      <c r="M1885" s="840" t="s">
        <v>2728</v>
      </c>
      <c r="N1885" s="840" t="s">
        <v>2764</v>
      </c>
      <c r="O1885" s="113" t="s">
        <v>31</v>
      </c>
      <c r="P1885" s="853" t="s">
        <v>30</v>
      </c>
      <c r="Q1885" s="23">
        <v>46051</v>
      </c>
      <c r="R1885" s="24" t="s">
        <v>1638</v>
      </c>
      <c r="S1885" s="24" t="s">
        <v>32</v>
      </c>
      <c r="T1885" s="22">
        <v>13</v>
      </c>
      <c r="U1885" s="24" t="s">
        <v>1638</v>
      </c>
      <c r="V1885" s="23">
        <v>46051</v>
      </c>
      <c r="W1885" s="118" t="s">
        <v>30</v>
      </c>
      <c r="X1885" s="96" t="s">
        <v>30</v>
      </c>
      <c r="Y1885" s="118" t="s">
        <v>30</v>
      </c>
      <c r="Z1885" s="120"/>
      <c r="AA1885" s="120"/>
      <c r="AB1885" s="120"/>
      <c r="AC1885" s="107" t="s">
        <v>30</v>
      </c>
      <c r="AD1885" s="107" t="s">
        <v>30</v>
      </c>
      <c r="AE1885" s="107" t="s">
        <v>30</v>
      </c>
      <c r="AF1885" s="107" t="s">
        <v>30</v>
      </c>
      <c r="AG1885" s="107" t="s">
        <v>30</v>
      </c>
      <c r="AH1885" s="96" t="s">
        <v>30</v>
      </c>
      <c r="AI1885" s="96" t="s">
        <v>30</v>
      </c>
      <c r="AJ1885" s="96" t="s">
        <v>30</v>
      </c>
      <c r="AK1885" s="107" t="s">
        <v>30</v>
      </c>
      <c r="AL1885" s="110"/>
      <c r="AM1885" s="840"/>
      <c r="AS1885" s="92"/>
      <c r="AT1885" s="92"/>
      <c r="AU1885" s="92"/>
      <c r="AV1885" s="105"/>
    </row>
    <row r="1886" spans="1:48">
      <c r="A1886" s="834" t="s">
        <v>24</v>
      </c>
      <c r="B1886" s="835">
        <v>1883</v>
      </c>
      <c r="C1886" s="838" t="s">
        <v>2765</v>
      </c>
      <c r="D1886" s="838" t="s">
        <v>34</v>
      </c>
      <c r="E1886" s="839">
        <v>46020</v>
      </c>
      <c r="F1886" s="838" t="s">
        <v>202</v>
      </c>
      <c r="G1886" s="838">
        <v>17</v>
      </c>
      <c r="H1886" s="838" t="s">
        <v>127</v>
      </c>
      <c r="I1886" s="838" t="s">
        <v>178</v>
      </c>
      <c r="J1886" s="838"/>
      <c r="K1886" s="840" t="s">
        <v>2087</v>
      </c>
      <c r="L1886" s="840" t="s">
        <v>2745</v>
      </c>
      <c r="M1886" s="840" t="s">
        <v>2745</v>
      </c>
      <c r="N1886" s="840" t="s">
        <v>2766</v>
      </c>
      <c r="O1886" s="113" t="s">
        <v>31</v>
      </c>
      <c r="P1886" s="853" t="s">
        <v>30</v>
      </c>
      <c r="Q1886" s="119">
        <v>46386</v>
      </c>
      <c r="R1886" s="24" t="s">
        <v>1077</v>
      </c>
      <c r="S1886" s="24" t="s">
        <v>32</v>
      </c>
      <c r="T1886" s="22">
        <v>12</v>
      </c>
      <c r="U1886" s="24" t="s">
        <v>1077</v>
      </c>
      <c r="V1886" s="119">
        <v>46386</v>
      </c>
      <c r="W1886" s="96" t="s">
        <v>30</v>
      </c>
      <c r="X1886" s="96" t="s">
        <v>30</v>
      </c>
      <c r="Y1886" s="96" t="s">
        <v>30</v>
      </c>
      <c r="Z1886" s="120"/>
      <c r="AA1886" s="120"/>
      <c r="AB1886" s="120"/>
      <c r="AC1886" s="96" t="s">
        <v>30</v>
      </c>
      <c r="AD1886" s="96" t="s">
        <v>30</v>
      </c>
      <c r="AE1886" s="96" t="s">
        <v>30</v>
      </c>
      <c r="AF1886" s="96" t="s">
        <v>30</v>
      </c>
      <c r="AG1886" s="96" t="s">
        <v>30</v>
      </c>
      <c r="AH1886" s="96" t="s">
        <v>30</v>
      </c>
      <c r="AI1886" s="96" t="s">
        <v>30</v>
      </c>
      <c r="AJ1886" s="96" t="s">
        <v>30</v>
      </c>
      <c r="AK1886" s="96" t="s">
        <v>30</v>
      </c>
      <c r="AL1886" s="110"/>
      <c r="AM1886" s="840"/>
      <c r="AS1886" s="92"/>
      <c r="AT1886" s="92"/>
      <c r="AU1886" s="92"/>
      <c r="AV1886" s="105"/>
    </row>
    <row r="1887" spans="1:48">
      <c r="A1887" s="834" t="s">
        <v>24</v>
      </c>
      <c r="B1887" s="835">
        <v>1884</v>
      </c>
      <c r="C1887" s="838" t="s">
        <v>2767</v>
      </c>
      <c r="D1887" s="838" t="s">
        <v>34</v>
      </c>
      <c r="E1887" s="839">
        <v>46020</v>
      </c>
      <c r="F1887" s="838" t="s">
        <v>2694</v>
      </c>
      <c r="G1887" s="838">
        <v>14</v>
      </c>
      <c r="H1887" s="838" t="s">
        <v>127</v>
      </c>
      <c r="I1887" s="838" t="s">
        <v>178</v>
      </c>
      <c r="J1887" s="838"/>
      <c r="K1887" s="840" t="s">
        <v>2092</v>
      </c>
      <c r="L1887" s="840" t="s">
        <v>2592</v>
      </c>
      <c r="M1887" s="840" t="s">
        <v>2734</v>
      </c>
      <c r="N1887" s="840" t="s">
        <v>2696</v>
      </c>
      <c r="O1887" s="840"/>
      <c r="P1887" s="853" t="s">
        <v>30</v>
      </c>
      <c r="Q1887" s="848">
        <v>46051</v>
      </c>
      <c r="R1887" s="24" t="s">
        <v>1077</v>
      </c>
      <c r="S1887" s="834" t="s">
        <v>32</v>
      </c>
      <c r="T1887" s="834">
        <v>28</v>
      </c>
      <c r="U1887" s="24" t="s">
        <v>1077</v>
      </c>
      <c r="V1887" s="848">
        <v>46051</v>
      </c>
      <c r="W1887" s="96" t="s">
        <v>30</v>
      </c>
      <c r="X1887" s="96" t="s">
        <v>30</v>
      </c>
      <c r="Y1887" s="96" t="s">
        <v>30</v>
      </c>
      <c r="Z1887" s="120"/>
      <c r="AA1887" s="120"/>
      <c r="AB1887" s="120"/>
      <c r="AC1887" s="96" t="s">
        <v>30</v>
      </c>
      <c r="AD1887" s="96" t="s">
        <v>30</v>
      </c>
      <c r="AE1887" s="96" t="s">
        <v>30</v>
      </c>
      <c r="AF1887" s="96" t="s">
        <v>30</v>
      </c>
      <c r="AG1887" s="96" t="s">
        <v>30</v>
      </c>
      <c r="AH1887" s="96" t="s">
        <v>30</v>
      </c>
      <c r="AI1887" s="96" t="s">
        <v>30</v>
      </c>
      <c r="AJ1887" s="96" t="s">
        <v>30</v>
      </c>
      <c r="AK1887" s="96" t="s">
        <v>30</v>
      </c>
      <c r="AL1887" s="91"/>
      <c r="AM1887" s="840"/>
      <c r="AN1887" s="6"/>
      <c r="AO1887" s="6"/>
      <c r="AP1887" s="6"/>
      <c r="AQ1887" s="6"/>
      <c r="AR1887" s="6"/>
      <c r="AS1887" s="104"/>
      <c r="AT1887" s="105"/>
      <c r="AU1887" s="105"/>
      <c r="AV1887" s="105"/>
    </row>
    <row r="1888" spans="1:48">
      <c r="A1888" s="834" t="s">
        <v>24</v>
      </c>
      <c r="B1888" s="835">
        <v>1885</v>
      </c>
      <c r="C1888" s="838" t="s">
        <v>2768</v>
      </c>
      <c r="D1888" s="838" t="s">
        <v>34</v>
      </c>
      <c r="E1888" s="839">
        <v>46020</v>
      </c>
      <c r="F1888" s="838" t="s">
        <v>506</v>
      </c>
      <c r="G1888" s="838">
        <v>14</v>
      </c>
      <c r="H1888" s="838" t="s">
        <v>127</v>
      </c>
      <c r="I1888" s="838" t="s">
        <v>178</v>
      </c>
      <c r="J1888" s="838"/>
      <c r="K1888" s="840" t="s">
        <v>2085</v>
      </c>
      <c r="L1888" s="840" t="s">
        <v>2728</v>
      </c>
      <c r="M1888" s="840" t="s">
        <v>2734</v>
      </c>
      <c r="N1888" s="840" t="s">
        <v>2050</v>
      </c>
      <c r="O1888" s="840"/>
      <c r="P1888" s="853" t="s">
        <v>30</v>
      </c>
      <c r="Q1888" s="848">
        <v>46051</v>
      </c>
      <c r="R1888" s="24" t="s">
        <v>47</v>
      </c>
      <c r="S1888" s="834" t="s">
        <v>2769</v>
      </c>
      <c r="T1888" s="834">
        <v>7</v>
      </c>
      <c r="U1888" s="24" t="s">
        <v>47</v>
      </c>
      <c r="V1888" s="848">
        <v>46051</v>
      </c>
      <c r="W1888" s="96" t="s">
        <v>30</v>
      </c>
      <c r="X1888" s="96" t="s">
        <v>30</v>
      </c>
      <c r="Y1888" s="96" t="s">
        <v>30</v>
      </c>
      <c r="Z1888" s="96" t="s">
        <v>30</v>
      </c>
      <c r="AA1888" s="96" t="s">
        <v>30</v>
      </c>
      <c r="AB1888" s="96" t="s">
        <v>30</v>
      </c>
      <c r="AC1888" s="96" t="s">
        <v>30</v>
      </c>
      <c r="AD1888" s="96" t="s">
        <v>30</v>
      </c>
      <c r="AE1888" s="96" t="s">
        <v>30</v>
      </c>
      <c r="AF1888" s="96" t="s">
        <v>30</v>
      </c>
      <c r="AG1888" s="96" t="s">
        <v>30</v>
      </c>
      <c r="AH1888" s="96" t="s">
        <v>30</v>
      </c>
      <c r="AI1888" s="107" t="s">
        <v>30</v>
      </c>
      <c r="AJ1888" s="107" t="s">
        <v>30</v>
      </c>
      <c r="AK1888" s="107" t="s">
        <v>30</v>
      </c>
      <c r="AL1888" s="91"/>
      <c r="AM1888" s="840"/>
      <c r="AO1888" s="776"/>
      <c r="AP1888" s="776"/>
      <c r="AQ1888" s="776"/>
      <c r="AR1888" s="776"/>
    </row>
    <row r="1889" spans="1:48">
      <c r="A1889" s="834" t="s">
        <v>24</v>
      </c>
      <c r="B1889" s="835">
        <v>1886</v>
      </c>
      <c r="C1889" s="838" t="s">
        <v>2770</v>
      </c>
      <c r="D1889" s="838" t="s">
        <v>34</v>
      </c>
      <c r="E1889" s="839">
        <v>46020</v>
      </c>
      <c r="F1889" s="838" t="s">
        <v>89</v>
      </c>
      <c r="G1889" s="838">
        <v>5</v>
      </c>
      <c r="H1889" s="838" t="s">
        <v>1721</v>
      </c>
      <c r="I1889" s="838" t="s">
        <v>1638</v>
      </c>
      <c r="J1889" s="838"/>
      <c r="K1889" s="840" t="s">
        <v>2126</v>
      </c>
      <c r="L1889" s="840" t="s">
        <v>2734</v>
      </c>
      <c r="M1889" s="840" t="s">
        <v>2734</v>
      </c>
      <c r="N1889" s="840" t="s">
        <v>2771</v>
      </c>
      <c r="O1889" s="840"/>
      <c r="P1889" s="853" t="s">
        <v>30</v>
      </c>
      <c r="Q1889" s="848">
        <v>46042</v>
      </c>
      <c r="R1889" s="852" t="s">
        <v>1638</v>
      </c>
      <c r="S1889" s="834" t="s">
        <v>32</v>
      </c>
      <c r="T1889" s="834">
        <v>5</v>
      </c>
      <c r="U1889" s="852" t="s">
        <v>1638</v>
      </c>
      <c r="V1889" s="848">
        <v>46042</v>
      </c>
      <c r="W1889" s="96" t="s">
        <v>30</v>
      </c>
      <c r="X1889" s="96" t="s">
        <v>30</v>
      </c>
      <c r="Y1889" s="96" t="s">
        <v>30</v>
      </c>
      <c r="Z1889" s="96" t="s">
        <v>30</v>
      </c>
      <c r="AA1889" s="96" t="s">
        <v>30</v>
      </c>
      <c r="AB1889" s="96" t="s">
        <v>30</v>
      </c>
      <c r="AC1889" s="96" t="s">
        <v>30</v>
      </c>
      <c r="AD1889" s="96" t="s">
        <v>30</v>
      </c>
      <c r="AE1889" s="96" t="s">
        <v>30</v>
      </c>
      <c r="AF1889" s="96" t="s">
        <v>30</v>
      </c>
      <c r="AG1889" s="96" t="s">
        <v>30</v>
      </c>
      <c r="AH1889" s="96" t="s">
        <v>30</v>
      </c>
      <c r="AI1889" s="96" t="s">
        <v>30</v>
      </c>
      <c r="AJ1889" s="96" t="s">
        <v>30</v>
      </c>
      <c r="AK1889" s="96" t="s">
        <v>30</v>
      </c>
      <c r="AL1889" s="91"/>
      <c r="AM1889" s="840"/>
      <c r="AO1889" s="776"/>
      <c r="AP1889" s="776"/>
      <c r="AQ1889" s="776"/>
      <c r="AR1889" s="776"/>
    </row>
    <row r="1890" spans="1:48">
      <c r="A1890" s="834" t="s">
        <v>24</v>
      </c>
      <c r="B1890" s="835">
        <v>1887</v>
      </c>
      <c r="C1890" s="838" t="s">
        <v>2772</v>
      </c>
      <c r="D1890" s="838" t="s">
        <v>34</v>
      </c>
      <c r="E1890" s="839">
        <v>46020</v>
      </c>
      <c r="F1890" s="838" t="s">
        <v>401</v>
      </c>
      <c r="G1890" s="838">
        <v>15</v>
      </c>
      <c r="H1890" s="838" t="s">
        <v>127</v>
      </c>
      <c r="I1890" s="838" t="s">
        <v>178</v>
      </c>
      <c r="J1890" s="838"/>
      <c r="K1890" s="840" t="s">
        <v>2126</v>
      </c>
      <c r="L1890" s="840" t="s">
        <v>2734</v>
      </c>
      <c r="M1890" s="840" t="s">
        <v>2734</v>
      </c>
      <c r="N1890" s="840" t="s">
        <v>2771</v>
      </c>
      <c r="O1890" s="113" t="s">
        <v>31</v>
      </c>
      <c r="P1890" s="853" t="s">
        <v>30</v>
      </c>
      <c r="Q1890" s="848">
        <v>46052</v>
      </c>
      <c r="R1890" s="24" t="s">
        <v>67</v>
      </c>
      <c r="S1890" s="834" t="s">
        <v>32</v>
      </c>
      <c r="T1890" s="834">
        <v>14</v>
      </c>
      <c r="U1890" s="24" t="s">
        <v>67</v>
      </c>
      <c r="V1890" s="848">
        <v>46052</v>
      </c>
      <c r="W1890" s="90" t="s">
        <v>30</v>
      </c>
      <c r="X1890" s="90" t="s">
        <v>30</v>
      </c>
      <c r="Y1890" s="96" t="s">
        <v>30</v>
      </c>
      <c r="Z1890" s="96" t="s">
        <v>30</v>
      </c>
      <c r="AA1890" s="96" t="s">
        <v>30</v>
      </c>
      <c r="AB1890" s="96" t="s">
        <v>30</v>
      </c>
      <c r="AC1890" s="96" t="s">
        <v>30</v>
      </c>
      <c r="AD1890" s="96" t="s">
        <v>30</v>
      </c>
      <c r="AE1890" s="96" t="s">
        <v>30</v>
      </c>
      <c r="AF1890" s="96" t="s">
        <v>30</v>
      </c>
      <c r="AG1890" s="96" t="s">
        <v>30</v>
      </c>
      <c r="AH1890" s="96" t="s">
        <v>30</v>
      </c>
      <c r="AI1890" s="90" t="s">
        <v>30</v>
      </c>
      <c r="AJ1890" s="90" t="s">
        <v>30</v>
      </c>
      <c r="AK1890" s="90" t="s">
        <v>30</v>
      </c>
      <c r="AL1890" s="91"/>
      <c r="AM1890" s="840"/>
      <c r="AO1890" s="776"/>
      <c r="AP1890" s="776"/>
      <c r="AQ1890" s="776"/>
      <c r="AR1890" s="776"/>
    </row>
    <row r="1891" spans="1:48">
      <c r="A1891" s="834" t="s">
        <v>24</v>
      </c>
      <c r="B1891" s="835">
        <v>1888</v>
      </c>
      <c r="C1891" s="838" t="s">
        <v>2773</v>
      </c>
      <c r="D1891" s="838" t="s">
        <v>374</v>
      </c>
      <c r="E1891" s="839">
        <v>46020</v>
      </c>
      <c r="F1891" s="838" t="s">
        <v>202</v>
      </c>
      <c r="G1891" s="838">
        <v>17</v>
      </c>
      <c r="H1891" s="838" t="s">
        <v>127</v>
      </c>
      <c r="I1891" s="838" t="s">
        <v>178</v>
      </c>
      <c r="J1891" s="250"/>
      <c r="K1891" s="840" t="s">
        <v>2244</v>
      </c>
      <c r="L1891" s="840" t="s">
        <v>2661</v>
      </c>
      <c r="M1891" s="840" t="s">
        <v>2661</v>
      </c>
      <c r="N1891" s="840" t="s">
        <v>2050</v>
      </c>
      <c r="O1891" s="113" t="s">
        <v>31</v>
      </c>
      <c r="P1891" s="245" t="s">
        <v>30</v>
      </c>
      <c r="Q1891" s="848">
        <v>46045</v>
      </c>
      <c r="R1891" s="24" t="s">
        <v>2707</v>
      </c>
      <c r="S1891" s="834" t="s">
        <v>30</v>
      </c>
      <c r="T1891" s="834">
        <v>16</v>
      </c>
      <c r="U1891" s="24" t="s">
        <v>2707</v>
      </c>
      <c r="V1891" s="848">
        <v>46045</v>
      </c>
      <c r="W1891" s="96" t="s">
        <v>30</v>
      </c>
      <c r="X1891" s="90" t="s">
        <v>30</v>
      </c>
      <c r="Y1891" s="96" t="s">
        <v>30</v>
      </c>
      <c r="Z1891" s="96" t="s">
        <v>30</v>
      </c>
      <c r="AA1891" s="96" t="s">
        <v>30</v>
      </c>
      <c r="AB1891" s="96" t="s">
        <v>30</v>
      </c>
      <c r="AC1891" s="96" t="s">
        <v>30</v>
      </c>
      <c r="AD1891" s="96" t="s">
        <v>30</v>
      </c>
      <c r="AE1891" s="96" t="s">
        <v>30</v>
      </c>
      <c r="AF1891" s="96" t="s">
        <v>30</v>
      </c>
      <c r="AG1891" s="96" t="s">
        <v>30</v>
      </c>
      <c r="AH1891" s="96" t="s">
        <v>30</v>
      </c>
      <c r="AI1891" s="90" t="s">
        <v>30</v>
      </c>
      <c r="AJ1891" s="90" t="s">
        <v>30</v>
      </c>
      <c r="AK1891" s="90" t="s">
        <v>30</v>
      </c>
      <c r="AL1891" s="91"/>
      <c r="AM1891" s="840"/>
      <c r="AN1891" s="6"/>
      <c r="AO1891" s="6"/>
      <c r="AP1891" s="6"/>
      <c r="AQ1891" s="6"/>
      <c r="AR1891" s="6"/>
      <c r="AS1891" s="104"/>
      <c r="AT1891" s="105"/>
      <c r="AU1891" s="105"/>
      <c r="AV1891" s="105"/>
    </row>
    <row r="1892" spans="1:48">
      <c r="A1892" s="834" t="s">
        <v>24</v>
      </c>
      <c r="B1892" s="835">
        <v>1889</v>
      </c>
      <c r="C1892" s="838" t="s">
        <v>2774</v>
      </c>
      <c r="D1892" s="838" t="s">
        <v>446</v>
      </c>
      <c r="E1892" s="839">
        <v>46020</v>
      </c>
      <c r="F1892" s="838" t="s">
        <v>202</v>
      </c>
      <c r="G1892" s="838">
        <v>13</v>
      </c>
      <c r="H1892" s="838" t="s">
        <v>127</v>
      </c>
      <c r="I1892" s="838" t="s">
        <v>178</v>
      </c>
      <c r="J1892" s="838"/>
      <c r="K1892" s="840" t="s">
        <v>2695</v>
      </c>
      <c r="L1892" s="840" t="s">
        <v>2661</v>
      </c>
      <c r="M1892" s="840" t="s">
        <v>2706</v>
      </c>
      <c r="N1892" s="840" t="s">
        <v>401</v>
      </c>
      <c r="O1892" s="840"/>
      <c r="P1892" s="853" t="s">
        <v>30</v>
      </c>
      <c r="Q1892" s="848">
        <v>46045</v>
      </c>
      <c r="R1892" s="24" t="s">
        <v>2707</v>
      </c>
      <c r="S1892" s="834" t="s">
        <v>32</v>
      </c>
      <c r="T1892" s="834">
        <v>14</v>
      </c>
      <c r="U1892" s="24" t="s">
        <v>2707</v>
      </c>
      <c r="V1892" s="848">
        <v>46045</v>
      </c>
      <c r="W1892" s="90" t="s">
        <v>30</v>
      </c>
      <c r="X1892" s="96" t="s">
        <v>30</v>
      </c>
      <c r="Y1892" s="96" t="s">
        <v>30</v>
      </c>
      <c r="Z1892" s="120"/>
      <c r="AA1892" s="121"/>
      <c r="AB1892" s="120"/>
      <c r="AC1892" s="96" t="s">
        <v>30</v>
      </c>
      <c r="AD1892" s="96" t="s">
        <v>30</v>
      </c>
      <c r="AE1892" s="96" t="s">
        <v>30</v>
      </c>
      <c r="AF1892" s="91" t="s">
        <v>32</v>
      </c>
      <c r="AG1892" s="96" t="s">
        <v>30</v>
      </c>
      <c r="AH1892" s="96" t="s">
        <v>30</v>
      </c>
      <c r="AI1892" s="96" t="s">
        <v>30</v>
      </c>
      <c r="AJ1892" s="96" t="s">
        <v>30</v>
      </c>
      <c r="AK1892" s="107" t="s">
        <v>30</v>
      </c>
      <c r="AL1892" s="91"/>
      <c r="AM1892" s="840"/>
      <c r="AO1892" s="776"/>
      <c r="AP1892" s="776"/>
      <c r="AQ1892" s="776"/>
      <c r="AR1892" s="776"/>
    </row>
    <row r="1893" spans="1:48">
      <c r="A1893" s="834" t="s">
        <v>24</v>
      </c>
      <c r="B1893" s="835">
        <v>1890</v>
      </c>
      <c r="C1893" s="838" t="s">
        <v>2775</v>
      </c>
      <c r="D1893" s="838" t="s">
        <v>34</v>
      </c>
      <c r="E1893" s="839">
        <v>46020</v>
      </c>
      <c r="F1893" s="838" t="s">
        <v>1081</v>
      </c>
      <c r="G1893" s="838">
        <v>18</v>
      </c>
      <c r="H1893" s="838" t="s">
        <v>1721</v>
      </c>
      <c r="I1893" s="838" t="s">
        <v>1638</v>
      </c>
      <c r="J1893" s="838"/>
      <c r="K1893" s="840" t="s">
        <v>2119</v>
      </c>
      <c r="L1893" s="840" t="s">
        <v>2728</v>
      </c>
      <c r="M1893" s="840" t="s">
        <v>2745</v>
      </c>
      <c r="N1893" s="840" t="s">
        <v>2776</v>
      </c>
      <c r="O1893" s="113" t="s">
        <v>31</v>
      </c>
      <c r="P1893" s="853" t="s">
        <v>30</v>
      </c>
      <c r="Q1893" s="848">
        <v>46048</v>
      </c>
      <c r="R1893" s="852" t="s">
        <v>1638</v>
      </c>
      <c r="S1893" s="834" t="s">
        <v>1055</v>
      </c>
      <c r="T1893" s="834">
        <v>16</v>
      </c>
      <c r="U1893" s="834" t="s">
        <v>1638</v>
      </c>
      <c r="V1893" s="848">
        <v>46048</v>
      </c>
      <c r="W1893" s="96" t="s">
        <v>30</v>
      </c>
      <c r="X1893" s="96" t="s">
        <v>30</v>
      </c>
      <c r="Y1893" s="96" t="s">
        <v>30</v>
      </c>
      <c r="Z1893" s="91" t="s">
        <v>32</v>
      </c>
      <c r="AA1893" s="91" t="s">
        <v>32</v>
      </c>
      <c r="AB1893" s="91" t="s">
        <v>32</v>
      </c>
      <c r="AC1893" s="96" t="s">
        <v>30</v>
      </c>
      <c r="AD1893" s="96" t="s">
        <v>30</v>
      </c>
      <c r="AE1893" s="96" t="s">
        <v>30</v>
      </c>
      <c r="AF1893" s="96" t="s">
        <v>30</v>
      </c>
      <c r="AG1893" s="96" t="s">
        <v>30</v>
      </c>
      <c r="AH1893" s="96" t="s">
        <v>30</v>
      </c>
      <c r="AI1893" s="96" t="s">
        <v>30</v>
      </c>
      <c r="AJ1893" s="96" t="s">
        <v>30</v>
      </c>
      <c r="AK1893" s="96" t="s">
        <v>30</v>
      </c>
      <c r="AL1893" s="91"/>
      <c r="AM1893" s="840" t="s">
        <v>2548</v>
      </c>
      <c r="AO1893" s="776"/>
      <c r="AP1893" s="776"/>
      <c r="AQ1893" s="776"/>
      <c r="AR1893" s="776"/>
    </row>
    <row r="1894" spans="1:48">
      <c r="A1894" s="834" t="s">
        <v>24</v>
      </c>
      <c r="B1894" s="835">
        <v>1891</v>
      </c>
      <c r="C1894" s="838" t="s">
        <v>2777</v>
      </c>
      <c r="D1894" s="838" t="s">
        <v>50</v>
      </c>
      <c r="E1894" s="839">
        <v>46020</v>
      </c>
      <c r="F1894" s="838" t="s">
        <v>35</v>
      </c>
      <c r="G1894" s="838">
        <v>28</v>
      </c>
      <c r="H1894" s="838" t="s">
        <v>1721</v>
      </c>
      <c r="I1894" s="838" t="s">
        <v>1638</v>
      </c>
      <c r="J1894" s="838"/>
      <c r="K1894" s="840" t="s">
        <v>2113</v>
      </c>
      <c r="L1894" s="840" t="s">
        <v>2706</v>
      </c>
      <c r="M1894" s="840" t="s">
        <v>2706</v>
      </c>
      <c r="N1894" s="840" t="s">
        <v>2050</v>
      </c>
      <c r="O1894" s="113" t="s">
        <v>31</v>
      </c>
      <c r="P1894" s="853" t="s">
        <v>30</v>
      </c>
      <c r="Q1894" s="848">
        <v>46045</v>
      </c>
      <c r="R1894" s="852" t="s">
        <v>1638</v>
      </c>
      <c r="S1894" s="834" t="s">
        <v>32</v>
      </c>
      <c r="T1894" s="834">
        <v>11</v>
      </c>
      <c r="U1894" s="852" t="s">
        <v>1638</v>
      </c>
      <c r="V1894" s="848">
        <v>46045</v>
      </c>
      <c r="W1894" s="96" t="s">
        <v>30</v>
      </c>
      <c r="X1894" s="96" t="s">
        <v>30</v>
      </c>
      <c r="Y1894" s="96" t="s">
        <v>30</v>
      </c>
      <c r="Z1894" s="96" t="s">
        <v>30</v>
      </c>
      <c r="AA1894" s="96" t="s">
        <v>30</v>
      </c>
      <c r="AB1894" s="96" t="s">
        <v>30</v>
      </c>
      <c r="AC1894" s="96" t="s">
        <v>30</v>
      </c>
      <c r="AD1894" s="96" t="s">
        <v>30</v>
      </c>
      <c r="AE1894" s="96" t="s">
        <v>30</v>
      </c>
      <c r="AF1894" s="96" t="s">
        <v>30</v>
      </c>
      <c r="AG1894" s="96" t="s">
        <v>30</v>
      </c>
      <c r="AH1894" s="96" t="s">
        <v>30</v>
      </c>
      <c r="AI1894" s="107" t="s">
        <v>30</v>
      </c>
      <c r="AJ1894" s="107" t="s">
        <v>30</v>
      </c>
      <c r="AK1894" s="107" t="s">
        <v>30</v>
      </c>
      <c r="AL1894" s="91"/>
      <c r="AM1894" s="840"/>
      <c r="AO1894" s="776"/>
      <c r="AP1894" s="776"/>
      <c r="AQ1894" s="776"/>
      <c r="AR1894" s="776"/>
    </row>
    <row r="1895" spans="1:48">
      <c r="A1895" s="834" t="s">
        <v>24</v>
      </c>
      <c r="B1895" s="835">
        <v>1892</v>
      </c>
      <c r="C1895" s="838" t="s">
        <v>2778</v>
      </c>
      <c r="D1895" s="838" t="s">
        <v>34</v>
      </c>
      <c r="E1895" s="839">
        <v>46020</v>
      </c>
      <c r="F1895" s="838" t="s">
        <v>1061</v>
      </c>
      <c r="G1895" s="838">
        <v>15</v>
      </c>
      <c r="H1895" s="838" t="s">
        <v>67</v>
      </c>
      <c r="I1895" s="838" t="s">
        <v>47</v>
      </c>
      <c r="J1895" s="838"/>
      <c r="K1895" s="840" t="s">
        <v>2100</v>
      </c>
      <c r="L1895" s="840" t="s">
        <v>2706</v>
      </c>
      <c r="M1895" s="840" t="s">
        <v>2728</v>
      </c>
      <c r="N1895" s="840" t="s">
        <v>2050</v>
      </c>
      <c r="O1895" s="113" t="s">
        <v>31</v>
      </c>
      <c r="P1895" s="853" t="s">
        <v>30</v>
      </c>
      <c r="Q1895" s="848">
        <v>46045</v>
      </c>
      <c r="R1895" s="24" t="s">
        <v>1138</v>
      </c>
      <c r="S1895" s="834" t="s">
        <v>32</v>
      </c>
      <c r="T1895" s="834">
        <v>12</v>
      </c>
      <c r="U1895" s="24" t="s">
        <v>1138</v>
      </c>
      <c r="V1895" s="848">
        <v>46045</v>
      </c>
      <c r="W1895" s="96" t="s">
        <v>30</v>
      </c>
      <c r="X1895" s="96" t="s">
        <v>30</v>
      </c>
      <c r="Y1895" s="96" t="s">
        <v>30</v>
      </c>
      <c r="Z1895" s="96" t="s">
        <v>30</v>
      </c>
      <c r="AA1895" s="96" t="s">
        <v>30</v>
      </c>
      <c r="AB1895" s="96" t="s">
        <v>30</v>
      </c>
      <c r="AC1895" s="96" t="s">
        <v>30</v>
      </c>
      <c r="AD1895" s="96" t="s">
        <v>30</v>
      </c>
      <c r="AE1895" s="96" t="s">
        <v>30</v>
      </c>
      <c r="AF1895" s="96" t="s">
        <v>30</v>
      </c>
      <c r="AG1895" s="96" t="s">
        <v>30</v>
      </c>
      <c r="AH1895" s="96" t="s">
        <v>30</v>
      </c>
      <c r="AI1895" s="96" t="s">
        <v>30</v>
      </c>
      <c r="AJ1895" s="96" t="s">
        <v>30</v>
      </c>
      <c r="AK1895" s="96" t="s">
        <v>30</v>
      </c>
      <c r="AL1895" s="91"/>
      <c r="AM1895" s="840"/>
    </row>
    <row r="1896" spans="1:48">
      <c r="A1896" s="834" t="s">
        <v>24</v>
      </c>
      <c r="B1896" s="835">
        <v>1893</v>
      </c>
      <c r="C1896" s="838" t="s">
        <v>2779</v>
      </c>
      <c r="D1896" s="838" t="s">
        <v>34</v>
      </c>
      <c r="E1896" s="839">
        <v>46020</v>
      </c>
      <c r="F1896" s="838" t="s">
        <v>1061</v>
      </c>
      <c r="G1896" s="838">
        <v>15</v>
      </c>
      <c r="H1896" s="838" t="s">
        <v>67</v>
      </c>
      <c r="I1896" s="838" t="s">
        <v>47</v>
      </c>
      <c r="J1896" s="838"/>
      <c r="K1896" s="840" t="s">
        <v>2102</v>
      </c>
      <c r="L1896" s="840" t="s">
        <v>2706</v>
      </c>
      <c r="M1896" s="840" t="s">
        <v>2728</v>
      </c>
      <c r="N1896" s="840" t="s">
        <v>2050</v>
      </c>
      <c r="O1896" s="113" t="s">
        <v>31</v>
      </c>
      <c r="P1896" s="853" t="s">
        <v>30</v>
      </c>
      <c r="Q1896" s="848">
        <v>46045</v>
      </c>
      <c r="R1896" s="24" t="s">
        <v>1138</v>
      </c>
      <c r="S1896" s="834" t="s">
        <v>32</v>
      </c>
      <c r="T1896" s="834">
        <v>17</v>
      </c>
      <c r="U1896" s="24" t="s">
        <v>1138</v>
      </c>
      <c r="V1896" s="848">
        <v>46045</v>
      </c>
      <c r="W1896" s="96" t="s">
        <v>30</v>
      </c>
      <c r="X1896" s="96" t="s">
        <v>30</v>
      </c>
      <c r="Y1896" s="96" t="s">
        <v>30</v>
      </c>
      <c r="Z1896" s="96" t="s">
        <v>30</v>
      </c>
      <c r="AA1896" s="96" t="s">
        <v>30</v>
      </c>
      <c r="AB1896" s="96" t="s">
        <v>30</v>
      </c>
      <c r="AC1896" s="96" t="s">
        <v>30</v>
      </c>
      <c r="AD1896" s="96" t="s">
        <v>30</v>
      </c>
      <c r="AE1896" s="96" t="s">
        <v>30</v>
      </c>
      <c r="AF1896" s="96" t="s">
        <v>30</v>
      </c>
      <c r="AG1896" s="96" t="s">
        <v>30</v>
      </c>
      <c r="AH1896" s="96" t="s">
        <v>30</v>
      </c>
      <c r="AI1896" s="107" t="s">
        <v>30</v>
      </c>
      <c r="AJ1896" s="107" t="s">
        <v>30</v>
      </c>
      <c r="AK1896" s="110" t="s">
        <v>32</v>
      </c>
      <c r="AL1896" s="91"/>
      <c r="AM1896" s="840" t="s">
        <v>2548</v>
      </c>
    </row>
    <row r="1897" spans="1:48">
      <c r="A1897" s="834" t="s">
        <v>24</v>
      </c>
      <c r="B1897" s="835">
        <v>1894</v>
      </c>
      <c r="C1897" s="838" t="s">
        <v>2780</v>
      </c>
      <c r="D1897" s="838" t="s">
        <v>34</v>
      </c>
      <c r="E1897" s="839">
        <v>46020</v>
      </c>
      <c r="F1897" s="838" t="s">
        <v>1749</v>
      </c>
      <c r="G1897" s="838">
        <v>19</v>
      </c>
      <c r="H1897" s="838" t="s">
        <v>67</v>
      </c>
      <c r="I1897" s="838" t="s">
        <v>47</v>
      </c>
      <c r="J1897" s="838"/>
      <c r="K1897" s="840" t="s">
        <v>2325</v>
      </c>
      <c r="L1897" s="840" t="s">
        <v>2734</v>
      </c>
      <c r="M1897" s="840" t="s">
        <v>2734</v>
      </c>
      <c r="N1897" s="840" t="s">
        <v>2050</v>
      </c>
      <c r="O1897" s="113" t="s">
        <v>31</v>
      </c>
      <c r="P1897" s="853" t="s">
        <v>30</v>
      </c>
      <c r="Q1897" s="848">
        <v>46045</v>
      </c>
      <c r="R1897" s="24" t="s">
        <v>1138</v>
      </c>
      <c r="S1897" s="834" t="s">
        <v>32</v>
      </c>
      <c r="T1897" s="834">
        <v>18</v>
      </c>
      <c r="U1897" s="24" t="s">
        <v>1138</v>
      </c>
      <c r="V1897" s="848">
        <v>46045</v>
      </c>
      <c r="W1897" s="96" t="s">
        <v>30</v>
      </c>
      <c r="X1897" s="96" t="s">
        <v>30</v>
      </c>
      <c r="Y1897" s="96" t="s">
        <v>30</v>
      </c>
      <c r="Z1897" s="96" t="s">
        <v>30</v>
      </c>
      <c r="AA1897" s="96" t="s">
        <v>30</v>
      </c>
      <c r="AB1897" s="96" t="s">
        <v>30</v>
      </c>
      <c r="AC1897" s="96" t="s">
        <v>30</v>
      </c>
      <c r="AD1897" s="96" t="s">
        <v>30</v>
      </c>
      <c r="AE1897" s="96" t="s">
        <v>30</v>
      </c>
      <c r="AF1897" s="96" t="s">
        <v>30</v>
      </c>
      <c r="AG1897" s="96" t="s">
        <v>30</v>
      </c>
      <c r="AH1897" s="96" t="s">
        <v>30</v>
      </c>
      <c r="AI1897" s="107" t="s">
        <v>30</v>
      </c>
      <c r="AJ1897" s="107" t="s">
        <v>30</v>
      </c>
      <c r="AK1897" s="107" t="s">
        <v>30</v>
      </c>
      <c r="AL1897" s="91"/>
      <c r="AM1897" s="840"/>
    </row>
    <row r="1898" spans="1:48">
      <c r="A1898" s="834" t="s">
        <v>24</v>
      </c>
      <c r="B1898" s="835">
        <v>1895</v>
      </c>
      <c r="C1898" s="838" t="s">
        <v>2781</v>
      </c>
      <c r="D1898" s="838" t="s">
        <v>83</v>
      </c>
      <c r="E1898" s="839">
        <v>46020</v>
      </c>
      <c r="F1898" s="838" t="s">
        <v>688</v>
      </c>
      <c r="G1898" s="838">
        <v>13</v>
      </c>
      <c r="H1898" s="838" t="s">
        <v>67</v>
      </c>
      <c r="I1898" s="838" t="s">
        <v>47</v>
      </c>
      <c r="J1898" s="838"/>
      <c r="K1898" s="840" t="s">
        <v>2703</v>
      </c>
      <c r="L1898" s="840" t="s">
        <v>2728</v>
      </c>
      <c r="M1898" s="840" t="s">
        <v>2728</v>
      </c>
      <c r="N1898" s="840" t="s">
        <v>2782</v>
      </c>
      <c r="O1898" s="840"/>
      <c r="P1898" s="853" t="s">
        <v>30</v>
      </c>
      <c r="Q1898" s="848">
        <v>46048</v>
      </c>
      <c r="R1898" s="24" t="s">
        <v>1138</v>
      </c>
      <c r="S1898" s="834" t="s">
        <v>32</v>
      </c>
      <c r="T1898" s="834">
        <v>11</v>
      </c>
      <c r="U1898" s="24" t="s">
        <v>1138</v>
      </c>
      <c r="V1898" s="848">
        <v>46048</v>
      </c>
      <c r="W1898" s="96" t="s">
        <v>30</v>
      </c>
      <c r="X1898" s="96" t="s">
        <v>30</v>
      </c>
      <c r="Y1898" s="96" t="s">
        <v>30</v>
      </c>
      <c r="Z1898" s="107" t="s">
        <v>30</v>
      </c>
      <c r="AA1898" s="107" t="s">
        <v>30</v>
      </c>
      <c r="AB1898" s="107" t="s">
        <v>30</v>
      </c>
      <c r="AC1898" s="107" t="s">
        <v>30</v>
      </c>
      <c r="AD1898" s="107" t="s">
        <v>30</v>
      </c>
      <c r="AE1898" s="107" t="s">
        <v>30</v>
      </c>
      <c r="AF1898" s="107" t="s">
        <v>30</v>
      </c>
      <c r="AG1898" s="107" t="s">
        <v>30</v>
      </c>
      <c r="AH1898" s="96" t="s">
        <v>30</v>
      </c>
      <c r="AI1898" s="107" t="s">
        <v>30</v>
      </c>
      <c r="AJ1898" s="107" t="s">
        <v>30</v>
      </c>
      <c r="AK1898" s="107" t="s">
        <v>30</v>
      </c>
      <c r="AL1898" s="91"/>
      <c r="AM1898" s="840" t="s">
        <v>2545</v>
      </c>
      <c r="AN1898" s="6"/>
    </row>
    <row r="1899" spans="1:48">
      <c r="A1899" s="834" t="s">
        <v>24</v>
      </c>
      <c r="B1899" s="835">
        <v>1896</v>
      </c>
      <c r="C1899" s="838" t="s">
        <v>2783</v>
      </c>
      <c r="D1899" s="838" t="s">
        <v>178</v>
      </c>
      <c r="E1899" s="839">
        <v>46020</v>
      </c>
      <c r="F1899" s="838" t="s">
        <v>688</v>
      </c>
      <c r="G1899" s="838">
        <v>33</v>
      </c>
      <c r="H1899" s="838" t="s">
        <v>67</v>
      </c>
      <c r="I1899" s="838" t="s">
        <v>47</v>
      </c>
      <c r="J1899" s="838"/>
      <c r="K1899" s="840" t="s">
        <v>2298</v>
      </c>
      <c r="L1899" s="840" t="s">
        <v>2728</v>
      </c>
      <c r="M1899" s="840" t="s">
        <v>2728</v>
      </c>
      <c r="N1899" s="840" t="s">
        <v>2050</v>
      </c>
      <c r="O1899" s="113" t="s">
        <v>31</v>
      </c>
      <c r="P1899" s="853" t="s">
        <v>30</v>
      </c>
      <c r="Q1899" s="848">
        <v>46056</v>
      </c>
      <c r="R1899" s="24" t="s">
        <v>67</v>
      </c>
      <c r="S1899" s="834" t="s">
        <v>32</v>
      </c>
      <c r="T1899" s="834">
        <v>28</v>
      </c>
      <c r="U1899" s="24" t="s">
        <v>67</v>
      </c>
      <c r="V1899" s="848">
        <v>46056</v>
      </c>
      <c r="W1899" s="96" t="s">
        <v>30</v>
      </c>
      <c r="X1899" s="91" t="s">
        <v>32</v>
      </c>
      <c r="Y1899" s="96" t="s">
        <v>30</v>
      </c>
      <c r="Z1899" s="96" t="s">
        <v>30</v>
      </c>
      <c r="AA1899" s="96" t="s">
        <v>30</v>
      </c>
      <c r="AB1899" s="96" t="s">
        <v>30</v>
      </c>
      <c r="AC1899" s="96" t="s">
        <v>30</v>
      </c>
      <c r="AD1899" s="96" t="s">
        <v>30</v>
      </c>
      <c r="AE1899" s="96" t="s">
        <v>30</v>
      </c>
      <c r="AF1899" s="96" t="s">
        <v>30</v>
      </c>
      <c r="AG1899" s="96" t="s">
        <v>30</v>
      </c>
      <c r="AH1899" s="96" t="s">
        <v>30</v>
      </c>
      <c r="AI1899" s="96" t="s">
        <v>30</v>
      </c>
      <c r="AJ1899" s="96" t="s">
        <v>30</v>
      </c>
      <c r="AK1899" s="96" t="s">
        <v>30</v>
      </c>
      <c r="AL1899" s="91"/>
      <c r="AM1899" s="840" t="s">
        <v>2545</v>
      </c>
    </row>
    <row r="1900" spans="1:48">
      <c r="A1900" s="834" t="s">
        <v>24</v>
      </c>
      <c r="B1900" s="835">
        <v>1897</v>
      </c>
      <c r="C1900" s="838" t="s">
        <v>2784</v>
      </c>
      <c r="D1900" s="838" t="s">
        <v>34</v>
      </c>
      <c r="E1900" s="839">
        <v>46020</v>
      </c>
      <c r="F1900" s="838" t="s">
        <v>435</v>
      </c>
      <c r="G1900" s="838">
        <v>25</v>
      </c>
      <c r="H1900" s="838" t="s">
        <v>67</v>
      </c>
      <c r="I1900" s="838" t="s">
        <v>47</v>
      </c>
      <c r="J1900" s="250"/>
      <c r="K1900" s="840" t="s">
        <v>2226</v>
      </c>
      <c r="L1900" s="840" t="s">
        <v>2728</v>
      </c>
      <c r="M1900" s="840" t="s">
        <v>2745</v>
      </c>
      <c r="N1900" s="840" t="s">
        <v>2050</v>
      </c>
      <c r="O1900" s="113" t="s">
        <v>31</v>
      </c>
      <c r="P1900" s="245" t="s">
        <v>30</v>
      </c>
      <c r="Q1900" s="848">
        <v>46049</v>
      </c>
      <c r="R1900" s="24" t="s">
        <v>2785</v>
      </c>
      <c r="S1900" s="834" t="s">
        <v>30</v>
      </c>
      <c r="T1900" s="834">
        <v>20</v>
      </c>
      <c r="U1900" s="24" t="s">
        <v>2785</v>
      </c>
      <c r="V1900" s="848">
        <v>46049</v>
      </c>
      <c r="W1900" s="96" t="s">
        <v>30</v>
      </c>
      <c r="X1900" s="91" t="s">
        <v>32</v>
      </c>
      <c r="Y1900" s="96" t="s">
        <v>30</v>
      </c>
      <c r="Z1900" s="96" t="s">
        <v>30</v>
      </c>
      <c r="AA1900" s="96" t="s">
        <v>30</v>
      </c>
      <c r="AB1900" s="96" t="s">
        <v>30</v>
      </c>
      <c r="AC1900" s="96" t="s">
        <v>30</v>
      </c>
      <c r="AD1900" s="96" t="s">
        <v>30</v>
      </c>
      <c r="AE1900" s="96" t="s">
        <v>30</v>
      </c>
      <c r="AF1900" s="96" t="s">
        <v>30</v>
      </c>
      <c r="AG1900" s="96" t="s">
        <v>30</v>
      </c>
      <c r="AH1900" s="96" t="s">
        <v>30</v>
      </c>
      <c r="AI1900" s="96" t="s">
        <v>30</v>
      </c>
      <c r="AJ1900" s="96" t="s">
        <v>30</v>
      </c>
      <c r="AK1900" s="96" t="s">
        <v>30</v>
      </c>
      <c r="AL1900" s="91"/>
      <c r="AM1900" s="840"/>
    </row>
    <row r="1901" spans="1:48">
      <c r="A1901" s="834" t="s">
        <v>24</v>
      </c>
      <c r="B1901" s="835">
        <v>1898</v>
      </c>
      <c r="C1901" s="838" t="s">
        <v>2786</v>
      </c>
      <c r="D1901" s="838" t="s">
        <v>43</v>
      </c>
      <c r="E1901" s="839">
        <v>46020</v>
      </c>
      <c r="F1901" s="838" t="s">
        <v>631</v>
      </c>
      <c r="G1901" s="838">
        <v>28</v>
      </c>
      <c r="H1901" s="838" t="s">
        <v>67</v>
      </c>
      <c r="I1901" s="838" t="s">
        <v>47</v>
      </c>
      <c r="J1901" s="215" t="s">
        <v>2576</v>
      </c>
      <c r="K1901" s="840" t="s">
        <v>2203</v>
      </c>
      <c r="L1901" s="840" t="s">
        <v>2734</v>
      </c>
      <c r="M1901" s="840" t="s">
        <v>2745</v>
      </c>
      <c r="N1901" s="840" t="s">
        <v>2050</v>
      </c>
      <c r="O1901" s="113" t="s">
        <v>31</v>
      </c>
      <c r="P1901" s="853"/>
      <c r="Q1901" s="848"/>
      <c r="R1901" s="24" t="s">
        <v>1138</v>
      </c>
      <c r="S1901" s="834" t="s">
        <v>32</v>
      </c>
      <c r="T1901" s="834">
        <v>13</v>
      </c>
      <c r="U1901" s="24" t="s">
        <v>1138</v>
      </c>
      <c r="V1901" s="848"/>
      <c r="W1901" s="96" t="s">
        <v>30</v>
      </c>
      <c r="X1901" s="91" t="s">
        <v>32</v>
      </c>
      <c r="Y1901" s="96" t="s">
        <v>30</v>
      </c>
      <c r="Z1901" s="91" t="s">
        <v>32</v>
      </c>
      <c r="AA1901" s="91" t="s">
        <v>32</v>
      </c>
      <c r="AB1901" s="91" t="s">
        <v>32</v>
      </c>
      <c r="AC1901" s="96" t="s">
        <v>30</v>
      </c>
      <c r="AD1901" s="96" t="s">
        <v>30</v>
      </c>
      <c r="AE1901" s="96" t="s">
        <v>30</v>
      </c>
      <c r="AF1901" s="96" t="s">
        <v>30</v>
      </c>
      <c r="AG1901" s="96" t="s">
        <v>30</v>
      </c>
      <c r="AH1901" s="96" t="s">
        <v>30</v>
      </c>
      <c r="AI1901" s="91" t="s">
        <v>32</v>
      </c>
      <c r="AJ1901" s="96" t="s">
        <v>30</v>
      </c>
      <c r="AK1901" s="96" t="s">
        <v>30</v>
      </c>
      <c r="AL1901" s="91"/>
      <c r="AM1901" s="840" t="s">
        <v>2548</v>
      </c>
    </row>
    <row r="1902" spans="1:48">
      <c r="A1902" s="834" t="s">
        <v>24</v>
      </c>
      <c r="B1902" s="835">
        <v>1899</v>
      </c>
      <c r="C1902" s="838" t="s">
        <v>2787</v>
      </c>
      <c r="D1902" s="838" t="s">
        <v>34</v>
      </c>
      <c r="E1902" s="839">
        <v>46020</v>
      </c>
      <c r="F1902" s="838" t="s">
        <v>187</v>
      </c>
      <c r="G1902" s="838">
        <v>20</v>
      </c>
      <c r="H1902" s="838" t="s">
        <v>67</v>
      </c>
      <c r="I1902" s="838" t="s">
        <v>47</v>
      </c>
      <c r="J1902" s="838"/>
      <c r="K1902" s="840" t="s">
        <v>2195</v>
      </c>
      <c r="L1902" s="840" t="s">
        <v>2706</v>
      </c>
      <c r="M1902" s="840" t="s">
        <v>2706</v>
      </c>
      <c r="N1902" s="840" t="s">
        <v>2050</v>
      </c>
      <c r="O1902" s="113" t="s">
        <v>31</v>
      </c>
      <c r="P1902" s="853" t="s">
        <v>30</v>
      </c>
      <c r="Q1902" s="848">
        <v>46051</v>
      </c>
      <c r="R1902" s="24" t="s">
        <v>1138</v>
      </c>
      <c r="S1902" s="834" t="s">
        <v>32</v>
      </c>
      <c r="T1902" s="834">
        <v>19</v>
      </c>
      <c r="U1902" s="852" t="s">
        <v>1138</v>
      </c>
      <c r="V1902" s="848">
        <v>46051</v>
      </c>
      <c r="W1902" s="80" t="s">
        <v>30</v>
      </c>
      <c r="X1902" s="91" t="s">
        <v>32</v>
      </c>
      <c r="Y1902" s="96" t="s">
        <v>30</v>
      </c>
      <c r="Z1902" s="91" t="s">
        <v>32</v>
      </c>
      <c r="AA1902" s="91" t="s">
        <v>32</v>
      </c>
      <c r="AB1902" s="107" t="s">
        <v>30</v>
      </c>
      <c r="AC1902" s="107" t="s">
        <v>30</v>
      </c>
      <c r="AD1902" s="107" t="s">
        <v>30</v>
      </c>
      <c r="AE1902" s="107" t="s">
        <v>30</v>
      </c>
      <c r="AF1902" s="107" t="s">
        <v>30</v>
      </c>
      <c r="AG1902" s="107" t="s">
        <v>30</v>
      </c>
      <c r="AH1902" s="96" t="s">
        <v>30</v>
      </c>
      <c r="AI1902" s="107" t="s">
        <v>30</v>
      </c>
      <c r="AJ1902" s="107" t="s">
        <v>30</v>
      </c>
      <c r="AK1902" s="107" t="s">
        <v>30</v>
      </c>
      <c r="AL1902" s="91"/>
      <c r="AM1902" s="840"/>
    </row>
    <row r="1903" spans="1:48">
      <c r="A1903" s="834" t="s">
        <v>24</v>
      </c>
      <c r="B1903" s="835">
        <v>1900</v>
      </c>
      <c r="C1903" s="838" t="s">
        <v>2788</v>
      </c>
      <c r="D1903" s="838" t="s">
        <v>178</v>
      </c>
      <c r="E1903" s="839">
        <v>46020</v>
      </c>
      <c r="F1903" s="838" t="s">
        <v>718</v>
      </c>
      <c r="G1903" s="838">
        <v>14</v>
      </c>
      <c r="H1903" s="838" t="s">
        <v>67</v>
      </c>
      <c r="I1903" s="838" t="s">
        <v>47</v>
      </c>
      <c r="J1903" s="838"/>
      <c r="K1903" s="840" t="s">
        <v>2264</v>
      </c>
      <c r="L1903" s="840" t="s">
        <v>2745</v>
      </c>
      <c r="M1903" s="840" t="s">
        <v>2745</v>
      </c>
      <c r="N1903" s="840" t="s">
        <v>2789</v>
      </c>
      <c r="O1903" s="840"/>
      <c r="P1903" s="853" t="s">
        <v>30</v>
      </c>
      <c r="Q1903" s="848">
        <v>46050</v>
      </c>
      <c r="R1903" s="24" t="s">
        <v>67</v>
      </c>
      <c r="S1903" s="834" t="s">
        <v>32</v>
      </c>
      <c r="T1903" s="834">
        <v>12</v>
      </c>
      <c r="U1903" s="852" t="s">
        <v>67</v>
      </c>
      <c r="V1903" s="848">
        <v>46050</v>
      </c>
      <c r="W1903" s="96" t="s">
        <v>30</v>
      </c>
      <c r="X1903" s="96" t="s">
        <v>30</v>
      </c>
      <c r="Y1903" s="96" t="s">
        <v>30</v>
      </c>
      <c r="Z1903" s="96" t="s">
        <v>30</v>
      </c>
      <c r="AA1903" s="96" t="s">
        <v>30</v>
      </c>
      <c r="AB1903" s="96" t="s">
        <v>30</v>
      </c>
      <c r="AC1903" s="96" t="s">
        <v>30</v>
      </c>
      <c r="AD1903" s="96" t="s">
        <v>30</v>
      </c>
      <c r="AE1903" s="96" t="s">
        <v>30</v>
      </c>
      <c r="AF1903" s="96" t="s">
        <v>30</v>
      </c>
      <c r="AG1903" s="96" t="s">
        <v>30</v>
      </c>
      <c r="AH1903" s="96" t="s">
        <v>30</v>
      </c>
      <c r="AI1903" s="96" t="s">
        <v>30</v>
      </c>
      <c r="AJ1903" s="96" t="s">
        <v>30</v>
      </c>
      <c r="AK1903" s="96" t="s">
        <v>30</v>
      </c>
      <c r="AL1903" s="91"/>
      <c r="AM1903" s="840"/>
      <c r="AN1903" s="6"/>
      <c r="AO1903" s="6"/>
      <c r="AP1903" s="6"/>
      <c r="AQ1903" s="6"/>
      <c r="AR1903" s="6"/>
      <c r="AS1903" s="104"/>
      <c r="AT1903" s="105"/>
      <c r="AU1903" s="105"/>
      <c r="AV1903" s="105"/>
    </row>
    <row r="1904" spans="1:48">
      <c r="A1904" s="834" t="s">
        <v>24</v>
      </c>
      <c r="B1904" s="835">
        <v>1901</v>
      </c>
      <c r="C1904" s="838" t="s">
        <v>2790</v>
      </c>
      <c r="D1904" s="838" t="s">
        <v>34</v>
      </c>
      <c r="E1904" s="839">
        <v>46020</v>
      </c>
      <c r="F1904" s="838" t="s">
        <v>398</v>
      </c>
      <c r="G1904" s="838">
        <v>21</v>
      </c>
      <c r="H1904" s="838" t="s">
        <v>67</v>
      </c>
      <c r="I1904" s="838" t="s">
        <v>47</v>
      </c>
      <c r="J1904" s="838"/>
      <c r="K1904" s="840" t="s">
        <v>2098</v>
      </c>
      <c r="L1904" s="840" t="s">
        <v>2661</v>
      </c>
      <c r="M1904" s="840" t="s">
        <v>2734</v>
      </c>
      <c r="N1904" s="840" t="s">
        <v>2791</v>
      </c>
      <c r="O1904" s="113" t="s">
        <v>31</v>
      </c>
      <c r="P1904" s="853" t="s">
        <v>30</v>
      </c>
      <c r="Q1904" s="848">
        <v>46043</v>
      </c>
      <c r="R1904" s="24" t="s">
        <v>67</v>
      </c>
      <c r="S1904" s="834" t="s">
        <v>32</v>
      </c>
      <c r="T1904" s="834">
        <v>12</v>
      </c>
      <c r="U1904" s="24" t="s">
        <v>67</v>
      </c>
      <c r="V1904" s="848">
        <v>46043</v>
      </c>
      <c r="W1904" s="96" t="s">
        <v>30</v>
      </c>
      <c r="X1904" s="96" t="s">
        <v>30</v>
      </c>
      <c r="Y1904" s="96" t="s">
        <v>30</v>
      </c>
      <c r="Z1904" s="96" t="s">
        <v>30</v>
      </c>
      <c r="AA1904" s="96" t="s">
        <v>30</v>
      </c>
      <c r="AB1904" s="96" t="s">
        <v>30</v>
      </c>
      <c r="AC1904" s="96" t="s">
        <v>30</v>
      </c>
      <c r="AD1904" s="96" t="s">
        <v>30</v>
      </c>
      <c r="AE1904" s="96" t="s">
        <v>30</v>
      </c>
      <c r="AF1904" s="96" t="s">
        <v>30</v>
      </c>
      <c r="AG1904" s="96" t="s">
        <v>30</v>
      </c>
      <c r="AH1904" s="96" t="s">
        <v>30</v>
      </c>
      <c r="AI1904" s="96" t="s">
        <v>30</v>
      </c>
      <c r="AJ1904" s="96" t="s">
        <v>30</v>
      </c>
      <c r="AK1904" s="96" t="s">
        <v>30</v>
      </c>
      <c r="AL1904" s="91" t="s">
        <v>32</v>
      </c>
      <c r="AM1904" s="840" t="s">
        <v>2548</v>
      </c>
      <c r="AN1904" s="6"/>
      <c r="AO1904" s="6"/>
      <c r="AP1904" s="6"/>
      <c r="AQ1904" s="6"/>
      <c r="AR1904" s="6"/>
      <c r="AS1904" s="104"/>
      <c r="AT1904" s="105"/>
      <c r="AU1904" s="105"/>
      <c r="AV1904" s="105"/>
    </row>
    <row r="1905" spans="1:48">
      <c r="A1905" s="834" t="s">
        <v>24</v>
      </c>
      <c r="B1905" s="835">
        <v>1902</v>
      </c>
      <c r="C1905" s="838" t="s">
        <v>2792</v>
      </c>
      <c r="D1905" s="838" t="s">
        <v>34</v>
      </c>
      <c r="E1905" s="839">
        <v>46020</v>
      </c>
      <c r="F1905" s="838" t="s">
        <v>272</v>
      </c>
      <c r="G1905" s="838">
        <v>12</v>
      </c>
      <c r="H1905" s="838" t="s">
        <v>67</v>
      </c>
      <c r="I1905" s="838" t="s">
        <v>47</v>
      </c>
      <c r="J1905" s="838"/>
      <c r="K1905" s="834" t="s">
        <v>2052</v>
      </c>
      <c r="L1905" s="834" t="s">
        <v>2734</v>
      </c>
      <c r="M1905" s="834" t="s">
        <v>2734</v>
      </c>
      <c r="N1905" s="834" t="s">
        <v>2050</v>
      </c>
      <c r="O1905" s="834"/>
      <c r="P1905" s="848" t="s">
        <v>30</v>
      </c>
      <c r="Q1905" s="848">
        <v>46050</v>
      </c>
      <c r="R1905" s="24" t="s">
        <v>1638</v>
      </c>
      <c r="S1905" s="834" t="s">
        <v>32</v>
      </c>
      <c r="T1905" s="834">
        <v>12</v>
      </c>
      <c r="U1905" s="24" t="s">
        <v>1638</v>
      </c>
      <c r="V1905" s="848">
        <v>46050</v>
      </c>
      <c r="W1905" s="96" t="s">
        <v>30</v>
      </c>
      <c r="X1905" s="96" t="s">
        <v>30</v>
      </c>
      <c r="Y1905" s="96" t="s">
        <v>30</v>
      </c>
      <c r="Z1905" s="96" t="s">
        <v>30</v>
      </c>
      <c r="AA1905" s="96" t="s">
        <v>30</v>
      </c>
      <c r="AB1905" s="96" t="s">
        <v>30</v>
      </c>
      <c r="AC1905" s="96" t="s">
        <v>30</v>
      </c>
      <c r="AD1905" s="96" t="s">
        <v>30</v>
      </c>
      <c r="AE1905" s="96" t="s">
        <v>30</v>
      </c>
      <c r="AF1905" s="96" t="s">
        <v>30</v>
      </c>
      <c r="AG1905" s="96" t="s">
        <v>30</v>
      </c>
      <c r="AH1905" s="96" t="s">
        <v>30</v>
      </c>
      <c r="AI1905" s="96" t="s">
        <v>30</v>
      </c>
      <c r="AJ1905" s="96" t="s">
        <v>30</v>
      </c>
      <c r="AK1905" s="96" t="s">
        <v>30</v>
      </c>
      <c r="AL1905" s="91"/>
      <c r="AM1905" s="840"/>
      <c r="AN1905" s="6"/>
      <c r="AO1905" s="6"/>
      <c r="AP1905" s="6"/>
      <c r="AQ1905" s="6"/>
      <c r="AR1905" s="6"/>
      <c r="AS1905" s="104"/>
      <c r="AT1905" s="105"/>
      <c r="AU1905" s="105"/>
      <c r="AV1905" s="105"/>
    </row>
    <row r="1906" spans="1:48">
      <c r="A1906" s="834" t="s">
        <v>24</v>
      </c>
      <c r="B1906" s="835">
        <v>1903</v>
      </c>
      <c r="C1906" s="838" t="s">
        <v>2793</v>
      </c>
      <c r="D1906" s="838" t="s">
        <v>34</v>
      </c>
      <c r="E1906" s="839">
        <v>46020</v>
      </c>
      <c r="F1906" s="838" t="s">
        <v>2687</v>
      </c>
      <c r="G1906" s="838">
        <v>14</v>
      </c>
      <c r="H1906" s="838" t="s">
        <v>67</v>
      </c>
      <c r="I1906" s="838" t="s">
        <v>47</v>
      </c>
      <c r="J1906" s="838"/>
      <c r="K1906" s="840" t="s">
        <v>2130</v>
      </c>
      <c r="L1906" s="840" t="s">
        <v>2734</v>
      </c>
      <c r="M1906" s="840" t="s">
        <v>2734</v>
      </c>
      <c r="N1906" s="840" t="s">
        <v>2050</v>
      </c>
      <c r="O1906" s="840"/>
      <c r="P1906" s="853" t="s">
        <v>30</v>
      </c>
      <c r="Q1906" s="848">
        <v>46051</v>
      </c>
      <c r="R1906" s="24" t="s">
        <v>47</v>
      </c>
      <c r="S1906" s="834" t="s">
        <v>32</v>
      </c>
      <c r="T1906" s="834">
        <v>19</v>
      </c>
      <c r="U1906" s="852" t="s">
        <v>47</v>
      </c>
      <c r="V1906" s="848">
        <v>46051</v>
      </c>
      <c r="W1906" s="80" t="s">
        <v>30</v>
      </c>
      <c r="X1906" s="91" t="s">
        <v>32</v>
      </c>
      <c r="Y1906" s="96" t="s">
        <v>30</v>
      </c>
      <c r="Z1906" s="91" t="s">
        <v>32</v>
      </c>
      <c r="AA1906" s="91" t="s">
        <v>32</v>
      </c>
      <c r="AB1906" s="96" t="s">
        <v>30</v>
      </c>
      <c r="AC1906" s="96" t="s">
        <v>30</v>
      </c>
      <c r="AD1906" s="96" t="s">
        <v>30</v>
      </c>
      <c r="AE1906" s="96" t="s">
        <v>30</v>
      </c>
      <c r="AF1906" s="96" t="s">
        <v>30</v>
      </c>
      <c r="AG1906" s="96" t="s">
        <v>30</v>
      </c>
      <c r="AH1906" s="96" t="s">
        <v>30</v>
      </c>
      <c r="AI1906" s="107" t="s">
        <v>30</v>
      </c>
      <c r="AJ1906" s="110" t="s">
        <v>32</v>
      </c>
      <c r="AK1906" s="107" t="s">
        <v>30</v>
      </c>
      <c r="AL1906" s="91"/>
      <c r="AM1906" s="840" t="s">
        <v>2545</v>
      </c>
    </row>
    <row r="1907" spans="1:48">
      <c r="A1907" s="834" t="s">
        <v>24</v>
      </c>
      <c r="B1907" s="835">
        <v>1904</v>
      </c>
      <c r="C1907" s="838" t="s">
        <v>2794</v>
      </c>
      <c r="D1907" s="838" t="s">
        <v>178</v>
      </c>
      <c r="E1907" s="839">
        <v>46020</v>
      </c>
      <c r="F1907" s="838" t="s">
        <v>2687</v>
      </c>
      <c r="G1907" s="838">
        <v>14</v>
      </c>
      <c r="H1907" s="838" t="s">
        <v>67</v>
      </c>
      <c r="I1907" s="838" t="s">
        <v>47</v>
      </c>
      <c r="J1907" s="838"/>
      <c r="K1907" s="840" t="s">
        <v>2123</v>
      </c>
      <c r="L1907" s="840" t="s">
        <v>2734</v>
      </c>
      <c r="M1907" s="840" t="s">
        <v>2734</v>
      </c>
      <c r="N1907" s="840" t="s">
        <v>2050</v>
      </c>
      <c r="O1907" s="840"/>
      <c r="P1907" s="853" t="s">
        <v>30</v>
      </c>
      <c r="Q1907" s="848">
        <v>46052</v>
      </c>
      <c r="R1907" s="24" t="s">
        <v>47</v>
      </c>
      <c r="S1907" s="834" t="s">
        <v>32</v>
      </c>
      <c r="T1907" s="834">
        <v>14</v>
      </c>
      <c r="U1907" s="24" t="s">
        <v>47</v>
      </c>
      <c r="V1907" s="848">
        <v>46052</v>
      </c>
      <c r="W1907" s="96" t="s">
        <v>30</v>
      </c>
      <c r="X1907" s="96" t="s">
        <v>30</v>
      </c>
      <c r="Y1907" s="96" t="s">
        <v>30</v>
      </c>
      <c r="Z1907" s="96" t="s">
        <v>30</v>
      </c>
      <c r="AA1907" s="96" t="s">
        <v>30</v>
      </c>
      <c r="AB1907" s="96" t="s">
        <v>30</v>
      </c>
      <c r="AC1907" s="96" t="s">
        <v>30</v>
      </c>
      <c r="AD1907" s="96" t="s">
        <v>30</v>
      </c>
      <c r="AE1907" s="96" t="s">
        <v>30</v>
      </c>
      <c r="AF1907" s="96" t="s">
        <v>30</v>
      </c>
      <c r="AG1907" s="96" t="s">
        <v>30</v>
      </c>
      <c r="AH1907" s="96" t="s">
        <v>30</v>
      </c>
      <c r="AI1907" s="96" t="s">
        <v>30</v>
      </c>
      <c r="AJ1907" s="96" t="s">
        <v>30</v>
      </c>
      <c r="AK1907" s="96" t="s">
        <v>30</v>
      </c>
      <c r="AL1907" s="91"/>
      <c r="AM1907" s="840"/>
    </row>
    <row r="1908" spans="1:48">
      <c r="A1908" s="834" t="s">
        <v>24</v>
      </c>
      <c r="B1908" s="835">
        <v>1905</v>
      </c>
      <c r="C1908" s="838" t="s">
        <v>2795</v>
      </c>
      <c r="D1908" s="838" t="s">
        <v>34</v>
      </c>
      <c r="E1908" s="839">
        <v>46020</v>
      </c>
      <c r="F1908" s="838" t="s">
        <v>2687</v>
      </c>
      <c r="G1908" s="838">
        <v>20</v>
      </c>
      <c r="H1908" s="838" t="s">
        <v>67</v>
      </c>
      <c r="I1908" s="838" t="s">
        <v>47</v>
      </c>
      <c r="J1908" s="838"/>
      <c r="K1908" s="840" t="s">
        <v>2130</v>
      </c>
      <c r="L1908" s="840" t="s">
        <v>2734</v>
      </c>
      <c r="M1908" s="840" t="s">
        <v>2734</v>
      </c>
      <c r="N1908" s="840" t="s">
        <v>2050</v>
      </c>
      <c r="O1908" s="113" t="s">
        <v>31</v>
      </c>
      <c r="P1908" s="853" t="s">
        <v>30</v>
      </c>
      <c r="Q1908" s="848">
        <v>46052</v>
      </c>
      <c r="R1908" s="24" t="s">
        <v>47</v>
      </c>
      <c r="S1908" s="834" t="s">
        <v>1140</v>
      </c>
      <c r="T1908" s="834">
        <v>14</v>
      </c>
      <c r="U1908" s="852" t="s">
        <v>47</v>
      </c>
      <c r="V1908" s="848">
        <v>46052</v>
      </c>
      <c r="W1908" s="80" t="s">
        <v>30</v>
      </c>
      <c r="X1908" s="91" t="s">
        <v>32</v>
      </c>
      <c r="Y1908" s="80" t="s">
        <v>30</v>
      </c>
      <c r="Z1908" s="91" t="s">
        <v>32</v>
      </c>
      <c r="AA1908" s="91" t="s">
        <v>32</v>
      </c>
      <c r="AB1908" s="96" t="s">
        <v>30</v>
      </c>
      <c r="AC1908" s="96" t="s">
        <v>30</v>
      </c>
      <c r="AD1908" s="96" t="s">
        <v>30</v>
      </c>
      <c r="AE1908" s="96" t="s">
        <v>30</v>
      </c>
      <c r="AF1908" s="96" t="s">
        <v>30</v>
      </c>
      <c r="AG1908" s="96" t="s">
        <v>30</v>
      </c>
      <c r="AH1908" s="96" t="s">
        <v>30</v>
      </c>
      <c r="AI1908" s="107" t="s">
        <v>30</v>
      </c>
      <c r="AJ1908" s="110" t="s">
        <v>32</v>
      </c>
      <c r="AK1908" s="107" t="s">
        <v>30</v>
      </c>
      <c r="AL1908" s="91"/>
      <c r="AM1908" s="840" t="s">
        <v>2545</v>
      </c>
    </row>
    <row r="1909" spans="1:48">
      <c r="A1909" s="834" t="s">
        <v>24</v>
      </c>
      <c r="B1909" s="835">
        <v>1906</v>
      </c>
      <c r="C1909" s="838" t="s">
        <v>2796</v>
      </c>
      <c r="D1909" s="838" t="s">
        <v>178</v>
      </c>
      <c r="E1909" s="839">
        <v>46020</v>
      </c>
      <c r="F1909" s="838" t="s">
        <v>2687</v>
      </c>
      <c r="G1909" s="838">
        <v>20</v>
      </c>
      <c r="H1909" s="838" t="s">
        <v>67</v>
      </c>
      <c r="I1909" s="838" t="s">
        <v>47</v>
      </c>
      <c r="J1909" s="838"/>
      <c r="K1909" s="840" t="s">
        <v>2123</v>
      </c>
      <c r="L1909" s="840" t="s">
        <v>2734</v>
      </c>
      <c r="M1909" s="840" t="s">
        <v>2734</v>
      </c>
      <c r="N1909" s="840" t="s">
        <v>2050</v>
      </c>
      <c r="O1909" s="113" t="s">
        <v>31</v>
      </c>
      <c r="P1909" s="853" t="s">
        <v>30</v>
      </c>
      <c r="Q1909" s="848">
        <v>46052</v>
      </c>
      <c r="R1909" s="24" t="s">
        <v>47</v>
      </c>
      <c r="S1909" s="834" t="s">
        <v>32</v>
      </c>
      <c r="T1909" s="834">
        <v>20</v>
      </c>
      <c r="U1909" s="24" t="s">
        <v>47</v>
      </c>
      <c r="V1909" s="848">
        <v>46052</v>
      </c>
      <c r="W1909" s="96" t="s">
        <v>30</v>
      </c>
      <c r="X1909" s="96" t="s">
        <v>30</v>
      </c>
      <c r="Y1909" s="96" t="s">
        <v>30</v>
      </c>
      <c r="Z1909" s="96" t="s">
        <v>30</v>
      </c>
      <c r="AA1909" s="96" t="s">
        <v>30</v>
      </c>
      <c r="AB1909" s="96" t="s">
        <v>30</v>
      </c>
      <c r="AC1909" s="96" t="s">
        <v>30</v>
      </c>
      <c r="AD1909" s="96" t="s">
        <v>30</v>
      </c>
      <c r="AE1909" s="96" t="s">
        <v>30</v>
      </c>
      <c r="AF1909" s="96" t="s">
        <v>30</v>
      </c>
      <c r="AG1909" s="96" t="s">
        <v>30</v>
      </c>
      <c r="AH1909" s="96" t="s">
        <v>30</v>
      </c>
      <c r="AI1909" s="96" t="s">
        <v>30</v>
      </c>
      <c r="AJ1909" s="96" t="s">
        <v>30</v>
      </c>
      <c r="AK1909" s="96" t="s">
        <v>30</v>
      </c>
      <c r="AL1909" s="91"/>
      <c r="AM1909" s="840"/>
      <c r="AN1909" s="6"/>
      <c r="AO1909" s="6"/>
      <c r="AP1909" s="6"/>
      <c r="AQ1909" s="6"/>
      <c r="AR1909" s="6"/>
      <c r="AS1909" s="104"/>
      <c r="AT1909" s="105"/>
      <c r="AU1909" s="105"/>
      <c r="AV1909" s="105"/>
    </row>
    <row r="1910" spans="1:48">
      <c r="A1910" s="834" t="s">
        <v>24</v>
      </c>
      <c r="B1910" s="835">
        <v>1907</v>
      </c>
      <c r="C1910" s="838" t="s">
        <v>2797</v>
      </c>
      <c r="D1910" s="838" t="s">
        <v>34</v>
      </c>
      <c r="E1910" s="839">
        <v>46020</v>
      </c>
      <c r="F1910" s="838" t="s">
        <v>65</v>
      </c>
      <c r="G1910" s="838">
        <v>11</v>
      </c>
      <c r="H1910" s="838" t="s">
        <v>1077</v>
      </c>
      <c r="I1910" s="838" t="s">
        <v>1138</v>
      </c>
      <c r="J1910" s="838"/>
      <c r="K1910" s="840" t="s">
        <v>2115</v>
      </c>
      <c r="L1910" s="840" t="s">
        <v>2745</v>
      </c>
      <c r="M1910" s="840" t="s">
        <v>2745</v>
      </c>
      <c r="N1910" s="840" t="s">
        <v>2166</v>
      </c>
      <c r="O1910" s="840"/>
      <c r="P1910" s="853" t="s">
        <v>30</v>
      </c>
      <c r="Q1910" s="848">
        <v>46037</v>
      </c>
      <c r="R1910" s="852" t="s">
        <v>1138</v>
      </c>
      <c r="S1910" s="834" t="s">
        <v>32</v>
      </c>
      <c r="T1910" s="834">
        <v>9</v>
      </c>
      <c r="U1910" s="852" t="s">
        <v>1138</v>
      </c>
      <c r="V1910" s="848">
        <v>46037</v>
      </c>
      <c r="W1910" s="96" t="s">
        <v>30</v>
      </c>
      <c r="X1910" s="96" t="s">
        <v>30</v>
      </c>
      <c r="Y1910" s="96" t="s">
        <v>30</v>
      </c>
      <c r="Z1910" s="120"/>
      <c r="AA1910" s="121"/>
      <c r="AB1910" s="120"/>
      <c r="AC1910" s="118" t="s">
        <v>30</v>
      </c>
      <c r="AD1910" s="118" t="s">
        <v>30</v>
      </c>
      <c r="AE1910" s="118" t="s">
        <v>30</v>
      </c>
      <c r="AF1910" s="118" t="s">
        <v>30</v>
      </c>
      <c r="AG1910" s="118" t="s">
        <v>30</v>
      </c>
      <c r="AH1910" s="96" t="s">
        <v>30</v>
      </c>
      <c r="AI1910" s="107" t="s">
        <v>30</v>
      </c>
      <c r="AJ1910" s="107" t="s">
        <v>30</v>
      </c>
      <c r="AK1910" s="107" t="s">
        <v>30</v>
      </c>
      <c r="AL1910" s="91"/>
      <c r="AM1910" s="840"/>
    </row>
    <row r="1911" spans="1:48">
      <c r="A1911" s="834" t="s">
        <v>24</v>
      </c>
      <c r="B1911" s="835">
        <v>1908</v>
      </c>
      <c r="C1911" s="838" t="s">
        <v>413</v>
      </c>
      <c r="D1911" s="838" t="s">
        <v>1754</v>
      </c>
      <c r="E1911" s="839">
        <v>46021</v>
      </c>
      <c r="F1911" s="838" t="s">
        <v>110</v>
      </c>
      <c r="G1911" s="838">
        <v>13</v>
      </c>
      <c r="H1911" s="838" t="s">
        <v>1721</v>
      </c>
      <c r="I1911" s="838" t="s">
        <v>1638</v>
      </c>
      <c r="J1911" s="98"/>
      <c r="K1911" s="840" t="s">
        <v>2798</v>
      </c>
      <c r="L1911" s="840" t="s">
        <v>2799</v>
      </c>
      <c r="M1911" s="840" t="s">
        <v>2799</v>
      </c>
      <c r="N1911" s="840" t="s">
        <v>110</v>
      </c>
      <c r="O1911" s="840"/>
      <c r="P1911" s="853" t="s">
        <v>30</v>
      </c>
      <c r="Q1911" s="848">
        <v>46050</v>
      </c>
      <c r="R1911" s="24" t="s">
        <v>48</v>
      </c>
      <c r="S1911" s="23">
        <v>46053</v>
      </c>
      <c r="T1911" s="22">
        <v>13</v>
      </c>
      <c r="U1911" s="24" t="s">
        <v>48</v>
      </c>
      <c r="V1911" s="848">
        <v>46050</v>
      </c>
      <c r="W1911" s="80" t="s">
        <v>113</v>
      </c>
      <c r="X1911" s="91" t="s">
        <v>32</v>
      </c>
      <c r="Y1911" s="91"/>
      <c r="Z1911" s="91"/>
      <c r="AA1911" s="91"/>
      <c r="AB1911" s="91"/>
      <c r="AC1911" s="96"/>
      <c r="AD1911" s="96"/>
      <c r="AE1911" s="96"/>
      <c r="AF1911" s="96"/>
      <c r="AG1911" s="96"/>
      <c r="AH1911" s="110"/>
      <c r="AI1911" s="107"/>
      <c r="AJ1911" s="107"/>
      <c r="AK1911" s="107"/>
      <c r="AL1911" s="91"/>
      <c r="AM1911" s="840" t="s">
        <v>2691</v>
      </c>
    </row>
    <row r="1912" spans="1:48">
      <c r="A1912" s="834" t="s">
        <v>24</v>
      </c>
      <c r="B1912" s="835">
        <v>1909</v>
      </c>
      <c r="C1912" s="838" t="s">
        <v>2800</v>
      </c>
      <c r="D1912" s="838" t="s">
        <v>34</v>
      </c>
      <c r="E1912" s="839">
        <v>46021</v>
      </c>
      <c r="F1912" s="838" t="s">
        <v>2744</v>
      </c>
      <c r="G1912" s="838">
        <v>12</v>
      </c>
      <c r="H1912" s="838" t="s">
        <v>127</v>
      </c>
      <c r="I1912" s="838" t="s">
        <v>178</v>
      </c>
      <c r="J1912" s="838"/>
      <c r="K1912" s="840" t="s">
        <v>2087</v>
      </c>
      <c r="L1912" s="840" t="s">
        <v>2745</v>
      </c>
      <c r="M1912" s="840" t="s">
        <v>2745</v>
      </c>
      <c r="N1912" s="840" t="s">
        <v>2050</v>
      </c>
      <c r="O1912" s="840"/>
      <c r="P1912" s="853" t="s">
        <v>30</v>
      </c>
      <c r="Q1912" s="23">
        <v>46052</v>
      </c>
      <c r="R1912" s="24" t="s">
        <v>2707</v>
      </c>
      <c r="S1912" s="24" t="s">
        <v>32</v>
      </c>
      <c r="T1912" s="22">
        <v>11</v>
      </c>
      <c r="U1912" s="24" t="s">
        <v>1138</v>
      </c>
      <c r="V1912" s="23">
        <v>46053</v>
      </c>
      <c r="W1912" s="96" t="s">
        <v>30</v>
      </c>
      <c r="X1912" s="96" t="s">
        <v>30</v>
      </c>
      <c r="Y1912" s="96" t="s">
        <v>30</v>
      </c>
      <c r="Z1912" s="121"/>
      <c r="AA1912" s="121"/>
      <c r="AB1912" s="121"/>
      <c r="AC1912" s="96" t="s">
        <v>30</v>
      </c>
      <c r="AD1912" s="96" t="s">
        <v>30</v>
      </c>
      <c r="AE1912" s="96" t="s">
        <v>30</v>
      </c>
      <c r="AF1912" s="96" t="s">
        <v>30</v>
      </c>
      <c r="AG1912" s="96" t="s">
        <v>30</v>
      </c>
      <c r="AH1912" s="96" t="s">
        <v>30</v>
      </c>
      <c r="AI1912" s="96" t="s">
        <v>30</v>
      </c>
      <c r="AJ1912" s="96" t="s">
        <v>30</v>
      </c>
      <c r="AK1912" s="96" t="s">
        <v>30</v>
      </c>
      <c r="AL1912" s="91"/>
      <c r="AM1912" s="840"/>
    </row>
    <row r="1913" spans="1:48">
      <c r="A1913" s="834" t="s">
        <v>24</v>
      </c>
      <c r="B1913" s="835">
        <v>1910</v>
      </c>
      <c r="C1913" s="838" t="s">
        <v>2801</v>
      </c>
      <c r="D1913" s="838" t="s">
        <v>34</v>
      </c>
      <c r="E1913" s="839">
        <v>46021</v>
      </c>
      <c r="F1913" s="838" t="s">
        <v>202</v>
      </c>
      <c r="G1913" s="838">
        <v>15</v>
      </c>
      <c r="H1913" s="838" t="s">
        <v>127</v>
      </c>
      <c r="I1913" s="838" t="s">
        <v>178</v>
      </c>
      <c r="J1913" s="838"/>
      <c r="K1913" s="840" t="s">
        <v>2123</v>
      </c>
      <c r="L1913" s="840" t="s">
        <v>2728</v>
      </c>
      <c r="M1913" s="840" t="s">
        <v>2799</v>
      </c>
      <c r="N1913" s="840" t="s">
        <v>2766</v>
      </c>
      <c r="O1913" s="113" t="s">
        <v>31</v>
      </c>
      <c r="P1913" s="840" t="s">
        <v>30</v>
      </c>
      <c r="Q1913" s="848">
        <v>46054</v>
      </c>
      <c r="R1913" s="24" t="s">
        <v>127</v>
      </c>
      <c r="S1913" s="834" t="s">
        <v>32</v>
      </c>
      <c r="T1913" s="834">
        <v>16</v>
      </c>
      <c r="U1913" s="24" t="s">
        <v>127</v>
      </c>
      <c r="V1913" s="848">
        <v>46054</v>
      </c>
      <c r="W1913" s="96" t="s">
        <v>30</v>
      </c>
      <c r="X1913" s="96" t="s">
        <v>30</v>
      </c>
      <c r="Y1913" s="96" t="s">
        <v>30</v>
      </c>
      <c r="Z1913" s="96" t="s">
        <v>30</v>
      </c>
      <c r="AA1913" s="96" t="s">
        <v>30</v>
      </c>
      <c r="AB1913" s="96" t="s">
        <v>30</v>
      </c>
      <c r="AC1913" s="96" t="s">
        <v>30</v>
      </c>
      <c r="AD1913" s="96" t="s">
        <v>30</v>
      </c>
      <c r="AE1913" s="96" t="s">
        <v>30</v>
      </c>
      <c r="AF1913" s="96" t="s">
        <v>30</v>
      </c>
      <c r="AG1913" s="96" t="s">
        <v>30</v>
      </c>
      <c r="AH1913" s="96" t="s">
        <v>30</v>
      </c>
      <c r="AI1913" s="96" t="s">
        <v>30</v>
      </c>
      <c r="AJ1913" s="96" t="s">
        <v>30</v>
      </c>
      <c r="AK1913" s="96" t="s">
        <v>30</v>
      </c>
      <c r="AL1913" s="91"/>
      <c r="AM1913" s="840"/>
      <c r="AO1913" s="776"/>
      <c r="AP1913" s="776"/>
      <c r="AQ1913" s="776"/>
      <c r="AR1913" s="776"/>
    </row>
    <row r="1914" spans="1:48">
      <c r="A1914" s="834" t="s">
        <v>24</v>
      </c>
      <c r="B1914" s="835">
        <v>1911</v>
      </c>
      <c r="C1914" s="838" t="s">
        <v>2802</v>
      </c>
      <c r="D1914" s="838" t="s">
        <v>34</v>
      </c>
      <c r="E1914" s="839">
        <v>46021</v>
      </c>
      <c r="F1914" s="838" t="s">
        <v>126</v>
      </c>
      <c r="G1914" s="838">
        <v>25</v>
      </c>
      <c r="H1914" s="838" t="s">
        <v>127</v>
      </c>
      <c r="I1914" s="838" t="s">
        <v>178</v>
      </c>
      <c r="J1914" s="838"/>
      <c r="K1914" s="840" t="s">
        <v>2312</v>
      </c>
      <c r="L1914" s="840" t="s">
        <v>2728</v>
      </c>
      <c r="M1914" s="840" t="s">
        <v>2728</v>
      </c>
      <c r="N1914" s="840" t="s">
        <v>2749</v>
      </c>
      <c r="O1914" s="113" t="s">
        <v>31</v>
      </c>
      <c r="P1914" s="840" t="s">
        <v>30</v>
      </c>
      <c r="Q1914" s="848">
        <v>46052</v>
      </c>
      <c r="R1914" s="24" t="s">
        <v>1077</v>
      </c>
      <c r="S1914" s="834" t="s">
        <v>1140</v>
      </c>
      <c r="T1914" s="834">
        <v>25</v>
      </c>
      <c r="U1914" s="24" t="s">
        <v>1077</v>
      </c>
      <c r="V1914" s="848">
        <v>46052</v>
      </c>
      <c r="W1914" s="96" t="s">
        <v>30</v>
      </c>
      <c r="X1914" s="96" t="s">
        <v>30</v>
      </c>
      <c r="Y1914" s="96" t="s">
        <v>30</v>
      </c>
      <c r="Z1914" s="96" t="s">
        <v>30</v>
      </c>
      <c r="AA1914" s="96" t="s">
        <v>30</v>
      </c>
      <c r="AB1914" s="96" t="s">
        <v>30</v>
      </c>
      <c r="AC1914" s="96" t="s">
        <v>30</v>
      </c>
      <c r="AD1914" s="96" t="s">
        <v>30</v>
      </c>
      <c r="AE1914" s="96" t="s">
        <v>30</v>
      </c>
      <c r="AF1914" s="96" t="s">
        <v>30</v>
      </c>
      <c r="AG1914" s="96" t="s">
        <v>30</v>
      </c>
      <c r="AH1914" s="96" t="s">
        <v>30</v>
      </c>
      <c r="AI1914" s="96" t="s">
        <v>30</v>
      </c>
      <c r="AJ1914" s="96" t="s">
        <v>30</v>
      </c>
      <c r="AK1914" s="96" t="s">
        <v>30</v>
      </c>
      <c r="AL1914" s="91"/>
      <c r="AM1914" s="840"/>
      <c r="AS1914" s="71"/>
      <c r="AT1914" s="92"/>
      <c r="AU1914" s="92"/>
    </row>
    <row r="1915" spans="1:48">
      <c r="A1915" s="834" t="s">
        <v>24</v>
      </c>
      <c r="B1915" s="835">
        <v>1912</v>
      </c>
      <c r="C1915" s="838" t="s">
        <v>2803</v>
      </c>
      <c r="D1915" s="838" t="s">
        <v>34</v>
      </c>
      <c r="E1915" s="839">
        <v>46021</v>
      </c>
      <c r="F1915" s="838" t="s">
        <v>439</v>
      </c>
      <c r="G1915" s="838">
        <v>17</v>
      </c>
      <c r="H1915" s="838" t="s">
        <v>127</v>
      </c>
      <c r="I1915" s="838" t="s">
        <v>178</v>
      </c>
      <c r="J1915" s="838"/>
      <c r="K1915" s="840" t="s">
        <v>2092</v>
      </c>
      <c r="L1915" s="840" t="s">
        <v>2745</v>
      </c>
      <c r="M1915" s="840" t="s">
        <v>2745</v>
      </c>
      <c r="N1915" s="840" t="s">
        <v>2804</v>
      </c>
      <c r="O1915" s="113" t="s">
        <v>31</v>
      </c>
      <c r="P1915" s="853" t="s">
        <v>30</v>
      </c>
      <c r="Q1915" s="117">
        <v>46021</v>
      </c>
      <c r="R1915" s="24" t="s">
        <v>1138</v>
      </c>
      <c r="S1915" s="24" t="s">
        <v>32</v>
      </c>
      <c r="T1915" s="22">
        <v>10</v>
      </c>
      <c r="U1915" s="24" t="s">
        <v>1138</v>
      </c>
      <c r="V1915" s="117">
        <v>46021</v>
      </c>
      <c r="W1915" s="96" t="s">
        <v>30</v>
      </c>
      <c r="X1915" s="96" t="s">
        <v>30</v>
      </c>
      <c r="Y1915" s="96" t="s">
        <v>30</v>
      </c>
      <c r="Z1915" s="123"/>
      <c r="AA1915" s="123"/>
      <c r="AB1915" s="120"/>
      <c r="AC1915" s="96" t="s">
        <v>30</v>
      </c>
      <c r="AD1915" s="96" t="s">
        <v>30</v>
      </c>
      <c r="AE1915" s="96" t="s">
        <v>30</v>
      </c>
      <c r="AF1915" s="96" t="s">
        <v>30</v>
      </c>
      <c r="AG1915" s="96" t="s">
        <v>30</v>
      </c>
      <c r="AH1915" s="96" t="s">
        <v>30</v>
      </c>
      <c r="AI1915" s="96" t="s">
        <v>30</v>
      </c>
      <c r="AJ1915" s="96" t="s">
        <v>30</v>
      </c>
      <c r="AK1915" s="96" t="s">
        <v>30</v>
      </c>
      <c r="AL1915" s="91"/>
      <c r="AM1915" s="840"/>
      <c r="AO1915" s="776"/>
      <c r="AP1915" s="776"/>
      <c r="AQ1915" s="776"/>
      <c r="AR1915" s="776"/>
    </row>
    <row r="1916" spans="1:48">
      <c r="A1916" s="834" t="s">
        <v>24</v>
      </c>
      <c r="B1916" s="835">
        <v>1913</v>
      </c>
      <c r="C1916" s="838" t="s">
        <v>2805</v>
      </c>
      <c r="D1916" s="838" t="s">
        <v>34</v>
      </c>
      <c r="E1916" s="839">
        <v>46021</v>
      </c>
      <c r="F1916" s="838" t="s">
        <v>1165</v>
      </c>
      <c r="G1916" s="838">
        <v>9</v>
      </c>
      <c r="H1916" s="838" t="s">
        <v>127</v>
      </c>
      <c r="I1916" s="838" t="s">
        <v>178</v>
      </c>
      <c r="J1916" s="838"/>
      <c r="K1916" s="840" t="s">
        <v>2085</v>
      </c>
      <c r="L1916" s="840" t="s">
        <v>2734</v>
      </c>
      <c r="M1916" s="840" t="s">
        <v>2745</v>
      </c>
      <c r="N1916" s="840" t="s">
        <v>2050</v>
      </c>
      <c r="O1916" s="840"/>
      <c r="P1916" s="840" t="s">
        <v>30</v>
      </c>
      <c r="Q1916" s="848">
        <v>46051</v>
      </c>
      <c r="R1916" s="24" t="s">
        <v>2707</v>
      </c>
      <c r="S1916" s="834" t="s">
        <v>32</v>
      </c>
      <c r="T1916" s="834">
        <v>8</v>
      </c>
      <c r="U1916" s="24" t="s">
        <v>2707</v>
      </c>
      <c r="V1916" s="848">
        <v>46051</v>
      </c>
      <c r="W1916" s="96" t="s">
        <v>30</v>
      </c>
      <c r="X1916" s="96" t="s">
        <v>30</v>
      </c>
      <c r="Y1916" s="96" t="s">
        <v>30</v>
      </c>
      <c r="Z1916" s="96" t="s">
        <v>30</v>
      </c>
      <c r="AA1916" s="96" t="s">
        <v>30</v>
      </c>
      <c r="AB1916" s="96" t="s">
        <v>30</v>
      </c>
      <c r="AC1916" s="96" t="s">
        <v>30</v>
      </c>
      <c r="AD1916" s="96" t="s">
        <v>30</v>
      </c>
      <c r="AE1916" s="96" t="s">
        <v>30</v>
      </c>
      <c r="AF1916" s="96" t="s">
        <v>30</v>
      </c>
      <c r="AG1916" s="96" t="s">
        <v>30</v>
      </c>
      <c r="AH1916" s="96" t="s">
        <v>30</v>
      </c>
      <c r="AI1916" s="107" t="s">
        <v>30</v>
      </c>
      <c r="AJ1916" s="107" t="s">
        <v>30</v>
      </c>
      <c r="AK1916" s="107" t="s">
        <v>30</v>
      </c>
      <c r="AL1916" s="91"/>
      <c r="AM1916" s="840"/>
      <c r="AO1916" s="776"/>
      <c r="AP1916" s="776"/>
      <c r="AQ1916" s="776"/>
      <c r="AR1916" s="776"/>
    </row>
    <row r="1917" spans="1:48">
      <c r="A1917" s="834" t="s">
        <v>24</v>
      </c>
      <c r="B1917" s="835">
        <v>1914</v>
      </c>
      <c r="C1917" s="838" t="s">
        <v>2806</v>
      </c>
      <c r="D1917" s="838" t="s">
        <v>43</v>
      </c>
      <c r="E1917" s="839">
        <v>46021</v>
      </c>
      <c r="F1917" s="838" t="s">
        <v>202</v>
      </c>
      <c r="G1917" s="838">
        <v>17</v>
      </c>
      <c r="H1917" s="838" t="s">
        <v>127</v>
      </c>
      <c r="I1917" s="838" t="s">
        <v>178</v>
      </c>
      <c r="J1917" s="250"/>
      <c r="K1917" s="840" t="s">
        <v>2244</v>
      </c>
      <c r="L1917" s="840" t="s">
        <v>2661</v>
      </c>
      <c r="M1917" s="840" t="s">
        <v>2661</v>
      </c>
      <c r="N1917" s="840" t="s">
        <v>2050</v>
      </c>
      <c r="O1917" s="113" t="s">
        <v>31</v>
      </c>
      <c r="P1917" s="245" t="s">
        <v>30</v>
      </c>
      <c r="Q1917" s="848">
        <v>46044</v>
      </c>
      <c r="R1917" s="24" t="s">
        <v>2707</v>
      </c>
      <c r="S1917" s="834" t="s">
        <v>30</v>
      </c>
      <c r="T1917" s="834">
        <v>16</v>
      </c>
      <c r="U1917" s="24" t="s">
        <v>2707</v>
      </c>
      <c r="V1917" s="848">
        <v>46044</v>
      </c>
      <c r="W1917" s="96" t="s">
        <v>30</v>
      </c>
      <c r="X1917" s="90" t="s">
        <v>30</v>
      </c>
      <c r="Y1917" s="96" t="s">
        <v>30</v>
      </c>
      <c r="Z1917" s="96" t="s">
        <v>30</v>
      </c>
      <c r="AA1917" s="96" t="s">
        <v>30</v>
      </c>
      <c r="AB1917" s="96" t="s">
        <v>30</v>
      </c>
      <c r="AC1917" s="96" t="s">
        <v>30</v>
      </c>
      <c r="AD1917" s="96" t="s">
        <v>30</v>
      </c>
      <c r="AE1917" s="96" t="s">
        <v>30</v>
      </c>
      <c r="AF1917" s="96" t="s">
        <v>30</v>
      </c>
      <c r="AG1917" s="96" t="s">
        <v>30</v>
      </c>
      <c r="AH1917" s="96" t="s">
        <v>30</v>
      </c>
      <c r="AI1917" s="90" t="s">
        <v>30</v>
      </c>
      <c r="AJ1917" s="90" t="s">
        <v>30</v>
      </c>
      <c r="AK1917" s="90" t="s">
        <v>30</v>
      </c>
      <c r="AL1917" s="91"/>
      <c r="AM1917" s="840"/>
    </row>
    <row r="1918" spans="1:48">
      <c r="A1918" s="834" t="s">
        <v>24</v>
      </c>
      <c r="B1918" s="835">
        <v>1915</v>
      </c>
      <c r="C1918" s="838" t="s">
        <v>2807</v>
      </c>
      <c r="D1918" s="838" t="s">
        <v>50</v>
      </c>
      <c r="E1918" s="839">
        <v>46021</v>
      </c>
      <c r="F1918" s="838" t="s">
        <v>202</v>
      </c>
      <c r="G1918" s="838">
        <v>13</v>
      </c>
      <c r="H1918" s="838" t="s">
        <v>127</v>
      </c>
      <c r="I1918" s="838" t="s">
        <v>178</v>
      </c>
      <c r="J1918" s="838"/>
      <c r="K1918" s="840" t="s">
        <v>2142</v>
      </c>
      <c r="L1918" s="840" t="s">
        <v>2706</v>
      </c>
      <c r="M1918" s="840" t="s">
        <v>2706</v>
      </c>
      <c r="N1918" s="840" t="s">
        <v>401</v>
      </c>
      <c r="O1918" s="840"/>
      <c r="P1918" s="840" t="s">
        <v>30</v>
      </c>
      <c r="Q1918" s="848">
        <v>46052</v>
      </c>
      <c r="R1918" s="24" t="s">
        <v>1638</v>
      </c>
      <c r="S1918" s="834" t="s">
        <v>32</v>
      </c>
      <c r="T1918" s="834">
        <v>12</v>
      </c>
      <c r="U1918" s="24" t="s">
        <v>1638</v>
      </c>
      <c r="V1918" s="848">
        <v>46052</v>
      </c>
      <c r="W1918" s="96" t="s">
        <v>30</v>
      </c>
      <c r="X1918" s="96" t="s">
        <v>30</v>
      </c>
      <c r="Y1918" s="96" t="s">
        <v>30</v>
      </c>
      <c r="Z1918" s="91" t="s">
        <v>32</v>
      </c>
      <c r="AA1918" s="91" t="s">
        <v>32</v>
      </c>
      <c r="AB1918" s="96" t="s">
        <v>30</v>
      </c>
      <c r="AC1918" s="96" t="s">
        <v>30</v>
      </c>
      <c r="AD1918" s="96" t="s">
        <v>30</v>
      </c>
      <c r="AE1918" s="96" t="s">
        <v>30</v>
      </c>
      <c r="AF1918" s="96" t="s">
        <v>30</v>
      </c>
      <c r="AG1918" s="96" t="s">
        <v>30</v>
      </c>
      <c r="AH1918" s="96" t="s">
        <v>30</v>
      </c>
      <c r="AI1918" s="96" t="s">
        <v>30</v>
      </c>
      <c r="AJ1918" s="96" t="s">
        <v>30</v>
      </c>
      <c r="AK1918" s="91" t="s">
        <v>32</v>
      </c>
      <c r="AL1918" s="91"/>
      <c r="AM1918" s="840" t="s">
        <v>2548</v>
      </c>
    </row>
    <row r="1919" spans="1:48">
      <c r="A1919" s="834" t="s">
        <v>24</v>
      </c>
      <c r="B1919" s="835">
        <v>1916</v>
      </c>
      <c r="C1919" s="838" t="s">
        <v>2808</v>
      </c>
      <c r="D1919" s="838" t="s">
        <v>34</v>
      </c>
      <c r="E1919" s="839">
        <v>46021</v>
      </c>
      <c r="F1919" s="838" t="s">
        <v>272</v>
      </c>
      <c r="G1919" s="838">
        <v>23</v>
      </c>
      <c r="H1919" s="838" t="s">
        <v>67</v>
      </c>
      <c r="I1919" s="838" t="s">
        <v>47</v>
      </c>
      <c r="J1919" s="838"/>
      <c r="K1919" s="840" t="s">
        <v>2119</v>
      </c>
      <c r="L1919" s="840" t="s">
        <v>2799</v>
      </c>
      <c r="M1919" s="840" t="s">
        <v>2799</v>
      </c>
      <c r="N1919" s="840" t="s">
        <v>2050</v>
      </c>
      <c r="O1919" s="113" t="s">
        <v>31</v>
      </c>
      <c r="P1919" s="840" t="s">
        <v>30</v>
      </c>
      <c r="Q1919" s="848">
        <v>46051</v>
      </c>
      <c r="R1919" s="24" t="s">
        <v>1638</v>
      </c>
      <c r="S1919" s="834" t="s">
        <v>32</v>
      </c>
      <c r="T1919" s="834">
        <v>21</v>
      </c>
      <c r="U1919" s="852" t="s">
        <v>1638</v>
      </c>
      <c r="V1919" s="848">
        <v>46051</v>
      </c>
      <c r="W1919" s="96" t="s">
        <v>30</v>
      </c>
      <c r="X1919" s="96" t="s">
        <v>30</v>
      </c>
      <c r="Y1919" s="96" t="s">
        <v>30</v>
      </c>
      <c r="Z1919" s="91" t="s">
        <v>32</v>
      </c>
      <c r="AA1919" s="91" t="s">
        <v>32</v>
      </c>
      <c r="AB1919" s="91" t="s">
        <v>32</v>
      </c>
      <c r="AC1919" s="96" t="s">
        <v>30</v>
      </c>
      <c r="AD1919" s="96" t="s">
        <v>30</v>
      </c>
      <c r="AE1919" s="96" t="s">
        <v>30</v>
      </c>
      <c r="AF1919" s="96" t="s">
        <v>30</v>
      </c>
      <c r="AG1919" s="96" t="s">
        <v>30</v>
      </c>
      <c r="AH1919" s="96" t="s">
        <v>30</v>
      </c>
      <c r="AI1919" s="96" t="s">
        <v>30</v>
      </c>
      <c r="AJ1919" s="107" t="s">
        <v>30</v>
      </c>
      <c r="AK1919" s="107" t="s">
        <v>30</v>
      </c>
      <c r="AL1919" s="91"/>
      <c r="AM1919" s="840" t="s">
        <v>2548</v>
      </c>
    </row>
    <row r="1920" spans="1:48">
      <c r="A1920" s="834" t="s">
        <v>24</v>
      </c>
      <c r="B1920" s="835">
        <v>1917</v>
      </c>
      <c r="C1920" s="838" t="s">
        <v>2809</v>
      </c>
      <c r="D1920" s="838" t="s">
        <v>178</v>
      </c>
      <c r="E1920" s="839">
        <v>46021</v>
      </c>
      <c r="F1920" s="838" t="s">
        <v>688</v>
      </c>
      <c r="G1920" s="838">
        <v>34</v>
      </c>
      <c r="H1920" s="838" t="s">
        <v>67</v>
      </c>
      <c r="I1920" s="838" t="s">
        <v>47</v>
      </c>
      <c r="J1920" s="838"/>
      <c r="K1920" s="840" t="s">
        <v>2102</v>
      </c>
      <c r="L1920" s="840" t="s">
        <v>2706</v>
      </c>
      <c r="M1920" s="840" t="s">
        <v>2728</v>
      </c>
      <c r="N1920" s="840" t="s">
        <v>2050</v>
      </c>
      <c r="O1920" s="113" t="s">
        <v>31</v>
      </c>
      <c r="P1920" s="840" t="s">
        <v>30</v>
      </c>
      <c r="Q1920" s="848">
        <v>46051</v>
      </c>
      <c r="R1920" s="24" t="s">
        <v>1138</v>
      </c>
      <c r="S1920" s="834" t="s">
        <v>32</v>
      </c>
      <c r="T1920" s="22">
        <v>19</v>
      </c>
      <c r="U1920" s="24" t="s">
        <v>1138</v>
      </c>
      <c r="V1920" s="848">
        <v>46051</v>
      </c>
      <c r="W1920" s="96" t="s">
        <v>30</v>
      </c>
      <c r="X1920" s="91" t="s">
        <v>32</v>
      </c>
      <c r="Y1920" s="96" t="s">
        <v>30</v>
      </c>
      <c r="Z1920" s="96" t="s">
        <v>30</v>
      </c>
      <c r="AA1920" s="96" t="s">
        <v>30</v>
      </c>
      <c r="AB1920" s="96" t="s">
        <v>30</v>
      </c>
      <c r="AC1920" s="96" t="s">
        <v>30</v>
      </c>
      <c r="AD1920" s="96" t="s">
        <v>30</v>
      </c>
      <c r="AE1920" s="96" t="s">
        <v>30</v>
      </c>
      <c r="AF1920" s="96" t="s">
        <v>30</v>
      </c>
      <c r="AG1920" s="96" t="s">
        <v>30</v>
      </c>
      <c r="AH1920" s="96" t="s">
        <v>30</v>
      </c>
      <c r="AI1920" s="107" t="s">
        <v>30</v>
      </c>
      <c r="AJ1920" s="107" t="s">
        <v>30</v>
      </c>
      <c r="AK1920" s="110" t="s">
        <v>32</v>
      </c>
      <c r="AL1920" s="91"/>
      <c r="AM1920" s="840" t="s">
        <v>2548</v>
      </c>
      <c r="AN1920" s="6"/>
      <c r="AO1920" s="6"/>
      <c r="AP1920" s="6"/>
      <c r="AQ1920" s="6"/>
      <c r="AR1920" s="6"/>
      <c r="AS1920" s="104"/>
      <c r="AT1920" s="105"/>
      <c r="AU1920" s="105"/>
      <c r="AV1920" s="105"/>
    </row>
    <row r="1921" spans="1:48">
      <c r="A1921" s="834" t="s">
        <v>24</v>
      </c>
      <c r="B1921" s="835">
        <v>1918</v>
      </c>
      <c r="C1921" s="838" t="s">
        <v>2810</v>
      </c>
      <c r="D1921" s="838" t="s">
        <v>374</v>
      </c>
      <c r="E1921" s="839">
        <v>46021</v>
      </c>
      <c r="F1921" s="838" t="s">
        <v>1749</v>
      </c>
      <c r="G1921" s="838">
        <v>19</v>
      </c>
      <c r="H1921" s="838" t="s">
        <v>67</v>
      </c>
      <c r="I1921" s="838" t="s">
        <v>47</v>
      </c>
      <c r="J1921" s="838"/>
      <c r="K1921" s="840" t="s">
        <v>2126</v>
      </c>
      <c r="L1921" s="840" t="s">
        <v>2745</v>
      </c>
      <c r="M1921" s="840" t="s">
        <v>2745</v>
      </c>
      <c r="N1921" s="840" t="s">
        <v>2050</v>
      </c>
      <c r="O1921" s="113" t="s">
        <v>31</v>
      </c>
      <c r="P1921" s="840" t="s">
        <v>30</v>
      </c>
      <c r="Q1921" s="23">
        <v>46050</v>
      </c>
      <c r="R1921" s="24" t="s">
        <v>1138</v>
      </c>
      <c r="S1921" s="22" t="s">
        <v>32</v>
      </c>
      <c r="T1921" s="22">
        <v>13</v>
      </c>
      <c r="U1921" s="24" t="s">
        <v>1138</v>
      </c>
      <c r="V1921" s="23">
        <v>46050</v>
      </c>
      <c r="W1921" s="90" t="s">
        <v>30</v>
      </c>
      <c r="X1921" s="96" t="s">
        <v>30</v>
      </c>
      <c r="Y1921" s="96" t="s">
        <v>30</v>
      </c>
      <c r="Z1921" s="96" t="s">
        <v>30</v>
      </c>
      <c r="AA1921" s="96" t="s">
        <v>30</v>
      </c>
      <c r="AB1921" s="96" t="s">
        <v>30</v>
      </c>
      <c r="AC1921" s="96" t="s">
        <v>30</v>
      </c>
      <c r="AD1921" s="96" t="s">
        <v>30</v>
      </c>
      <c r="AE1921" s="96" t="s">
        <v>30</v>
      </c>
      <c r="AF1921" s="96" t="s">
        <v>30</v>
      </c>
      <c r="AG1921" s="96" t="s">
        <v>30</v>
      </c>
      <c r="AH1921" s="96" t="s">
        <v>30</v>
      </c>
      <c r="AI1921" s="107" t="s">
        <v>30</v>
      </c>
      <c r="AJ1921" s="107" t="s">
        <v>30</v>
      </c>
      <c r="AK1921" s="107" t="s">
        <v>30</v>
      </c>
      <c r="AL1921" s="91"/>
      <c r="AM1921" s="840"/>
    </row>
    <row r="1922" spans="1:48">
      <c r="A1922" s="834" t="s">
        <v>24</v>
      </c>
      <c r="B1922" s="835">
        <v>1919</v>
      </c>
      <c r="C1922" s="838" t="s">
        <v>2811</v>
      </c>
      <c r="D1922" s="838" t="s">
        <v>34</v>
      </c>
      <c r="E1922" s="839">
        <v>46021</v>
      </c>
      <c r="F1922" s="838" t="s">
        <v>668</v>
      </c>
      <c r="G1922" s="838">
        <v>7</v>
      </c>
      <c r="H1922" s="838" t="s">
        <v>67</v>
      </c>
      <c r="I1922" s="838" t="s">
        <v>47</v>
      </c>
      <c r="J1922" s="98"/>
      <c r="K1922" s="840" t="s">
        <v>2056</v>
      </c>
      <c r="L1922" s="840" t="s">
        <v>2799</v>
      </c>
      <c r="M1922" s="840" t="s">
        <v>2799</v>
      </c>
      <c r="N1922" s="840" t="s">
        <v>2058</v>
      </c>
      <c r="O1922" s="840"/>
      <c r="P1922" s="840" t="s">
        <v>30</v>
      </c>
      <c r="Q1922" s="23">
        <v>46057</v>
      </c>
      <c r="R1922" s="24" t="s">
        <v>67</v>
      </c>
      <c r="S1922" s="22" t="s">
        <v>32</v>
      </c>
      <c r="T1922" s="22">
        <v>5</v>
      </c>
      <c r="U1922" s="24" t="s">
        <v>67</v>
      </c>
      <c r="V1922" s="23">
        <v>46057</v>
      </c>
      <c r="W1922" s="96" t="s">
        <v>30</v>
      </c>
      <c r="X1922" s="96" t="s">
        <v>30</v>
      </c>
      <c r="Y1922" s="96" t="s">
        <v>30</v>
      </c>
      <c r="Z1922" s="96" t="s">
        <v>30</v>
      </c>
      <c r="AA1922" s="96" t="s">
        <v>30</v>
      </c>
      <c r="AB1922" s="96" t="s">
        <v>30</v>
      </c>
      <c r="AC1922" s="96" t="s">
        <v>30</v>
      </c>
      <c r="AD1922" s="96" t="s">
        <v>30</v>
      </c>
      <c r="AE1922" s="96" t="s">
        <v>30</v>
      </c>
      <c r="AF1922" s="96" t="s">
        <v>30</v>
      </c>
      <c r="AG1922" s="96" t="s">
        <v>30</v>
      </c>
      <c r="AH1922" s="96" t="s">
        <v>30</v>
      </c>
      <c r="AI1922" s="96" t="s">
        <v>30</v>
      </c>
      <c r="AJ1922" s="96" t="s">
        <v>30</v>
      </c>
      <c r="AK1922" s="96" t="s">
        <v>30</v>
      </c>
      <c r="AL1922" s="91"/>
      <c r="AM1922" s="840"/>
    </row>
    <row r="1923" spans="1:48">
      <c r="A1923" s="834" t="s">
        <v>24</v>
      </c>
      <c r="B1923" s="835">
        <v>1920</v>
      </c>
      <c r="C1923" s="838" t="s">
        <v>2812</v>
      </c>
      <c r="D1923" s="838" t="s">
        <v>469</v>
      </c>
      <c r="E1923" s="839">
        <v>46021</v>
      </c>
      <c r="F1923" s="838" t="s">
        <v>668</v>
      </c>
      <c r="G1923" s="838">
        <v>7</v>
      </c>
      <c r="H1923" s="838" t="s">
        <v>67</v>
      </c>
      <c r="I1923" s="838" t="s">
        <v>47</v>
      </c>
      <c r="J1923" s="98"/>
      <c r="K1923" s="840" t="s">
        <v>2056</v>
      </c>
      <c r="L1923" s="840" t="s">
        <v>2799</v>
      </c>
      <c r="M1923" s="840" t="s">
        <v>2799</v>
      </c>
      <c r="N1923" s="840" t="s">
        <v>2058</v>
      </c>
      <c r="O1923" s="840"/>
      <c r="P1923" s="840" t="s">
        <v>30</v>
      </c>
      <c r="Q1923" s="23">
        <v>46057</v>
      </c>
      <c r="R1923" s="24" t="s">
        <v>67</v>
      </c>
      <c r="S1923" s="22" t="s">
        <v>32</v>
      </c>
      <c r="T1923" s="22">
        <v>5</v>
      </c>
      <c r="U1923" s="24" t="s">
        <v>67</v>
      </c>
      <c r="V1923" s="23">
        <v>46057</v>
      </c>
      <c r="W1923" s="96" t="s">
        <v>30</v>
      </c>
      <c r="X1923" s="91" t="s">
        <v>32</v>
      </c>
      <c r="Y1923" s="96" t="s">
        <v>30</v>
      </c>
      <c r="Z1923" s="96" t="s">
        <v>30</v>
      </c>
      <c r="AA1923" s="96" t="s">
        <v>30</v>
      </c>
      <c r="AB1923" s="96" t="s">
        <v>30</v>
      </c>
      <c r="AC1923" s="96" t="s">
        <v>30</v>
      </c>
      <c r="AD1923" s="96" t="s">
        <v>30</v>
      </c>
      <c r="AE1923" s="96" t="s">
        <v>30</v>
      </c>
      <c r="AF1923" s="110" t="s">
        <v>32</v>
      </c>
      <c r="AG1923" s="110" t="s">
        <v>32</v>
      </c>
      <c r="AH1923" s="96" t="s">
        <v>30</v>
      </c>
      <c r="AI1923" s="96" t="s">
        <v>30</v>
      </c>
      <c r="AJ1923" s="96" t="s">
        <v>30</v>
      </c>
      <c r="AK1923" s="110" t="s">
        <v>32</v>
      </c>
      <c r="AL1923" s="91"/>
      <c r="AM1923" s="840" t="s">
        <v>2545</v>
      </c>
      <c r="AO1923" s="776"/>
      <c r="AP1923" s="776"/>
      <c r="AQ1923" s="776"/>
      <c r="AR1923" s="776"/>
    </row>
    <row r="1924" spans="1:48">
      <c r="A1924" s="834" t="s">
        <v>24</v>
      </c>
      <c r="B1924" s="835">
        <v>1921</v>
      </c>
      <c r="C1924" s="838" t="s">
        <v>2813</v>
      </c>
      <c r="D1924" s="838" t="s">
        <v>34</v>
      </c>
      <c r="E1924" s="839">
        <v>46021</v>
      </c>
      <c r="F1924" s="838" t="s">
        <v>2687</v>
      </c>
      <c r="G1924" s="838">
        <v>14</v>
      </c>
      <c r="H1924" s="838" t="s">
        <v>67</v>
      </c>
      <c r="I1924" s="838" t="s">
        <v>47</v>
      </c>
      <c r="J1924" s="250"/>
      <c r="K1924" s="840" t="s">
        <v>2130</v>
      </c>
      <c r="L1924" s="840" t="s">
        <v>2734</v>
      </c>
      <c r="M1924" s="840" t="s">
        <v>2734</v>
      </c>
      <c r="N1924" s="840" t="s">
        <v>2058</v>
      </c>
      <c r="O1924" s="840"/>
      <c r="P1924" s="840" t="s">
        <v>30</v>
      </c>
      <c r="Q1924" s="23">
        <v>46054</v>
      </c>
      <c r="R1924" s="24" t="s">
        <v>47</v>
      </c>
      <c r="S1924" s="22" t="s">
        <v>30</v>
      </c>
      <c r="T1924" s="22">
        <v>24</v>
      </c>
      <c r="U1924" s="24" t="s">
        <v>47</v>
      </c>
      <c r="V1924" s="23">
        <v>46054</v>
      </c>
      <c r="W1924" s="80" t="s">
        <v>30</v>
      </c>
      <c r="X1924" s="91" t="s">
        <v>32</v>
      </c>
      <c r="Y1924" s="96" t="s">
        <v>30</v>
      </c>
      <c r="Z1924" s="96" t="s">
        <v>30</v>
      </c>
      <c r="AA1924" s="96" t="s">
        <v>30</v>
      </c>
      <c r="AB1924" s="96" t="s">
        <v>30</v>
      </c>
      <c r="AC1924" s="96" t="s">
        <v>30</v>
      </c>
      <c r="AD1924" s="96" t="s">
        <v>30</v>
      </c>
      <c r="AE1924" s="96" t="s">
        <v>30</v>
      </c>
      <c r="AF1924" s="96" t="s">
        <v>30</v>
      </c>
      <c r="AG1924" s="96" t="s">
        <v>30</v>
      </c>
      <c r="AH1924" s="96" t="s">
        <v>30</v>
      </c>
      <c r="AI1924" s="107" t="s">
        <v>30</v>
      </c>
      <c r="AJ1924" s="110" t="s">
        <v>32</v>
      </c>
      <c r="AK1924" s="107" t="s">
        <v>30</v>
      </c>
      <c r="AL1924" s="91"/>
      <c r="AM1924" s="840" t="s">
        <v>2545</v>
      </c>
      <c r="AN1924" s="6"/>
      <c r="AO1924" s="6"/>
      <c r="AP1924" s="6"/>
      <c r="AQ1924" s="6"/>
      <c r="AR1924" s="6"/>
      <c r="AS1924" s="104"/>
      <c r="AT1924" s="105"/>
      <c r="AU1924" s="105"/>
      <c r="AV1924" s="105"/>
    </row>
    <row r="1925" spans="1:48">
      <c r="A1925" s="834" t="s">
        <v>24</v>
      </c>
      <c r="B1925" s="835">
        <v>1922</v>
      </c>
      <c r="C1925" s="838" t="s">
        <v>2814</v>
      </c>
      <c r="D1925" s="838" t="s">
        <v>34</v>
      </c>
      <c r="E1925" s="839">
        <v>46021</v>
      </c>
      <c r="F1925" s="838" t="s">
        <v>2687</v>
      </c>
      <c r="G1925" s="838">
        <v>20</v>
      </c>
      <c r="H1925" s="838" t="s">
        <v>67</v>
      </c>
      <c r="I1925" s="838" t="s">
        <v>47</v>
      </c>
      <c r="J1925" s="250"/>
      <c r="K1925" s="840" t="s">
        <v>2130</v>
      </c>
      <c r="L1925" s="840" t="s">
        <v>2734</v>
      </c>
      <c r="M1925" s="840" t="s">
        <v>2734</v>
      </c>
      <c r="N1925" s="840" t="s">
        <v>401</v>
      </c>
      <c r="O1925" s="113" t="s">
        <v>31</v>
      </c>
      <c r="P1925" s="840" t="s">
        <v>30</v>
      </c>
      <c r="Q1925" s="23">
        <v>46054</v>
      </c>
      <c r="R1925" s="24" t="s">
        <v>47</v>
      </c>
      <c r="S1925" s="22" t="s">
        <v>30</v>
      </c>
      <c r="T1925" s="22">
        <v>12</v>
      </c>
      <c r="U1925" s="24" t="s">
        <v>47</v>
      </c>
      <c r="V1925" s="23">
        <v>46054</v>
      </c>
      <c r="W1925" s="80" t="s">
        <v>30</v>
      </c>
      <c r="X1925" s="91" t="s">
        <v>32</v>
      </c>
      <c r="Y1925" s="96" t="s">
        <v>30</v>
      </c>
      <c r="Z1925" s="91" t="s">
        <v>32</v>
      </c>
      <c r="AA1925" s="91" t="s">
        <v>32</v>
      </c>
      <c r="AB1925" s="96" t="s">
        <v>30</v>
      </c>
      <c r="AC1925" s="96" t="s">
        <v>30</v>
      </c>
      <c r="AD1925" s="96" t="s">
        <v>30</v>
      </c>
      <c r="AE1925" s="96" t="s">
        <v>30</v>
      </c>
      <c r="AF1925" s="96" t="s">
        <v>30</v>
      </c>
      <c r="AG1925" s="96" t="s">
        <v>30</v>
      </c>
      <c r="AH1925" s="96" t="s">
        <v>30</v>
      </c>
      <c r="AI1925" s="107" t="s">
        <v>30</v>
      </c>
      <c r="AJ1925" s="110" t="s">
        <v>32</v>
      </c>
      <c r="AK1925" s="107" t="s">
        <v>30</v>
      </c>
      <c r="AL1925" s="91"/>
      <c r="AM1925" s="840" t="s">
        <v>2545</v>
      </c>
    </row>
    <row r="1926" spans="1:48">
      <c r="A1926" s="834" t="s">
        <v>24</v>
      </c>
      <c r="B1926" s="835">
        <v>1923</v>
      </c>
      <c r="C1926" s="838" t="s">
        <v>2815</v>
      </c>
      <c r="D1926" s="838" t="s">
        <v>178</v>
      </c>
      <c r="E1926" s="839">
        <v>46021</v>
      </c>
      <c r="F1926" s="838" t="s">
        <v>2687</v>
      </c>
      <c r="G1926" s="838">
        <v>14</v>
      </c>
      <c r="H1926" s="838" t="s">
        <v>67</v>
      </c>
      <c r="I1926" s="838" t="s">
        <v>47</v>
      </c>
      <c r="J1926" s="250"/>
      <c r="K1926" s="840" t="s">
        <v>2123</v>
      </c>
      <c r="L1926" s="840" t="s">
        <v>2734</v>
      </c>
      <c r="M1926" s="840" t="s">
        <v>2734</v>
      </c>
      <c r="N1926" s="840" t="s">
        <v>2058</v>
      </c>
      <c r="O1926" s="840"/>
      <c r="P1926" s="840" t="s">
        <v>30</v>
      </c>
      <c r="Q1926" s="23">
        <v>46054</v>
      </c>
      <c r="R1926" s="24" t="s">
        <v>47</v>
      </c>
      <c r="S1926" s="22" t="s">
        <v>30</v>
      </c>
      <c r="T1926" s="22">
        <v>12</v>
      </c>
      <c r="U1926" s="24" t="s">
        <v>47</v>
      </c>
      <c r="V1926" s="23">
        <v>46054</v>
      </c>
      <c r="W1926" s="96" t="s">
        <v>30</v>
      </c>
      <c r="X1926" s="91" t="s">
        <v>32</v>
      </c>
      <c r="Y1926" s="96" t="s">
        <v>30</v>
      </c>
      <c r="Z1926" s="96" t="s">
        <v>30</v>
      </c>
      <c r="AA1926" s="96" t="s">
        <v>30</v>
      </c>
      <c r="AB1926" s="96" t="s">
        <v>30</v>
      </c>
      <c r="AC1926" s="96" t="s">
        <v>30</v>
      </c>
      <c r="AD1926" s="96" t="s">
        <v>30</v>
      </c>
      <c r="AE1926" s="96" t="s">
        <v>30</v>
      </c>
      <c r="AF1926" s="96" t="s">
        <v>30</v>
      </c>
      <c r="AG1926" s="96" t="s">
        <v>30</v>
      </c>
      <c r="AH1926" s="96" t="s">
        <v>30</v>
      </c>
      <c r="AI1926" s="107" t="s">
        <v>30</v>
      </c>
      <c r="AJ1926" s="107" t="s">
        <v>30</v>
      </c>
      <c r="AK1926" s="107" t="s">
        <v>30</v>
      </c>
      <c r="AL1926" s="91"/>
      <c r="AM1926" s="840"/>
    </row>
    <row r="1927" spans="1:48">
      <c r="A1927" s="834" t="s">
        <v>24</v>
      </c>
      <c r="B1927" s="835">
        <v>1924</v>
      </c>
      <c r="C1927" s="838" t="s">
        <v>2816</v>
      </c>
      <c r="D1927" s="838" t="s">
        <v>178</v>
      </c>
      <c r="E1927" s="839">
        <v>46021</v>
      </c>
      <c r="F1927" s="838" t="s">
        <v>2687</v>
      </c>
      <c r="G1927" s="838">
        <v>20</v>
      </c>
      <c r="H1927" s="838" t="s">
        <v>67</v>
      </c>
      <c r="I1927" s="838" t="s">
        <v>47</v>
      </c>
      <c r="J1927" s="98"/>
      <c r="K1927" s="840" t="s">
        <v>2123</v>
      </c>
      <c r="L1927" s="840" t="s">
        <v>2734</v>
      </c>
      <c r="M1927" s="840" t="s">
        <v>2734</v>
      </c>
      <c r="N1927" s="840" t="s">
        <v>401</v>
      </c>
      <c r="O1927" s="113" t="s">
        <v>31</v>
      </c>
      <c r="P1927" s="840" t="s">
        <v>30</v>
      </c>
      <c r="Q1927" s="23">
        <v>46053</v>
      </c>
      <c r="R1927" s="24" t="s">
        <v>47</v>
      </c>
      <c r="S1927" s="22" t="s">
        <v>30</v>
      </c>
      <c r="T1927" s="22">
        <v>23</v>
      </c>
      <c r="U1927" s="24" t="s">
        <v>47</v>
      </c>
      <c r="V1927" s="23">
        <v>46053</v>
      </c>
      <c r="W1927" s="96" t="s">
        <v>30</v>
      </c>
      <c r="X1927" s="91" t="s">
        <v>32</v>
      </c>
      <c r="Y1927" s="96" t="s">
        <v>30</v>
      </c>
      <c r="Z1927" s="96" t="s">
        <v>30</v>
      </c>
      <c r="AA1927" s="96" t="s">
        <v>30</v>
      </c>
      <c r="AB1927" s="96" t="s">
        <v>30</v>
      </c>
      <c r="AC1927" s="96" t="s">
        <v>30</v>
      </c>
      <c r="AD1927" s="96" t="s">
        <v>30</v>
      </c>
      <c r="AE1927" s="96" t="s">
        <v>30</v>
      </c>
      <c r="AF1927" s="96" t="s">
        <v>30</v>
      </c>
      <c r="AG1927" s="96" t="s">
        <v>30</v>
      </c>
      <c r="AH1927" s="96" t="s">
        <v>30</v>
      </c>
      <c r="AI1927" s="107" t="s">
        <v>30</v>
      </c>
      <c r="AJ1927" s="107" t="s">
        <v>30</v>
      </c>
      <c r="AK1927" s="107" t="s">
        <v>30</v>
      </c>
      <c r="AL1927" s="91"/>
      <c r="AM1927" s="840"/>
    </row>
    <row r="1928" spans="1:48">
      <c r="A1928" s="834" t="s">
        <v>24</v>
      </c>
      <c r="B1928" s="835">
        <v>1925</v>
      </c>
      <c r="C1928" s="838" t="s">
        <v>2817</v>
      </c>
      <c r="D1928" s="838" t="s">
        <v>34</v>
      </c>
      <c r="E1928" s="839">
        <v>46021</v>
      </c>
      <c r="F1928" s="838" t="s">
        <v>1081</v>
      </c>
      <c r="G1928" s="838">
        <v>14</v>
      </c>
      <c r="H1928" s="838" t="s">
        <v>1721</v>
      </c>
      <c r="I1928" s="838" t="s">
        <v>1638</v>
      </c>
      <c r="J1928" s="838"/>
      <c r="K1928" s="840" t="s">
        <v>2100</v>
      </c>
      <c r="L1928" s="840" t="s">
        <v>2728</v>
      </c>
      <c r="M1928" s="840" t="s">
        <v>2728</v>
      </c>
      <c r="N1928" s="840" t="s">
        <v>2776</v>
      </c>
      <c r="O1928" s="840"/>
      <c r="P1928" s="840" t="s">
        <v>30</v>
      </c>
      <c r="Q1928" s="23">
        <v>46045</v>
      </c>
      <c r="R1928" s="852" t="s">
        <v>1638</v>
      </c>
      <c r="S1928" s="22" t="s">
        <v>32</v>
      </c>
      <c r="T1928" s="22">
        <v>12</v>
      </c>
      <c r="U1928" s="852" t="s">
        <v>1638</v>
      </c>
      <c r="V1928" s="23">
        <v>46045</v>
      </c>
      <c r="W1928" s="96" t="s">
        <v>30</v>
      </c>
      <c r="X1928" s="96" t="s">
        <v>30</v>
      </c>
      <c r="Y1928" s="96" t="s">
        <v>30</v>
      </c>
      <c r="Z1928" s="96" t="s">
        <v>30</v>
      </c>
      <c r="AA1928" s="96" t="s">
        <v>30</v>
      </c>
      <c r="AB1928" s="96" t="s">
        <v>30</v>
      </c>
      <c r="AC1928" s="96" t="s">
        <v>30</v>
      </c>
      <c r="AD1928" s="96" t="s">
        <v>30</v>
      </c>
      <c r="AE1928" s="96" t="s">
        <v>30</v>
      </c>
      <c r="AF1928" s="96" t="s">
        <v>30</v>
      </c>
      <c r="AG1928" s="96" t="s">
        <v>30</v>
      </c>
      <c r="AH1928" s="96" t="s">
        <v>30</v>
      </c>
      <c r="AI1928" s="107" t="s">
        <v>30</v>
      </c>
      <c r="AJ1928" s="107" t="s">
        <v>30</v>
      </c>
      <c r="AK1928" s="107" t="s">
        <v>30</v>
      </c>
      <c r="AL1928" s="91"/>
      <c r="AM1928" s="840"/>
      <c r="AS1928" s="71"/>
      <c r="AT1928" s="92"/>
      <c r="AU1928" s="92"/>
    </row>
    <row r="1929" spans="1:48">
      <c r="A1929" s="834" t="s">
        <v>24</v>
      </c>
      <c r="B1929" s="835">
        <v>1926</v>
      </c>
      <c r="C1929" s="838" t="s">
        <v>2818</v>
      </c>
      <c r="D1929" s="838" t="s">
        <v>34</v>
      </c>
      <c r="E1929" s="839">
        <v>46021</v>
      </c>
      <c r="F1929" s="838" t="s">
        <v>110</v>
      </c>
      <c r="G1929" s="838">
        <v>16</v>
      </c>
      <c r="H1929" s="838" t="s">
        <v>1721</v>
      </c>
      <c r="I1929" s="838" t="s">
        <v>1638</v>
      </c>
      <c r="J1929" s="838"/>
      <c r="K1929" s="840" t="s">
        <v>2052</v>
      </c>
      <c r="L1929" s="840" t="s">
        <v>2819</v>
      </c>
      <c r="M1929" s="840" t="s">
        <v>2819</v>
      </c>
      <c r="N1929" s="840" t="s">
        <v>110</v>
      </c>
      <c r="O1929" s="113" t="s">
        <v>31</v>
      </c>
      <c r="P1929" s="840" t="s">
        <v>30</v>
      </c>
      <c r="Q1929" s="848">
        <v>46045</v>
      </c>
      <c r="R1929" s="852" t="s">
        <v>1638</v>
      </c>
      <c r="S1929" s="22" t="s">
        <v>32</v>
      </c>
      <c r="T1929" s="22">
        <v>12</v>
      </c>
      <c r="U1929" s="852" t="s">
        <v>1638</v>
      </c>
      <c r="V1929" s="848">
        <v>46045</v>
      </c>
      <c r="W1929" s="80" t="s">
        <v>113</v>
      </c>
      <c r="X1929" s="91" t="s">
        <v>32</v>
      </c>
      <c r="Y1929" s="91"/>
      <c r="Z1929" s="96" t="s">
        <v>30</v>
      </c>
      <c r="AA1929" s="96" t="s">
        <v>30</v>
      </c>
      <c r="AB1929" s="96" t="s">
        <v>30</v>
      </c>
      <c r="AC1929" s="96" t="s">
        <v>30</v>
      </c>
      <c r="AD1929" s="96" t="s">
        <v>30</v>
      </c>
      <c r="AE1929" s="96" t="s">
        <v>30</v>
      </c>
      <c r="AF1929" s="96" t="s">
        <v>30</v>
      </c>
      <c r="AG1929" s="96" t="s">
        <v>30</v>
      </c>
      <c r="AH1929" s="96" t="s">
        <v>30</v>
      </c>
      <c r="AI1929" s="96" t="s">
        <v>30</v>
      </c>
      <c r="AJ1929" s="96" t="s">
        <v>30</v>
      </c>
      <c r="AK1929" s="107" t="s">
        <v>30</v>
      </c>
      <c r="AL1929" s="91"/>
      <c r="AM1929" s="840"/>
    </row>
    <row r="1930" spans="1:48">
      <c r="A1930" s="834" t="s">
        <v>24</v>
      </c>
      <c r="B1930" s="835">
        <v>1927</v>
      </c>
      <c r="C1930" s="838" t="s">
        <v>2820</v>
      </c>
      <c r="D1930" s="838" t="s">
        <v>34</v>
      </c>
      <c r="E1930" s="839">
        <v>46021</v>
      </c>
      <c r="F1930" s="838" t="s">
        <v>1945</v>
      </c>
      <c r="G1930" s="838">
        <v>22</v>
      </c>
      <c r="H1930" s="838" t="s">
        <v>1721</v>
      </c>
      <c r="I1930" s="838" t="s">
        <v>1638</v>
      </c>
      <c r="J1930" s="838"/>
      <c r="K1930" s="840" t="s">
        <v>2180</v>
      </c>
      <c r="L1930" s="840" t="s">
        <v>2799</v>
      </c>
      <c r="M1930" s="840" t="s">
        <v>2799</v>
      </c>
      <c r="N1930" s="840" t="s">
        <v>2050</v>
      </c>
      <c r="O1930" s="113" t="s">
        <v>31</v>
      </c>
      <c r="P1930" s="840" t="s">
        <v>1091</v>
      </c>
      <c r="Q1930" s="23">
        <v>46045</v>
      </c>
      <c r="R1930" s="852" t="s">
        <v>1638</v>
      </c>
      <c r="S1930" s="22" t="s">
        <v>32</v>
      </c>
      <c r="T1930" s="22">
        <v>19</v>
      </c>
      <c r="U1930" s="852" t="s">
        <v>1638</v>
      </c>
      <c r="V1930" s="23">
        <v>46045</v>
      </c>
      <c r="W1930" s="118" t="s">
        <v>30</v>
      </c>
      <c r="X1930" s="96" t="s">
        <v>30</v>
      </c>
      <c r="Y1930" s="96" t="s">
        <v>30</v>
      </c>
      <c r="Z1930" s="121"/>
      <c r="AA1930" s="121"/>
      <c r="AB1930" s="120"/>
      <c r="AC1930" s="107" t="s">
        <v>30</v>
      </c>
      <c r="AD1930" s="107" t="s">
        <v>30</v>
      </c>
      <c r="AE1930" s="107" t="s">
        <v>30</v>
      </c>
      <c r="AF1930" s="107" t="s">
        <v>30</v>
      </c>
      <c r="AG1930" s="107" t="s">
        <v>30</v>
      </c>
      <c r="AH1930" s="96" t="s">
        <v>30</v>
      </c>
      <c r="AI1930" s="96" t="s">
        <v>30</v>
      </c>
      <c r="AJ1930" s="96" t="s">
        <v>30</v>
      </c>
      <c r="AK1930" s="107" t="s">
        <v>30</v>
      </c>
      <c r="AL1930" s="91"/>
      <c r="AM1930" s="840"/>
    </row>
    <row r="1931" spans="1:48">
      <c r="A1931" s="834" t="s">
        <v>24</v>
      </c>
      <c r="B1931" s="835">
        <v>1928</v>
      </c>
      <c r="C1931" s="838" t="s">
        <v>2821</v>
      </c>
      <c r="D1931" s="838" t="s">
        <v>50</v>
      </c>
      <c r="E1931" s="839">
        <v>46021</v>
      </c>
      <c r="F1931" s="838" t="s">
        <v>2701</v>
      </c>
      <c r="G1931" s="838">
        <v>14</v>
      </c>
      <c r="H1931" s="838" t="s">
        <v>1077</v>
      </c>
      <c r="I1931" s="838" t="s">
        <v>1138</v>
      </c>
      <c r="J1931" s="838"/>
      <c r="K1931" s="840" t="s">
        <v>2098</v>
      </c>
      <c r="L1931" s="840" t="s">
        <v>2706</v>
      </c>
      <c r="M1931" s="840" t="s">
        <v>2706</v>
      </c>
      <c r="N1931" s="840" t="s">
        <v>2058</v>
      </c>
      <c r="O1931" s="840"/>
      <c r="P1931" s="245" t="s">
        <v>30</v>
      </c>
      <c r="Q1931" s="23">
        <v>46036</v>
      </c>
      <c r="R1931" s="852" t="s">
        <v>1138</v>
      </c>
      <c r="S1931" s="22" t="s">
        <v>32</v>
      </c>
      <c r="T1931" s="22">
        <v>12</v>
      </c>
      <c r="U1931" s="24" t="s">
        <v>1138</v>
      </c>
      <c r="V1931" s="23">
        <v>46036</v>
      </c>
      <c r="W1931" s="96" t="s">
        <v>30</v>
      </c>
      <c r="X1931" s="96" t="s">
        <v>30</v>
      </c>
      <c r="Y1931" s="118" t="s">
        <v>30</v>
      </c>
      <c r="Z1931" s="96" t="s">
        <v>30</v>
      </c>
      <c r="AA1931" s="96" t="s">
        <v>30</v>
      </c>
      <c r="AB1931" s="96" t="s">
        <v>30</v>
      </c>
      <c r="AC1931" s="96" t="s">
        <v>30</v>
      </c>
      <c r="AD1931" s="96" t="s">
        <v>30</v>
      </c>
      <c r="AE1931" s="96" t="s">
        <v>30</v>
      </c>
      <c r="AF1931" s="96" t="s">
        <v>30</v>
      </c>
      <c r="AG1931" s="96" t="s">
        <v>30</v>
      </c>
      <c r="AH1931" s="96" t="s">
        <v>30</v>
      </c>
      <c r="AI1931" s="96" t="s">
        <v>30</v>
      </c>
      <c r="AJ1931" s="96" t="s">
        <v>30</v>
      </c>
      <c r="AK1931" s="96" t="s">
        <v>30</v>
      </c>
      <c r="AL1931" s="91" t="s">
        <v>32</v>
      </c>
      <c r="AM1931" s="840" t="s">
        <v>2548</v>
      </c>
      <c r="AN1931" s="6"/>
      <c r="AO1931" s="6"/>
      <c r="AP1931" s="6"/>
      <c r="AQ1931" s="6"/>
      <c r="AR1931" s="6"/>
      <c r="AS1931" s="104"/>
      <c r="AT1931" s="105"/>
      <c r="AU1931" s="105"/>
      <c r="AV1931" s="105"/>
    </row>
    <row r="1932" spans="1:48">
      <c r="A1932" s="834" t="s">
        <v>24</v>
      </c>
      <c r="B1932" s="835">
        <v>1929</v>
      </c>
      <c r="C1932" s="838" t="s">
        <v>2822</v>
      </c>
      <c r="D1932" s="838" t="s">
        <v>2823</v>
      </c>
      <c r="E1932" s="839">
        <v>46022</v>
      </c>
      <c r="F1932" s="838" t="s">
        <v>187</v>
      </c>
      <c r="G1932" s="838">
        <v>20</v>
      </c>
      <c r="H1932" s="838" t="s">
        <v>67</v>
      </c>
      <c r="I1932" s="838" t="s">
        <v>47</v>
      </c>
      <c r="J1932" s="838"/>
      <c r="K1932" s="840" t="s">
        <v>2113</v>
      </c>
      <c r="L1932" s="840" t="s">
        <v>2603</v>
      </c>
      <c r="M1932" s="840" t="s">
        <v>2706</v>
      </c>
      <c r="N1932" s="840" t="s">
        <v>2824</v>
      </c>
      <c r="O1932" s="113" t="s">
        <v>31</v>
      </c>
      <c r="P1932" s="840" t="s">
        <v>30</v>
      </c>
      <c r="Q1932" s="848">
        <v>46056</v>
      </c>
      <c r="R1932" s="24" t="s">
        <v>67</v>
      </c>
      <c r="S1932" s="22" t="s">
        <v>1140</v>
      </c>
      <c r="T1932" s="22">
        <v>28</v>
      </c>
      <c r="U1932" s="24" t="s">
        <v>67</v>
      </c>
      <c r="V1932" s="848">
        <v>46056</v>
      </c>
      <c r="W1932" s="91" t="s">
        <v>32</v>
      </c>
      <c r="X1932" s="96" t="s">
        <v>30</v>
      </c>
      <c r="Y1932" s="91"/>
      <c r="Z1932" s="96" t="s">
        <v>30</v>
      </c>
      <c r="AA1932" s="96" t="s">
        <v>30</v>
      </c>
      <c r="AB1932" s="96" t="s">
        <v>30</v>
      </c>
      <c r="AC1932" s="96" t="s">
        <v>30</v>
      </c>
      <c r="AD1932" s="96" t="s">
        <v>30</v>
      </c>
      <c r="AE1932" s="96" t="s">
        <v>30</v>
      </c>
      <c r="AF1932" s="96" t="s">
        <v>30</v>
      </c>
      <c r="AG1932" s="96" t="s">
        <v>30</v>
      </c>
      <c r="AH1932" s="110"/>
      <c r="AI1932" s="96" t="s">
        <v>30</v>
      </c>
      <c r="AJ1932" s="96" t="s">
        <v>30</v>
      </c>
      <c r="AK1932" s="96" t="s">
        <v>30</v>
      </c>
      <c r="AL1932" s="91"/>
      <c r="AM1932" s="840"/>
    </row>
    <row r="1933" spans="1:48">
      <c r="A1933" s="834" t="s">
        <v>24</v>
      </c>
      <c r="B1933" s="835">
        <v>1930</v>
      </c>
      <c r="C1933" s="838" t="s">
        <v>2825</v>
      </c>
      <c r="D1933" s="838" t="s">
        <v>477</v>
      </c>
      <c r="E1933" s="839">
        <v>46022</v>
      </c>
      <c r="F1933" s="838" t="s">
        <v>272</v>
      </c>
      <c r="G1933" s="838">
        <v>24</v>
      </c>
      <c r="H1933" s="838" t="s">
        <v>67</v>
      </c>
      <c r="I1933" s="838" t="s">
        <v>47</v>
      </c>
      <c r="J1933" s="838"/>
      <c r="K1933" s="840" t="s">
        <v>2126</v>
      </c>
      <c r="L1933" s="840" t="s">
        <v>2661</v>
      </c>
      <c r="M1933" s="840" t="s">
        <v>2706</v>
      </c>
      <c r="N1933" s="840" t="s">
        <v>2058</v>
      </c>
      <c r="O1933" s="113" t="s">
        <v>31</v>
      </c>
      <c r="P1933" s="249" t="s">
        <v>30</v>
      </c>
      <c r="Q1933" s="848">
        <v>46050</v>
      </c>
      <c r="R1933" s="24" t="s">
        <v>1138</v>
      </c>
      <c r="S1933" s="22" t="s">
        <v>32</v>
      </c>
      <c r="T1933" s="22">
        <v>20</v>
      </c>
      <c r="U1933" s="24" t="s">
        <v>1138</v>
      </c>
      <c r="V1933" s="848">
        <v>46050</v>
      </c>
      <c r="W1933" s="90" t="s">
        <v>30</v>
      </c>
      <c r="X1933" s="91" t="s">
        <v>32</v>
      </c>
      <c r="Y1933" s="96" t="s">
        <v>30</v>
      </c>
      <c r="Z1933" s="96" t="s">
        <v>30</v>
      </c>
      <c r="AA1933" s="96" t="s">
        <v>30</v>
      </c>
      <c r="AB1933" s="96" t="s">
        <v>30</v>
      </c>
      <c r="AC1933" s="96" t="s">
        <v>30</v>
      </c>
      <c r="AD1933" s="96" t="s">
        <v>30</v>
      </c>
      <c r="AE1933" s="96" t="s">
        <v>30</v>
      </c>
      <c r="AF1933" s="91" t="s">
        <v>32</v>
      </c>
      <c r="AG1933" s="91" t="s">
        <v>32</v>
      </c>
      <c r="AH1933" s="96" t="s">
        <v>30</v>
      </c>
      <c r="AI1933" s="96" t="s">
        <v>30</v>
      </c>
      <c r="AJ1933" s="96" t="s">
        <v>30</v>
      </c>
      <c r="AK1933" s="96" t="s">
        <v>30</v>
      </c>
      <c r="AL1933" s="91"/>
      <c r="AM1933" s="840"/>
    </row>
    <row r="1934" spans="1:48">
      <c r="A1934" s="834" t="s">
        <v>2342</v>
      </c>
      <c r="B1934" s="835">
        <v>1931</v>
      </c>
      <c r="C1934" s="834" t="s">
        <v>2537</v>
      </c>
      <c r="D1934" s="834" t="s">
        <v>2506</v>
      </c>
      <c r="E1934" s="839">
        <v>45992.375</v>
      </c>
      <c r="F1934" s="838" t="s">
        <v>140</v>
      </c>
      <c r="G1934" s="838">
        <v>1</v>
      </c>
      <c r="H1934" s="838" t="s">
        <v>1721</v>
      </c>
      <c r="I1934" s="838"/>
      <c r="J1934" s="838"/>
      <c r="K1934" s="840"/>
      <c r="L1934" s="840"/>
      <c r="M1934" s="840"/>
      <c r="N1934" s="840"/>
      <c r="O1934" s="840"/>
      <c r="P1934" s="853" t="s">
        <v>30</v>
      </c>
      <c r="Q1934" s="23">
        <v>46054</v>
      </c>
      <c r="R1934" s="24" t="s">
        <v>67</v>
      </c>
      <c r="S1934" s="22" t="s">
        <v>32</v>
      </c>
      <c r="T1934" s="22">
        <v>4</v>
      </c>
      <c r="U1934" s="24" t="s">
        <v>67</v>
      </c>
      <c r="V1934" s="23">
        <v>46054</v>
      </c>
      <c r="W1934" s="96" t="s">
        <v>113</v>
      </c>
      <c r="X1934" s="96"/>
      <c r="Y1934" s="91"/>
      <c r="Z1934" s="96"/>
      <c r="AA1934" s="96"/>
      <c r="AB1934" s="96"/>
      <c r="AC1934" s="96"/>
      <c r="AD1934" s="96"/>
      <c r="AE1934" s="96"/>
      <c r="AF1934" s="96"/>
      <c r="AG1934" s="96"/>
      <c r="AH1934" s="110"/>
      <c r="AI1934" s="96"/>
      <c r="AJ1934" s="96"/>
      <c r="AK1934" s="96"/>
      <c r="AL1934" s="91"/>
      <c r="AM1934" s="840"/>
    </row>
    <row r="1935" spans="1:48">
      <c r="A1935" s="834" t="s">
        <v>2342</v>
      </c>
      <c r="B1935" s="835">
        <v>1932</v>
      </c>
      <c r="C1935" s="834" t="s">
        <v>2826</v>
      </c>
      <c r="D1935" s="834" t="s">
        <v>2827</v>
      </c>
      <c r="E1935" s="839">
        <v>45992.041666666664</v>
      </c>
      <c r="F1935" s="838" t="s">
        <v>140</v>
      </c>
      <c r="G1935" s="838">
        <v>3</v>
      </c>
      <c r="H1935" s="838" t="s">
        <v>127</v>
      </c>
      <c r="I1935" s="838"/>
      <c r="J1935" s="838"/>
      <c r="K1935" s="840"/>
      <c r="L1935" s="840"/>
      <c r="M1935" s="840"/>
      <c r="N1935" s="840"/>
      <c r="O1935" s="853"/>
      <c r="P1935" s="853" t="s">
        <v>30</v>
      </c>
      <c r="Q1935" s="23">
        <v>46054</v>
      </c>
      <c r="R1935" s="24" t="s">
        <v>67</v>
      </c>
      <c r="S1935" s="22" t="s">
        <v>32</v>
      </c>
      <c r="T1935" s="22">
        <v>3</v>
      </c>
      <c r="U1935" s="24" t="s">
        <v>67</v>
      </c>
      <c r="V1935" s="23">
        <v>46054</v>
      </c>
      <c r="W1935" s="96" t="s">
        <v>113</v>
      </c>
      <c r="X1935" s="96"/>
      <c r="Y1935" s="91"/>
      <c r="Z1935" s="96"/>
      <c r="AA1935" s="96"/>
      <c r="AB1935" s="96"/>
      <c r="AC1935" s="96"/>
      <c r="AD1935" s="96"/>
      <c r="AE1935" s="96"/>
      <c r="AF1935" s="96"/>
      <c r="AG1935" s="96"/>
      <c r="AH1935" s="110"/>
      <c r="AI1935" s="110"/>
      <c r="AJ1935" s="110"/>
      <c r="AK1935" s="110"/>
      <c r="AL1935" s="91"/>
      <c r="AM1935" s="840"/>
    </row>
    <row r="1936" spans="1:48">
      <c r="A1936" s="834" t="s">
        <v>2342</v>
      </c>
      <c r="B1936" s="835">
        <v>1933</v>
      </c>
      <c r="C1936" s="834" t="s">
        <v>2828</v>
      </c>
      <c r="D1936" s="834" t="s">
        <v>2829</v>
      </c>
      <c r="E1936" s="839">
        <v>45992.041666666664</v>
      </c>
      <c r="F1936" s="838" t="s">
        <v>140</v>
      </c>
      <c r="G1936" s="838">
        <v>2</v>
      </c>
      <c r="H1936" s="838" t="s">
        <v>127</v>
      </c>
      <c r="I1936" s="838"/>
      <c r="J1936" s="838"/>
      <c r="K1936" s="840"/>
      <c r="L1936" s="840"/>
      <c r="M1936" s="840"/>
      <c r="N1936" s="840"/>
      <c r="O1936" s="248"/>
      <c r="P1936" s="853" t="s">
        <v>30</v>
      </c>
      <c r="Q1936" s="23">
        <v>46054</v>
      </c>
      <c r="R1936" s="24" t="s">
        <v>67</v>
      </c>
      <c r="S1936" s="22" t="s">
        <v>32</v>
      </c>
      <c r="T1936" s="22">
        <v>2</v>
      </c>
      <c r="U1936" s="24" t="s">
        <v>67</v>
      </c>
      <c r="V1936" s="23">
        <v>46054</v>
      </c>
      <c r="W1936" s="96" t="s">
        <v>113</v>
      </c>
      <c r="X1936" s="96"/>
      <c r="Y1936" s="91"/>
      <c r="Z1936" s="96"/>
      <c r="AA1936" s="96"/>
      <c r="AB1936" s="96"/>
      <c r="AC1936" s="96"/>
      <c r="AD1936" s="96"/>
      <c r="AE1936" s="96"/>
      <c r="AF1936" s="96"/>
      <c r="AG1936" s="96"/>
      <c r="AH1936" s="110"/>
      <c r="AI1936" s="110"/>
      <c r="AJ1936" s="110"/>
      <c r="AK1936" s="110"/>
      <c r="AL1936" s="91"/>
      <c r="AM1936" s="840"/>
      <c r="AR1936" s="84"/>
      <c r="AS1936" s="71"/>
      <c r="AT1936" s="71"/>
      <c r="AU1936" s="71"/>
    </row>
    <row r="1937" spans="1:48">
      <c r="A1937" s="834" t="s">
        <v>2342</v>
      </c>
      <c r="B1937" s="835">
        <v>1934</v>
      </c>
      <c r="C1937" s="834" t="s">
        <v>2830</v>
      </c>
      <c r="D1937" s="834" t="s">
        <v>2831</v>
      </c>
      <c r="E1937" s="839">
        <v>45992.041666666664</v>
      </c>
      <c r="F1937" s="838" t="s">
        <v>140</v>
      </c>
      <c r="G1937" s="838">
        <v>6</v>
      </c>
      <c r="H1937" s="838" t="s">
        <v>127</v>
      </c>
      <c r="I1937" s="838"/>
      <c r="J1937" s="838"/>
      <c r="K1937" s="840"/>
      <c r="L1937" s="840"/>
      <c r="M1937" s="840"/>
      <c r="N1937" s="840"/>
      <c r="O1937" s="853"/>
      <c r="P1937" s="853" t="s">
        <v>30</v>
      </c>
      <c r="Q1937" s="23">
        <v>46054</v>
      </c>
      <c r="R1937" s="24" t="s">
        <v>67</v>
      </c>
      <c r="S1937" s="22" t="s">
        <v>32</v>
      </c>
      <c r="T1937" s="22">
        <v>6</v>
      </c>
      <c r="U1937" s="24" t="s">
        <v>67</v>
      </c>
      <c r="V1937" s="23">
        <v>46054</v>
      </c>
      <c r="W1937" s="96" t="s">
        <v>113</v>
      </c>
      <c r="X1937" s="96"/>
      <c r="Y1937" s="91"/>
      <c r="Z1937" s="91"/>
      <c r="AA1937" s="91"/>
      <c r="AB1937" s="91"/>
      <c r="AC1937" s="96"/>
      <c r="AD1937" s="96"/>
      <c r="AE1937" s="96"/>
      <c r="AF1937" s="96"/>
      <c r="AG1937" s="96"/>
      <c r="AH1937" s="110"/>
      <c r="AI1937" s="96"/>
      <c r="AJ1937" s="96"/>
      <c r="AK1937" s="96"/>
      <c r="AL1937" s="91"/>
      <c r="AM1937" s="840"/>
    </row>
    <row r="1938" spans="1:48">
      <c r="A1938" s="834" t="s">
        <v>2342</v>
      </c>
      <c r="B1938" s="835">
        <v>1935</v>
      </c>
      <c r="C1938" s="834" t="s">
        <v>2832</v>
      </c>
      <c r="D1938" s="834" t="s">
        <v>989</v>
      </c>
      <c r="E1938" s="839">
        <v>45992</v>
      </c>
      <c r="F1938" s="838" t="s">
        <v>140</v>
      </c>
      <c r="G1938" s="838">
        <v>3</v>
      </c>
      <c r="H1938" s="838" t="s">
        <v>67</v>
      </c>
      <c r="I1938" s="838"/>
      <c r="J1938" s="838"/>
      <c r="K1938" s="840"/>
      <c r="L1938" s="840"/>
      <c r="M1938" s="840"/>
      <c r="N1938" s="840"/>
      <c r="O1938" s="853"/>
      <c r="P1938" s="853" t="s">
        <v>30</v>
      </c>
      <c r="Q1938" s="23">
        <v>46054</v>
      </c>
      <c r="R1938" s="24" t="s">
        <v>67</v>
      </c>
      <c r="S1938" s="22" t="s">
        <v>32</v>
      </c>
      <c r="T1938" s="22">
        <v>3</v>
      </c>
      <c r="U1938" s="24" t="s">
        <v>67</v>
      </c>
      <c r="V1938" s="23">
        <v>46054</v>
      </c>
      <c r="W1938" s="96" t="s">
        <v>113</v>
      </c>
      <c r="X1938" s="96"/>
      <c r="Y1938" s="91"/>
      <c r="Z1938" s="96"/>
      <c r="AA1938" s="96"/>
      <c r="AB1938" s="96"/>
      <c r="AC1938" s="96"/>
      <c r="AD1938" s="96"/>
      <c r="AE1938" s="96"/>
      <c r="AF1938" s="96"/>
      <c r="AG1938" s="96"/>
      <c r="AH1938" s="110"/>
      <c r="AI1938" s="96"/>
      <c r="AJ1938" s="96"/>
      <c r="AK1938" s="96"/>
      <c r="AL1938" s="91"/>
      <c r="AM1938" s="840"/>
    </row>
    <row r="1939" spans="1:48">
      <c r="A1939" s="834" t="s">
        <v>2342</v>
      </c>
      <c r="B1939" s="835">
        <v>1936</v>
      </c>
      <c r="C1939" s="834" t="s">
        <v>2833</v>
      </c>
      <c r="D1939" s="834" t="s">
        <v>2834</v>
      </c>
      <c r="E1939" s="839">
        <v>45999.375</v>
      </c>
      <c r="F1939" s="838" t="s">
        <v>140</v>
      </c>
      <c r="G1939" s="838">
        <v>7</v>
      </c>
      <c r="H1939" s="838" t="s">
        <v>2835</v>
      </c>
      <c r="I1939" s="838"/>
      <c r="J1939" s="220" t="s">
        <v>2576</v>
      </c>
      <c r="K1939" s="840"/>
      <c r="L1939" s="840"/>
      <c r="M1939" s="840"/>
      <c r="N1939" s="840"/>
      <c r="O1939" s="248"/>
      <c r="P1939" s="853"/>
      <c r="Q1939" s="23"/>
      <c r="R1939" s="24" t="s">
        <v>28</v>
      </c>
      <c r="S1939" s="22" t="s">
        <v>32</v>
      </c>
      <c r="T1939" s="22">
        <v>1</v>
      </c>
      <c r="U1939" s="24" t="s">
        <v>28</v>
      </c>
      <c r="V1939" s="23"/>
      <c r="W1939" s="96" t="s">
        <v>113</v>
      </c>
      <c r="X1939" s="91"/>
      <c r="Y1939" s="91"/>
      <c r="Z1939" s="96"/>
      <c r="AA1939" s="96"/>
      <c r="AB1939" s="96"/>
      <c r="AC1939" s="96"/>
      <c r="AD1939" s="96"/>
      <c r="AE1939" s="96"/>
      <c r="AF1939" s="96"/>
      <c r="AG1939" s="96"/>
      <c r="AH1939" s="110"/>
      <c r="AI1939" s="96"/>
      <c r="AJ1939" s="96"/>
      <c r="AK1939" s="96"/>
      <c r="AL1939" s="91"/>
      <c r="AM1939" s="840"/>
      <c r="AR1939" s="84"/>
      <c r="AS1939" s="71"/>
      <c r="AT1939" s="71"/>
      <c r="AU1939" s="71"/>
    </row>
    <row r="1940" spans="1:48">
      <c r="A1940" s="834" t="s">
        <v>2342</v>
      </c>
      <c r="B1940" s="835">
        <v>1937</v>
      </c>
      <c r="C1940" s="834" t="s">
        <v>2836</v>
      </c>
      <c r="D1940" s="834" t="s">
        <v>2837</v>
      </c>
      <c r="E1940" s="839">
        <v>45999.375</v>
      </c>
      <c r="F1940" s="838" t="s">
        <v>140</v>
      </c>
      <c r="G1940" s="838">
        <v>6</v>
      </c>
      <c r="H1940" s="838" t="s">
        <v>67</v>
      </c>
      <c r="I1940" s="838"/>
      <c r="J1940" s="220" t="s">
        <v>2576</v>
      </c>
      <c r="K1940" s="840"/>
      <c r="L1940" s="840"/>
      <c r="M1940" s="840"/>
      <c r="N1940" s="840"/>
      <c r="O1940" s="248"/>
      <c r="P1940" s="853"/>
      <c r="Q1940" s="23"/>
      <c r="R1940" s="24" t="s">
        <v>28</v>
      </c>
      <c r="S1940" s="22" t="s">
        <v>32</v>
      </c>
      <c r="T1940" s="22">
        <v>1</v>
      </c>
      <c r="U1940" s="24" t="s">
        <v>28</v>
      </c>
      <c r="V1940" s="23"/>
      <c r="W1940" s="96" t="s">
        <v>113</v>
      </c>
      <c r="X1940" s="91"/>
      <c r="Y1940" s="91"/>
      <c r="Z1940" s="96"/>
      <c r="AA1940" s="96"/>
      <c r="AB1940" s="96"/>
      <c r="AC1940" s="96"/>
      <c r="AD1940" s="96"/>
      <c r="AE1940" s="96"/>
      <c r="AF1940" s="96"/>
      <c r="AG1940" s="96"/>
      <c r="AH1940" s="110"/>
      <c r="AI1940" s="96"/>
      <c r="AJ1940" s="96"/>
      <c r="AK1940" s="96"/>
      <c r="AL1940" s="91"/>
      <c r="AM1940" s="840"/>
      <c r="AR1940" s="84"/>
      <c r="AS1940" s="71"/>
      <c r="AT1940" s="71"/>
      <c r="AU1940" s="71"/>
    </row>
    <row r="1941" spans="1:48">
      <c r="A1941" s="834" t="s">
        <v>2342</v>
      </c>
      <c r="B1941" s="835">
        <v>1938</v>
      </c>
      <c r="C1941" s="834" t="s">
        <v>2838</v>
      </c>
      <c r="D1941" s="834" t="s">
        <v>2839</v>
      </c>
      <c r="E1941" s="839">
        <v>45999</v>
      </c>
      <c r="F1941" s="838" t="s">
        <v>140</v>
      </c>
      <c r="G1941" s="838">
        <v>7</v>
      </c>
      <c r="H1941" s="838" t="s">
        <v>2840</v>
      </c>
      <c r="I1941" s="838"/>
      <c r="J1941" s="838"/>
      <c r="K1941" s="840"/>
      <c r="L1941" s="840"/>
      <c r="M1941" s="840"/>
      <c r="N1941" s="840"/>
      <c r="O1941" s="853"/>
      <c r="P1941" s="853" t="s">
        <v>30</v>
      </c>
      <c r="Q1941" s="23">
        <v>46053</v>
      </c>
      <c r="R1941" s="24" t="s">
        <v>28</v>
      </c>
      <c r="S1941" s="22" t="s">
        <v>32</v>
      </c>
      <c r="T1941" s="22">
        <v>1</v>
      </c>
      <c r="U1941" s="24" t="s">
        <v>28</v>
      </c>
      <c r="V1941" s="23">
        <v>46053</v>
      </c>
      <c r="W1941" s="96" t="s">
        <v>113</v>
      </c>
      <c r="X1941" s="96"/>
      <c r="Y1941" s="91"/>
      <c r="Z1941" s="91"/>
      <c r="AA1941" s="91"/>
      <c r="AB1941" s="91"/>
      <c r="AC1941" s="96"/>
      <c r="AD1941" s="96"/>
      <c r="AE1941" s="96"/>
      <c r="AF1941" s="96"/>
      <c r="AG1941" s="96"/>
      <c r="AH1941" s="110"/>
      <c r="AI1941" s="108"/>
      <c r="AJ1941" s="108"/>
      <c r="AK1941" s="108"/>
      <c r="AL1941" s="91"/>
      <c r="AM1941" s="840"/>
      <c r="AO1941" s="776"/>
      <c r="AP1941" s="776"/>
      <c r="AQ1941" s="776"/>
      <c r="AR1941" s="776"/>
    </row>
    <row r="1942" spans="1:48">
      <c r="A1942" s="834" t="s">
        <v>2342</v>
      </c>
      <c r="B1942" s="835">
        <v>1939</v>
      </c>
      <c r="C1942" s="834" t="s">
        <v>2841</v>
      </c>
      <c r="D1942" s="834" t="s">
        <v>2842</v>
      </c>
      <c r="E1942" s="839">
        <v>45999.375</v>
      </c>
      <c r="F1942" s="838" t="s">
        <v>140</v>
      </c>
      <c r="G1942" s="838">
        <v>15</v>
      </c>
      <c r="H1942" s="838" t="s">
        <v>1721</v>
      </c>
      <c r="I1942" s="838"/>
      <c r="J1942" s="219"/>
      <c r="K1942" s="834"/>
      <c r="L1942" s="834"/>
      <c r="M1942" s="834"/>
      <c r="N1942" s="834"/>
      <c r="O1942" s="113"/>
      <c r="P1942" s="853" t="s">
        <v>30</v>
      </c>
      <c r="Q1942" s="23">
        <v>46056</v>
      </c>
      <c r="R1942" s="24" t="s">
        <v>67</v>
      </c>
      <c r="S1942" s="22" t="s">
        <v>32</v>
      </c>
      <c r="T1942" s="22">
        <v>15</v>
      </c>
      <c r="U1942" s="24" t="s">
        <v>67</v>
      </c>
      <c r="V1942" s="23">
        <v>46056</v>
      </c>
      <c r="W1942" s="96" t="s">
        <v>113</v>
      </c>
      <c r="X1942" s="91"/>
      <c r="Y1942" s="91"/>
      <c r="Z1942" s="96"/>
      <c r="AA1942" s="96"/>
      <c r="AB1942" s="96"/>
      <c r="AC1942" s="96"/>
      <c r="AD1942" s="96"/>
      <c r="AE1942" s="96"/>
      <c r="AF1942" s="96"/>
      <c r="AG1942" s="96"/>
      <c r="AH1942" s="110"/>
      <c r="AI1942" s="96"/>
      <c r="AJ1942" s="96"/>
      <c r="AK1942" s="96"/>
      <c r="AL1942" s="91"/>
      <c r="AM1942" s="840"/>
      <c r="AN1942" s="6"/>
      <c r="AO1942" s="6"/>
      <c r="AP1942" s="6"/>
      <c r="AQ1942" s="6"/>
      <c r="AR1942" s="6"/>
      <c r="AS1942" s="104"/>
      <c r="AT1942" s="105"/>
      <c r="AU1942" s="105"/>
      <c r="AV1942" s="105"/>
    </row>
    <row r="1943" spans="1:48">
      <c r="A1943" s="834" t="s">
        <v>2342</v>
      </c>
      <c r="B1943" s="835">
        <v>1940</v>
      </c>
      <c r="C1943" s="834" t="s">
        <v>2843</v>
      </c>
      <c r="D1943" s="834" t="s">
        <v>2844</v>
      </c>
      <c r="E1943" s="839">
        <v>46013.375</v>
      </c>
      <c r="F1943" s="838" t="s">
        <v>140</v>
      </c>
      <c r="G1943" s="838">
        <v>7</v>
      </c>
      <c r="H1943" s="838" t="s">
        <v>67</v>
      </c>
      <c r="I1943" s="838"/>
      <c r="J1943" s="219"/>
      <c r="K1943" s="834"/>
      <c r="L1943" s="834"/>
      <c r="M1943" s="834"/>
      <c r="N1943" s="834"/>
      <c r="O1943" s="113"/>
      <c r="P1943" s="853" t="s">
        <v>30</v>
      </c>
      <c r="Q1943" s="23">
        <v>46054</v>
      </c>
      <c r="R1943" s="24" t="s">
        <v>67</v>
      </c>
      <c r="S1943" s="22" t="s">
        <v>32</v>
      </c>
      <c r="T1943" s="22">
        <v>7</v>
      </c>
      <c r="U1943" s="24" t="s">
        <v>67</v>
      </c>
      <c r="V1943" s="23">
        <v>46054</v>
      </c>
      <c r="W1943" s="96" t="s">
        <v>113</v>
      </c>
      <c r="X1943" s="96"/>
      <c r="Y1943" s="91"/>
      <c r="Z1943" s="96"/>
      <c r="AA1943" s="96"/>
      <c r="AB1943" s="96"/>
      <c r="AC1943" s="96"/>
      <c r="AD1943" s="96"/>
      <c r="AE1943" s="96"/>
      <c r="AF1943" s="96"/>
      <c r="AG1943" s="96"/>
      <c r="AH1943" s="110"/>
      <c r="AI1943" s="96"/>
      <c r="AJ1943" s="96"/>
      <c r="AK1943" s="96"/>
      <c r="AL1943" s="91"/>
      <c r="AM1943" s="840"/>
      <c r="AN1943" s="6"/>
      <c r="AO1943" s="6"/>
      <c r="AP1943" s="6"/>
      <c r="AQ1943" s="6"/>
      <c r="AR1943" s="6"/>
      <c r="AS1943" s="104"/>
      <c r="AT1943" s="105"/>
      <c r="AU1943" s="105"/>
      <c r="AV1943" s="105"/>
    </row>
    <row r="1944" spans="1:48">
      <c r="A1944" s="834" t="s">
        <v>2342</v>
      </c>
      <c r="B1944" s="835">
        <v>1941</v>
      </c>
      <c r="C1944" s="834" t="s">
        <v>2845</v>
      </c>
      <c r="D1944" s="834" t="s">
        <v>2846</v>
      </c>
      <c r="E1944" s="839"/>
      <c r="F1944" s="838"/>
      <c r="G1944" s="838"/>
      <c r="H1944" s="838"/>
      <c r="I1944" s="838"/>
      <c r="J1944" s="219"/>
      <c r="K1944" s="834"/>
      <c r="L1944" s="834"/>
      <c r="M1944" s="834"/>
      <c r="N1944" s="834"/>
      <c r="O1944" s="113"/>
      <c r="P1944" s="853" t="s">
        <v>30</v>
      </c>
      <c r="Q1944" s="23">
        <v>46056</v>
      </c>
      <c r="R1944" s="24" t="s">
        <v>67</v>
      </c>
      <c r="S1944" s="22" t="s">
        <v>32</v>
      </c>
      <c r="T1944" s="22">
        <v>12</v>
      </c>
      <c r="U1944" s="24" t="s">
        <v>67</v>
      </c>
      <c r="V1944" s="23">
        <v>46056</v>
      </c>
      <c r="W1944" s="96" t="s">
        <v>113</v>
      </c>
      <c r="X1944" s="96"/>
      <c r="Y1944" s="91"/>
      <c r="Z1944" s="96"/>
      <c r="AA1944" s="96"/>
      <c r="AB1944" s="96"/>
      <c r="AC1944" s="96"/>
      <c r="AD1944" s="96"/>
      <c r="AE1944" s="96"/>
      <c r="AF1944" s="96"/>
      <c r="AG1944" s="96"/>
      <c r="AH1944" s="110"/>
      <c r="AI1944" s="96"/>
      <c r="AJ1944" s="96"/>
      <c r="AK1944" s="96"/>
      <c r="AL1944" s="91"/>
      <c r="AM1944" s="840"/>
      <c r="AN1944" s="6"/>
      <c r="AO1944" s="6"/>
      <c r="AP1944" s="6"/>
      <c r="AQ1944" s="6"/>
      <c r="AR1944" s="6"/>
      <c r="AS1944" s="104"/>
      <c r="AT1944" s="105"/>
      <c r="AU1944" s="105"/>
      <c r="AV1944" s="105"/>
    </row>
    <row r="1945" spans="1:48">
      <c r="A1945" s="834" t="s">
        <v>2342</v>
      </c>
      <c r="B1945" s="835">
        <v>1942</v>
      </c>
      <c r="C1945" s="834" t="s">
        <v>2847</v>
      </c>
      <c r="D1945" s="834" t="s">
        <v>2848</v>
      </c>
      <c r="E1945" s="839">
        <v>46006.375</v>
      </c>
      <c r="F1945" s="838" t="s">
        <v>140</v>
      </c>
      <c r="G1945" s="838">
        <v>2</v>
      </c>
      <c r="H1945" s="838" t="s">
        <v>1721</v>
      </c>
      <c r="I1945" s="838"/>
      <c r="J1945" s="219"/>
      <c r="K1945" s="834"/>
      <c r="L1945" s="834"/>
      <c r="M1945" s="834"/>
      <c r="N1945" s="834"/>
      <c r="O1945" s="113"/>
      <c r="P1945" s="853" t="s">
        <v>30</v>
      </c>
      <c r="Q1945" s="23">
        <v>46053</v>
      </c>
      <c r="R1945" s="24" t="s">
        <v>28</v>
      </c>
      <c r="S1945" s="22" t="s">
        <v>32</v>
      </c>
      <c r="T1945" s="22">
        <v>2</v>
      </c>
      <c r="U1945" s="24" t="s">
        <v>28</v>
      </c>
      <c r="V1945" s="23">
        <v>46053</v>
      </c>
      <c r="W1945" s="96" t="s">
        <v>113</v>
      </c>
      <c r="X1945" s="96"/>
      <c r="Y1945" s="91"/>
      <c r="Z1945" s="91"/>
      <c r="AA1945" s="91"/>
      <c r="AB1945" s="91"/>
      <c r="AC1945" s="96"/>
      <c r="AD1945" s="96"/>
      <c r="AE1945" s="96"/>
      <c r="AF1945" s="96"/>
      <c r="AG1945" s="96"/>
      <c r="AH1945" s="110"/>
      <c r="AI1945" s="96"/>
      <c r="AJ1945" s="96"/>
      <c r="AK1945" s="96"/>
      <c r="AL1945" s="91"/>
      <c r="AM1945" s="840"/>
    </row>
    <row r="1946" spans="1:48">
      <c r="A1946" s="834" t="s">
        <v>2342</v>
      </c>
      <c r="B1946" s="835">
        <v>1943</v>
      </c>
      <c r="C1946" s="834" t="s">
        <v>2849</v>
      </c>
      <c r="D1946" s="834" t="s">
        <v>1603</v>
      </c>
      <c r="E1946" s="839">
        <v>45999.375</v>
      </c>
      <c r="F1946" s="838" t="s">
        <v>140</v>
      </c>
      <c r="G1946" s="838">
        <v>5</v>
      </c>
      <c r="H1946" s="838" t="s">
        <v>67</v>
      </c>
      <c r="I1946" s="838"/>
      <c r="J1946" s="838"/>
      <c r="K1946" s="834"/>
      <c r="L1946" s="834"/>
      <c r="M1946" s="834"/>
      <c r="N1946" s="834"/>
      <c r="O1946" s="848"/>
      <c r="P1946" s="853" t="s">
        <v>30</v>
      </c>
      <c r="Q1946" s="23">
        <v>46054</v>
      </c>
      <c r="R1946" s="24" t="s">
        <v>67</v>
      </c>
      <c r="S1946" s="22" t="s">
        <v>32</v>
      </c>
      <c r="T1946" s="22">
        <v>5</v>
      </c>
      <c r="U1946" s="24" t="s">
        <v>67</v>
      </c>
      <c r="V1946" s="23">
        <v>46054</v>
      </c>
      <c r="W1946" s="96" t="s">
        <v>113</v>
      </c>
      <c r="X1946" s="96"/>
      <c r="Y1946" s="91"/>
      <c r="Z1946" s="91"/>
      <c r="AA1946" s="91"/>
      <c r="AB1946" s="91"/>
      <c r="AC1946" s="96"/>
      <c r="AD1946" s="96"/>
      <c r="AE1946" s="96"/>
      <c r="AF1946" s="96"/>
      <c r="AG1946" s="96"/>
      <c r="AH1946" s="110"/>
      <c r="AI1946" s="96"/>
      <c r="AJ1946" s="96"/>
      <c r="AK1946" s="96"/>
      <c r="AL1946" s="91"/>
      <c r="AM1946" s="840"/>
    </row>
    <row r="1947" spans="1:48">
      <c r="A1947" s="834" t="s">
        <v>2342</v>
      </c>
      <c r="B1947" s="835">
        <v>1944</v>
      </c>
      <c r="C1947" s="834" t="s">
        <v>2850</v>
      </c>
      <c r="D1947" s="834" t="s">
        <v>1837</v>
      </c>
      <c r="E1947" s="839">
        <v>45999</v>
      </c>
      <c r="F1947" s="838" t="s">
        <v>140</v>
      </c>
      <c r="G1947" s="838">
        <v>6</v>
      </c>
      <c r="H1947" s="838" t="s">
        <v>1721</v>
      </c>
      <c r="I1947" s="838"/>
      <c r="J1947" s="838"/>
      <c r="K1947" s="834"/>
      <c r="L1947" s="834"/>
      <c r="M1947" s="834"/>
      <c r="N1947" s="834"/>
      <c r="O1947" s="113"/>
      <c r="P1947" s="853" t="s">
        <v>30</v>
      </c>
      <c r="Q1947" s="23">
        <v>46054</v>
      </c>
      <c r="R1947" s="24" t="s">
        <v>67</v>
      </c>
      <c r="S1947" s="22" t="s">
        <v>32</v>
      </c>
      <c r="T1947" s="22">
        <v>6</v>
      </c>
      <c r="U1947" s="24" t="s">
        <v>67</v>
      </c>
      <c r="V1947" s="23">
        <v>46054</v>
      </c>
      <c r="W1947" s="96" t="s">
        <v>113</v>
      </c>
      <c r="X1947" s="96"/>
      <c r="Y1947" s="91"/>
      <c r="Z1947" s="91"/>
      <c r="AA1947" s="91"/>
      <c r="AB1947" s="91"/>
      <c r="AC1947" s="96"/>
      <c r="AD1947" s="96"/>
      <c r="AE1947" s="96"/>
      <c r="AF1947" s="96"/>
      <c r="AG1947" s="96"/>
      <c r="AH1947" s="110"/>
      <c r="AI1947" s="110"/>
      <c r="AJ1947" s="110"/>
      <c r="AK1947" s="96"/>
      <c r="AL1947" s="91"/>
      <c r="AM1947" s="840"/>
    </row>
    <row r="1948" spans="1:48">
      <c r="A1948" s="834" t="s">
        <v>2342</v>
      </c>
      <c r="B1948" s="835">
        <v>1945</v>
      </c>
      <c r="C1948" s="834" t="s">
        <v>2851</v>
      </c>
      <c r="D1948" s="834" t="s">
        <v>1837</v>
      </c>
      <c r="E1948" s="839">
        <v>46006</v>
      </c>
      <c r="F1948" s="838" t="s">
        <v>140</v>
      </c>
      <c r="G1948" s="838">
        <v>3</v>
      </c>
      <c r="H1948" s="838" t="s">
        <v>1721</v>
      </c>
      <c r="I1948" s="838"/>
      <c r="J1948" s="838"/>
      <c r="K1948" s="834"/>
      <c r="L1948" s="834"/>
      <c r="M1948" s="834"/>
      <c r="N1948" s="834"/>
      <c r="O1948" s="113"/>
      <c r="P1948" s="853" t="s">
        <v>30</v>
      </c>
      <c r="Q1948" s="23">
        <v>46054</v>
      </c>
      <c r="R1948" s="24" t="s">
        <v>67</v>
      </c>
      <c r="S1948" s="22" t="s">
        <v>32</v>
      </c>
      <c r="T1948" s="22">
        <v>3</v>
      </c>
      <c r="U1948" s="24" t="s">
        <v>67</v>
      </c>
      <c r="V1948" s="23">
        <v>46054</v>
      </c>
      <c r="W1948" s="96" t="s">
        <v>113</v>
      </c>
      <c r="X1948" s="96"/>
      <c r="Y1948" s="91"/>
      <c r="Z1948" s="96"/>
      <c r="AA1948" s="96"/>
      <c r="AB1948" s="96"/>
      <c r="AC1948" s="96"/>
      <c r="AD1948" s="96"/>
      <c r="AE1948" s="96"/>
      <c r="AF1948" s="96"/>
      <c r="AG1948" s="96"/>
      <c r="AH1948" s="110"/>
      <c r="AI1948" s="110"/>
      <c r="AJ1948" s="110"/>
      <c r="AK1948" s="110"/>
      <c r="AL1948" s="91"/>
      <c r="AM1948" s="840"/>
    </row>
    <row r="1949" spans="1:48">
      <c r="A1949" s="834" t="s">
        <v>2342</v>
      </c>
      <c r="B1949" s="835">
        <v>1946</v>
      </c>
      <c r="C1949" s="834" t="s">
        <v>2852</v>
      </c>
      <c r="D1949" s="834" t="s">
        <v>2853</v>
      </c>
      <c r="E1949" s="839">
        <v>46020</v>
      </c>
      <c r="F1949" s="838" t="s">
        <v>140</v>
      </c>
      <c r="G1949" s="838">
        <v>1</v>
      </c>
      <c r="H1949" s="838" t="s">
        <v>67</v>
      </c>
      <c r="I1949" s="838"/>
      <c r="J1949" s="838"/>
      <c r="K1949" s="834"/>
      <c r="L1949" s="834"/>
      <c r="M1949" s="834"/>
      <c r="N1949" s="834"/>
      <c r="O1949" s="113"/>
      <c r="P1949" s="853" t="s">
        <v>30</v>
      </c>
      <c r="Q1949" s="23">
        <v>46053</v>
      </c>
      <c r="R1949" s="24" t="s">
        <v>28</v>
      </c>
      <c r="S1949" s="22" t="s">
        <v>32</v>
      </c>
      <c r="T1949" s="22">
        <v>1</v>
      </c>
      <c r="U1949" s="24" t="s">
        <v>28</v>
      </c>
      <c r="V1949" s="23">
        <v>46053</v>
      </c>
      <c r="W1949" s="96" t="s">
        <v>113</v>
      </c>
      <c r="X1949" s="96"/>
      <c r="Y1949" s="91"/>
      <c r="Z1949" s="96"/>
      <c r="AA1949" s="96"/>
      <c r="AB1949" s="96"/>
      <c r="AC1949" s="96"/>
      <c r="AD1949" s="96"/>
      <c r="AE1949" s="96"/>
      <c r="AF1949" s="96"/>
      <c r="AG1949" s="96"/>
      <c r="AH1949" s="110"/>
      <c r="AI1949" s="110"/>
      <c r="AJ1949" s="110"/>
      <c r="AK1949" s="107"/>
      <c r="AL1949" s="91"/>
      <c r="AM1949" s="840"/>
      <c r="AN1949" s="87"/>
      <c r="AO1949" s="87"/>
      <c r="AS1949" s="71"/>
      <c r="AT1949" s="92"/>
      <c r="AU1949" s="92"/>
    </row>
    <row r="1950" spans="1:48">
      <c r="A1950" s="834" t="s">
        <v>2342</v>
      </c>
      <c r="B1950" s="835">
        <v>1947</v>
      </c>
      <c r="C1950" s="834" t="s">
        <v>2854</v>
      </c>
      <c r="D1950" s="834" t="s">
        <v>2855</v>
      </c>
      <c r="E1950" s="839">
        <v>46006.375</v>
      </c>
      <c r="F1950" s="838" t="s">
        <v>140</v>
      </c>
      <c r="G1950" s="838">
        <v>5</v>
      </c>
      <c r="H1950" s="838" t="s">
        <v>2856</v>
      </c>
      <c r="I1950" s="838"/>
      <c r="J1950" s="838"/>
      <c r="K1950" s="834"/>
      <c r="L1950" s="834"/>
      <c r="M1950" s="834"/>
      <c r="N1950" s="834"/>
      <c r="O1950" s="848"/>
      <c r="P1950" s="853" t="s">
        <v>30</v>
      </c>
      <c r="Q1950" s="23">
        <v>46054</v>
      </c>
      <c r="R1950" s="24" t="s">
        <v>67</v>
      </c>
      <c r="S1950" s="22" t="s">
        <v>32</v>
      </c>
      <c r="T1950" s="7">
        <v>4</v>
      </c>
      <c r="U1950" s="24" t="s">
        <v>67</v>
      </c>
      <c r="V1950" s="23">
        <v>46054</v>
      </c>
      <c r="W1950" s="96" t="s">
        <v>113</v>
      </c>
      <c r="X1950" s="96"/>
      <c r="Y1950" s="91"/>
      <c r="Z1950" s="96"/>
      <c r="AA1950" s="96"/>
      <c r="AB1950" s="96"/>
      <c r="AC1950" s="96"/>
      <c r="AD1950" s="96"/>
      <c r="AE1950" s="96"/>
      <c r="AF1950" s="96"/>
      <c r="AG1950" s="96"/>
      <c r="AH1950" s="110"/>
      <c r="AI1950" s="96"/>
      <c r="AJ1950" s="96"/>
      <c r="AK1950" s="96"/>
      <c r="AL1950" s="91"/>
      <c r="AM1950" s="840"/>
      <c r="AS1950" s="71"/>
      <c r="AT1950" s="92"/>
      <c r="AU1950" s="92"/>
    </row>
    <row r="1951" spans="1:48">
      <c r="A1951" s="834" t="s">
        <v>2342</v>
      </c>
      <c r="B1951" s="835">
        <v>1948</v>
      </c>
      <c r="C1951" s="834" t="s">
        <v>2857</v>
      </c>
      <c r="D1951" s="834" t="s">
        <v>1250</v>
      </c>
      <c r="E1951" s="839">
        <v>46006</v>
      </c>
      <c r="F1951" s="838" t="s">
        <v>140</v>
      </c>
      <c r="G1951" s="838">
        <v>3</v>
      </c>
      <c r="H1951" s="838" t="s">
        <v>1721</v>
      </c>
      <c r="I1951" s="838"/>
      <c r="J1951" s="838"/>
      <c r="K1951" s="834"/>
      <c r="L1951" s="834"/>
      <c r="M1951" s="834"/>
      <c r="N1951" s="834"/>
      <c r="O1951" s="113"/>
      <c r="P1951" s="853" t="s">
        <v>30</v>
      </c>
      <c r="Q1951" s="23">
        <v>46054</v>
      </c>
      <c r="R1951" s="24" t="s">
        <v>67</v>
      </c>
      <c r="S1951" s="22" t="s">
        <v>32</v>
      </c>
      <c r="T1951" s="22">
        <v>3</v>
      </c>
      <c r="U1951" s="24" t="s">
        <v>67</v>
      </c>
      <c r="V1951" s="23">
        <v>46054</v>
      </c>
      <c r="W1951" s="96" t="s">
        <v>113</v>
      </c>
      <c r="X1951" s="96"/>
      <c r="Y1951" s="91"/>
      <c r="Z1951" s="96"/>
      <c r="AA1951" s="96"/>
      <c r="AB1951" s="96"/>
      <c r="AC1951" s="96"/>
      <c r="AD1951" s="96"/>
      <c r="AE1951" s="96"/>
      <c r="AF1951" s="96"/>
      <c r="AG1951" s="96"/>
      <c r="AH1951" s="110"/>
      <c r="AI1951" s="110"/>
      <c r="AJ1951" s="110"/>
      <c r="AK1951" s="96"/>
      <c r="AL1951" s="91"/>
      <c r="AM1951" s="840"/>
      <c r="AN1951" s="6"/>
      <c r="AO1951" s="6"/>
      <c r="AP1951" s="6"/>
      <c r="AQ1951" s="6"/>
      <c r="AR1951" s="6"/>
      <c r="AS1951" s="104"/>
      <c r="AT1951" s="105"/>
      <c r="AU1951" s="105"/>
      <c r="AV1951" s="105"/>
    </row>
    <row r="1952" spans="1:48">
      <c r="A1952" s="834" t="s">
        <v>2342</v>
      </c>
      <c r="B1952" s="835">
        <v>1949</v>
      </c>
      <c r="C1952" s="834" t="s">
        <v>2858</v>
      </c>
      <c r="D1952" s="834" t="s">
        <v>2859</v>
      </c>
      <c r="E1952" s="839">
        <v>46006.083333333336</v>
      </c>
      <c r="F1952" s="838" t="s">
        <v>140</v>
      </c>
      <c r="G1952" s="838">
        <v>13</v>
      </c>
      <c r="H1952" s="838" t="s">
        <v>1721</v>
      </c>
      <c r="I1952" s="838"/>
      <c r="J1952" s="838"/>
      <c r="K1952" s="834"/>
      <c r="L1952" s="834"/>
      <c r="M1952" s="834"/>
      <c r="N1952" s="834"/>
      <c r="O1952" s="848"/>
      <c r="P1952" s="853" t="s">
        <v>30</v>
      </c>
      <c r="Q1952" s="23">
        <v>46054</v>
      </c>
      <c r="R1952" s="24" t="s">
        <v>67</v>
      </c>
      <c r="S1952" s="22" t="s">
        <v>32</v>
      </c>
      <c r="T1952" s="22">
        <v>13</v>
      </c>
      <c r="U1952" s="24" t="s">
        <v>67</v>
      </c>
      <c r="V1952" s="23">
        <v>46054</v>
      </c>
      <c r="W1952" s="96" t="s">
        <v>113</v>
      </c>
      <c r="X1952" s="96"/>
      <c r="Y1952" s="91"/>
      <c r="Z1952" s="96"/>
      <c r="AA1952" s="96"/>
      <c r="AB1952" s="96"/>
      <c r="AC1952" s="96"/>
      <c r="AD1952" s="96"/>
      <c r="AE1952" s="96"/>
      <c r="AF1952" s="96"/>
      <c r="AG1952" s="96"/>
      <c r="AH1952" s="110"/>
      <c r="AI1952" s="96"/>
      <c r="AJ1952" s="96"/>
      <c r="AK1952" s="96"/>
      <c r="AL1952" s="91"/>
      <c r="AM1952" s="840"/>
      <c r="AS1952" s="71"/>
      <c r="AT1952" s="92"/>
      <c r="AU1952" s="92"/>
    </row>
    <row r="1953" spans="1:48">
      <c r="A1953" s="834" t="s">
        <v>2342</v>
      </c>
      <c r="B1953" s="835">
        <v>1950</v>
      </c>
      <c r="C1953" s="834" t="s">
        <v>2860</v>
      </c>
      <c r="D1953" s="834" t="s">
        <v>2861</v>
      </c>
      <c r="E1953" s="839">
        <v>46013.375</v>
      </c>
      <c r="F1953" s="838" t="s">
        <v>140</v>
      </c>
      <c r="G1953" s="838">
        <v>4</v>
      </c>
      <c r="H1953" s="838" t="s">
        <v>1721</v>
      </c>
      <c r="I1953" s="838"/>
      <c r="J1953" s="838"/>
      <c r="K1953" s="834"/>
      <c r="L1953" s="834"/>
      <c r="M1953" s="834"/>
      <c r="N1953" s="834"/>
      <c r="O1953" s="113"/>
      <c r="P1953" s="853" t="s">
        <v>30</v>
      </c>
      <c r="Q1953" s="23">
        <v>46054</v>
      </c>
      <c r="R1953" s="24" t="s">
        <v>67</v>
      </c>
      <c r="S1953" s="22" t="s">
        <v>32</v>
      </c>
      <c r="T1953" s="22">
        <v>4</v>
      </c>
      <c r="U1953" s="24" t="s">
        <v>67</v>
      </c>
      <c r="V1953" s="23">
        <v>46054</v>
      </c>
      <c r="W1953" s="96" t="s">
        <v>113</v>
      </c>
      <c r="X1953" s="96"/>
      <c r="Y1953" s="91"/>
      <c r="Z1953" s="96"/>
      <c r="AA1953" s="96"/>
      <c r="AB1953" s="96"/>
      <c r="AC1953" s="96"/>
      <c r="AD1953" s="96"/>
      <c r="AE1953" s="96"/>
      <c r="AF1953" s="96"/>
      <c r="AG1953" s="96"/>
      <c r="AH1953" s="110"/>
      <c r="AI1953" s="96"/>
      <c r="AJ1953" s="96"/>
      <c r="AK1953" s="96"/>
      <c r="AL1953" s="91"/>
      <c r="AM1953" s="840"/>
    </row>
    <row r="1954" spans="1:48">
      <c r="A1954" s="834" t="s">
        <v>2342</v>
      </c>
      <c r="B1954" s="835">
        <v>1951</v>
      </c>
      <c r="C1954" s="834" t="s">
        <v>2862</v>
      </c>
      <c r="D1954" s="834" t="s">
        <v>829</v>
      </c>
      <c r="E1954" s="839">
        <v>46013.125</v>
      </c>
      <c r="F1954" s="838" t="s">
        <v>140</v>
      </c>
      <c r="G1954" s="838">
        <v>34</v>
      </c>
      <c r="H1954" s="838" t="s">
        <v>2856</v>
      </c>
      <c r="I1954" s="838"/>
      <c r="J1954" s="838"/>
      <c r="K1954" s="834"/>
      <c r="L1954" s="834"/>
      <c r="M1954" s="834"/>
      <c r="N1954" s="834"/>
      <c r="O1954" s="848" t="s">
        <v>2863</v>
      </c>
      <c r="P1954" s="853" t="s">
        <v>30</v>
      </c>
      <c r="Q1954" s="23">
        <v>46054</v>
      </c>
      <c r="R1954" s="24" t="s">
        <v>67</v>
      </c>
      <c r="S1954" s="22" t="s">
        <v>32</v>
      </c>
      <c r="T1954" s="22">
        <v>34</v>
      </c>
      <c r="U1954" s="24" t="s">
        <v>67</v>
      </c>
      <c r="V1954" s="23">
        <v>46054</v>
      </c>
      <c r="W1954" s="96" t="s">
        <v>113</v>
      </c>
      <c r="X1954" s="96"/>
      <c r="Y1954" s="91"/>
      <c r="Z1954" s="96"/>
      <c r="AA1954" s="96"/>
      <c r="AB1954" s="96"/>
      <c r="AC1954" s="96"/>
      <c r="AD1954" s="96"/>
      <c r="AE1954" s="96"/>
      <c r="AF1954" s="96"/>
      <c r="AG1954" s="96"/>
      <c r="AH1954" s="110"/>
      <c r="AI1954" s="96"/>
      <c r="AJ1954" s="96"/>
      <c r="AK1954" s="96"/>
      <c r="AL1954" s="91"/>
      <c r="AM1954" s="840"/>
      <c r="AN1954" s="6">
        <v>0</v>
      </c>
      <c r="AO1954" s="6">
        <v>7</v>
      </c>
      <c r="AP1954" s="6">
        <v>13</v>
      </c>
      <c r="AQ1954" s="6">
        <v>14</v>
      </c>
      <c r="AR1954" s="6">
        <f>SUM(AN1954:AQ1954)</f>
        <v>34</v>
      </c>
      <c r="AS1954" s="104">
        <f>+AN1954/AR1954*AS$1</f>
        <v>0</v>
      </c>
      <c r="AT1954" s="105">
        <f>+AO1954/AR1954*AT$1</f>
        <v>0</v>
      </c>
      <c r="AU1954" s="105">
        <f>+AP1954/AR1954*AU$1</f>
        <v>0</v>
      </c>
      <c r="AV1954" s="105">
        <f>+AQ1954/AR1954*AV$1</f>
        <v>0</v>
      </c>
    </row>
    <row r="1955" spans="1:48">
      <c r="A1955" s="834" t="s">
        <v>2342</v>
      </c>
      <c r="B1955" s="835">
        <v>1952</v>
      </c>
      <c r="C1955" s="834" t="s">
        <v>2864</v>
      </c>
      <c r="D1955" s="834" t="s">
        <v>937</v>
      </c>
      <c r="E1955" s="839">
        <v>46013.125</v>
      </c>
      <c r="F1955" s="838" t="s">
        <v>140</v>
      </c>
      <c r="G1955" s="838">
        <v>23</v>
      </c>
      <c r="H1955" s="838" t="s">
        <v>2856</v>
      </c>
      <c r="I1955" s="838"/>
      <c r="J1955" s="838"/>
      <c r="K1955" s="834"/>
      <c r="L1955" s="834"/>
      <c r="M1955" s="834"/>
      <c r="N1955" s="834"/>
      <c r="O1955" s="848"/>
      <c r="P1955" s="853" t="s">
        <v>30</v>
      </c>
      <c r="Q1955" s="23">
        <v>46054</v>
      </c>
      <c r="R1955" s="24" t="s">
        <v>67</v>
      </c>
      <c r="S1955" s="22" t="s">
        <v>32</v>
      </c>
      <c r="T1955" s="22">
        <v>23</v>
      </c>
      <c r="U1955" s="24" t="s">
        <v>67</v>
      </c>
      <c r="V1955" s="23">
        <v>46054</v>
      </c>
      <c r="W1955" s="96" t="s">
        <v>113</v>
      </c>
      <c r="X1955" s="96"/>
      <c r="Y1955" s="91"/>
      <c r="Z1955" s="96"/>
      <c r="AA1955" s="96"/>
      <c r="AB1955" s="96"/>
      <c r="AC1955" s="96"/>
      <c r="AD1955" s="96"/>
      <c r="AE1955" s="96"/>
      <c r="AF1955" s="96"/>
      <c r="AG1955" s="96"/>
      <c r="AH1955" s="110"/>
      <c r="AI1955" s="110"/>
      <c r="AJ1955" s="110"/>
      <c r="AK1955" s="110"/>
      <c r="AL1955" s="91"/>
      <c r="AM1955" s="840"/>
      <c r="AS1955" s="71"/>
      <c r="AT1955" s="92"/>
      <c r="AU1955" s="92"/>
    </row>
    <row r="1956" spans="1:48">
      <c r="A1956" s="834" t="s">
        <v>2342</v>
      </c>
      <c r="B1956" s="835">
        <v>1953</v>
      </c>
      <c r="C1956" s="834" t="s">
        <v>2865</v>
      </c>
      <c r="D1956" s="834" t="s">
        <v>1184</v>
      </c>
      <c r="E1956" s="839">
        <v>46013</v>
      </c>
      <c r="F1956" s="838" t="s">
        <v>140</v>
      </c>
      <c r="G1956" s="838">
        <v>10</v>
      </c>
      <c r="H1956" s="838" t="s">
        <v>2840</v>
      </c>
      <c r="I1956" s="838"/>
      <c r="J1956" s="838"/>
      <c r="K1956" s="834"/>
      <c r="L1956" s="834"/>
      <c r="M1956" s="834"/>
      <c r="N1956" s="834"/>
      <c r="O1956" s="113"/>
      <c r="P1956" s="853" t="s">
        <v>30</v>
      </c>
      <c r="Q1956" s="23">
        <v>46053</v>
      </c>
      <c r="R1956" s="24" t="s">
        <v>28</v>
      </c>
      <c r="S1956" s="22" t="s">
        <v>32</v>
      </c>
      <c r="T1956" s="22">
        <v>2</v>
      </c>
      <c r="U1956" s="24" t="s">
        <v>28</v>
      </c>
      <c r="V1956" s="23">
        <v>46053</v>
      </c>
      <c r="W1956" s="96" t="s">
        <v>113</v>
      </c>
      <c r="X1956" s="96"/>
      <c r="Y1956" s="91"/>
      <c r="Z1956" s="96"/>
      <c r="AA1956" s="91"/>
      <c r="AB1956" s="96"/>
      <c r="AC1956" s="96"/>
      <c r="AD1956" s="96"/>
      <c r="AE1956" s="96"/>
      <c r="AF1956" s="96"/>
      <c r="AG1956" s="96"/>
      <c r="AH1956" s="110"/>
      <c r="AI1956" s="96"/>
      <c r="AJ1956" s="96"/>
      <c r="AK1956" s="96"/>
      <c r="AL1956" s="91"/>
      <c r="AM1956" s="840"/>
      <c r="AN1956" s="6"/>
      <c r="AO1956" s="6"/>
      <c r="AP1956" s="6"/>
      <c r="AQ1956" s="6"/>
      <c r="AR1956" s="6"/>
      <c r="AS1956" s="104"/>
      <c r="AT1956" s="105"/>
      <c r="AU1956" s="105"/>
      <c r="AV1956" s="105"/>
    </row>
    <row r="1957" spans="1:48">
      <c r="A1957" s="834" t="s">
        <v>2342</v>
      </c>
      <c r="B1957" s="835">
        <v>1954</v>
      </c>
      <c r="C1957" s="834" t="s">
        <v>2866</v>
      </c>
      <c r="D1957" s="834" t="s">
        <v>779</v>
      </c>
      <c r="E1957" s="839">
        <v>46013</v>
      </c>
      <c r="F1957" s="838" t="s">
        <v>140</v>
      </c>
      <c r="G1957" s="838">
        <v>13</v>
      </c>
      <c r="H1957" s="838" t="s">
        <v>1721</v>
      </c>
      <c r="I1957" s="838"/>
      <c r="J1957" s="838"/>
      <c r="K1957" s="834"/>
      <c r="L1957" s="834"/>
      <c r="M1957" s="834"/>
      <c r="N1957" s="834"/>
      <c r="O1957" s="848"/>
      <c r="P1957" s="853" t="s">
        <v>30</v>
      </c>
      <c r="Q1957" s="23">
        <v>46054</v>
      </c>
      <c r="R1957" s="24" t="s">
        <v>67</v>
      </c>
      <c r="S1957" s="22" t="s">
        <v>32</v>
      </c>
      <c r="T1957" s="22">
        <v>13</v>
      </c>
      <c r="U1957" s="24" t="s">
        <v>67</v>
      </c>
      <c r="V1957" s="23">
        <v>46054</v>
      </c>
      <c r="W1957" s="96" t="s">
        <v>113</v>
      </c>
      <c r="X1957" s="96"/>
      <c r="Y1957" s="91"/>
      <c r="Z1957" s="91"/>
      <c r="AA1957" s="91"/>
      <c r="AB1957" s="96"/>
      <c r="AC1957" s="96"/>
      <c r="AD1957" s="96"/>
      <c r="AE1957" s="96"/>
      <c r="AF1957" s="96"/>
      <c r="AG1957" s="96"/>
      <c r="AH1957" s="110"/>
      <c r="AI1957" s="110"/>
      <c r="AJ1957" s="110"/>
      <c r="AK1957" s="96"/>
      <c r="AL1957" s="91"/>
      <c r="AM1957" s="840"/>
    </row>
    <row r="1958" spans="1:48">
      <c r="A1958" s="834" t="s">
        <v>2342</v>
      </c>
      <c r="B1958" s="835">
        <v>1955</v>
      </c>
      <c r="C1958" s="834" t="s">
        <v>2867</v>
      </c>
      <c r="D1958" s="834" t="s">
        <v>846</v>
      </c>
      <c r="E1958" s="839">
        <v>46013</v>
      </c>
      <c r="F1958" s="838" t="s">
        <v>140</v>
      </c>
      <c r="G1958" s="838">
        <v>6</v>
      </c>
      <c r="H1958" s="838" t="s">
        <v>1721</v>
      </c>
      <c r="I1958" s="838"/>
      <c r="J1958" s="838"/>
      <c r="K1958" s="834"/>
      <c r="L1958" s="834"/>
      <c r="M1958" s="834"/>
      <c r="N1958" s="834"/>
      <c r="O1958" s="113"/>
      <c r="P1958" s="853" t="s">
        <v>30</v>
      </c>
      <c r="Q1958" s="23">
        <v>46054</v>
      </c>
      <c r="R1958" s="24" t="s">
        <v>67</v>
      </c>
      <c r="S1958" s="22" t="s">
        <v>32</v>
      </c>
      <c r="T1958" s="22">
        <v>6</v>
      </c>
      <c r="U1958" s="24" t="s">
        <v>67</v>
      </c>
      <c r="V1958" s="23">
        <v>46054</v>
      </c>
      <c r="W1958" s="96" t="s">
        <v>113</v>
      </c>
      <c r="X1958" s="96"/>
      <c r="Y1958" s="103"/>
      <c r="Z1958" s="96"/>
      <c r="AA1958" s="91"/>
      <c r="AB1958" s="96"/>
      <c r="AC1958" s="96"/>
      <c r="AD1958" s="96"/>
      <c r="AE1958" s="96"/>
      <c r="AF1958" s="96"/>
      <c r="AG1958" s="96"/>
      <c r="AH1958" s="110"/>
      <c r="AI1958" s="110"/>
      <c r="AJ1958" s="110"/>
      <c r="AK1958" s="110"/>
      <c r="AL1958" s="110"/>
      <c r="AM1958" s="840"/>
      <c r="AR1958" s="84"/>
      <c r="AS1958" s="71"/>
      <c r="AT1958" s="71"/>
      <c r="AU1958" s="71"/>
    </row>
    <row r="1959" spans="1:48">
      <c r="A1959" s="834" t="s">
        <v>2342</v>
      </c>
      <c r="B1959" s="835">
        <v>1956</v>
      </c>
      <c r="C1959" s="834" t="s">
        <v>2868</v>
      </c>
      <c r="D1959" s="834" t="s">
        <v>969</v>
      </c>
      <c r="E1959" s="839">
        <v>46013</v>
      </c>
      <c r="F1959" s="838" t="s">
        <v>140</v>
      </c>
      <c r="G1959" s="838">
        <v>2</v>
      </c>
      <c r="H1959" s="838" t="s">
        <v>1721</v>
      </c>
      <c r="I1959" s="838"/>
      <c r="J1959" s="838"/>
      <c r="K1959" s="834"/>
      <c r="L1959" s="834"/>
      <c r="M1959" s="834"/>
      <c r="N1959" s="834"/>
      <c r="O1959" s="113"/>
      <c r="P1959" s="853" t="s">
        <v>30</v>
      </c>
      <c r="Q1959" s="23">
        <v>46054</v>
      </c>
      <c r="R1959" s="24" t="s">
        <v>67</v>
      </c>
      <c r="S1959" s="22" t="s">
        <v>32</v>
      </c>
      <c r="T1959" s="22">
        <v>2</v>
      </c>
      <c r="U1959" s="24" t="s">
        <v>67</v>
      </c>
      <c r="V1959" s="23">
        <v>46054</v>
      </c>
      <c r="W1959" s="96" t="s">
        <v>113</v>
      </c>
      <c r="X1959" s="103"/>
      <c r="Y1959" s="103"/>
      <c r="Z1959" s="96"/>
      <c r="AA1959" s="103"/>
      <c r="AB1959" s="96"/>
      <c r="AC1959" s="96"/>
      <c r="AD1959" s="96"/>
      <c r="AE1959" s="96"/>
      <c r="AF1959" s="96"/>
      <c r="AG1959" s="96"/>
      <c r="AH1959" s="110"/>
      <c r="AI1959" s="110"/>
      <c r="AJ1959" s="110"/>
      <c r="AK1959" s="110"/>
      <c r="AL1959" s="110"/>
      <c r="AM1959" s="840"/>
      <c r="AS1959" s="71"/>
      <c r="AT1959" s="92"/>
      <c r="AU1959" s="92"/>
    </row>
    <row r="1960" spans="1:48">
      <c r="A1960" s="834" t="s">
        <v>2342</v>
      </c>
      <c r="B1960" s="835">
        <v>1957</v>
      </c>
      <c r="C1960" s="834" t="s">
        <v>2869</v>
      </c>
      <c r="D1960" s="834" t="s">
        <v>1516</v>
      </c>
      <c r="E1960" s="839">
        <v>46013.041666666664</v>
      </c>
      <c r="F1960" s="838" t="s">
        <v>140</v>
      </c>
      <c r="G1960" s="838">
        <v>5</v>
      </c>
      <c r="H1960" s="838" t="s">
        <v>1721</v>
      </c>
      <c r="I1960" s="838"/>
      <c r="J1960" s="838"/>
      <c r="K1960" s="834"/>
      <c r="L1960" s="834"/>
      <c r="M1960" s="834"/>
      <c r="N1960" s="834"/>
      <c r="O1960" s="113"/>
      <c r="P1960" s="853" t="s">
        <v>30</v>
      </c>
      <c r="Q1960" s="23">
        <v>46054</v>
      </c>
      <c r="R1960" s="24" t="s">
        <v>67</v>
      </c>
      <c r="S1960" s="22" t="s">
        <v>32</v>
      </c>
      <c r="T1960" s="22">
        <v>5</v>
      </c>
      <c r="U1960" s="24" t="s">
        <v>67</v>
      </c>
      <c r="V1960" s="23">
        <v>46054</v>
      </c>
      <c r="W1960" s="96" t="s">
        <v>113</v>
      </c>
      <c r="X1960" s="96"/>
      <c r="Y1960" s="103"/>
      <c r="Z1960" s="96"/>
      <c r="AA1960" s="96"/>
      <c r="AB1960" s="96"/>
      <c r="AC1960" s="96"/>
      <c r="AD1960" s="96"/>
      <c r="AE1960" s="96"/>
      <c r="AF1960" s="96"/>
      <c r="AG1960" s="96"/>
      <c r="AH1960" s="110"/>
      <c r="AI1960" s="110"/>
      <c r="AJ1960" s="110"/>
      <c r="AK1960" s="110"/>
      <c r="AL1960" s="110"/>
      <c r="AM1960" s="840"/>
    </row>
    <row r="1961" spans="1:48">
      <c r="A1961" s="834" t="s">
        <v>2342</v>
      </c>
      <c r="B1961" s="835">
        <v>1958</v>
      </c>
      <c r="C1961" s="834" t="s">
        <v>2870</v>
      </c>
      <c r="D1961" s="834" t="s">
        <v>1208</v>
      </c>
      <c r="E1961" s="839">
        <v>46013.041666666664</v>
      </c>
      <c r="F1961" s="838" t="s">
        <v>140</v>
      </c>
      <c r="G1961" s="838">
        <v>5</v>
      </c>
      <c r="H1961" s="838" t="s">
        <v>1721</v>
      </c>
      <c r="I1961" s="838"/>
      <c r="J1961" s="838"/>
      <c r="K1961" s="834"/>
      <c r="L1961" s="834"/>
      <c r="M1961" s="834"/>
      <c r="N1961" s="834"/>
      <c r="O1961" s="848"/>
      <c r="P1961" s="853" t="s">
        <v>30</v>
      </c>
      <c r="Q1961" s="23">
        <v>46054</v>
      </c>
      <c r="R1961" s="24" t="s">
        <v>67</v>
      </c>
      <c r="S1961" s="22" t="s">
        <v>32</v>
      </c>
      <c r="T1961" s="22">
        <v>5</v>
      </c>
      <c r="U1961" s="24" t="s">
        <v>67</v>
      </c>
      <c r="V1961" s="23">
        <v>46054</v>
      </c>
      <c r="W1961" s="96" t="s">
        <v>113</v>
      </c>
      <c r="X1961" s="103"/>
      <c r="Y1961" s="91"/>
      <c r="Z1961" s="96"/>
      <c r="AA1961" s="96"/>
      <c r="AB1961" s="96"/>
      <c r="AC1961" s="96"/>
      <c r="AD1961" s="96"/>
      <c r="AE1961" s="96"/>
      <c r="AF1961" s="96"/>
      <c r="AG1961" s="96"/>
      <c r="AH1961" s="110"/>
      <c r="AI1961" s="110"/>
      <c r="AJ1961" s="110"/>
      <c r="AK1961" s="110"/>
      <c r="AL1961" s="110"/>
      <c r="AM1961" s="840"/>
    </row>
    <row r="1962" spans="1:48">
      <c r="A1962" s="834" t="s">
        <v>2342</v>
      </c>
      <c r="B1962" s="835">
        <v>1959</v>
      </c>
      <c r="C1962" s="834" t="s">
        <v>2871</v>
      </c>
      <c r="D1962" s="834" t="s">
        <v>2529</v>
      </c>
      <c r="E1962" s="839">
        <v>46013</v>
      </c>
      <c r="F1962" s="838" t="s">
        <v>140</v>
      </c>
      <c r="G1962" s="838">
        <v>22</v>
      </c>
      <c r="H1962" s="838" t="s">
        <v>2840</v>
      </c>
      <c r="I1962" s="838"/>
      <c r="J1962" s="838"/>
      <c r="K1962" s="834"/>
      <c r="L1962" s="834"/>
      <c r="M1962" s="834"/>
      <c r="N1962" s="834"/>
      <c r="O1962" s="848"/>
      <c r="P1962" s="853" t="s">
        <v>30</v>
      </c>
      <c r="Q1962" s="23">
        <v>46053</v>
      </c>
      <c r="R1962" s="24" t="s">
        <v>28</v>
      </c>
      <c r="S1962" s="22" t="s">
        <v>32</v>
      </c>
      <c r="T1962" s="22">
        <v>1</v>
      </c>
      <c r="U1962" s="24" t="s">
        <v>28</v>
      </c>
      <c r="V1962" s="23">
        <v>46053</v>
      </c>
      <c r="W1962" s="96" t="s">
        <v>113</v>
      </c>
      <c r="X1962" s="96"/>
      <c r="Y1962" s="91"/>
      <c r="Z1962" s="96"/>
      <c r="AA1962" s="96"/>
      <c r="AB1962" s="96"/>
      <c r="AC1962" s="96"/>
      <c r="AD1962" s="96"/>
      <c r="AE1962" s="96"/>
      <c r="AF1962" s="96"/>
      <c r="AG1962" s="96"/>
      <c r="AH1962" s="110"/>
      <c r="AI1962" s="110"/>
      <c r="AJ1962" s="110"/>
      <c r="AK1962" s="110"/>
      <c r="AL1962" s="110"/>
      <c r="AM1962" s="840"/>
      <c r="AO1962" s="776"/>
      <c r="AP1962" s="776"/>
      <c r="AQ1962" s="776"/>
      <c r="AR1962" s="776"/>
      <c r="AV1962" s="105"/>
    </row>
    <row r="1963" spans="1:48">
      <c r="A1963" s="834" t="s">
        <v>2342</v>
      </c>
      <c r="B1963" s="835">
        <v>1960</v>
      </c>
      <c r="C1963" s="834" t="s">
        <v>2872</v>
      </c>
      <c r="D1963" s="834" t="s">
        <v>829</v>
      </c>
      <c r="E1963" s="839">
        <v>46020</v>
      </c>
      <c r="F1963" s="838" t="s">
        <v>140</v>
      </c>
      <c r="G1963" s="838">
        <v>10</v>
      </c>
      <c r="H1963" s="838" t="s">
        <v>67</v>
      </c>
      <c r="I1963" s="838"/>
      <c r="J1963" s="838"/>
      <c r="K1963" s="834"/>
      <c r="L1963" s="834"/>
      <c r="M1963" s="834"/>
      <c r="N1963" s="834"/>
      <c r="O1963" s="848"/>
      <c r="P1963" s="853" t="s">
        <v>30</v>
      </c>
      <c r="Q1963" s="23">
        <v>46056</v>
      </c>
      <c r="R1963" s="24" t="s">
        <v>67</v>
      </c>
      <c r="S1963" s="22" t="s">
        <v>32</v>
      </c>
      <c r="T1963" s="22">
        <v>1</v>
      </c>
      <c r="U1963" s="24" t="s">
        <v>67</v>
      </c>
      <c r="V1963" s="23">
        <v>46056</v>
      </c>
      <c r="W1963" s="96" t="s">
        <v>113</v>
      </c>
      <c r="X1963" s="96"/>
      <c r="Y1963" s="91"/>
      <c r="Z1963" s="96"/>
      <c r="AA1963" s="96"/>
      <c r="AB1963" s="96"/>
      <c r="AC1963" s="96"/>
      <c r="AD1963" s="96"/>
      <c r="AE1963" s="96"/>
      <c r="AF1963" s="96"/>
      <c r="AG1963" s="96"/>
      <c r="AH1963" s="110"/>
      <c r="AI1963" s="110"/>
      <c r="AJ1963" s="110"/>
      <c r="AK1963" s="107"/>
      <c r="AL1963" s="110"/>
      <c r="AM1963" s="840"/>
      <c r="AS1963" s="71"/>
      <c r="AT1963" s="92"/>
      <c r="AU1963" s="92"/>
      <c r="AV1963" s="105"/>
    </row>
    <row r="1964" spans="1:48">
      <c r="A1964" s="834" t="s">
        <v>2342</v>
      </c>
      <c r="B1964" s="835">
        <v>1961</v>
      </c>
      <c r="C1964" s="834" t="s">
        <v>2873</v>
      </c>
      <c r="D1964" s="834" t="s">
        <v>2874</v>
      </c>
      <c r="E1964" s="839">
        <v>46020.375</v>
      </c>
      <c r="F1964" s="838" t="s">
        <v>140</v>
      </c>
      <c r="G1964" s="838">
        <v>1</v>
      </c>
      <c r="H1964" s="838" t="s">
        <v>1077</v>
      </c>
      <c r="I1964" s="838"/>
      <c r="J1964" s="838"/>
      <c r="K1964" s="834"/>
      <c r="L1964" s="834"/>
      <c r="M1964" s="834"/>
      <c r="N1964" s="834"/>
      <c r="O1964" s="848"/>
      <c r="P1964" s="853" t="s">
        <v>30</v>
      </c>
      <c r="Q1964" s="23">
        <v>46055</v>
      </c>
      <c r="R1964" s="24" t="s">
        <v>28</v>
      </c>
      <c r="S1964" s="22" t="s">
        <v>32</v>
      </c>
      <c r="T1964" s="22">
        <v>1</v>
      </c>
      <c r="U1964" s="24" t="s">
        <v>28</v>
      </c>
      <c r="V1964" s="23">
        <v>46055</v>
      </c>
      <c r="W1964" s="96" t="s">
        <v>113</v>
      </c>
      <c r="X1964" s="96"/>
      <c r="Y1964" s="91"/>
      <c r="Z1964" s="96"/>
      <c r="AA1964" s="96"/>
      <c r="AB1964" s="96"/>
      <c r="AC1964" s="96"/>
      <c r="AD1964" s="96"/>
      <c r="AE1964" s="96"/>
      <c r="AF1964" s="96"/>
      <c r="AG1964" s="96"/>
      <c r="AH1964" s="110"/>
      <c r="AI1964" s="110"/>
      <c r="AJ1964" s="110"/>
      <c r="AK1964" s="110"/>
      <c r="AL1964" s="110"/>
      <c r="AM1964" s="840"/>
      <c r="AO1964" s="776"/>
      <c r="AP1964" s="776"/>
      <c r="AQ1964" s="776"/>
      <c r="AR1964" s="776"/>
      <c r="AV1964" s="105"/>
    </row>
    <row r="1965" spans="1:48">
      <c r="A1965" s="834" t="s">
        <v>2342</v>
      </c>
      <c r="B1965" s="835">
        <v>1962</v>
      </c>
      <c r="C1965" s="834" t="s">
        <v>2875</v>
      </c>
      <c r="D1965" s="834" t="s">
        <v>779</v>
      </c>
      <c r="E1965" s="839">
        <v>46020</v>
      </c>
      <c r="F1965" s="838" t="s">
        <v>140</v>
      </c>
      <c r="G1965" s="838">
        <v>1</v>
      </c>
      <c r="H1965" s="838" t="s">
        <v>67</v>
      </c>
      <c r="I1965" s="838"/>
      <c r="J1965" s="838"/>
      <c r="K1965" s="834"/>
      <c r="L1965" s="834"/>
      <c r="M1965" s="834"/>
      <c r="N1965" s="834"/>
      <c r="O1965" s="848"/>
      <c r="P1965" s="853" t="s">
        <v>30</v>
      </c>
      <c r="Q1965" s="23">
        <v>46056</v>
      </c>
      <c r="R1965" s="24" t="s">
        <v>67</v>
      </c>
      <c r="S1965" s="22" t="s">
        <v>32</v>
      </c>
      <c r="T1965" s="22">
        <v>1</v>
      </c>
      <c r="U1965" s="24" t="s">
        <v>67</v>
      </c>
      <c r="V1965" s="23">
        <v>46056</v>
      </c>
      <c r="W1965" s="96" t="s">
        <v>113</v>
      </c>
      <c r="X1965" s="103"/>
      <c r="Y1965" s="103"/>
      <c r="Z1965" s="96"/>
      <c r="AA1965" s="103"/>
      <c r="AB1965" s="96"/>
      <c r="AC1965" s="96"/>
      <c r="AD1965" s="96"/>
      <c r="AE1965" s="96"/>
      <c r="AF1965" s="96"/>
      <c r="AG1965" s="96"/>
      <c r="AH1965" s="110"/>
      <c r="AI1965" s="110"/>
      <c r="AJ1965" s="110"/>
      <c r="AK1965" s="110"/>
      <c r="AL1965" s="110"/>
      <c r="AM1965" s="840"/>
      <c r="AO1965" s="776"/>
      <c r="AP1965" s="776"/>
      <c r="AQ1965" s="776"/>
      <c r="AR1965" s="776"/>
      <c r="AV1965" s="105"/>
    </row>
    <row r="1966" spans="1:48">
      <c r="A1966" s="834" t="s">
        <v>2342</v>
      </c>
      <c r="B1966" s="835">
        <v>1963</v>
      </c>
      <c r="C1966" s="834" t="s">
        <v>2876</v>
      </c>
      <c r="D1966" s="834" t="s">
        <v>1184</v>
      </c>
      <c r="E1966" s="839">
        <v>46020</v>
      </c>
      <c r="F1966" s="838" t="s">
        <v>140</v>
      </c>
      <c r="G1966" s="838">
        <v>4</v>
      </c>
      <c r="H1966" s="838" t="s">
        <v>67</v>
      </c>
      <c r="I1966" s="838"/>
      <c r="J1966" s="838"/>
      <c r="K1966" s="834"/>
      <c r="L1966" s="834"/>
      <c r="M1966" s="834"/>
      <c r="N1966" s="834"/>
      <c r="O1966" s="113"/>
      <c r="P1966" s="853" t="s">
        <v>30</v>
      </c>
      <c r="Q1966" s="23">
        <v>46054</v>
      </c>
      <c r="R1966" s="24" t="s">
        <v>28</v>
      </c>
      <c r="S1966" s="22" t="s">
        <v>32</v>
      </c>
      <c r="T1966" s="22">
        <v>4</v>
      </c>
      <c r="U1966" s="24" t="s">
        <v>28</v>
      </c>
      <c r="V1966" s="23">
        <v>46054</v>
      </c>
      <c r="W1966" s="96" t="s">
        <v>113</v>
      </c>
      <c r="X1966" s="96"/>
      <c r="Y1966" s="96"/>
      <c r="Z1966" s="96"/>
      <c r="AA1966" s="103"/>
      <c r="AB1966" s="96"/>
      <c r="AC1966" s="96"/>
      <c r="AD1966" s="96"/>
      <c r="AE1966" s="96"/>
      <c r="AF1966" s="96"/>
      <c r="AG1966" s="96"/>
      <c r="AH1966" s="110"/>
      <c r="AI1966" s="110"/>
      <c r="AJ1966" s="110"/>
      <c r="AK1966" s="107"/>
      <c r="AL1966" s="110"/>
      <c r="AM1966" s="840"/>
      <c r="AN1966" s="6"/>
      <c r="AO1966" s="6"/>
      <c r="AP1966" s="6"/>
      <c r="AQ1966" s="6"/>
      <c r="AR1966" s="6"/>
      <c r="AS1966" s="104"/>
      <c r="AT1966" s="105"/>
      <c r="AU1966" s="105"/>
      <c r="AV1966" s="105"/>
    </row>
    <row r="1967" spans="1:48">
      <c r="A1967" s="834" t="s">
        <v>2342</v>
      </c>
      <c r="B1967" s="835">
        <v>1964</v>
      </c>
      <c r="C1967" s="834" t="s">
        <v>2877</v>
      </c>
      <c r="D1967" s="834" t="s">
        <v>846</v>
      </c>
      <c r="E1967" s="839">
        <v>46020</v>
      </c>
      <c r="F1967" s="838" t="s">
        <v>140</v>
      </c>
      <c r="G1967" s="838">
        <v>3</v>
      </c>
      <c r="H1967" s="838" t="s">
        <v>67</v>
      </c>
      <c r="I1967" s="838"/>
      <c r="J1967" s="838"/>
      <c r="K1967" s="834"/>
      <c r="L1967" s="834"/>
      <c r="M1967" s="834"/>
      <c r="N1967" s="834"/>
      <c r="O1967" s="848"/>
      <c r="P1967" s="853" t="s">
        <v>30</v>
      </c>
      <c r="Q1967" s="23">
        <v>46054</v>
      </c>
      <c r="R1967" s="24" t="s">
        <v>67</v>
      </c>
      <c r="S1967" s="22" t="s">
        <v>32</v>
      </c>
      <c r="T1967" s="22">
        <v>3</v>
      </c>
      <c r="U1967" s="24" t="s">
        <v>67</v>
      </c>
      <c r="V1967" s="23">
        <v>46054</v>
      </c>
      <c r="W1967" s="96" t="s">
        <v>113</v>
      </c>
      <c r="X1967" s="103"/>
      <c r="Y1967" s="103"/>
      <c r="Z1967" s="96"/>
      <c r="AA1967" s="96"/>
      <c r="AB1967" s="96"/>
      <c r="AC1967" s="96"/>
      <c r="AD1967" s="96"/>
      <c r="AE1967" s="96"/>
      <c r="AF1967" s="96"/>
      <c r="AG1967" s="96"/>
      <c r="AH1967" s="110"/>
      <c r="AI1967" s="110"/>
      <c r="AJ1967" s="110"/>
      <c r="AK1967" s="110"/>
      <c r="AL1967" s="110"/>
      <c r="AM1967" s="840"/>
      <c r="AV1967" s="105"/>
    </row>
    <row r="1968" spans="1:48">
      <c r="A1968" s="834" t="s">
        <v>2342</v>
      </c>
      <c r="B1968" s="835">
        <v>1965</v>
      </c>
      <c r="C1968" s="834" t="s">
        <v>2878</v>
      </c>
      <c r="D1968" s="834" t="s">
        <v>1250</v>
      </c>
      <c r="E1968" s="839">
        <v>46020</v>
      </c>
      <c r="F1968" s="838" t="s">
        <v>140</v>
      </c>
      <c r="G1968" s="838">
        <v>1</v>
      </c>
      <c r="H1968" s="838" t="s">
        <v>67</v>
      </c>
      <c r="I1968" s="838"/>
      <c r="J1968" s="838"/>
      <c r="K1968" s="834"/>
      <c r="L1968" s="834"/>
      <c r="M1968" s="834"/>
      <c r="N1968" s="834"/>
      <c r="O1968" s="113"/>
      <c r="P1968" s="853" t="s">
        <v>30</v>
      </c>
      <c r="Q1968" s="23">
        <v>46056</v>
      </c>
      <c r="R1968" s="24" t="s">
        <v>67</v>
      </c>
      <c r="S1968" s="22" t="s">
        <v>32</v>
      </c>
      <c r="T1968" s="22">
        <v>1</v>
      </c>
      <c r="U1968" s="24" t="s">
        <v>67</v>
      </c>
      <c r="V1968" s="23">
        <v>46056</v>
      </c>
      <c r="W1968" s="96" t="s">
        <v>113</v>
      </c>
      <c r="X1968" s="96"/>
      <c r="Y1968" s="91"/>
      <c r="Z1968" s="91"/>
      <c r="AA1968" s="91"/>
      <c r="AB1968" s="91"/>
      <c r="AC1968" s="96"/>
      <c r="AD1968" s="96"/>
      <c r="AE1968" s="96"/>
      <c r="AF1968" s="96"/>
      <c r="AG1968" s="96"/>
      <c r="AH1968" s="110"/>
      <c r="AI1968" s="107"/>
      <c r="AJ1968" s="107"/>
      <c r="AK1968" s="107"/>
      <c r="AL1968" s="110"/>
      <c r="AM1968" s="840"/>
      <c r="AN1968" s="6"/>
      <c r="AO1968" s="6"/>
      <c r="AP1968" s="6"/>
      <c r="AQ1968" s="6"/>
      <c r="AR1968" s="6"/>
      <c r="AS1968" s="104"/>
      <c r="AT1968" s="105"/>
      <c r="AU1968" s="105"/>
      <c r="AV1968" s="105"/>
    </row>
    <row r="1969" spans="1:48">
      <c r="A1969" s="834" t="s">
        <v>2342</v>
      </c>
      <c r="B1969" s="835">
        <v>1966</v>
      </c>
      <c r="C1969" s="834" t="s">
        <v>2879</v>
      </c>
      <c r="D1969" s="834" t="s">
        <v>1212</v>
      </c>
      <c r="E1969" s="839">
        <v>46020</v>
      </c>
      <c r="F1969" s="838" t="s">
        <v>140</v>
      </c>
      <c r="G1969" s="838">
        <v>4</v>
      </c>
      <c r="H1969" s="838" t="s">
        <v>67</v>
      </c>
      <c r="I1969" s="838"/>
      <c r="J1969" s="838"/>
      <c r="K1969" s="834"/>
      <c r="L1969" s="834"/>
      <c r="M1969" s="834"/>
      <c r="N1969" s="834"/>
      <c r="O1969" s="113"/>
      <c r="P1969" s="853" t="s">
        <v>30</v>
      </c>
      <c r="Q1969" s="23">
        <v>46054</v>
      </c>
      <c r="R1969" s="24" t="s">
        <v>28</v>
      </c>
      <c r="S1969" s="22" t="s">
        <v>32</v>
      </c>
      <c r="T1969" s="22">
        <v>4</v>
      </c>
      <c r="U1969" s="24" t="s">
        <v>28</v>
      </c>
      <c r="V1969" s="23">
        <v>46054</v>
      </c>
      <c r="W1969" s="96" t="s">
        <v>113</v>
      </c>
      <c r="X1969" s="96"/>
      <c r="Y1969" s="91"/>
      <c r="Z1969" s="96"/>
      <c r="AA1969" s="96"/>
      <c r="AB1969" s="96"/>
      <c r="AC1969" s="96"/>
      <c r="AD1969" s="96"/>
      <c r="AE1969" s="96"/>
      <c r="AF1969" s="96"/>
      <c r="AG1969" s="96"/>
      <c r="AH1969" s="110"/>
      <c r="AI1969" s="110"/>
      <c r="AJ1969" s="110"/>
      <c r="AK1969" s="110"/>
      <c r="AL1969" s="110"/>
      <c r="AM1969" s="840"/>
      <c r="AV1969" s="105"/>
    </row>
    <row r="1970" spans="1:48">
      <c r="A1970" s="834" t="s">
        <v>2342</v>
      </c>
      <c r="B1970" s="835">
        <v>1967</v>
      </c>
      <c r="C1970" s="834" t="s">
        <v>2880</v>
      </c>
      <c r="D1970" s="834" t="s">
        <v>1008</v>
      </c>
      <c r="E1970" s="839">
        <v>46020</v>
      </c>
      <c r="F1970" s="838" t="s">
        <v>140</v>
      </c>
      <c r="G1970" s="838">
        <v>1</v>
      </c>
      <c r="H1970" s="838" t="s">
        <v>67</v>
      </c>
      <c r="I1970" s="838"/>
      <c r="J1970" s="838"/>
      <c r="K1970" s="834"/>
      <c r="L1970" s="834"/>
      <c r="M1970" s="834"/>
      <c r="N1970" s="834"/>
      <c r="O1970" s="848"/>
      <c r="P1970" s="853" t="s">
        <v>30</v>
      </c>
      <c r="Q1970" s="23">
        <v>46056</v>
      </c>
      <c r="R1970" s="24" t="s">
        <v>67</v>
      </c>
      <c r="S1970" s="22" t="s">
        <v>32</v>
      </c>
      <c r="T1970" s="22">
        <v>1</v>
      </c>
      <c r="U1970" s="24" t="s">
        <v>67</v>
      </c>
      <c r="V1970" s="23">
        <v>46056</v>
      </c>
      <c r="W1970" s="96" t="s">
        <v>113</v>
      </c>
      <c r="X1970" s="96"/>
      <c r="Y1970" s="91"/>
      <c r="Z1970" s="96"/>
      <c r="AA1970" s="96"/>
      <c r="AB1970" s="96"/>
      <c r="AC1970" s="96"/>
      <c r="AD1970" s="96"/>
      <c r="AE1970" s="96"/>
      <c r="AF1970" s="96"/>
      <c r="AG1970" s="96"/>
      <c r="AH1970" s="110"/>
      <c r="AI1970" s="110"/>
      <c r="AJ1970" s="110"/>
      <c r="AK1970" s="110"/>
      <c r="AL1970" s="110"/>
      <c r="AM1970" s="840"/>
      <c r="AN1970" s="87"/>
      <c r="AO1970" s="87"/>
      <c r="AS1970" s="71"/>
      <c r="AT1970" s="92"/>
      <c r="AU1970" s="92"/>
      <c r="AV1970" s="105"/>
    </row>
    <row r="1971" spans="1:48">
      <c r="A1971" s="834" t="s">
        <v>2342</v>
      </c>
      <c r="B1971" s="835">
        <v>1968</v>
      </c>
      <c r="C1971" s="834" t="s">
        <v>2881</v>
      </c>
      <c r="D1971" s="834" t="s">
        <v>937</v>
      </c>
      <c r="E1971" s="839">
        <v>46020</v>
      </c>
      <c r="F1971" s="838" t="s">
        <v>140</v>
      </c>
      <c r="G1971" s="838">
        <v>1</v>
      </c>
      <c r="H1971" s="838" t="s">
        <v>67</v>
      </c>
      <c r="I1971" s="838"/>
      <c r="J1971" s="838"/>
      <c r="K1971" s="834"/>
      <c r="L1971" s="834"/>
      <c r="M1971" s="834"/>
      <c r="N1971" s="834"/>
      <c r="O1971" s="113"/>
      <c r="P1971" s="853" t="s">
        <v>30</v>
      </c>
      <c r="Q1971" s="23">
        <v>46056</v>
      </c>
      <c r="R1971" s="24" t="s">
        <v>67</v>
      </c>
      <c r="S1971" s="22" t="s">
        <v>32</v>
      </c>
      <c r="T1971" s="22">
        <v>1</v>
      </c>
      <c r="U1971" s="24" t="s">
        <v>67</v>
      </c>
      <c r="V1971" s="23">
        <v>46056</v>
      </c>
      <c r="W1971" s="96" t="s">
        <v>113</v>
      </c>
      <c r="X1971" s="96"/>
      <c r="Y1971" s="91"/>
      <c r="Z1971" s="90"/>
      <c r="AA1971" s="90"/>
      <c r="AB1971" s="90"/>
      <c r="AC1971" s="96"/>
      <c r="AD1971" s="96"/>
      <c r="AE1971" s="96"/>
      <c r="AF1971" s="96"/>
      <c r="AG1971" s="96"/>
      <c r="AH1971" s="110"/>
      <c r="AI1971" s="110"/>
      <c r="AJ1971" s="110"/>
      <c r="AK1971" s="107"/>
      <c r="AL1971" s="110"/>
      <c r="AM1971" s="840"/>
      <c r="AN1971" s="87"/>
      <c r="AO1971" s="87"/>
      <c r="AS1971" s="71"/>
      <c r="AT1971" s="92"/>
      <c r="AU1971" s="92"/>
      <c r="AV1971" s="105"/>
    </row>
    <row r="1972" spans="1:48">
      <c r="A1972" s="834" t="s">
        <v>2342</v>
      </c>
      <c r="B1972" s="835">
        <v>1969</v>
      </c>
      <c r="C1972" s="834" t="s">
        <v>2882</v>
      </c>
      <c r="D1972" s="834" t="s">
        <v>1042</v>
      </c>
      <c r="E1972" s="839"/>
      <c r="F1972" s="838" t="s">
        <v>140</v>
      </c>
      <c r="G1972" s="838">
        <v>1</v>
      </c>
      <c r="H1972" s="838" t="s">
        <v>67</v>
      </c>
      <c r="I1972" s="838"/>
      <c r="J1972" s="838"/>
      <c r="K1972" s="834"/>
      <c r="L1972" s="834"/>
      <c r="M1972" s="834"/>
      <c r="N1972" s="834"/>
      <c r="O1972" s="113"/>
      <c r="P1972" s="853" t="s">
        <v>30</v>
      </c>
      <c r="Q1972" s="23">
        <v>46027</v>
      </c>
      <c r="R1972" s="24" t="s">
        <v>67</v>
      </c>
      <c r="S1972" s="22" t="s">
        <v>32</v>
      </c>
      <c r="T1972" s="22">
        <v>1</v>
      </c>
      <c r="U1972" s="24" t="s">
        <v>67</v>
      </c>
      <c r="V1972" s="23">
        <v>46027</v>
      </c>
      <c r="W1972" s="96" t="s">
        <v>113</v>
      </c>
      <c r="X1972" s="96"/>
      <c r="Y1972" s="91"/>
      <c r="Z1972" s="90"/>
      <c r="AA1972" s="90"/>
      <c r="AB1972" s="90"/>
      <c r="AC1972" s="96"/>
      <c r="AD1972" s="96"/>
      <c r="AE1972" s="96"/>
      <c r="AF1972" s="96"/>
      <c r="AG1972" s="96"/>
      <c r="AH1972" s="110"/>
      <c r="AI1972" s="110"/>
      <c r="AJ1972" s="110"/>
      <c r="AK1972" s="107"/>
      <c r="AL1972" s="110"/>
      <c r="AM1972" s="840"/>
      <c r="AN1972" s="87"/>
      <c r="AO1972" s="87"/>
      <c r="AS1972" s="71"/>
      <c r="AT1972" s="92"/>
      <c r="AU1972" s="92"/>
      <c r="AV1972" s="105"/>
    </row>
    <row r="1973" spans="1:48">
      <c r="A1973" s="834" t="s">
        <v>2342</v>
      </c>
      <c r="B1973" s="835">
        <v>1970</v>
      </c>
      <c r="C1973" s="834" t="s">
        <v>2883</v>
      </c>
      <c r="D1973" s="834" t="s">
        <v>2827</v>
      </c>
      <c r="E1973" s="839">
        <v>46012</v>
      </c>
      <c r="F1973" s="838" t="s">
        <v>140</v>
      </c>
      <c r="G1973" s="838">
        <v>1</v>
      </c>
      <c r="H1973" s="838" t="s">
        <v>67</v>
      </c>
      <c r="I1973" s="838"/>
      <c r="J1973" s="838"/>
      <c r="K1973" s="834"/>
      <c r="L1973" s="834"/>
      <c r="M1973" s="834"/>
      <c r="N1973" s="834"/>
      <c r="O1973" s="113"/>
      <c r="P1973" s="853" t="s">
        <v>30</v>
      </c>
      <c r="Q1973" s="23">
        <v>46055</v>
      </c>
      <c r="R1973" s="24" t="s">
        <v>28</v>
      </c>
      <c r="S1973" s="22" t="s">
        <v>32</v>
      </c>
      <c r="T1973" s="22">
        <v>1</v>
      </c>
      <c r="U1973" s="24" t="s">
        <v>28</v>
      </c>
      <c r="V1973" s="23">
        <v>46055</v>
      </c>
      <c r="W1973" s="96" t="s">
        <v>113</v>
      </c>
      <c r="X1973" s="96"/>
      <c r="Y1973" s="91"/>
      <c r="Z1973" s="90"/>
      <c r="AA1973" s="90"/>
      <c r="AB1973" s="90"/>
      <c r="AC1973" s="96"/>
      <c r="AD1973" s="96"/>
      <c r="AE1973" s="96"/>
      <c r="AF1973" s="96"/>
      <c r="AG1973" s="96"/>
      <c r="AH1973" s="110"/>
      <c r="AI1973" s="110"/>
      <c r="AJ1973" s="110"/>
      <c r="AK1973" s="107"/>
      <c r="AL1973" s="110"/>
      <c r="AM1973" s="840"/>
      <c r="AN1973" s="87"/>
      <c r="AO1973" s="87"/>
      <c r="AS1973" s="71"/>
      <c r="AT1973" s="92"/>
      <c r="AU1973" s="92"/>
      <c r="AV1973" s="105"/>
    </row>
    <row r="1974" spans="1:48">
      <c r="A1974" s="834" t="s">
        <v>2342</v>
      </c>
      <c r="B1974" s="835">
        <v>1971</v>
      </c>
      <c r="C1974" s="834" t="s">
        <v>2884</v>
      </c>
      <c r="D1974" s="834" t="s">
        <v>2885</v>
      </c>
      <c r="E1974" s="839">
        <v>45992.041666666664</v>
      </c>
      <c r="F1974" s="838" t="s">
        <v>140</v>
      </c>
      <c r="G1974" s="838">
        <v>25</v>
      </c>
      <c r="H1974" s="838" t="s">
        <v>127</v>
      </c>
      <c r="I1974" s="838"/>
      <c r="J1974" s="838"/>
      <c r="K1974" s="834"/>
      <c r="L1974" s="834"/>
      <c r="M1974" s="834"/>
      <c r="N1974" s="834"/>
      <c r="O1974" s="848" t="s">
        <v>2863</v>
      </c>
      <c r="P1974" s="23" t="s">
        <v>30</v>
      </c>
      <c r="Q1974" s="23">
        <v>46006</v>
      </c>
      <c r="R1974" s="24" t="s">
        <v>67</v>
      </c>
      <c r="S1974" s="22" t="s">
        <v>32</v>
      </c>
      <c r="T1974" s="22">
        <v>25</v>
      </c>
      <c r="U1974" s="24" t="s">
        <v>67</v>
      </c>
      <c r="V1974" s="23">
        <v>46006</v>
      </c>
      <c r="W1974" s="96" t="s">
        <v>113</v>
      </c>
      <c r="X1974" s="96"/>
      <c r="Y1974" s="91"/>
      <c r="Z1974" s="90"/>
      <c r="AA1974" s="90"/>
      <c r="AB1974" s="90"/>
      <c r="AC1974" s="96"/>
      <c r="AD1974" s="96"/>
      <c r="AE1974" s="96"/>
      <c r="AF1974" s="96"/>
      <c r="AG1974" s="96"/>
      <c r="AH1974" s="110"/>
      <c r="AI1974" s="110"/>
      <c r="AJ1974" s="110"/>
      <c r="AK1974" s="110"/>
      <c r="AL1974" s="110"/>
      <c r="AM1974" s="840"/>
      <c r="AN1974" s="6">
        <v>25</v>
      </c>
      <c r="AO1974" s="6">
        <v>0</v>
      </c>
      <c r="AP1974" s="6">
        <v>0</v>
      </c>
      <c r="AQ1974" s="6">
        <v>0</v>
      </c>
      <c r="AR1974" s="6">
        <f>SUM(AN1974:AQ1974)</f>
        <v>25</v>
      </c>
      <c r="AS1974" s="104">
        <f>+AN1974/AR1974*AS$1</f>
        <v>0</v>
      </c>
      <c r="AT1974" s="105">
        <f>+AO1974/AR1974*AT$1</f>
        <v>0</v>
      </c>
      <c r="AU1974" s="105">
        <f>+AP1974/AR1974*AU$1</f>
        <v>0</v>
      </c>
      <c r="AV1974" s="105">
        <f>+AQ1974/AR1974*AV$1</f>
        <v>0</v>
      </c>
    </row>
    <row r="1975" spans="1:48">
      <c r="A1975" s="834" t="s">
        <v>2342</v>
      </c>
      <c r="B1975" s="835">
        <v>1972</v>
      </c>
      <c r="C1975" s="834" t="s">
        <v>2886</v>
      </c>
      <c r="D1975" s="834" t="s">
        <v>818</v>
      </c>
      <c r="E1975" s="839">
        <v>45992.166666666664</v>
      </c>
      <c r="F1975" s="838" t="s">
        <v>140</v>
      </c>
      <c r="G1975" s="838">
        <v>1</v>
      </c>
      <c r="H1975" s="838" t="s">
        <v>67</v>
      </c>
      <c r="I1975" s="838"/>
      <c r="J1975" s="838"/>
      <c r="K1975" s="834"/>
      <c r="L1975" s="834"/>
      <c r="M1975" s="834"/>
      <c r="N1975" s="834"/>
      <c r="O1975" s="848"/>
      <c r="P1975" s="23" t="s">
        <v>30</v>
      </c>
      <c r="Q1975" s="23">
        <v>46037</v>
      </c>
      <c r="R1975" s="24" t="s">
        <v>67</v>
      </c>
      <c r="S1975" s="22" t="s">
        <v>32</v>
      </c>
      <c r="T1975" s="22">
        <v>1</v>
      </c>
      <c r="U1975" s="24" t="s">
        <v>67</v>
      </c>
      <c r="V1975" s="23">
        <v>46037</v>
      </c>
      <c r="W1975" s="96" t="s">
        <v>113</v>
      </c>
      <c r="X1975" s="103"/>
      <c r="Y1975" s="103"/>
      <c r="Z1975" s="96"/>
      <c r="AA1975" s="96"/>
      <c r="AB1975" s="96"/>
      <c r="AC1975" s="96"/>
      <c r="AD1975" s="96"/>
      <c r="AE1975" s="96"/>
      <c r="AF1975" s="96"/>
      <c r="AG1975" s="96"/>
      <c r="AH1975" s="110"/>
      <c r="AI1975" s="110"/>
      <c r="AJ1975" s="110"/>
      <c r="AK1975" s="110"/>
      <c r="AL1975" s="110"/>
      <c r="AM1975" s="840"/>
      <c r="AR1975" s="84"/>
      <c r="AS1975" s="71"/>
      <c r="AT1975" s="71"/>
      <c r="AU1975" s="71"/>
      <c r="AV1975" s="105"/>
    </row>
    <row r="1976" spans="1:48">
      <c r="A1976" s="834" t="s">
        <v>2342</v>
      </c>
      <c r="B1976" s="835">
        <v>1973</v>
      </c>
      <c r="C1976" s="834" t="s">
        <v>2469</v>
      </c>
      <c r="D1976" s="834" t="s">
        <v>2887</v>
      </c>
      <c r="E1976" s="839"/>
      <c r="F1976" s="838" t="s">
        <v>140</v>
      </c>
      <c r="G1976" s="838">
        <v>1</v>
      </c>
      <c r="H1976" s="838"/>
      <c r="I1976" s="838"/>
      <c r="J1976" s="838"/>
      <c r="K1976" s="834"/>
      <c r="L1976" s="834"/>
      <c r="M1976" s="834"/>
      <c r="N1976" s="834"/>
      <c r="O1976" s="848"/>
      <c r="P1976" s="23" t="s">
        <v>30</v>
      </c>
      <c r="Q1976" s="23">
        <v>46022</v>
      </c>
      <c r="R1976" s="24" t="s">
        <v>67</v>
      </c>
      <c r="S1976" s="22" t="s">
        <v>32</v>
      </c>
      <c r="T1976" s="22">
        <v>1</v>
      </c>
      <c r="U1976" s="24" t="s">
        <v>67</v>
      </c>
      <c r="V1976" s="23">
        <v>46022</v>
      </c>
      <c r="W1976" s="96" t="s">
        <v>113</v>
      </c>
      <c r="X1976" s="103"/>
      <c r="Y1976" s="103"/>
      <c r="Z1976" s="96"/>
      <c r="AA1976" s="96"/>
      <c r="AB1976" s="96"/>
      <c r="AC1976" s="96"/>
      <c r="AD1976" s="96"/>
      <c r="AE1976" s="96"/>
      <c r="AF1976" s="96"/>
      <c r="AG1976" s="96"/>
      <c r="AH1976" s="110"/>
      <c r="AI1976" s="110"/>
      <c r="AJ1976" s="110"/>
      <c r="AK1976" s="110"/>
      <c r="AL1976" s="110"/>
      <c r="AM1976" s="840"/>
      <c r="AR1976" s="84"/>
      <c r="AS1976" s="71"/>
      <c r="AT1976" s="71"/>
      <c r="AU1976" s="71"/>
      <c r="AV1976" s="105"/>
    </row>
    <row r="1977" spans="1:48">
      <c r="A1977" s="834" t="s">
        <v>2342</v>
      </c>
      <c r="B1977" s="835">
        <v>1974</v>
      </c>
      <c r="C1977" s="834" t="s">
        <v>2470</v>
      </c>
      <c r="D1977" s="834" t="s">
        <v>2888</v>
      </c>
      <c r="E1977" s="839"/>
      <c r="F1977" s="838" t="s">
        <v>140</v>
      </c>
      <c r="G1977" s="838">
        <v>4</v>
      </c>
      <c r="H1977" s="838"/>
      <c r="I1977" s="838"/>
      <c r="J1977" s="838"/>
      <c r="K1977" s="834"/>
      <c r="L1977" s="834"/>
      <c r="M1977" s="834"/>
      <c r="N1977" s="834"/>
      <c r="O1977" s="848"/>
      <c r="P1977" s="23" t="s">
        <v>30</v>
      </c>
      <c r="Q1977" s="23">
        <v>46024</v>
      </c>
      <c r="R1977" s="24" t="s">
        <v>67</v>
      </c>
      <c r="S1977" s="22" t="s">
        <v>32</v>
      </c>
      <c r="T1977" s="22">
        <v>4</v>
      </c>
      <c r="U1977" s="24" t="s">
        <v>67</v>
      </c>
      <c r="V1977" s="23">
        <v>46024</v>
      </c>
      <c r="W1977" s="96" t="s">
        <v>113</v>
      </c>
      <c r="X1977" s="103"/>
      <c r="Y1977" s="103"/>
      <c r="Z1977" s="96"/>
      <c r="AA1977" s="96"/>
      <c r="AB1977" s="96"/>
      <c r="AC1977" s="96"/>
      <c r="AD1977" s="96"/>
      <c r="AE1977" s="96"/>
      <c r="AF1977" s="96"/>
      <c r="AG1977" s="96"/>
      <c r="AH1977" s="110"/>
      <c r="AI1977" s="110"/>
      <c r="AJ1977" s="110"/>
      <c r="AK1977" s="110"/>
      <c r="AL1977" s="110"/>
      <c r="AM1977" s="840"/>
      <c r="AR1977" s="84"/>
      <c r="AS1977" s="71"/>
      <c r="AT1977" s="71"/>
      <c r="AU1977" s="71"/>
      <c r="AV1977" s="105"/>
    </row>
    <row r="1978" spans="1:48">
      <c r="A1978" s="834" t="s">
        <v>2342</v>
      </c>
      <c r="B1978" s="835">
        <v>1975</v>
      </c>
      <c r="C1978" s="834" t="s">
        <v>2889</v>
      </c>
      <c r="D1978" s="834" t="s">
        <v>1025</v>
      </c>
      <c r="E1978" s="839">
        <v>45992.166666666664</v>
      </c>
      <c r="F1978" s="838" t="s">
        <v>140</v>
      </c>
      <c r="G1978" s="838">
        <v>1</v>
      </c>
      <c r="H1978" s="838" t="s">
        <v>1077</v>
      </c>
      <c r="I1978" s="838"/>
      <c r="J1978" s="838"/>
      <c r="K1978" s="834"/>
      <c r="L1978" s="834"/>
      <c r="M1978" s="834"/>
      <c r="N1978" s="834"/>
      <c r="O1978" s="848"/>
      <c r="P1978" s="23" t="s">
        <v>30</v>
      </c>
      <c r="Q1978" s="119">
        <v>46037</v>
      </c>
      <c r="R1978" s="24" t="s">
        <v>67</v>
      </c>
      <c r="S1978" s="22" t="s">
        <v>32</v>
      </c>
      <c r="T1978" s="22">
        <v>1</v>
      </c>
      <c r="U1978" s="24" t="s">
        <v>67</v>
      </c>
      <c r="V1978" s="119">
        <v>46037</v>
      </c>
      <c r="W1978" s="96" t="s">
        <v>113</v>
      </c>
      <c r="X1978" s="96"/>
      <c r="Y1978" s="91"/>
      <c r="Z1978" s="96"/>
      <c r="AA1978" s="96"/>
      <c r="AB1978" s="96"/>
      <c r="AC1978" s="96"/>
      <c r="AD1978" s="96"/>
      <c r="AE1978" s="96"/>
      <c r="AF1978" s="96"/>
      <c r="AG1978" s="96"/>
      <c r="AH1978" s="110"/>
      <c r="AI1978" s="110"/>
      <c r="AJ1978" s="110"/>
      <c r="AK1978" s="110"/>
      <c r="AL1978" s="110"/>
      <c r="AM1978" s="840"/>
      <c r="AV1978" s="105"/>
    </row>
    <row r="1979" spans="1:48">
      <c r="A1979" s="834" t="s">
        <v>2342</v>
      </c>
      <c r="B1979" s="835">
        <v>1976</v>
      </c>
      <c r="C1979" s="834" t="s">
        <v>2890</v>
      </c>
      <c r="D1979" s="834" t="s">
        <v>2891</v>
      </c>
      <c r="E1979" s="839">
        <v>45992.375</v>
      </c>
      <c r="F1979" s="838" t="s">
        <v>140</v>
      </c>
      <c r="G1979" s="838">
        <v>4</v>
      </c>
      <c r="H1979" s="838" t="s">
        <v>67</v>
      </c>
      <c r="I1979" s="838"/>
      <c r="J1979" s="838"/>
      <c r="K1979" s="834"/>
      <c r="L1979" s="834"/>
      <c r="M1979" s="834"/>
      <c r="N1979" s="834"/>
      <c r="O1979" s="113"/>
      <c r="P1979" s="23" t="s">
        <v>30</v>
      </c>
      <c r="Q1979" s="23">
        <v>46037</v>
      </c>
      <c r="R1979" s="24" t="s">
        <v>67</v>
      </c>
      <c r="S1979" s="22" t="s">
        <v>32</v>
      </c>
      <c r="T1979" s="22">
        <v>4</v>
      </c>
      <c r="U1979" s="24" t="s">
        <v>67</v>
      </c>
      <c r="V1979" s="23">
        <v>46037</v>
      </c>
      <c r="W1979" s="96" t="s">
        <v>113</v>
      </c>
      <c r="X1979" s="103"/>
      <c r="Y1979" s="103"/>
      <c r="Z1979" s="96"/>
      <c r="AA1979" s="96"/>
      <c r="AB1979" s="96"/>
      <c r="AC1979" s="96"/>
      <c r="AD1979" s="96"/>
      <c r="AE1979" s="96"/>
      <c r="AF1979" s="96"/>
      <c r="AG1979" s="96"/>
      <c r="AH1979" s="110"/>
      <c r="AI1979" s="110"/>
      <c r="AJ1979" s="110"/>
      <c r="AK1979" s="110"/>
      <c r="AL1979" s="110"/>
      <c r="AM1979" s="840"/>
      <c r="AN1979" s="6"/>
      <c r="AO1979" s="6"/>
      <c r="AP1979" s="6"/>
      <c r="AQ1979" s="6"/>
      <c r="AR1979" s="6"/>
      <c r="AS1979" s="104"/>
      <c r="AT1979" s="105"/>
      <c r="AU1979" s="105"/>
      <c r="AV1979" s="105"/>
    </row>
    <row r="1980" spans="1:48">
      <c r="A1980" s="834" t="s">
        <v>2342</v>
      </c>
      <c r="B1980" s="835">
        <v>1977</v>
      </c>
      <c r="C1980" s="834" t="s">
        <v>2892</v>
      </c>
      <c r="D1980" s="834" t="s">
        <v>1008</v>
      </c>
      <c r="E1980" s="839">
        <v>45992</v>
      </c>
      <c r="F1980" s="838" t="s">
        <v>140</v>
      </c>
      <c r="G1980" s="838">
        <v>1</v>
      </c>
      <c r="H1980" s="838" t="s">
        <v>1077</v>
      </c>
      <c r="I1980" s="838"/>
      <c r="J1980" s="838"/>
      <c r="K1980" s="834"/>
      <c r="L1980" s="834"/>
      <c r="M1980" s="834"/>
      <c r="N1980" s="834"/>
      <c r="O1980" s="113"/>
      <c r="P1980" s="23" t="s">
        <v>30</v>
      </c>
      <c r="Q1980" s="23">
        <v>46037</v>
      </c>
      <c r="R1980" s="24" t="s">
        <v>67</v>
      </c>
      <c r="S1980" s="22" t="s">
        <v>32</v>
      </c>
      <c r="T1980" s="22">
        <v>1</v>
      </c>
      <c r="U1980" s="24" t="s">
        <v>67</v>
      </c>
      <c r="V1980" s="23">
        <v>46037</v>
      </c>
      <c r="W1980" s="96" t="s">
        <v>113</v>
      </c>
      <c r="X1980" s="96"/>
      <c r="Y1980" s="91"/>
      <c r="Z1980" s="96"/>
      <c r="AA1980" s="96"/>
      <c r="AB1980" s="96"/>
      <c r="AC1980" s="96"/>
      <c r="AD1980" s="96"/>
      <c r="AE1980" s="96"/>
      <c r="AF1980" s="96"/>
      <c r="AG1980" s="96"/>
      <c r="AH1980" s="110"/>
      <c r="AI1980" s="110"/>
      <c r="AJ1980" s="110"/>
      <c r="AK1980" s="110"/>
      <c r="AL1980" s="110"/>
      <c r="AM1980" s="840"/>
      <c r="AN1980" s="6"/>
      <c r="AO1980" s="6"/>
      <c r="AP1980" s="6"/>
      <c r="AQ1980" s="6"/>
      <c r="AR1980" s="6"/>
      <c r="AS1980" s="104"/>
      <c r="AT1980" s="105"/>
      <c r="AU1980" s="105"/>
      <c r="AV1980" s="105"/>
    </row>
    <row r="1981" spans="1:48">
      <c r="A1981" s="834" t="s">
        <v>2342</v>
      </c>
      <c r="B1981" s="835">
        <v>1978</v>
      </c>
      <c r="C1981" s="834" t="s">
        <v>2893</v>
      </c>
      <c r="D1981" s="834" t="s">
        <v>829</v>
      </c>
      <c r="E1981" s="839">
        <v>45992.375</v>
      </c>
      <c r="F1981" s="838" t="s">
        <v>140</v>
      </c>
      <c r="G1981" s="838">
        <v>47</v>
      </c>
      <c r="H1981" s="838" t="s">
        <v>2894</v>
      </c>
      <c r="I1981" s="838"/>
      <c r="J1981" s="838"/>
      <c r="K1981" s="834"/>
      <c r="L1981" s="834"/>
      <c r="M1981" s="834"/>
      <c r="N1981" s="834"/>
      <c r="O1981" s="848" t="s">
        <v>2863</v>
      </c>
      <c r="P1981" s="23" t="s">
        <v>30</v>
      </c>
      <c r="Q1981" s="23">
        <v>46037</v>
      </c>
      <c r="R1981" s="24" t="s">
        <v>67</v>
      </c>
      <c r="S1981" s="22" t="s">
        <v>32</v>
      </c>
      <c r="T1981" s="22">
        <v>47</v>
      </c>
      <c r="U1981" s="24" t="s">
        <v>67</v>
      </c>
      <c r="V1981" s="23">
        <v>46037</v>
      </c>
      <c r="W1981" s="96" t="s">
        <v>113</v>
      </c>
      <c r="X1981" s="96"/>
      <c r="Y1981" s="91"/>
      <c r="Z1981" s="91"/>
      <c r="AA1981" s="91"/>
      <c r="AB1981" s="96"/>
      <c r="AC1981" s="96"/>
      <c r="AD1981" s="96"/>
      <c r="AE1981" s="96"/>
      <c r="AF1981" s="96"/>
      <c r="AG1981" s="96"/>
      <c r="AH1981" s="110"/>
      <c r="AI1981" s="110"/>
      <c r="AJ1981" s="110"/>
      <c r="AK1981" s="96"/>
      <c r="AL1981" s="110"/>
      <c r="AM1981" s="840"/>
      <c r="AN1981" s="6">
        <v>1</v>
      </c>
      <c r="AO1981" s="6">
        <v>0</v>
      </c>
      <c r="AP1981" s="6">
        <v>5</v>
      </c>
      <c r="AQ1981" s="6">
        <v>41</v>
      </c>
      <c r="AR1981" s="6">
        <f>SUM(AN1981:AQ1981)</f>
        <v>47</v>
      </c>
      <c r="AS1981" s="104">
        <f>+AN1981/AR1981*AS$1</f>
        <v>0</v>
      </c>
      <c r="AT1981" s="105">
        <f>+AO1981/AR1981*AT$1</f>
        <v>0</v>
      </c>
      <c r="AU1981" s="105">
        <f>+AP1981/AR1981*AU$1</f>
        <v>0</v>
      </c>
      <c r="AV1981" s="105">
        <f>+AQ1981/AR1981*AV$1</f>
        <v>0</v>
      </c>
    </row>
    <row r="1982" spans="1:48">
      <c r="A1982" s="834" t="s">
        <v>2342</v>
      </c>
      <c r="B1982" s="835">
        <v>1979</v>
      </c>
      <c r="C1982" s="834" t="s">
        <v>2895</v>
      </c>
      <c r="D1982" s="834" t="s">
        <v>2896</v>
      </c>
      <c r="E1982" s="839">
        <v>45992.208333333336</v>
      </c>
      <c r="F1982" s="838" t="s">
        <v>140</v>
      </c>
      <c r="G1982" s="838">
        <v>13</v>
      </c>
      <c r="H1982" s="838" t="s">
        <v>2897</v>
      </c>
      <c r="I1982" s="838"/>
      <c r="J1982" s="838"/>
      <c r="K1982" s="834"/>
      <c r="L1982" s="834"/>
      <c r="M1982" s="834"/>
      <c r="N1982" s="834"/>
      <c r="O1982" s="113"/>
      <c r="P1982" s="23" t="s">
        <v>30</v>
      </c>
      <c r="Q1982" s="23">
        <v>46042</v>
      </c>
      <c r="R1982" s="24" t="s">
        <v>67</v>
      </c>
      <c r="S1982" s="22" t="s">
        <v>32</v>
      </c>
      <c r="T1982" s="22">
        <v>12</v>
      </c>
      <c r="U1982" s="24" t="s">
        <v>67</v>
      </c>
      <c r="V1982" s="23">
        <v>46042</v>
      </c>
      <c r="W1982" s="96" t="s">
        <v>113</v>
      </c>
      <c r="X1982" s="96"/>
      <c r="Y1982" s="91"/>
      <c r="Z1982" s="96"/>
      <c r="AA1982" s="96"/>
      <c r="AB1982" s="96"/>
      <c r="AC1982" s="96"/>
      <c r="AD1982" s="96"/>
      <c r="AE1982" s="96"/>
      <c r="AF1982" s="96"/>
      <c r="AG1982" s="96"/>
      <c r="AH1982" s="110"/>
      <c r="AI1982" s="96"/>
      <c r="AJ1982" s="96"/>
      <c r="AK1982" s="96"/>
      <c r="AL1982" s="110"/>
      <c r="AM1982" s="840"/>
      <c r="AO1982" s="776"/>
      <c r="AP1982" s="776"/>
      <c r="AQ1982" s="776"/>
      <c r="AR1982" s="776"/>
      <c r="AV1982" s="105"/>
    </row>
    <row r="1983" spans="1:48">
      <c r="A1983" s="834" t="s">
        <v>2342</v>
      </c>
      <c r="B1983" s="835">
        <v>1980</v>
      </c>
      <c r="C1983" s="834" t="s">
        <v>2898</v>
      </c>
      <c r="D1983" s="834" t="s">
        <v>1236</v>
      </c>
      <c r="E1983" s="839">
        <v>45992.041666666664</v>
      </c>
      <c r="F1983" s="838" t="s">
        <v>140</v>
      </c>
      <c r="G1983" s="838">
        <v>1</v>
      </c>
      <c r="H1983" s="838" t="s">
        <v>127</v>
      </c>
      <c r="I1983" s="838"/>
      <c r="J1983" s="838"/>
      <c r="K1983" s="834"/>
      <c r="L1983" s="834"/>
      <c r="M1983" s="834"/>
      <c r="N1983" s="834"/>
      <c r="O1983" s="113"/>
      <c r="P1983" s="23" t="s">
        <v>30</v>
      </c>
      <c r="Q1983" s="23">
        <v>46042</v>
      </c>
      <c r="R1983" s="24" t="s">
        <v>67</v>
      </c>
      <c r="S1983" s="22" t="s">
        <v>32</v>
      </c>
      <c r="T1983" s="22">
        <v>1</v>
      </c>
      <c r="U1983" s="24" t="s">
        <v>67</v>
      </c>
      <c r="V1983" s="23">
        <v>46042</v>
      </c>
      <c r="W1983" s="96" t="s">
        <v>113</v>
      </c>
      <c r="X1983" s="96"/>
      <c r="Y1983" s="91"/>
      <c r="Z1983" s="96"/>
      <c r="AA1983" s="96"/>
      <c r="AB1983" s="96"/>
      <c r="AC1983" s="96"/>
      <c r="AD1983" s="96"/>
      <c r="AE1983" s="96"/>
      <c r="AF1983" s="96"/>
      <c r="AG1983" s="96"/>
      <c r="AH1983" s="110"/>
      <c r="AI1983" s="107"/>
      <c r="AJ1983" s="107"/>
      <c r="AK1983" s="107"/>
      <c r="AL1983" s="110"/>
      <c r="AM1983" s="840"/>
      <c r="AN1983" s="6"/>
      <c r="AO1983" s="6"/>
      <c r="AP1983" s="6"/>
      <c r="AQ1983" s="6"/>
      <c r="AR1983" s="6"/>
      <c r="AS1983" s="104"/>
      <c r="AT1983" s="105"/>
      <c r="AU1983" s="105"/>
      <c r="AV1983" s="105"/>
    </row>
    <row r="1984" spans="1:48">
      <c r="A1984" s="834" t="s">
        <v>2342</v>
      </c>
      <c r="B1984" s="835">
        <v>1981</v>
      </c>
      <c r="C1984" s="834" t="s">
        <v>2899</v>
      </c>
      <c r="D1984" s="834" t="s">
        <v>2900</v>
      </c>
      <c r="E1984" s="839">
        <v>45992</v>
      </c>
      <c r="F1984" s="838" t="s">
        <v>140</v>
      </c>
      <c r="G1984" s="838">
        <v>33</v>
      </c>
      <c r="H1984" s="838" t="s">
        <v>1721</v>
      </c>
      <c r="I1984" s="838"/>
      <c r="J1984" s="838"/>
      <c r="K1984" s="834"/>
      <c r="L1984" s="834"/>
      <c r="M1984" s="834"/>
      <c r="N1984" s="834"/>
      <c r="O1984" s="848" t="s">
        <v>2863</v>
      </c>
      <c r="P1984" s="23" t="s">
        <v>30</v>
      </c>
      <c r="Q1984" s="23">
        <v>46042</v>
      </c>
      <c r="R1984" s="24" t="s">
        <v>67</v>
      </c>
      <c r="S1984" s="22" t="s">
        <v>32</v>
      </c>
      <c r="T1984" s="22">
        <v>33</v>
      </c>
      <c r="U1984" s="24" t="s">
        <v>67</v>
      </c>
      <c r="V1984" s="23">
        <v>46042</v>
      </c>
      <c r="W1984" s="96" t="s">
        <v>113</v>
      </c>
      <c r="X1984" s="96"/>
      <c r="Y1984" s="91"/>
      <c r="Z1984" s="91"/>
      <c r="AA1984" s="91"/>
      <c r="AB1984" s="91"/>
      <c r="AC1984" s="96"/>
      <c r="AD1984" s="96"/>
      <c r="AE1984" s="96"/>
      <c r="AF1984" s="96"/>
      <c r="AG1984" s="96"/>
      <c r="AH1984" s="110"/>
      <c r="AI1984" s="110"/>
      <c r="AJ1984" s="110"/>
      <c r="AK1984" s="107"/>
      <c r="AL1984" s="110"/>
      <c r="AM1984" s="840"/>
      <c r="AN1984" s="6">
        <v>0</v>
      </c>
      <c r="AO1984" s="6">
        <v>0</v>
      </c>
      <c r="AP1984" s="6">
        <v>33</v>
      </c>
      <c r="AQ1984" s="6">
        <v>0</v>
      </c>
      <c r="AR1984" s="6">
        <f>SUM(AN1984:AQ1984)</f>
        <v>33</v>
      </c>
      <c r="AS1984" s="104">
        <f>+AN1984/AR1984*AS$1</f>
        <v>0</v>
      </c>
      <c r="AT1984" s="105">
        <f>+AO1984/AR1984*AT$1</f>
        <v>0</v>
      </c>
      <c r="AU1984" s="105">
        <f>+AP1984/AR1984*AU$1</f>
        <v>0</v>
      </c>
      <c r="AV1984" s="105">
        <f>+AQ1984/AR1984*AV$1</f>
        <v>0</v>
      </c>
    </row>
    <row r="1985" spans="1:48">
      <c r="A1985" s="834" t="s">
        <v>2342</v>
      </c>
      <c r="B1985" s="835">
        <v>1982</v>
      </c>
      <c r="C1985" s="834" t="s">
        <v>2901</v>
      </c>
      <c r="D1985" s="834" t="s">
        <v>1204</v>
      </c>
      <c r="E1985" s="839">
        <v>45992.041666666664</v>
      </c>
      <c r="F1985" s="838" t="s">
        <v>140</v>
      </c>
      <c r="G1985" s="838">
        <v>1</v>
      </c>
      <c r="H1985" s="838" t="s">
        <v>127</v>
      </c>
      <c r="I1985" s="838"/>
      <c r="J1985" s="838"/>
      <c r="K1985" s="834"/>
      <c r="L1985" s="834"/>
      <c r="M1985" s="834"/>
      <c r="N1985" s="834"/>
      <c r="O1985" s="848"/>
      <c r="P1985" s="23" t="s">
        <v>30</v>
      </c>
      <c r="Q1985" s="23">
        <v>46042</v>
      </c>
      <c r="R1985" s="24" t="s">
        <v>67</v>
      </c>
      <c r="S1985" s="22" t="s">
        <v>32</v>
      </c>
      <c r="T1985" s="22">
        <v>1</v>
      </c>
      <c r="U1985" s="24" t="s">
        <v>67</v>
      </c>
      <c r="V1985" s="23">
        <v>46042</v>
      </c>
      <c r="W1985" s="96" t="s">
        <v>113</v>
      </c>
      <c r="X1985" s="96"/>
      <c r="Y1985" s="91"/>
      <c r="Z1985" s="96"/>
      <c r="AA1985" s="96"/>
      <c r="AB1985" s="96"/>
      <c r="AC1985" s="96"/>
      <c r="AD1985" s="96"/>
      <c r="AE1985" s="96"/>
      <c r="AF1985" s="96"/>
      <c r="AG1985" s="96"/>
      <c r="AH1985" s="110"/>
      <c r="AI1985" s="110"/>
      <c r="AJ1985" s="110"/>
      <c r="AK1985" s="110"/>
      <c r="AL1985" s="110"/>
      <c r="AM1985" s="840"/>
      <c r="AN1985" s="6"/>
      <c r="AO1985" s="6"/>
      <c r="AP1985" s="6"/>
      <c r="AQ1985" s="6"/>
      <c r="AR1985" s="6"/>
      <c r="AS1985" s="104"/>
      <c r="AT1985" s="105"/>
      <c r="AU1985" s="105"/>
      <c r="AV1985" s="105"/>
    </row>
    <row r="1986" spans="1:48">
      <c r="A1986" s="834" t="s">
        <v>2342</v>
      </c>
      <c r="B1986" s="835">
        <v>1983</v>
      </c>
      <c r="C1986" s="834" t="s">
        <v>2902</v>
      </c>
      <c r="D1986" s="834" t="s">
        <v>1184</v>
      </c>
      <c r="E1986" s="839">
        <v>45992.041666666664</v>
      </c>
      <c r="F1986" s="838" t="s">
        <v>140</v>
      </c>
      <c r="G1986" s="838">
        <v>26</v>
      </c>
      <c r="H1986" s="838" t="s">
        <v>2903</v>
      </c>
      <c r="I1986" s="838"/>
      <c r="J1986" s="838"/>
      <c r="K1986" s="834"/>
      <c r="L1986" s="834"/>
      <c r="M1986" s="834"/>
      <c r="N1986" s="834"/>
      <c r="O1986" s="848" t="s">
        <v>2863</v>
      </c>
      <c r="P1986" s="23" t="s">
        <v>30</v>
      </c>
      <c r="Q1986" s="23">
        <v>46042</v>
      </c>
      <c r="R1986" s="24" t="s">
        <v>67</v>
      </c>
      <c r="S1986" s="22" t="s">
        <v>32</v>
      </c>
      <c r="T1986" s="22">
        <v>26</v>
      </c>
      <c r="U1986" s="24" t="s">
        <v>67</v>
      </c>
      <c r="V1986" s="117">
        <v>46044</v>
      </c>
      <c r="W1986" s="96" t="s">
        <v>113</v>
      </c>
      <c r="X1986" s="96"/>
      <c r="Y1986" s="91"/>
      <c r="Z1986" s="96"/>
      <c r="AA1986" s="96"/>
      <c r="AB1986" s="96"/>
      <c r="AC1986" s="96"/>
      <c r="AD1986" s="96"/>
      <c r="AE1986" s="96"/>
      <c r="AF1986" s="96"/>
      <c r="AG1986" s="96"/>
      <c r="AH1986" s="110"/>
      <c r="AI1986" s="107"/>
      <c r="AJ1986" s="107"/>
      <c r="AK1986" s="107"/>
      <c r="AL1986" s="110"/>
      <c r="AM1986" s="840"/>
      <c r="AN1986" s="6">
        <v>16</v>
      </c>
      <c r="AO1986" s="6">
        <v>6</v>
      </c>
      <c r="AP1986" s="6">
        <v>0</v>
      </c>
      <c r="AQ1986" s="6">
        <v>4</v>
      </c>
      <c r="AR1986" s="6">
        <f>SUM(AN1986:AQ1986)</f>
        <v>26</v>
      </c>
      <c r="AS1986" s="104">
        <f>+AN1986/AR1986*AS$1</f>
        <v>0</v>
      </c>
      <c r="AT1986" s="105">
        <f>+AO1986/AR1986*AT$1</f>
        <v>0</v>
      </c>
      <c r="AU1986" s="105">
        <f>+AP1986/AR1986*AU$1</f>
        <v>0</v>
      </c>
      <c r="AV1986" s="105">
        <f>+AQ1986/AR1986*AV$1</f>
        <v>0</v>
      </c>
    </row>
    <row r="1987" spans="1:48">
      <c r="A1987" s="834" t="s">
        <v>2342</v>
      </c>
      <c r="B1987" s="835">
        <v>1984</v>
      </c>
      <c r="C1987" s="834" t="s">
        <v>2904</v>
      </c>
      <c r="D1987" s="834" t="s">
        <v>1870</v>
      </c>
      <c r="E1987" s="839">
        <v>45992.041666666664</v>
      </c>
      <c r="F1987" s="838" t="s">
        <v>140</v>
      </c>
      <c r="G1987" s="838">
        <v>1</v>
      </c>
      <c r="H1987" s="838" t="s">
        <v>127</v>
      </c>
      <c r="I1987" s="838"/>
      <c r="J1987" s="838"/>
      <c r="K1987" s="834"/>
      <c r="L1987" s="834"/>
      <c r="M1987" s="834"/>
      <c r="N1987" s="834"/>
      <c r="O1987" s="848"/>
      <c r="P1987" s="23" t="s">
        <v>30</v>
      </c>
      <c r="Q1987" s="117">
        <v>46044</v>
      </c>
      <c r="R1987" s="24" t="s">
        <v>67</v>
      </c>
      <c r="S1987" s="22" t="s">
        <v>32</v>
      </c>
      <c r="T1987" s="22">
        <v>1</v>
      </c>
      <c r="U1987" s="24" t="s">
        <v>67</v>
      </c>
      <c r="V1987" s="117">
        <v>46044</v>
      </c>
      <c r="W1987" s="96" t="s">
        <v>113</v>
      </c>
      <c r="X1987" s="96"/>
      <c r="Y1987" s="91"/>
      <c r="Z1987" s="96"/>
      <c r="AA1987" s="96"/>
      <c r="AB1987" s="96"/>
      <c r="AC1987" s="96"/>
      <c r="AD1987" s="96"/>
      <c r="AE1987" s="96"/>
      <c r="AF1987" s="96"/>
      <c r="AG1987" s="96"/>
      <c r="AH1987" s="110"/>
      <c r="AI1987" s="107"/>
      <c r="AJ1987" s="107"/>
      <c r="AK1987" s="107"/>
      <c r="AL1987" s="110"/>
      <c r="AM1987" s="840"/>
      <c r="AN1987" s="87"/>
      <c r="AO1987" s="87"/>
      <c r="AS1987" s="71"/>
      <c r="AT1987" s="92"/>
      <c r="AU1987" s="92"/>
      <c r="AV1987" s="105"/>
    </row>
    <row r="1988" spans="1:48">
      <c r="A1988" s="834" t="s">
        <v>2342</v>
      </c>
      <c r="B1988" s="835">
        <v>1985</v>
      </c>
      <c r="C1988" s="834" t="s">
        <v>2905</v>
      </c>
      <c r="D1988" s="834" t="s">
        <v>2906</v>
      </c>
      <c r="E1988" s="839">
        <v>45992.041666666664</v>
      </c>
      <c r="F1988" s="838" t="s">
        <v>140</v>
      </c>
      <c r="G1988" s="838">
        <v>4</v>
      </c>
      <c r="H1988" s="838" t="s">
        <v>127</v>
      </c>
      <c r="I1988" s="838"/>
      <c r="J1988" s="838"/>
      <c r="K1988" s="834"/>
      <c r="L1988" s="834"/>
      <c r="M1988" s="834"/>
      <c r="N1988" s="834"/>
      <c r="O1988" s="113"/>
      <c r="P1988" s="23" t="s">
        <v>30</v>
      </c>
      <c r="Q1988" s="117">
        <v>46044</v>
      </c>
      <c r="R1988" s="24" t="s">
        <v>67</v>
      </c>
      <c r="S1988" s="22" t="s">
        <v>32</v>
      </c>
      <c r="T1988" s="7">
        <v>4</v>
      </c>
      <c r="U1988" s="24" t="s">
        <v>67</v>
      </c>
      <c r="V1988" s="117">
        <v>46044</v>
      </c>
      <c r="W1988" s="96" t="s">
        <v>113</v>
      </c>
      <c r="X1988" s="96"/>
      <c r="Y1988" s="91"/>
      <c r="Z1988" s="96"/>
      <c r="AA1988" s="96"/>
      <c r="AB1988" s="96"/>
      <c r="AC1988" s="96"/>
      <c r="AD1988" s="96"/>
      <c r="AE1988" s="96"/>
      <c r="AF1988" s="96"/>
      <c r="AG1988" s="96"/>
      <c r="AH1988" s="110"/>
      <c r="AI1988" s="96"/>
      <c r="AJ1988" s="96"/>
      <c r="AK1988" s="96"/>
      <c r="AL1988" s="110"/>
      <c r="AM1988" s="840"/>
      <c r="AN1988" s="6"/>
      <c r="AO1988" s="6"/>
      <c r="AP1988" s="6"/>
      <c r="AQ1988" s="6"/>
      <c r="AR1988" s="6"/>
      <c r="AS1988" s="104"/>
      <c r="AT1988" s="105"/>
      <c r="AU1988" s="105"/>
      <c r="AV1988" s="105"/>
    </row>
    <row r="1989" spans="1:48">
      <c r="A1989" s="834" t="s">
        <v>2342</v>
      </c>
      <c r="B1989" s="835">
        <v>1986</v>
      </c>
      <c r="C1989" s="834" t="s">
        <v>2907</v>
      </c>
      <c r="D1989" s="834" t="s">
        <v>1406</v>
      </c>
      <c r="E1989" s="839">
        <v>45992</v>
      </c>
      <c r="F1989" s="838" t="s">
        <v>140</v>
      </c>
      <c r="G1989" s="838">
        <v>7</v>
      </c>
      <c r="H1989" s="838" t="s">
        <v>1721</v>
      </c>
      <c r="I1989" s="838"/>
      <c r="J1989" s="838"/>
      <c r="K1989" s="834"/>
      <c r="L1989" s="834"/>
      <c r="M1989" s="834"/>
      <c r="N1989" s="834"/>
      <c r="O1989" s="113"/>
      <c r="P1989" s="23" t="s">
        <v>30</v>
      </c>
      <c r="Q1989" s="117">
        <v>46044</v>
      </c>
      <c r="R1989" s="24" t="s">
        <v>67</v>
      </c>
      <c r="S1989" s="22" t="s">
        <v>32</v>
      </c>
      <c r="T1989" s="22">
        <v>7</v>
      </c>
      <c r="U1989" s="24" t="s">
        <v>67</v>
      </c>
      <c r="V1989" s="117">
        <v>46044</v>
      </c>
      <c r="W1989" s="96" t="s">
        <v>113</v>
      </c>
      <c r="X1989" s="96"/>
      <c r="Y1989" s="91"/>
      <c r="Z1989" s="96"/>
      <c r="AA1989" s="96"/>
      <c r="AB1989" s="96"/>
      <c r="AC1989" s="96"/>
      <c r="AD1989" s="96"/>
      <c r="AE1989" s="96"/>
      <c r="AF1989" s="96"/>
      <c r="AG1989" s="96"/>
      <c r="AH1989" s="110"/>
      <c r="AI1989" s="110"/>
      <c r="AJ1989" s="110"/>
      <c r="AK1989" s="110"/>
      <c r="AL1989" s="110"/>
      <c r="AM1989" s="840"/>
      <c r="AN1989" s="6"/>
      <c r="AO1989" s="6"/>
      <c r="AP1989" s="6"/>
      <c r="AQ1989" s="6"/>
      <c r="AR1989" s="6"/>
      <c r="AS1989" s="104"/>
      <c r="AT1989" s="105"/>
      <c r="AU1989" s="105"/>
      <c r="AV1989" s="105"/>
    </row>
    <row r="1990" spans="1:48">
      <c r="A1990" s="834" t="s">
        <v>2342</v>
      </c>
      <c r="B1990" s="835">
        <v>1987</v>
      </c>
      <c r="C1990" s="834" t="s">
        <v>2908</v>
      </c>
      <c r="D1990" s="834" t="s">
        <v>1887</v>
      </c>
      <c r="E1990" s="839">
        <v>45992</v>
      </c>
      <c r="F1990" s="838" t="s">
        <v>140</v>
      </c>
      <c r="G1990" s="838">
        <v>3</v>
      </c>
      <c r="H1990" s="838" t="s">
        <v>1721</v>
      </c>
      <c r="I1990" s="838"/>
      <c r="J1990" s="838"/>
      <c r="K1990" s="834"/>
      <c r="L1990" s="834"/>
      <c r="M1990" s="834"/>
      <c r="N1990" s="834"/>
      <c r="O1990" s="848"/>
      <c r="P1990" s="23" t="s">
        <v>30</v>
      </c>
      <c r="Q1990" s="117">
        <v>46044</v>
      </c>
      <c r="R1990" s="24" t="s">
        <v>67</v>
      </c>
      <c r="S1990" s="22" t="s">
        <v>32</v>
      </c>
      <c r="T1990" s="22">
        <v>3</v>
      </c>
      <c r="U1990" s="24" t="s">
        <v>67</v>
      </c>
      <c r="V1990" s="117">
        <v>46044</v>
      </c>
      <c r="W1990" s="96" t="s">
        <v>113</v>
      </c>
      <c r="X1990" s="96"/>
      <c r="Y1990" s="91"/>
      <c r="Z1990" s="96"/>
      <c r="AA1990" s="96"/>
      <c r="AB1990" s="96"/>
      <c r="AC1990" s="96"/>
      <c r="AD1990" s="96"/>
      <c r="AE1990" s="96"/>
      <c r="AF1990" s="96"/>
      <c r="AG1990" s="96"/>
      <c r="AH1990" s="110"/>
      <c r="AI1990" s="110"/>
      <c r="AJ1990" s="110"/>
      <c r="AK1990" s="110"/>
      <c r="AL1990" s="110"/>
      <c r="AM1990" s="840"/>
      <c r="AN1990" s="87"/>
      <c r="AO1990" s="87"/>
      <c r="AS1990" s="71"/>
      <c r="AT1990" s="92"/>
      <c r="AU1990" s="92"/>
      <c r="AV1990" s="105"/>
    </row>
    <row r="1991" spans="1:48">
      <c r="A1991" s="834" t="s">
        <v>2342</v>
      </c>
      <c r="B1991" s="835">
        <v>1988</v>
      </c>
      <c r="C1991" s="834" t="s">
        <v>2909</v>
      </c>
      <c r="D1991" s="834" t="s">
        <v>1885</v>
      </c>
      <c r="E1991" s="839">
        <v>45992</v>
      </c>
      <c r="F1991" s="838" t="s">
        <v>140</v>
      </c>
      <c r="G1991" s="838">
        <v>37</v>
      </c>
      <c r="H1991" s="838" t="s">
        <v>1721</v>
      </c>
      <c r="I1991" s="838"/>
      <c r="J1991" s="838"/>
      <c r="K1991" s="834"/>
      <c r="L1991" s="834"/>
      <c r="M1991" s="834"/>
      <c r="N1991" s="834"/>
      <c r="O1991" s="848" t="s">
        <v>2863</v>
      </c>
      <c r="P1991" s="23" t="s">
        <v>30</v>
      </c>
      <c r="Q1991" s="117">
        <v>46044</v>
      </c>
      <c r="R1991" s="24" t="s">
        <v>67</v>
      </c>
      <c r="S1991" s="22" t="s">
        <v>32</v>
      </c>
      <c r="T1991" s="22">
        <v>36</v>
      </c>
      <c r="U1991" s="24" t="s">
        <v>67</v>
      </c>
      <c r="V1991" s="23">
        <v>46045</v>
      </c>
      <c r="W1991" s="96" t="s">
        <v>113</v>
      </c>
      <c r="X1991" s="96"/>
      <c r="Y1991" s="103"/>
      <c r="Z1991" s="96"/>
      <c r="AA1991" s="91"/>
      <c r="AB1991" s="96"/>
      <c r="AC1991" s="96"/>
      <c r="AD1991" s="96"/>
      <c r="AE1991" s="96"/>
      <c r="AF1991" s="96"/>
      <c r="AG1991" s="96"/>
      <c r="AH1991" s="110"/>
      <c r="AI1991" s="110"/>
      <c r="AJ1991" s="110"/>
      <c r="AK1991" s="110"/>
      <c r="AL1991" s="110"/>
      <c r="AM1991" s="840"/>
      <c r="AN1991" s="6">
        <v>0</v>
      </c>
      <c r="AO1991" s="6">
        <v>0</v>
      </c>
      <c r="AP1991" s="6">
        <v>37</v>
      </c>
      <c r="AQ1991" s="6">
        <v>0</v>
      </c>
      <c r="AR1991" s="6">
        <f>SUM(AN1991:AQ1991)</f>
        <v>37</v>
      </c>
      <c r="AS1991" s="104">
        <f>+AN1991/AR1991*AS$1</f>
        <v>0</v>
      </c>
      <c r="AT1991" s="105">
        <f>+AO1991/AR1991*AT$1</f>
        <v>0</v>
      </c>
      <c r="AU1991" s="105">
        <f>+AP1991/AR1991*AU$1</f>
        <v>0</v>
      </c>
      <c r="AV1991" s="105">
        <f>+AQ1991/AR1991*AV$1</f>
        <v>0</v>
      </c>
    </row>
    <row r="1992" spans="1:48">
      <c r="A1992" s="834" t="s">
        <v>2342</v>
      </c>
      <c r="B1992" s="835">
        <v>1989</v>
      </c>
      <c r="C1992" s="834" t="s">
        <v>2910</v>
      </c>
      <c r="D1992" s="834" t="s">
        <v>937</v>
      </c>
      <c r="E1992" s="839">
        <v>45992.041666666664</v>
      </c>
      <c r="F1992" s="838" t="s">
        <v>140</v>
      </c>
      <c r="G1992" s="838">
        <v>11</v>
      </c>
      <c r="H1992" s="838" t="s">
        <v>1811</v>
      </c>
      <c r="I1992" s="838"/>
      <c r="J1992" s="838"/>
      <c r="K1992" s="834"/>
      <c r="L1992" s="834"/>
      <c r="M1992" s="834"/>
      <c r="N1992" s="834"/>
      <c r="O1992" s="848"/>
      <c r="P1992" s="23" t="s">
        <v>30</v>
      </c>
      <c r="Q1992" s="23">
        <v>46045</v>
      </c>
      <c r="R1992" s="24" t="s">
        <v>67</v>
      </c>
      <c r="S1992" s="22" t="s">
        <v>32</v>
      </c>
      <c r="T1992" s="22">
        <v>3</v>
      </c>
      <c r="U1992" s="24" t="s">
        <v>67</v>
      </c>
      <c r="V1992" s="23">
        <v>46045</v>
      </c>
      <c r="W1992" s="96" t="s">
        <v>113</v>
      </c>
      <c r="X1992" s="96"/>
      <c r="Y1992" s="91"/>
      <c r="Z1992" s="96"/>
      <c r="AA1992" s="96"/>
      <c r="AB1992" s="96"/>
      <c r="AC1992" s="96"/>
      <c r="AD1992" s="96"/>
      <c r="AE1992" s="96"/>
      <c r="AF1992" s="96"/>
      <c r="AG1992" s="96"/>
      <c r="AH1992" s="110"/>
      <c r="AI1992" s="110"/>
      <c r="AJ1992" s="107"/>
      <c r="AK1992" s="107"/>
      <c r="AL1992" s="110"/>
      <c r="AM1992" s="840"/>
      <c r="AV1992" s="105"/>
    </row>
    <row r="1993" spans="1:48">
      <c r="A1993" s="834" t="s">
        <v>2342</v>
      </c>
      <c r="B1993" s="835">
        <v>1990</v>
      </c>
      <c r="C1993" s="834" t="s">
        <v>2911</v>
      </c>
      <c r="D1993" s="834" t="s">
        <v>2912</v>
      </c>
      <c r="E1993" s="839">
        <v>45992.375</v>
      </c>
      <c r="F1993" s="838" t="s">
        <v>140</v>
      </c>
      <c r="G1993" s="838">
        <v>9</v>
      </c>
      <c r="H1993" s="838" t="s">
        <v>127</v>
      </c>
      <c r="I1993" s="838"/>
      <c r="J1993" s="838"/>
      <c r="K1993" s="834"/>
      <c r="L1993" s="834"/>
      <c r="M1993" s="834"/>
      <c r="N1993" s="834"/>
      <c r="O1993" s="113"/>
      <c r="P1993" s="23" t="s">
        <v>30</v>
      </c>
      <c r="Q1993" s="23">
        <v>46045</v>
      </c>
      <c r="R1993" s="24" t="s">
        <v>67</v>
      </c>
      <c r="S1993" s="22" t="s">
        <v>32</v>
      </c>
      <c r="T1993" s="22">
        <v>9</v>
      </c>
      <c r="U1993" s="24" t="s">
        <v>67</v>
      </c>
      <c r="V1993" s="23">
        <v>46045</v>
      </c>
      <c r="W1993" s="96" t="s">
        <v>113</v>
      </c>
      <c r="X1993" s="96"/>
      <c r="Y1993" s="91"/>
      <c r="Z1993" s="96"/>
      <c r="AA1993" s="91"/>
      <c r="AB1993" s="96"/>
      <c r="AC1993" s="96"/>
      <c r="AD1993" s="96"/>
      <c r="AE1993" s="96"/>
      <c r="AF1993" s="96"/>
      <c r="AG1993" s="96"/>
      <c r="AH1993" s="110"/>
      <c r="AI1993" s="110"/>
      <c r="AJ1993" s="110"/>
      <c r="AK1993" s="110"/>
      <c r="AL1993" s="110"/>
      <c r="AM1993" s="840"/>
      <c r="AS1993" s="71"/>
      <c r="AT1993" s="92"/>
      <c r="AU1993" s="92"/>
      <c r="AV1993" s="105"/>
    </row>
    <row r="1994" spans="1:48">
      <c r="A1994" s="834" t="s">
        <v>2342</v>
      </c>
      <c r="B1994" s="835">
        <v>1991</v>
      </c>
      <c r="C1994" s="834" t="s">
        <v>2913</v>
      </c>
      <c r="D1994" s="834" t="s">
        <v>816</v>
      </c>
      <c r="E1994" s="839">
        <v>45992.041666666664</v>
      </c>
      <c r="F1994" s="838" t="s">
        <v>140</v>
      </c>
      <c r="G1994" s="838">
        <v>4</v>
      </c>
      <c r="H1994" s="838" t="s">
        <v>1077</v>
      </c>
      <c r="I1994" s="838"/>
      <c r="J1994" s="838"/>
      <c r="K1994" s="834"/>
      <c r="L1994" s="834"/>
      <c r="M1994" s="834"/>
      <c r="N1994" s="834"/>
      <c r="O1994" s="848"/>
      <c r="P1994" s="23" t="s">
        <v>30</v>
      </c>
      <c r="Q1994" s="23">
        <v>46045</v>
      </c>
      <c r="R1994" s="24" t="s">
        <v>67</v>
      </c>
      <c r="S1994" s="22" t="s">
        <v>32</v>
      </c>
      <c r="T1994" s="22">
        <v>4</v>
      </c>
      <c r="U1994" s="24" t="s">
        <v>67</v>
      </c>
      <c r="V1994" s="23">
        <v>46045</v>
      </c>
      <c r="W1994" s="96" t="s">
        <v>113</v>
      </c>
      <c r="X1994" s="96"/>
      <c r="Y1994" s="91"/>
      <c r="Z1994" s="96"/>
      <c r="AA1994" s="96"/>
      <c r="AB1994" s="96"/>
      <c r="AC1994" s="96"/>
      <c r="AD1994" s="96"/>
      <c r="AE1994" s="96"/>
      <c r="AF1994" s="96"/>
      <c r="AG1994" s="96"/>
      <c r="AH1994" s="110"/>
      <c r="AI1994" s="110"/>
      <c r="AJ1994" s="110"/>
      <c r="AK1994" s="107"/>
      <c r="AL1994" s="110"/>
      <c r="AM1994" s="840"/>
      <c r="AS1994" s="71"/>
      <c r="AT1994" s="92"/>
      <c r="AU1994" s="92"/>
      <c r="AV1994" s="105"/>
    </row>
    <row r="1995" spans="1:48">
      <c r="A1995" s="834" t="s">
        <v>2342</v>
      </c>
      <c r="B1995" s="835">
        <v>1992</v>
      </c>
      <c r="C1995" s="834" t="s">
        <v>2914</v>
      </c>
      <c r="D1995" s="834" t="s">
        <v>1567</v>
      </c>
      <c r="E1995" s="839">
        <v>45992</v>
      </c>
      <c r="F1995" s="838" t="s">
        <v>140</v>
      </c>
      <c r="G1995" s="838">
        <v>1</v>
      </c>
      <c r="H1995" s="838" t="s">
        <v>67</v>
      </c>
      <c r="I1995" s="838"/>
      <c r="J1995" s="838"/>
      <c r="K1995" s="834"/>
      <c r="L1995" s="834"/>
      <c r="M1995" s="834"/>
      <c r="N1995" s="834"/>
      <c r="O1995" s="848"/>
      <c r="P1995" s="23" t="s">
        <v>30</v>
      </c>
      <c r="Q1995" s="23">
        <v>46045</v>
      </c>
      <c r="R1995" s="24" t="s">
        <v>67</v>
      </c>
      <c r="S1995" s="22" t="s">
        <v>32</v>
      </c>
      <c r="T1995" s="22">
        <v>1</v>
      </c>
      <c r="U1995" s="24" t="s">
        <v>67</v>
      </c>
      <c r="V1995" s="23">
        <v>46045</v>
      </c>
      <c r="W1995" s="96" t="s">
        <v>113</v>
      </c>
      <c r="X1995" s="103"/>
      <c r="Y1995" s="103"/>
      <c r="Z1995" s="96"/>
      <c r="AA1995" s="96"/>
      <c r="AB1995" s="96"/>
      <c r="AC1995" s="96"/>
      <c r="AD1995" s="96"/>
      <c r="AE1995" s="96"/>
      <c r="AF1995" s="96"/>
      <c r="AG1995" s="96"/>
      <c r="AH1995" s="110"/>
      <c r="AI1995" s="110"/>
      <c r="AJ1995" s="110"/>
      <c r="AK1995" s="110"/>
      <c r="AL1995" s="110"/>
      <c r="AM1995" s="840"/>
      <c r="AV1995" s="105"/>
    </row>
    <row r="1996" spans="1:48">
      <c r="A1996" s="834" t="s">
        <v>2342</v>
      </c>
      <c r="B1996" s="835">
        <v>1993</v>
      </c>
      <c r="C1996" s="834" t="s">
        <v>2915</v>
      </c>
      <c r="D1996" s="834" t="s">
        <v>779</v>
      </c>
      <c r="E1996" s="839">
        <v>45992</v>
      </c>
      <c r="F1996" s="838" t="s">
        <v>140</v>
      </c>
      <c r="G1996" s="838">
        <v>4</v>
      </c>
      <c r="H1996" s="838" t="s">
        <v>127</v>
      </c>
      <c r="I1996" s="838"/>
      <c r="J1996" s="838"/>
      <c r="K1996" s="834"/>
      <c r="L1996" s="834"/>
      <c r="M1996" s="834"/>
      <c r="N1996" s="834"/>
      <c r="O1996" s="113"/>
      <c r="P1996" s="23" t="s">
        <v>30</v>
      </c>
      <c r="Q1996" s="23">
        <v>46045</v>
      </c>
      <c r="R1996" s="24" t="s">
        <v>67</v>
      </c>
      <c r="S1996" s="22" t="s">
        <v>32</v>
      </c>
      <c r="T1996" s="22">
        <v>4</v>
      </c>
      <c r="U1996" s="24" t="s">
        <v>67</v>
      </c>
      <c r="V1996" s="23">
        <v>46045</v>
      </c>
      <c r="W1996" s="96" t="s">
        <v>113</v>
      </c>
      <c r="X1996" s="96"/>
      <c r="Y1996" s="91"/>
      <c r="Z1996" s="91"/>
      <c r="AA1996" s="91"/>
      <c r="AB1996" s="91"/>
      <c r="AC1996" s="96"/>
      <c r="AD1996" s="96"/>
      <c r="AE1996" s="96"/>
      <c r="AF1996" s="96"/>
      <c r="AG1996" s="96"/>
      <c r="AH1996" s="110"/>
      <c r="AI1996" s="96"/>
      <c r="AJ1996" s="96"/>
      <c r="AK1996" s="96"/>
      <c r="AL1996" s="110"/>
      <c r="AM1996" s="840"/>
      <c r="AN1996" s="6"/>
      <c r="AO1996" s="6"/>
      <c r="AP1996" s="6"/>
      <c r="AQ1996" s="6"/>
      <c r="AR1996" s="6"/>
      <c r="AS1996" s="104"/>
      <c r="AT1996" s="105"/>
      <c r="AU1996" s="105"/>
      <c r="AV1996" s="105"/>
    </row>
    <row r="1997" spans="1:48">
      <c r="A1997" s="834" t="s">
        <v>2342</v>
      </c>
      <c r="B1997" s="835">
        <v>1994</v>
      </c>
      <c r="C1997" s="834" t="s">
        <v>2916</v>
      </c>
      <c r="D1997" s="834" t="s">
        <v>2917</v>
      </c>
      <c r="E1997" s="839">
        <v>45992.375</v>
      </c>
      <c r="F1997" s="838" t="s">
        <v>140</v>
      </c>
      <c r="G1997" s="838">
        <v>11</v>
      </c>
      <c r="H1997" s="838" t="s">
        <v>67</v>
      </c>
      <c r="I1997" s="838"/>
      <c r="J1997" s="838"/>
      <c r="K1997" s="834"/>
      <c r="L1997" s="834"/>
      <c r="M1997" s="834"/>
      <c r="N1997" s="834"/>
      <c r="O1997" s="113"/>
      <c r="P1997" s="23" t="s">
        <v>30</v>
      </c>
      <c r="Q1997" s="23">
        <v>46045</v>
      </c>
      <c r="R1997" s="24" t="s">
        <v>67</v>
      </c>
      <c r="S1997" s="22" t="s">
        <v>32</v>
      </c>
      <c r="T1997" s="22">
        <v>11</v>
      </c>
      <c r="U1997" s="24" t="s">
        <v>67</v>
      </c>
      <c r="V1997" s="23">
        <v>46046</v>
      </c>
      <c r="W1997" s="96" t="s">
        <v>113</v>
      </c>
      <c r="X1997" s="96"/>
      <c r="Y1997" s="91"/>
      <c r="Z1997" s="96"/>
      <c r="AA1997" s="96"/>
      <c r="AB1997" s="96"/>
      <c r="AC1997" s="96"/>
      <c r="AD1997" s="96"/>
      <c r="AE1997" s="96"/>
      <c r="AF1997" s="96"/>
      <c r="AG1997" s="96"/>
      <c r="AH1997" s="110"/>
      <c r="AI1997" s="107"/>
      <c r="AJ1997" s="107"/>
      <c r="AK1997" s="107"/>
      <c r="AL1997" s="110"/>
      <c r="AM1997" s="840"/>
      <c r="AR1997" s="84"/>
      <c r="AS1997" s="71"/>
      <c r="AT1997" s="71"/>
      <c r="AU1997" s="71"/>
      <c r="AV1997" s="105"/>
    </row>
    <row r="1998" spans="1:48">
      <c r="A1998" s="834" t="s">
        <v>2342</v>
      </c>
      <c r="B1998" s="835">
        <v>1995</v>
      </c>
      <c r="C1998" s="834" t="s">
        <v>2918</v>
      </c>
      <c r="D1998" s="834" t="s">
        <v>846</v>
      </c>
      <c r="E1998" s="839">
        <v>45992</v>
      </c>
      <c r="F1998" s="838" t="s">
        <v>140</v>
      </c>
      <c r="G1998" s="838">
        <v>1</v>
      </c>
      <c r="H1998" s="838" t="s">
        <v>1721</v>
      </c>
      <c r="I1998" s="838"/>
      <c r="J1998" s="838"/>
      <c r="K1998" s="834"/>
      <c r="L1998" s="834"/>
      <c r="M1998" s="834"/>
      <c r="N1998" s="834"/>
      <c r="O1998" s="848"/>
      <c r="P1998" s="23" t="s">
        <v>30</v>
      </c>
      <c r="Q1998" s="23">
        <v>46046</v>
      </c>
      <c r="R1998" s="24" t="s">
        <v>67</v>
      </c>
      <c r="S1998" s="22" t="s">
        <v>32</v>
      </c>
      <c r="T1998" s="22">
        <v>1</v>
      </c>
      <c r="U1998" s="24" t="s">
        <v>67</v>
      </c>
      <c r="V1998" s="23">
        <v>46046</v>
      </c>
      <c r="W1998" s="96" t="s">
        <v>113</v>
      </c>
      <c r="X1998" s="96"/>
      <c r="Y1998" s="91"/>
      <c r="Z1998" s="96"/>
      <c r="AA1998" s="96"/>
      <c r="AB1998" s="96"/>
      <c r="AC1998" s="96"/>
      <c r="AD1998" s="96"/>
      <c r="AE1998" s="96"/>
      <c r="AF1998" s="96"/>
      <c r="AG1998" s="96"/>
      <c r="AH1998" s="110"/>
      <c r="AI1998" s="110"/>
      <c r="AJ1998" s="110"/>
      <c r="AK1998" s="110"/>
      <c r="AL1998" s="110"/>
      <c r="AM1998" s="840"/>
      <c r="AS1998" s="71"/>
      <c r="AT1998" s="92"/>
      <c r="AU1998" s="92"/>
      <c r="AV1998" s="105"/>
    </row>
    <row r="1999" spans="1:48">
      <c r="A1999" s="834" t="s">
        <v>2342</v>
      </c>
      <c r="B1999" s="835">
        <v>1996</v>
      </c>
      <c r="C1999" s="834" t="s">
        <v>2919</v>
      </c>
      <c r="D1999" s="834" t="s">
        <v>1544</v>
      </c>
      <c r="E1999" s="839">
        <v>45999.041666666664</v>
      </c>
      <c r="F1999" s="838" t="s">
        <v>140</v>
      </c>
      <c r="G1999" s="838">
        <v>2</v>
      </c>
      <c r="H1999" s="838" t="s">
        <v>127</v>
      </c>
      <c r="I1999" s="838"/>
      <c r="J1999" s="838"/>
      <c r="K1999" s="834"/>
      <c r="L1999" s="834"/>
      <c r="M1999" s="834"/>
      <c r="N1999" s="834"/>
      <c r="O1999" s="113"/>
      <c r="P1999" s="23" t="s">
        <v>30</v>
      </c>
      <c r="Q1999" s="23">
        <v>46046</v>
      </c>
      <c r="R1999" s="24" t="s">
        <v>67</v>
      </c>
      <c r="S1999" s="22" t="s">
        <v>32</v>
      </c>
      <c r="T1999" s="22">
        <v>2</v>
      </c>
      <c r="U1999" s="24" t="s">
        <v>67</v>
      </c>
      <c r="V1999" s="23">
        <v>46046</v>
      </c>
      <c r="W1999" s="96" t="s">
        <v>113</v>
      </c>
      <c r="X1999" s="103"/>
      <c r="Y1999" s="103"/>
      <c r="Z1999" s="96"/>
      <c r="AA1999" s="96"/>
      <c r="AB1999" s="96"/>
      <c r="AC1999" s="96"/>
      <c r="AD1999" s="96"/>
      <c r="AE1999" s="96"/>
      <c r="AF1999" s="96"/>
      <c r="AG1999" s="96"/>
      <c r="AH1999" s="110"/>
      <c r="AI1999" s="110"/>
      <c r="AJ1999" s="110"/>
      <c r="AK1999" s="110"/>
      <c r="AL1999" s="110"/>
      <c r="AM1999" s="840"/>
      <c r="AV1999" s="105"/>
    </row>
    <row r="2000" spans="1:48">
      <c r="A2000" s="834" t="s">
        <v>2342</v>
      </c>
      <c r="B2000" s="835">
        <v>1997</v>
      </c>
      <c r="C2000" s="834" t="s">
        <v>2920</v>
      </c>
      <c r="D2000" s="834" t="s">
        <v>758</v>
      </c>
      <c r="E2000" s="839">
        <v>45999.041666666664</v>
      </c>
      <c r="F2000" s="838" t="s">
        <v>140</v>
      </c>
      <c r="G2000" s="838">
        <v>1</v>
      </c>
      <c r="H2000" s="838" t="s">
        <v>127</v>
      </c>
      <c r="I2000" s="838"/>
      <c r="J2000" s="838"/>
      <c r="K2000" s="834"/>
      <c r="L2000" s="834"/>
      <c r="M2000" s="834"/>
      <c r="N2000" s="834"/>
      <c r="O2000" s="848"/>
      <c r="P2000" s="23" t="s">
        <v>30</v>
      </c>
      <c r="Q2000" s="23">
        <v>46046</v>
      </c>
      <c r="R2000" s="24" t="s">
        <v>67</v>
      </c>
      <c r="S2000" s="22" t="s">
        <v>32</v>
      </c>
      <c r="T2000" s="22">
        <v>1</v>
      </c>
      <c r="U2000" s="24" t="s">
        <v>67</v>
      </c>
      <c r="V2000" s="23">
        <v>46046</v>
      </c>
      <c r="W2000" s="96" t="s">
        <v>113</v>
      </c>
      <c r="X2000" s="96"/>
      <c r="Y2000" s="91"/>
      <c r="Z2000" s="96"/>
      <c r="AA2000" s="96"/>
      <c r="AB2000" s="96"/>
      <c r="AC2000" s="96"/>
      <c r="AD2000" s="96"/>
      <c r="AE2000" s="96"/>
      <c r="AF2000" s="96"/>
      <c r="AG2000" s="96"/>
      <c r="AH2000" s="110"/>
      <c r="AI2000" s="107"/>
      <c r="AJ2000" s="107"/>
      <c r="AK2000" s="107"/>
      <c r="AL2000" s="110"/>
      <c r="AM2000" s="840"/>
      <c r="AV2000" s="105"/>
    </row>
    <row r="2001" spans="1:48">
      <c r="A2001" s="834" t="s">
        <v>2342</v>
      </c>
      <c r="B2001" s="835">
        <v>1998</v>
      </c>
      <c r="C2001" s="834" t="s">
        <v>2921</v>
      </c>
      <c r="D2001" s="834" t="s">
        <v>850</v>
      </c>
      <c r="E2001" s="839">
        <v>45999.041666666664</v>
      </c>
      <c r="F2001" s="838" t="s">
        <v>140</v>
      </c>
      <c r="G2001" s="838">
        <v>1</v>
      </c>
      <c r="H2001" s="838" t="s">
        <v>127</v>
      </c>
      <c r="I2001" s="838"/>
      <c r="J2001" s="838"/>
      <c r="K2001" s="834"/>
      <c r="L2001" s="834"/>
      <c r="M2001" s="834"/>
      <c r="N2001" s="834"/>
      <c r="O2001" s="113"/>
      <c r="P2001" s="23" t="s">
        <v>30</v>
      </c>
      <c r="Q2001" s="23">
        <v>46046</v>
      </c>
      <c r="R2001" s="24" t="s">
        <v>67</v>
      </c>
      <c r="S2001" s="22" t="s">
        <v>32</v>
      </c>
      <c r="T2001" s="22">
        <v>1</v>
      </c>
      <c r="U2001" s="24" t="s">
        <v>67</v>
      </c>
      <c r="V2001" s="23">
        <v>46046</v>
      </c>
      <c r="W2001" s="96" t="s">
        <v>113</v>
      </c>
      <c r="X2001" s="103"/>
      <c r="Y2001" s="103"/>
      <c r="Z2001" s="96"/>
      <c r="AA2001" s="96"/>
      <c r="AB2001" s="96"/>
      <c r="AC2001" s="96"/>
      <c r="AD2001" s="96"/>
      <c r="AE2001" s="96"/>
      <c r="AF2001" s="96"/>
      <c r="AG2001" s="96"/>
      <c r="AH2001" s="110"/>
      <c r="AI2001" s="110"/>
      <c r="AJ2001" s="110"/>
      <c r="AK2001" s="110"/>
      <c r="AL2001" s="110"/>
      <c r="AM2001" s="840"/>
      <c r="AN2001" s="6"/>
      <c r="AO2001" s="6"/>
      <c r="AP2001" s="6"/>
      <c r="AQ2001" s="6"/>
      <c r="AR2001" s="6"/>
      <c r="AS2001" s="104"/>
      <c r="AT2001" s="105"/>
      <c r="AU2001" s="105"/>
      <c r="AV2001" s="105"/>
    </row>
    <row r="2002" spans="1:48">
      <c r="A2002" s="834" t="s">
        <v>2342</v>
      </c>
      <c r="B2002" s="835">
        <v>1999</v>
      </c>
      <c r="C2002" s="834" t="s">
        <v>2922</v>
      </c>
      <c r="D2002" s="834" t="s">
        <v>2834</v>
      </c>
      <c r="E2002" s="839">
        <v>45999.166666666664</v>
      </c>
      <c r="F2002" s="838" t="s">
        <v>140</v>
      </c>
      <c r="G2002" s="838">
        <v>7</v>
      </c>
      <c r="H2002" s="838" t="s">
        <v>1077</v>
      </c>
      <c r="I2002" s="838"/>
      <c r="J2002" s="838"/>
      <c r="K2002" s="834"/>
      <c r="L2002" s="834"/>
      <c r="M2002" s="834"/>
      <c r="N2002" s="834"/>
      <c r="O2002" s="113"/>
      <c r="P2002" s="23" t="s">
        <v>30</v>
      </c>
      <c r="Q2002" s="23">
        <v>46046</v>
      </c>
      <c r="R2002" s="24" t="s">
        <v>67</v>
      </c>
      <c r="S2002" s="22" t="s">
        <v>32</v>
      </c>
      <c r="T2002" s="22">
        <v>14</v>
      </c>
      <c r="U2002" s="24" t="s">
        <v>67</v>
      </c>
      <c r="V2002" s="23">
        <v>46046</v>
      </c>
      <c r="W2002" s="96" t="s">
        <v>113</v>
      </c>
      <c r="X2002" s="96"/>
      <c r="Y2002" s="91"/>
      <c r="Z2002" s="96"/>
      <c r="AA2002" s="96"/>
      <c r="AB2002" s="96"/>
      <c r="AC2002" s="96"/>
      <c r="AD2002" s="96"/>
      <c r="AE2002" s="96"/>
      <c r="AF2002" s="96"/>
      <c r="AG2002" s="96"/>
      <c r="AH2002" s="110"/>
      <c r="AI2002" s="110"/>
      <c r="AJ2002" s="110"/>
      <c r="AK2002" s="110"/>
      <c r="AL2002" s="110"/>
      <c r="AM2002" s="840"/>
      <c r="AN2002" s="6"/>
      <c r="AO2002" s="6"/>
      <c r="AP2002" s="6"/>
      <c r="AQ2002" s="6"/>
      <c r="AR2002" s="6"/>
      <c r="AS2002" s="104"/>
      <c r="AT2002" s="105"/>
      <c r="AU2002" s="105"/>
      <c r="AV2002" s="105"/>
    </row>
    <row r="2003" spans="1:48">
      <c r="A2003" s="834" t="s">
        <v>2342</v>
      </c>
      <c r="B2003" s="835">
        <v>2000</v>
      </c>
      <c r="C2003" s="834" t="s">
        <v>2923</v>
      </c>
      <c r="D2003" s="834" t="s">
        <v>779</v>
      </c>
      <c r="E2003" s="839">
        <v>45999.375</v>
      </c>
      <c r="F2003" s="838" t="s">
        <v>140</v>
      </c>
      <c r="G2003" s="838">
        <v>6</v>
      </c>
      <c r="H2003" s="838" t="s">
        <v>1843</v>
      </c>
      <c r="I2003" s="838"/>
      <c r="J2003" s="838"/>
      <c r="K2003" s="834"/>
      <c r="L2003" s="834"/>
      <c r="M2003" s="834"/>
      <c r="N2003" s="834"/>
      <c r="O2003" s="113"/>
      <c r="P2003" s="23" t="s">
        <v>30</v>
      </c>
      <c r="Q2003" s="23">
        <v>46046</v>
      </c>
      <c r="R2003" s="24" t="s">
        <v>67</v>
      </c>
      <c r="S2003" s="22" t="s">
        <v>32</v>
      </c>
      <c r="T2003" s="22">
        <v>6</v>
      </c>
      <c r="U2003" s="24" t="s">
        <v>67</v>
      </c>
      <c r="V2003" s="23">
        <v>46046</v>
      </c>
      <c r="W2003" s="96" t="s">
        <v>113</v>
      </c>
      <c r="X2003" s="96"/>
      <c r="Y2003" s="91"/>
      <c r="Z2003" s="91"/>
      <c r="AA2003" s="91"/>
      <c r="AB2003" s="96"/>
      <c r="AC2003" s="96"/>
      <c r="AD2003" s="96"/>
      <c r="AE2003" s="96"/>
      <c r="AF2003" s="96"/>
      <c r="AG2003" s="96"/>
      <c r="AH2003" s="110"/>
      <c r="AI2003" s="110"/>
      <c r="AJ2003" s="110"/>
      <c r="AK2003" s="96"/>
      <c r="AL2003" s="110"/>
      <c r="AM2003" s="840"/>
      <c r="AO2003" s="776"/>
      <c r="AP2003" s="776"/>
      <c r="AQ2003" s="776"/>
      <c r="AR2003" s="776"/>
      <c r="AV2003" s="105"/>
    </row>
    <row r="2004" spans="1:48">
      <c r="A2004" s="834" t="s">
        <v>2342</v>
      </c>
      <c r="B2004" s="835">
        <v>2001</v>
      </c>
      <c r="C2004" s="834" t="s">
        <v>2924</v>
      </c>
      <c r="D2004" s="834" t="s">
        <v>2925</v>
      </c>
      <c r="E2004" s="839">
        <v>45999.375</v>
      </c>
      <c r="F2004" s="838" t="s">
        <v>140</v>
      </c>
      <c r="G2004" s="838">
        <v>4</v>
      </c>
      <c r="H2004" s="838" t="s">
        <v>2926</v>
      </c>
      <c r="I2004" s="838"/>
      <c r="J2004" s="838"/>
      <c r="K2004" s="834"/>
      <c r="L2004" s="834"/>
      <c r="M2004" s="834"/>
      <c r="N2004" s="834"/>
      <c r="O2004" s="113"/>
      <c r="P2004" s="23" t="s">
        <v>30</v>
      </c>
      <c r="Q2004" s="23">
        <v>46046</v>
      </c>
      <c r="R2004" s="24" t="s">
        <v>67</v>
      </c>
      <c r="S2004" s="22" t="s">
        <v>32</v>
      </c>
      <c r="T2004" s="22">
        <v>4</v>
      </c>
      <c r="U2004" s="24" t="s">
        <v>67</v>
      </c>
      <c r="V2004" s="23">
        <v>46046</v>
      </c>
      <c r="W2004" s="96" t="s">
        <v>113</v>
      </c>
      <c r="X2004" s="96"/>
      <c r="Y2004" s="91"/>
      <c r="Z2004" s="91"/>
      <c r="AA2004" s="91"/>
      <c r="AB2004" s="91"/>
      <c r="AC2004" s="96"/>
      <c r="AD2004" s="96"/>
      <c r="AE2004" s="96"/>
      <c r="AF2004" s="96"/>
      <c r="AG2004" s="96"/>
      <c r="AH2004" s="110"/>
      <c r="AI2004" s="96"/>
      <c r="AJ2004" s="96"/>
      <c r="AK2004" s="96"/>
      <c r="AL2004" s="110"/>
      <c r="AM2004" s="840"/>
      <c r="AN2004" s="6"/>
      <c r="AO2004" s="6"/>
      <c r="AP2004" s="6"/>
      <c r="AQ2004" s="6"/>
      <c r="AR2004" s="6"/>
      <c r="AS2004" s="104"/>
      <c r="AT2004" s="105"/>
      <c r="AU2004" s="105"/>
      <c r="AV2004" s="105"/>
    </row>
    <row r="2005" spans="1:48">
      <c r="A2005" s="834" t="s">
        <v>2342</v>
      </c>
      <c r="B2005" s="835">
        <v>2002</v>
      </c>
      <c r="C2005" s="834" t="s">
        <v>2927</v>
      </c>
      <c r="D2005" s="834" t="s">
        <v>846</v>
      </c>
      <c r="E2005" s="839">
        <v>45999.041666666664</v>
      </c>
      <c r="F2005" s="838" t="s">
        <v>140</v>
      </c>
      <c r="G2005" s="838">
        <v>2</v>
      </c>
      <c r="H2005" s="838" t="s">
        <v>127</v>
      </c>
      <c r="I2005" s="838"/>
      <c r="J2005" s="838"/>
      <c r="K2005" s="834"/>
      <c r="L2005" s="834"/>
      <c r="M2005" s="834"/>
      <c r="N2005" s="834"/>
      <c r="O2005" s="113"/>
      <c r="P2005" s="23" t="s">
        <v>30</v>
      </c>
      <c r="Q2005" s="23">
        <v>46046</v>
      </c>
      <c r="R2005" s="24" t="s">
        <v>67</v>
      </c>
      <c r="S2005" s="22" t="s">
        <v>32</v>
      </c>
      <c r="T2005" s="22">
        <v>2</v>
      </c>
      <c r="U2005" s="24" t="s">
        <v>67</v>
      </c>
      <c r="V2005" s="23">
        <v>46046</v>
      </c>
      <c r="W2005" s="96" t="s">
        <v>113</v>
      </c>
      <c r="X2005" s="96"/>
      <c r="Y2005" s="91"/>
      <c r="Z2005" s="96"/>
      <c r="AA2005" s="96"/>
      <c r="AB2005" s="96"/>
      <c r="AC2005" s="96"/>
      <c r="AD2005" s="96"/>
      <c r="AE2005" s="96"/>
      <c r="AF2005" s="96"/>
      <c r="AG2005" s="96"/>
      <c r="AH2005" s="110"/>
      <c r="AI2005" s="96"/>
      <c r="AJ2005" s="96"/>
      <c r="AK2005" s="96"/>
      <c r="AL2005" s="110"/>
      <c r="AM2005" s="840"/>
      <c r="AO2005" s="776"/>
      <c r="AP2005" s="776"/>
      <c r="AQ2005" s="776"/>
      <c r="AR2005" s="776"/>
      <c r="AV2005" s="105"/>
    </row>
    <row r="2006" spans="1:48">
      <c r="A2006" s="834" t="s">
        <v>2342</v>
      </c>
      <c r="B2006" s="835">
        <v>2003</v>
      </c>
      <c r="C2006" s="834" t="s">
        <v>2928</v>
      </c>
      <c r="D2006" s="834" t="s">
        <v>1198</v>
      </c>
      <c r="E2006" s="839">
        <v>45999</v>
      </c>
      <c r="F2006" s="838" t="s">
        <v>140</v>
      </c>
      <c r="G2006" s="838">
        <v>50</v>
      </c>
      <c r="H2006" s="838" t="s">
        <v>1790</v>
      </c>
      <c r="I2006" s="838"/>
      <c r="J2006" s="838"/>
      <c r="K2006" s="834"/>
      <c r="L2006" s="834"/>
      <c r="M2006" s="834"/>
      <c r="N2006" s="834"/>
      <c r="O2006" s="848" t="s">
        <v>2863</v>
      </c>
      <c r="P2006" s="23" t="s">
        <v>30</v>
      </c>
      <c r="Q2006" s="23">
        <v>46046</v>
      </c>
      <c r="R2006" s="24" t="s">
        <v>67</v>
      </c>
      <c r="S2006" s="22" t="s">
        <v>32</v>
      </c>
      <c r="T2006" s="22">
        <v>50</v>
      </c>
      <c r="U2006" s="24" t="s">
        <v>67</v>
      </c>
      <c r="V2006" s="23">
        <v>46046</v>
      </c>
      <c r="W2006" s="96" t="s">
        <v>113</v>
      </c>
      <c r="X2006" s="96"/>
      <c r="Y2006" s="91"/>
      <c r="Z2006" s="96"/>
      <c r="AA2006" s="96"/>
      <c r="AB2006" s="96"/>
      <c r="AC2006" s="96"/>
      <c r="AD2006" s="96"/>
      <c r="AE2006" s="96"/>
      <c r="AF2006" s="96"/>
      <c r="AG2006" s="96"/>
      <c r="AH2006" s="110"/>
      <c r="AI2006" s="107"/>
      <c r="AJ2006" s="107"/>
      <c r="AK2006" s="107"/>
      <c r="AL2006" s="110"/>
      <c r="AM2006" s="840"/>
      <c r="AN2006" s="6">
        <v>35</v>
      </c>
      <c r="AO2006" s="6">
        <v>0</v>
      </c>
      <c r="AP2006" s="6">
        <v>0</v>
      </c>
      <c r="AQ2006" s="6">
        <v>15</v>
      </c>
      <c r="AR2006" s="6">
        <f>SUM(AN2006:AQ2006)</f>
        <v>50</v>
      </c>
      <c r="AS2006" s="104">
        <f>+AN2006/AR2006*AS$1</f>
        <v>0</v>
      </c>
      <c r="AT2006" s="105">
        <f>+AO2006/AR2006*AT$1</f>
        <v>0</v>
      </c>
      <c r="AU2006" s="105">
        <f>+AP2006/AR2006*AU$1</f>
        <v>0</v>
      </c>
      <c r="AV2006" s="105">
        <f>+AQ2006/AR2006*AV$1</f>
        <v>0</v>
      </c>
    </row>
    <row r="2007" spans="1:48">
      <c r="A2007" s="834" t="s">
        <v>2342</v>
      </c>
      <c r="B2007" s="835">
        <v>2004</v>
      </c>
      <c r="C2007" s="834" t="s">
        <v>2929</v>
      </c>
      <c r="D2007" s="834" t="s">
        <v>989</v>
      </c>
      <c r="E2007" s="839">
        <v>45999</v>
      </c>
      <c r="F2007" s="838" t="s">
        <v>140</v>
      </c>
      <c r="G2007" s="838">
        <v>2</v>
      </c>
      <c r="H2007" s="838" t="s">
        <v>1077</v>
      </c>
      <c r="I2007" s="838"/>
      <c r="J2007" s="838"/>
      <c r="K2007" s="834"/>
      <c r="L2007" s="834"/>
      <c r="M2007" s="834"/>
      <c r="N2007" s="834"/>
      <c r="O2007" s="848"/>
      <c r="P2007" s="23" t="s">
        <v>30</v>
      </c>
      <c r="Q2007" s="23">
        <v>46046</v>
      </c>
      <c r="R2007" s="24" t="s">
        <v>67</v>
      </c>
      <c r="S2007" s="22" t="s">
        <v>32</v>
      </c>
      <c r="T2007" s="22">
        <v>2</v>
      </c>
      <c r="U2007" s="24" t="s">
        <v>67</v>
      </c>
      <c r="V2007" s="23">
        <v>46046</v>
      </c>
      <c r="W2007" s="96" t="s">
        <v>113</v>
      </c>
      <c r="X2007" s="96"/>
      <c r="Y2007" s="91"/>
      <c r="Z2007" s="91"/>
      <c r="AA2007" s="91"/>
      <c r="AB2007" s="91"/>
      <c r="AC2007" s="96"/>
      <c r="AD2007" s="96"/>
      <c r="AE2007" s="96"/>
      <c r="AF2007" s="96"/>
      <c r="AG2007" s="96"/>
      <c r="AH2007" s="110"/>
      <c r="AI2007" s="110"/>
      <c r="AJ2007" s="110"/>
      <c r="AK2007" s="107"/>
      <c r="AL2007" s="110"/>
      <c r="AM2007" s="840"/>
      <c r="AN2007" s="6"/>
      <c r="AO2007" s="6"/>
      <c r="AP2007" s="6"/>
      <c r="AQ2007" s="6"/>
      <c r="AR2007" s="6"/>
      <c r="AS2007" s="104"/>
      <c r="AT2007" s="105"/>
      <c r="AU2007" s="105"/>
      <c r="AV2007" s="105"/>
    </row>
    <row r="2008" spans="1:48">
      <c r="A2008" s="834" t="s">
        <v>2342</v>
      </c>
      <c r="B2008" s="835">
        <v>2005</v>
      </c>
      <c r="C2008" s="834" t="s">
        <v>2930</v>
      </c>
      <c r="D2008" s="834" t="s">
        <v>829</v>
      </c>
      <c r="E2008" s="839">
        <v>45999</v>
      </c>
      <c r="F2008" s="838" t="s">
        <v>140</v>
      </c>
      <c r="G2008" s="838">
        <v>59</v>
      </c>
      <c r="H2008" s="838" t="s">
        <v>1795</v>
      </c>
      <c r="I2008" s="838"/>
      <c r="J2008" s="838"/>
      <c r="K2008" s="834"/>
      <c r="L2008" s="834"/>
      <c r="M2008" s="834"/>
      <c r="N2008" s="834"/>
      <c r="O2008" s="848" t="s">
        <v>2863</v>
      </c>
      <c r="P2008" s="23" t="s">
        <v>30</v>
      </c>
      <c r="Q2008" s="23">
        <v>46046</v>
      </c>
      <c r="R2008" s="24" t="s">
        <v>67</v>
      </c>
      <c r="S2008" s="22" t="s">
        <v>32</v>
      </c>
      <c r="T2008" s="22">
        <v>59</v>
      </c>
      <c r="U2008" s="24" t="s">
        <v>67</v>
      </c>
      <c r="V2008" s="23">
        <v>46046</v>
      </c>
      <c r="W2008" s="96" t="s">
        <v>113</v>
      </c>
      <c r="X2008" s="96"/>
      <c r="Y2008" s="91"/>
      <c r="Z2008" s="96"/>
      <c r="AA2008" s="96"/>
      <c r="AB2008" s="96"/>
      <c r="AC2008" s="96"/>
      <c r="AD2008" s="96"/>
      <c r="AE2008" s="96"/>
      <c r="AF2008" s="96"/>
      <c r="AG2008" s="96"/>
      <c r="AH2008" s="110"/>
      <c r="AI2008" s="110"/>
      <c r="AJ2008" s="110"/>
      <c r="AK2008" s="110"/>
      <c r="AL2008" s="110"/>
      <c r="AM2008" s="840"/>
      <c r="AN2008" s="6">
        <v>44</v>
      </c>
      <c r="AO2008" s="6">
        <v>0</v>
      </c>
      <c r="AP2008" s="6">
        <v>15</v>
      </c>
      <c r="AQ2008" s="6">
        <v>0</v>
      </c>
      <c r="AR2008" s="6">
        <f>SUM(AN2008:AQ2008)</f>
        <v>59</v>
      </c>
      <c r="AS2008" s="104">
        <f>+AN2008/AR2008*AS$1</f>
        <v>0</v>
      </c>
      <c r="AT2008" s="105">
        <f>+AO2008/AR2008*AT$1</f>
        <v>0</v>
      </c>
      <c r="AU2008" s="105">
        <f>+AP2008/AR2008*AU$1</f>
        <v>0</v>
      </c>
      <c r="AV2008" s="105">
        <f>+AQ2008/AR2008*AV$1</f>
        <v>0</v>
      </c>
    </row>
    <row r="2009" spans="1:48">
      <c r="A2009" s="834" t="s">
        <v>2342</v>
      </c>
      <c r="B2009" s="835">
        <v>2006</v>
      </c>
      <c r="C2009" s="834" t="s">
        <v>2931</v>
      </c>
      <c r="D2009" s="834" t="s">
        <v>1887</v>
      </c>
      <c r="E2009" s="839">
        <v>45999</v>
      </c>
      <c r="F2009" s="838" t="s">
        <v>140</v>
      </c>
      <c r="G2009" s="838">
        <v>1</v>
      </c>
      <c r="H2009" s="838" t="s">
        <v>67</v>
      </c>
      <c r="I2009" s="838"/>
      <c r="J2009" s="838"/>
      <c r="K2009" s="834"/>
      <c r="L2009" s="834"/>
      <c r="M2009" s="834"/>
      <c r="N2009" s="834"/>
      <c r="O2009" s="113"/>
      <c r="P2009" s="23" t="s">
        <v>30</v>
      </c>
      <c r="Q2009" s="23">
        <v>46046</v>
      </c>
      <c r="R2009" s="24" t="s">
        <v>67</v>
      </c>
      <c r="S2009" s="22" t="s">
        <v>32</v>
      </c>
      <c r="T2009" s="22">
        <v>1</v>
      </c>
      <c r="U2009" s="24" t="s">
        <v>67</v>
      </c>
      <c r="V2009" s="23">
        <v>46046</v>
      </c>
      <c r="W2009" s="96" t="s">
        <v>113</v>
      </c>
      <c r="X2009" s="96"/>
      <c r="Y2009" s="91"/>
      <c r="Z2009" s="96"/>
      <c r="AA2009" s="96"/>
      <c r="AB2009" s="96"/>
      <c r="AC2009" s="96"/>
      <c r="AD2009" s="96"/>
      <c r="AE2009" s="96"/>
      <c r="AF2009" s="96"/>
      <c r="AG2009" s="96"/>
      <c r="AH2009" s="110"/>
      <c r="AI2009" s="107"/>
      <c r="AJ2009" s="107"/>
      <c r="AK2009" s="107"/>
      <c r="AL2009" s="110"/>
      <c r="AM2009" s="840"/>
      <c r="AN2009" s="6"/>
      <c r="AO2009" s="6"/>
      <c r="AP2009" s="6"/>
      <c r="AQ2009" s="6"/>
      <c r="AR2009" s="6"/>
      <c r="AS2009" s="104"/>
      <c r="AT2009" s="105"/>
      <c r="AU2009" s="105"/>
      <c r="AV2009" s="105"/>
    </row>
    <row r="2010" spans="1:48">
      <c r="A2010" s="834" t="s">
        <v>2342</v>
      </c>
      <c r="B2010" s="835">
        <v>2007</v>
      </c>
      <c r="C2010" s="834" t="s">
        <v>2932</v>
      </c>
      <c r="D2010" s="834" t="s">
        <v>2933</v>
      </c>
      <c r="E2010" s="839">
        <v>45999.375</v>
      </c>
      <c r="F2010" s="838" t="s">
        <v>140</v>
      </c>
      <c r="G2010" s="838">
        <v>26</v>
      </c>
      <c r="H2010" s="838" t="s">
        <v>2934</v>
      </c>
      <c r="I2010" s="838"/>
      <c r="J2010" s="838"/>
      <c r="K2010" s="834"/>
      <c r="L2010" s="834"/>
      <c r="M2010" s="834"/>
      <c r="N2010" s="834"/>
      <c r="O2010" s="848" t="s">
        <v>2863</v>
      </c>
      <c r="P2010" s="23" t="s">
        <v>30</v>
      </c>
      <c r="Q2010" s="23">
        <v>46046</v>
      </c>
      <c r="R2010" s="24" t="s">
        <v>67</v>
      </c>
      <c r="S2010" s="22" t="s">
        <v>32</v>
      </c>
      <c r="T2010" s="22">
        <v>26</v>
      </c>
      <c r="U2010" s="24" t="s">
        <v>67</v>
      </c>
      <c r="V2010" s="23">
        <v>46046</v>
      </c>
      <c r="W2010" s="96" t="s">
        <v>113</v>
      </c>
      <c r="X2010" s="96"/>
      <c r="Y2010" s="91"/>
      <c r="Z2010" s="96"/>
      <c r="AA2010" s="96"/>
      <c r="AB2010" s="96"/>
      <c r="AC2010" s="96"/>
      <c r="AD2010" s="96"/>
      <c r="AE2010" s="96"/>
      <c r="AF2010" s="96"/>
      <c r="AG2010" s="96"/>
      <c r="AH2010" s="110"/>
      <c r="AI2010" s="107"/>
      <c r="AJ2010" s="107"/>
      <c r="AK2010" s="107"/>
      <c r="AL2010" s="110"/>
      <c r="AM2010" s="840"/>
      <c r="AN2010" s="6">
        <v>37</v>
      </c>
      <c r="AO2010" s="6">
        <v>0</v>
      </c>
      <c r="AP2010" s="6">
        <v>2</v>
      </c>
      <c r="AQ2010" s="6">
        <v>8</v>
      </c>
      <c r="AR2010" s="6">
        <f>SUM(AN2010:AQ2010)</f>
        <v>47</v>
      </c>
      <c r="AS2010" s="104">
        <f>+AN2010/AR2010*AS$1</f>
        <v>0</v>
      </c>
      <c r="AT2010" s="105">
        <f>+AO2010/AR2010*AT$1</f>
        <v>0</v>
      </c>
      <c r="AU2010" s="105">
        <f>+AP2010/AR2010*AU$1</f>
        <v>0</v>
      </c>
      <c r="AV2010" s="105">
        <f>+AQ2010/AR2010*AV$1</f>
        <v>0</v>
      </c>
    </row>
    <row r="2011" spans="1:48">
      <c r="A2011" s="834" t="s">
        <v>2342</v>
      </c>
      <c r="B2011" s="835">
        <v>2008</v>
      </c>
      <c r="C2011" s="834" t="s">
        <v>2935</v>
      </c>
      <c r="D2011" s="834" t="s">
        <v>1219</v>
      </c>
      <c r="E2011" s="839">
        <v>45999.041666666664</v>
      </c>
      <c r="F2011" s="838" t="s">
        <v>140</v>
      </c>
      <c r="G2011" s="838">
        <v>1</v>
      </c>
      <c r="H2011" s="838" t="s">
        <v>127</v>
      </c>
      <c r="I2011" s="838"/>
      <c r="J2011" s="838"/>
      <c r="K2011" s="834"/>
      <c r="L2011" s="834"/>
      <c r="M2011" s="834"/>
      <c r="N2011" s="834"/>
      <c r="O2011" s="113"/>
      <c r="P2011" s="23" t="s">
        <v>30</v>
      </c>
      <c r="Q2011" s="23">
        <v>46046</v>
      </c>
      <c r="R2011" s="24" t="s">
        <v>67</v>
      </c>
      <c r="S2011" s="22" t="s">
        <v>32</v>
      </c>
      <c r="T2011" s="7">
        <v>1</v>
      </c>
      <c r="U2011" s="24" t="s">
        <v>67</v>
      </c>
      <c r="V2011" s="23">
        <v>46046</v>
      </c>
      <c r="W2011" s="96" t="s">
        <v>113</v>
      </c>
      <c r="X2011" s="96"/>
      <c r="Y2011" s="91"/>
      <c r="Z2011" s="96"/>
      <c r="AA2011" s="96"/>
      <c r="AB2011" s="96"/>
      <c r="AC2011" s="96"/>
      <c r="AD2011" s="96"/>
      <c r="AE2011" s="96"/>
      <c r="AF2011" s="96"/>
      <c r="AG2011" s="96"/>
      <c r="AH2011" s="110"/>
      <c r="AI2011" s="96"/>
      <c r="AJ2011" s="96"/>
      <c r="AK2011" s="96"/>
      <c r="AL2011" s="110"/>
      <c r="AM2011" s="840"/>
      <c r="AN2011" s="6"/>
      <c r="AO2011" s="6"/>
      <c r="AP2011" s="6"/>
      <c r="AQ2011" s="6"/>
      <c r="AR2011" s="6"/>
      <c r="AS2011" s="104"/>
      <c r="AT2011" s="105"/>
      <c r="AU2011" s="105"/>
      <c r="AV2011" s="105"/>
    </row>
    <row r="2012" spans="1:48">
      <c r="A2012" s="834" t="s">
        <v>2342</v>
      </c>
      <c r="B2012" s="835">
        <v>2009</v>
      </c>
      <c r="C2012" s="834" t="s">
        <v>2936</v>
      </c>
      <c r="D2012" s="834" t="s">
        <v>1393</v>
      </c>
      <c r="E2012" s="839">
        <v>45999.041666666664</v>
      </c>
      <c r="F2012" s="838" t="s">
        <v>140</v>
      </c>
      <c r="G2012" s="838">
        <v>1</v>
      </c>
      <c r="H2012" s="838" t="s">
        <v>127</v>
      </c>
      <c r="I2012" s="838"/>
      <c r="J2012" s="838"/>
      <c r="K2012" s="834"/>
      <c r="L2012" s="834"/>
      <c r="M2012" s="834"/>
      <c r="N2012" s="834"/>
      <c r="O2012" s="113"/>
      <c r="P2012" s="23" t="s">
        <v>30</v>
      </c>
      <c r="Q2012" s="23">
        <v>46046</v>
      </c>
      <c r="R2012" s="24" t="s">
        <v>67</v>
      </c>
      <c r="S2012" s="22" t="s">
        <v>32</v>
      </c>
      <c r="T2012" s="22">
        <v>1</v>
      </c>
      <c r="U2012" s="24" t="s">
        <v>67</v>
      </c>
      <c r="V2012" s="23">
        <v>46046</v>
      </c>
      <c r="W2012" s="96" t="s">
        <v>113</v>
      </c>
      <c r="X2012" s="96"/>
      <c r="Y2012" s="91"/>
      <c r="Z2012" s="96"/>
      <c r="AA2012" s="96"/>
      <c r="AB2012" s="96"/>
      <c r="AC2012" s="96"/>
      <c r="AD2012" s="96"/>
      <c r="AE2012" s="96"/>
      <c r="AF2012" s="96"/>
      <c r="AG2012" s="96"/>
      <c r="AH2012" s="110"/>
      <c r="AI2012" s="110"/>
      <c r="AJ2012" s="110"/>
      <c r="AK2012" s="110"/>
      <c r="AL2012" s="110"/>
      <c r="AM2012" s="840"/>
      <c r="AN2012" s="6"/>
      <c r="AO2012" s="6"/>
      <c r="AP2012" s="6"/>
      <c r="AQ2012" s="6"/>
      <c r="AR2012" s="6"/>
      <c r="AS2012" s="104"/>
      <c r="AT2012" s="105"/>
      <c r="AU2012" s="105"/>
      <c r="AV2012" s="105"/>
    </row>
    <row r="2013" spans="1:48">
      <c r="A2013" s="834" t="s">
        <v>2342</v>
      </c>
      <c r="B2013" s="835">
        <v>2010</v>
      </c>
      <c r="C2013" s="834" t="s">
        <v>2937</v>
      </c>
      <c r="D2013" s="834" t="s">
        <v>1025</v>
      </c>
      <c r="E2013" s="839">
        <v>45999.041666666664</v>
      </c>
      <c r="F2013" s="838" t="s">
        <v>140</v>
      </c>
      <c r="G2013" s="838">
        <v>1</v>
      </c>
      <c r="H2013" s="838" t="s">
        <v>127</v>
      </c>
      <c r="I2013" s="838"/>
      <c r="J2013" s="838"/>
      <c r="K2013" s="834"/>
      <c r="L2013" s="834"/>
      <c r="M2013" s="834"/>
      <c r="N2013" s="834"/>
      <c r="O2013" s="848"/>
      <c r="P2013" s="23" t="s">
        <v>30</v>
      </c>
      <c r="Q2013" s="23">
        <v>46046</v>
      </c>
      <c r="R2013" s="24" t="s">
        <v>67</v>
      </c>
      <c r="S2013" s="22" t="s">
        <v>32</v>
      </c>
      <c r="T2013" s="22">
        <v>1</v>
      </c>
      <c r="U2013" s="24" t="s">
        <v>67</v>
      </c>
      <c r="V2013" s="23">
        <v>46046</v>
      </c>
      <c r="W2013" s="96" t="s">
        <v>113</v>
      </c>
      <c r="X2013" s="96"/>
      <c r="Y2013" s="91"/>
      <c r="Z2013" s="96"/>
      <c r="AA2013" s="96"/>
      <c r="AB2013" s="96"/>
      <c r="AC2013" s="96"/>
      <c r="AD2013" s="96"/>
      <c r="AE2013" s="96"/>
      <c r="AF2013" s="96"/>
      <c r="AG2013" s="96"/>
      <c r="AH2013" s="110"/>
      <c r="AI2013" s="110"/>
      <c r="AJ2013" s="110"/>
      <c r="AK2013" s="110"/>
      <c r="AL2013" s="110"/>
      <c r="AM2013" s="840"/>
      <c r="AN2013" s="87"/>
      <c r="AO2013" s="87"/>
      <c r="AS2013" s="71"/>
      <c r="AT2013" s="92"/>
      <c r="AU2013" s="92"/>
      <c r="AV2013" s="105"/>
    </row>
    <row r="2014" spans="1:48">
      <c r="A2014" s="834" t="s">
        <v>2342</v>
      </c>
      <c r="B2014" s="835">
        <v>2011</v>
      </c>
      <c r="C2014" s="834" t="s">
        <v>2938</v>
      </c>
      <c r="D2014" s="834" t="s">
        <v>1574</v>
      </c>
      <c r="E2014" s="839">
        <v>45999.375</v>
      </c>
      <c r="F2014" s="838" t="s">
        <v>140</v>
      </c>
      <c r="G2014" s="838">
        <v>4</v>
      </c>
      <c r="H2014" s="838" t="s">
        <v>67</v>
      </c>
      <c r="I2014" s="838"/>
      <c r="J2014" s="838"/>
      <c r="K2014" s="834"/>
      <c r="L2014" s="834"/>
      <c r="M2014" s="834"/>
      <c r="N2014" s="834"/>
      <c r="O2014" s="848"/>
      <c r="P2014" s="23" t="s">
        <v>30</v>
      </c>
      <c r="Q2014" s="23">
        <v>46046</v>
      </c>
      <c r="R2014" s="24" t="s">
        <v>67</v>
      </c>
      <c r="S2014" s="22" t="s">
        <v>32</v>
      </c>
      <c r="T2014" s="22">
        <v>4</v>
      </c>
      <c r="U2014" s="24" t="s">
        <v>67</v>
      </c>
      <c r="V2014" s="23">
        <v>46054</v>
      </c>
      <c r="W2014" s="96" t="s">
        <v>113</v>
      </c>
      <c r="X2014" s="96"/>
      <c r="Y2014" s="103"/>
      <c r="Z2014" s="96"/>
      <c r="AA2014" s="91"/>
      <c r="AB2014" s="96"/>
      <c r="AC2014" s="96"/>
      <c r="AD2014" s="96"/>
      <c r="AE2014" s="96"/>
      <c r="AF2014" s="96"/>
      <c r="AG2014" s="96"/>
      <c r="AH2014" s="110"/>
      <c r="AI2014" s="110"/>
      <c r="AJ2014" s="110"/>
      <c r="AK2014" s="110"/>
      <c r="AL2014" s="110"/>
      <c r="AM2014" s="840"/>
      <c r="AS2014" s="71"/>
      <c r="AT2014" s="92"/>
      <c r="AU2014" s="92"/>
      <c r="AV2014" s="105"/>
    </row>
    <row r="2015" spans="1:48">
      <c r="A2015" s="834" t="s">
        <v>2342</v>
      </c>
      <c r="B2015" s="835">
        <v>2012</v>
      </c>
      <c r="C2015" s="834" t="s">
        <v>2939</v>
      </c>
      <c r="D2015" s="834" t="s">
        <v>234</v>
      </c>
      <c r="E2015" s="839">
        <v>45999.375</v>
      </c>
      <c r="F2015" s="838" t="s">
        <v>140</v>
      </c>
      <c r="G2015" s="838">
        <v>5</v>
      </c>
      <c r="H2015" s="838" t="s">
        <v>1790</v>
      </c>
      <c r="I2015" s="838"/>
      <c r="J2015" s="838"/>
      <c r="K2015" s="834"/>
      <c r="L2015" s="834"/>
      <c r="M2015" s="834"/>
      <c r="N2015" s="834"/>
      <c r="O2015" s="848"/>
      <c r="P2015" s="23" t="s">
        <v>30</v>
      </c>
      <c r="Q2015" s="23">
        <v>46054</v>
      </c>
      <c r="R2015" s="24" t="s">
        <v>67</v>
      </c>
      <c r="S2015" s="22" t="s">
        <v>32</v>
      </c>
      <c r="T2015" s="22">
        <v>5</v>
      </c>
      <c r="U2015" s="24" t="s">
        <v>67</v>
      </c>
      <c r="V2015" s="23">
        <v>46046</v>
      </c>
      <c r="W2015" s="96" t="s">
        <v>113</v>
      </c>
      <c r="X2015" s="96"/>
      <c r="Y2015" s="91"/>
      <c r="Z2015" s="96"/>
      <c r="AA2015" s="96"/>
      <c r="AB2015" s="96"/>
      <c r="AC2015" s="96"/>
      <c r="AD2015" s="96"/>
      <c r="AE2015" s="96"/>
      <c r="AF2015" s="96"/>
      <c r="AG2015" s="96"/>
      <c r="AH2015" s="110"/>
      <c r="AI2015" s="110"/>
      <c r="AJ2015" s="107"/>
      <c r="AK2015" s="107"/>
      <c r="AL2015" s="110"/>
      <c r="AM2015" s="840"/>
      <c r="AV2015" s="105"/>
    </row>
    <row r="2016" spans="1:48">
      <c r="A2016" s="834" t="s">
        <v>2342</v>
      </c>
      <c r="B2016" s="835">
        <v>2013</v>
      </c>
      <c r="C2016" s="834" t="s">
        <v>2940</v>
      </c>
      <c r="D2016" s="834" t="s">
        <v>2941</v>
      </c>
      <c r="E2016" s="839">
        <v>45999.375</v>
      </c>
      <c r="F2016" s="838" t="s">
        <v>140</v>
      </c>
      <c r="G2016" s="838">
        <v>3</v>
      </c>
      <c r="H2016" s="838" t="s">
        <v>67</v>
      </c>
      <c r="I2016" s="838"/>
      <c r="J2016" s="838"/>
      <c r="K2016" s="834"/>
      <c r="L2016" s="834"/>
      <c r="M2016" s="834"/>
      <c r="N2016" s="834"/>
      <c r="O2016" s="113"/>
      <c r="P2016" s="23" t="s">
        <v>30</v>
      </c>
      <c r="Q2016" s="23">
        <v>46046</v>
      </c>
      <c r="R2016" s="24" t="s">
        <v>67</v>
      </c>
      <c r="S2016" s="22" t="s">
        <v>32</v>
      </c>
      <c r="T2016" s="22">
        <v>3</v>
      </c>
      <c r="U2016" s="24" t="s">
        <v>67</v>
      </c>
      <c r="V2016" s="23">
        <v>46046</v>
      </c>
      <c r="W2016" s="96" t="s">
        <v>113</v>
      </c>
      <c r="X2016" s="96"/>
      <c r="Y2016" s="91"/>
      <c r="Z2016" s="96"/>
      <c r="AA2016" s="91"/>
      <c r="AB2016" s="96"/>
      <c r="AC2016" s="96"/>
      <c r="AD2016" s="96"/>
      <c r="AE2016" s="96"/>
      <c r="AF2016" s="96"/>
      <c r="AG2016" s="96"/>
      <c r="AH2016" s="110"/>
      <c r="AI2016" s="110"/>
      <c r="AJ2016" s="110"/>
      <c r="AK2016" s="110"/>
      <c r="AL2016" s="110"/>
      <c r="AM2016" s="840"/>
      <c r="AS2016" s="71"/>
      <c r="AT2016" s="92"/>
      <c r="AU2016" s="92"/>
      <c r="AV2016" s="105"/>
    </row>
    <row r="2017" spans="1:48">
      <c r="A2017" s="834" t="s">
        <v>2342</v>
      </c>
      <c r="B2017" s="835">
        <v>2014</v>
      </c>
      <c r="C2017" s="834" t="s">
        <v>2942</v>
      </c>
      <c r="D2017" s="834" t="s">
        <v>1184</v>
      </c>
      <c r="E2017" s="839">
        <v>45999.041666666664</v>
      </c>
      <c r="F2017" s="838" t="s">
        <v>140</v>
      </c>
      <c r="G2017" s="838">
        <v>3</v>
      </c>
      <c r="H2017" s="838" t="s">
        <v>127</v>
      </c>
      <c r="I2017" s="838"/>
      <c r="J2017" s="838"/>
      <c r="K2017" s="834"/>
      <c r="L2017" s="834"/>
      <c r="M2017" s="834"/>
      <c r="N2017" s="834"/>
      <c r="O2017" s="848"/>
      <c r="P2017" s="23" t="s">
        <v>30</v>
      </c>
      <c r="Q2017" s="23">
        <v>46046</v>
      </c>
      <c r="R2017" s="24" t="s">
        <v>67</v>
      </c>
      <c r="S2017" s="22" t="s">
        <v>32</v>
      </c>
      <c r="T2017" s="22">
        <v>3</v>
      </c>
      <c r="U2017" s="24" t="s">
        <v>67</v>
      </c>
      <c r="V2017" s="23">
        <v>46046</v>
      </c>
      <c r="W2017" s="96" t="s">
        <v>113</v>
      </c>
      <c r="X2017" s="96"/>
      <c r="Y2017" s="91"/>
      <c r="Z2017" s="96"/>
      <c r="AA2017" s="96"/>
      <c r="AB2017" s="96"/>
      <c r="AC2017" s="96"/>
      <c r="AD2017" s="96"/>
      <c r="AE2017" s="96"/>
      <c r="AF2017" s="96"/>
      <c r="AG2017" s="96"/>
      <c r="AH2017" s="110"/>
      <c r="AI2017" s="110"/>
      <c r="AJ2017" s="110"/>
      <c r="AK2017" s="107"/>
      <c r="AL2017" s="110"/>
      <c r="AM2017" s="840"/>
      <c r="AS2017" s="71"/>
      <c r="AT2017" s="92"/>
      <c r="AU2017" s="92"/>
      <c r="AV2017" s="105"/>
    </row>
    <row r="2018" spans="1:48">
      <c r="A2018" s="834" t="s">
        <v>2342</v>
      </c>
      <c r="B2018" s="835">
        <v>2015</v>
      </c>
      <c r="C2018" s="834" t="s">
        <v>2943</v>
      </c>
      <c r="D2018" s="834" t="s">
        <v>818</v>
      </c>
      <c r="E2018" s="839">
        <v>45999.041666666664</v>
      </c>
      <c r="F2018" s="838" t="s">
        <v>140</v>
      </c>
      <c r="G2018" s="838">
        <v>1</v>
      </c>
      <c r="H2018" s="838" t="s">
        <v>127</v>
      </c>
      <c r="I2018" s="838"/>
      <c r="J2018" s="838"/>
      <c r="K2018" s="834"/>
      <c r="L2018" s="834"/>
      <c r="M2018" s="834"/>
      <c r="N2018" s="834"/>
      <c r="O2018" s="848"/>
      <c r="P2018" s="23" t="s">
        <v>30</v>
      </c>
      <c r="Q2018" s="23">
        <v>46046</v>
      </c>
      <c r="R2018" s="24" t="s">
        <v>67</v>
      </c>
      <c r="S2018" s="22" t="s">
        <v>32</v>
      </c>
      <c r="T2018" s="22">
        <v>1</v>
      </c>
      <c r="U2018" s="24" t="s">
        <v>67</v>
      </c>
      <c r="V2018" s="23">
        <v>46046</v>
      </c>
      <c r="W2018" s="96" t="s">
        <v>113</v>
      </c>
      <c r="X2018" s="103"/>
      <c r="Y2018" s="103"/>
      <c r="Z2018" s="96"/>
      <c r="AA2018" s="96"/>
      <c r="AB2018" s="96"/>
      <c r="AC2018" s="96"/>
      <c r="AD2018" s="96"/>
      <c r="AE2018" s="96"/>
      <c r="AF2018" s="96"/>
      <c r="AG2018" s="96"/>
      <c r="AH2018" s="110"/>
      <c r="AI2018" s="110"/>
      <c r="AJ2018" s="110"/>
      <c r="AK2018" s="110"/>
      <c r="AL2018" s="110"/>
      <c r="AM2018" s="840"/>
      <c r="AV2018" s="105"/>
    </row>
    <row r="2019" spans="1:48">
      <c r="A2019" s="834" t="s">
        <v>2342</v>
      </c>
      <c r="B2019" s="835">
        <v>2016</v>
      </c>
      <c r="C2019" s="834" t="s">
        <v>2944</v>
      </c>
      <c r="D2019" s="834" t="s">
        <v>1230</v>
      </c>
      <c r="E2019" s="839">
        <v>45999.041666666664</v>
      </c>
      <c r="F2019" s="838" t="s">
        <v>140</v>
      </c>
      <c r="G2019" s="838">
        <v>31</v>
      </c>
      <c r="H2019" s="838" t="s">
        <v>127</v>
      </c>
      <c r="I2019" s="838"/>
      <c r="J2019" s="98" t="s">
        <v>2945</v>
      </c>
      <c r="K2019" s="834"/>
      <c r="L2019" s="834"/>
      <c r="M2019" s="834"/>
      <c r="N2019" s="834"/>
      <c r="O2019" s="848" t="s">
        <v>2863</v>
      </c>
      <c r="P2019" s="245"/>
      <c r="Q2019" s="23"/>
      <c r="R2019" s="79"/>
      <c r="S2019" s="22"/>
      <c r="T2019" s="22"/>
      <c r="U2019" s="24"/>
      <c r="V2019" s="23">
        <v>46046</v>
      </c>
      <c r="W2019" s="96" t="s">
        <v>113</v>
      </c>
      <c r="X2019" s="96"/>
      <c r="Y2019" s="91"/>
      <c r="Z2019" s="91"/>
      <c r="AA2019" s="91"/>
      <c r="AB2019" s="91"/>
      <c r="AC2019" s="96"/>
      <c r="AD2019" s="96"/>
      <c r="AE2019" s="96"/>
      <c r="AF2019" s="96"/>
      <c r="AG2019" s="96"/>
      <c r="AH2019" s="110"/>
      <c r="AI2019" s="96"/>
      <c r="AJ2019" s="96"/>
      <c r="AK2019" s="96"/>
      <c r="AL2019" s="110"/>
      <c r="AM2019" s="840"/>
      <c r="AN2019" s="6">
        <v>31</v>
      </c>
      <c r="AO2019" s="6">
        <v>0</v>
      </c>
      <c r="AP2019" s="6">
        <v>0</v>
      </c>
      <c r="AQ2019" s="6">
        <v>0</v>
      </c>
      <c r="AR2019" s="6">
        <f>SUM(AN2019:AQ2019)</f>
        <v>31</v>
      </c>
      <c r="AS2019" s="104">
        <f>+AN2019/AR2019*AS$1</f>
        <v>0</v>
      </c>
      <c r="AT2019" s="105">
        <f>+AO2019/AR2019*AT$1</f>
        <v>0</v>
      </c>
      <c r="AU2019" s="105">
        <f>+AP2019/AR2019*AU$1</f>
        <v>0</v>
      </c>
      <c r="AV2019" s="105">
        <f>+AQ2019/AR2019*AV$1</f>
        <v>0</v>
      </c>
    </row>
    <row r="2020" spans="1:48">
      <c r="A2020" s="834" t="s">
        <v>2342</v>
      </c>
      <c r="B2020" s="835">
        <v>2017</v>
      </c>
      <c r="C2020" s="834" t="s">
        <v>2946</v>
      </c>
      <c r="D2020" s="834" t="s">
        <v>969</v>
      </c>
      <c r="E2020" s="839">
        <v>45999.041666666664</v>
      </c>
      <c r="F2020" s="838" t="s">
        <v>140</v>
      </c>
      <c r="G2020" s="838">
        <v>31</v>
      </c>
      <c r="H2020" s="838" t="s">
        <v>127</v>
      </c>
      <c r="I2020" s="838"/>
      <c r="J2020" s="98" t="s">
        <v>2945</v>
      </c>
      <c r="K2020" s="834"/>
      <c r="L2020" s="834"/>
      <c r="M2020" s="834"/>
      <c r="N2020" s="834"/>
      <c r="O2020" s="848" t="s">
        <v>2863</v>
      </c>
      <c r="P2020" s="853"/>
      <c r="Q2020" s="23"/>
      <c r="R2020" s="79"/>
      <c r="S2020" s="22"/>
      <c r="T2020" s="22"/>
      <c r="U2020" s="24"/>
      <c r="V2020" s="23">
        <v>46046</v>
      </c>
      <c r="W2020" s="96" t="s">
        <v>113</v>
      </c>
      <c r="X2020" s="96"/>
      <c r="Y2020" s="91"/>
      <c r="Z2020" s="96"/>
      <c r="AA2020" s="96"/>
      <c r="AB2020" s="96"/>
      <c r="AC2020" s="96"/>
      <c r="AD2020" s="96"/>
      <c r="AE2020" s="96"/>
      <c r="AF2020" s="96"/>
      <c r="AG2020" s="96"/>
      <c r="AH2020" s="110"/>
      <c r="AI2020" s="107"/>
      <c r="AJ2020" s="107"/>
      <c r="AK2020" s="107"/>
      <c r="AL2020" s="110"/>
      <c r="AM2020" s="840"/>
      <c r="AN2020" s="6">
        <v>31</v>
      </c>
      <c r="AO2020" s="6">
        <v>0</v>
      </c>
      <c r="AP2020" s="6">
        <v>0</v>
      </c>
      <c r="AQ2020" s="6">
        <v>0</v>
      </c>
      <c r="AR2020" s="6">
        <f>SUM(AN2020:AQ2020)</f>
        <v>31</v>
      </c>
      <c r="AS2020" s="104">
        <f>+AN2020/AR2020*AS$1</f>
        <v>0</v>
      </c>
      <c r="AT2020" s="105">
        <f>+AO2020/AR2020*AT$1</f>
        <v>0</v>
      </c>
      <c r="AU2020" s="105">
        <f>+AP2020/AR2020*AU$1</f>
        <v>0</v>
      </c>
      <c r="AV2020" s="105">
        <f>+AQ2020/AR2020*AV$1</f>
        <v>0</v>
      </c>
    </row>
    <row r="2021" spans="1:48">
      <c r="A2021" s="834" t="s">
        <v>2342</v>
      </c>
      <c r="B2021" s="835">
        <v>2018</v>
      </c>
      <c r="C2021" s="834" t="s">
        <v>2947</v>
      </c>
      <c r="D2021" s="834" t="s">
        <v>1885</v>
      </c>
      <c r="E2021" s="839">
        <v>46006.041666666664</v>
      </c>
      <c r="F2021" s="838" t="s">
        <v>140</v>
      </c>
      <c r="G2021" s="838">
        <v>4</v>
      </c>
      <c r="H2021" s="838" t="s">
        <v>1077</v>
      </c>
      <c r="I2021" s="838"/>
      <c r="J2021" s="838"/>
      <c r="K2021" s="834"/>
      <c r="L2021" s="834"/>
      <c r="M2021" s="834"/>
      <c r="N2021" s="834"/>
      <c r="O2021" s="848"/>
      <c r="P2021" s="853" t="s">
        <v>30</v>
      </c>
      <c r="Q2021" s="23">
        <v>46046</v>
      </c>
      <c r="R2021" s="24" t="s">
        <v>67</v>
      </c>
      <c r="S2021" s="22" t="s">
        <v>32</v>
      </c>
      <c r="T2021" s="22">
        <v>4</v>
      </c>
      <c r="U2021" s="24" t="s">
        <v>67</v>
      </c>
      <c r="V2021" s="23">
        <v>46047</v>
      </c>
      <c r="W2021" s="96" t="s">
        <v>113</v>
      </c>
      <c r="X2021" s="96"/>
      <c r="Y2021" s="91"/>
      <c r="Z2021" s="96"/>
      <c r="AA2021" s="96"/>
      <c r="AB2021" s="96"/>
      <c r="AC2021" s="96"/>
      <c r="AD2021" s="96"/>
      <c r="AE2021" s="96"/>
      <c r="AF2021" s="96"/>
      <c r="AG2021" s="96"/>
      <c r="AH2021" s="110"/>
      <c r="AI2021" s="110"/>
      <c r="AJ2021" s="110"/>
      <c r="AK2021" s="110"/>
      <c r="AL2021" s="110"/>
      <c r="AM2021" s="840"/>
      <c r="AS2021" s="71"/>
      <c r="AT2021" s="92"/>
      <c r="AU2021" s="92"/>
      <c r="AV2021" s="105"/>
    </row>
    <row r="2022" spans="1:48">
      <c r="A2022" s="834" t="s">
        <v>2342</v>
      </c>
      <c r="B2022" s="835">
        <v>2019</v>
      </c>
      <c r="C2022" s="834" t="s">
        <v>2948</v>
      </c>
      <c r="D2022" s="834" t="s">
        <v>1245</v>
      </c>
      <c r="E2022" s="839">
        <v>46006.041666666664</v>
      </c>
      <c r="F2022" s="838" t="s">
        <v>140</v>
      </c>
      <c r="G2022" s="838">
        <v>6</v>
      </c>
      <c r="H2022" s="838" t="s">
        <v>1799</v>
      </c>
      <c r="I2022" s="838"/>
      <c r="J2022" s="838"/>
      <c r="K2022" s="834"/>
      <c r="L2022" s="834"/>
      <c r="M2022" s="834"/>
      <c r="N2022" s="834"/>
      <c r="O2022" s="113"/>
      <c r="P2022" s="853" t="s">
        <v>30</v>
      </c>
      <c r="Q2022" s="23">
        <v>46046</v>
      </c>
      <c r="R2022" s="24" t="s">
        <v>67</v>
      </c>
      <c r="S2022" s="22" t="s">
        <v>32</v>
      </c>
      <c r="T2022" s="22">
        <v>4</v>
      </c>
      <c r="U2022" s="24" t="s">
        <v>67</v>
      </c>
      <c r="V2022" s="23">
        <v>46047</v>
      </c>
      <c r="W2022" s="96" t="s">
        <v>113</v>
      </c>
      <c r="X2022" s="103"/>
      <c r="Y2022" s="103"/>
      <c r="Z2022" s="96"/>
      <c r="AA2022" s="96"/>
      <c r="AB2022" s="96"/>
      <c r="AC2022" s="96"/>
      <c r="AD2022" s="96"/>
      <c r="AE2022" s="96"/>
      <c r="AF2022" s="96"/>
      <c r="AG2022" s="96"/>
      <c r="AH2022" s="110"/>
      <c r="AI2022" s="110"/>
      <c r="AJ2022" s="110"/>
      <c r="AK2022" s="110"/>
      <c r="AL2022" s="110"/>
      <c r="AM2022" s="840"/>
      <c r="AV2022" s="105"/>
    </row>
    <row r="2023" spans="1:48">
      <c r="A2023" s="834" t="s">
        <v>2342</v>
      </c>
      <c r="B2023" s="835">
        <v>2020</v>
      </c>
      <c r="C2023" s="834" t="s">
        <v>2949</v>
      </c>
      <c r="D2023" s="834" t="s">
        <v>1887</v>
      </c>
      <c r="E2023" s="839">
        <v>46006.041666666664</v>
      </c>
      <c r="F2023" s="838" t="s">
        <v>140</v>
      </c>
      <c r="G2023" s="838">
        <v>8</v>
      </c>
      <c r="H2023" s="838" t="s">
        <v>2897</v>
      </c>
      <c r="I2023" s="838"/>
      <c r="J2023" s="838"/>
      <c r="K2023" s="834"/>
      <c r="L2023" s="834"/>
      <c r="M2023" s="834"/>
      <c r="N2023" s="834"/>
      <c r="O2023" s="848"/>
      <c r="P2023" s="853" t="s">
        <v>30</v>
      </c>
      <c r="Q2023" s="23">
        <v>46046</v>
      </c>
      <c r="R2023" s="24" t="s">
        <v>67</v>
      </c>
      <c r="S2023" s="22" t="s">
        <v>32</v>
      </c>
      <c r="T2023" s="22">
        <v>8</v>
      </c>
      <c r="U2023" s="24" t="s">
        <v>67</v>
      </c>
      <c r="V2023" s="23">
        <v>46048</v>
      </c>
      <c r="W2023" s="96" t="s">
        <v>113</v>
      </c>
      <c r="X2023" s="96"/>
      <c r="Y2023" s="91"/>
      <c r="Z2023" s="96"/>
      <c r="AA2023" s="96"/>
      <c r="AB2023" s="96"/>
      <c r="AC2023" s="96"/>
      <c r="AD2023" s="96"/>
      <c r="AE2023" s="96"/>
      <c r="AF2023" s="96"/>
      <c r="AG2023" s="96"/>
      <c r="AH2023" s="110"/>
      <c r="AI2023" s="107"/>
      <c r="AJ2023" s="107"/>
      <c r="AK2023" s="107"/>
      <c r="AL2023" s="110"/>
      <c r="AM2023" s="840"/>
      <c r="AV2023" s="105"/>
    </row>
    <row r="2024" spans="1:48">
      <c r="A2024" s="834" t="s">
        <v>2342</v>
      </c>
      <c r="B2024" s="835">
        <v>2021</v>
      </c>
      <c r="C2024" s="834" t="s">
        <v>2950</v>
      </c>
      <c r="D2024" s="834" t="s">
        <v>937</v>
      </c>
      <c r="E2024" s="839">
        <v>46006</v>
      </c>
      <c r="F2024" s="838" t="s">
        <v>140</v>
      </c>
      <c r="G2024" s="838">
        <v>23</v>
      </c>
      <c r="H2024" s="838" t="s">
        <v>1853</v>
      </c>
      <c r="I2024" s="838"/>
      <c r="J2024" s="838"/>
      <c r="K2024" s="834"/>
      <c r="L2024" s="834"/>
      <c r="M2024" s="834"/>
      <c r="N2024" s="834"/>
      <c r="O2024" s="113"/>
      <c r="P2024" s="848" t="s">
        <v>30</v>
      </c>
      <c r="Q2024" s="23">
        <v>46047</v>
      </c>
      <c r="R2024" s="24" t="s">
        <v>67</v>
      </c>
      <c r="S2024" s="22" t="s">
        <v>32</v>
      </c>
      <c r="T2024" s="22">
        <v>23</v>
      </c>
      <c r="U2024" s="24" t="s">
        <v>67</v>
      </c>
      <c r="V2024" s="23">
        <v>46049</v>
      </c>
      <c r="W2024" s="96" t="s">
        <v>113</v>
      </c>
      <c r="X2024" s="96"/>
      <c r="Y2024" s="91"/>
      <c r="Z2024" s="96"/>
      <c r="AA2024" s="96"/>
      <c r="AB2024" s="96"/>
      <c r="AC2024" s="96"/>
      <c r="AD2024" s="96"/>
      <c r="AE2024" s="96"/>
      <c r="AF2024" s="96"/>
      <c r="AG2024" s="96"/>
      <c r="AH2024" s="110"/>
      <c r="AI2024" s="110"/>
      <c r="AJ2024" s="110"/>
      <c r="AK2024" s="110"/>
      <c r="AL2024" s="110"/>
      <c r="AM2024" s="840"/>
      <c r="AN2024" s="6"/>
      <c r="AO2024" s="6"/>
      <c r="AP2024" s="6"/>
      <c r="AQ2024" s="6"/>
      <c r="AR2024" s="6"/>
      <c r="AS2024" s="104"/>
      <c r="AT2024" s="105"/>
      <c r="AU2024" s="105"/>
      <c r="AV2024" s="105"/>
    </row>
    <row r="2025" spans="1:48">
      <c r="A2025" s="834" t="s">
        <v>2342</v>
      </c>
      <c r="B2025" s="835">
        <v>2022</v>
      </c>
      <c r="C2025" s="834" t="s">
        <v>2951</v>
      </c>
      <c r="D2025" s="834" t="s">
        <v>1198</v>
      </c>
      <c r="E2025" s="839">
        <v>46006.041666666664</v>
      </c>
      <c r="F2025" s="838" t="s">
        <v>140</v>
      </c>
      <c r="G2025" s="838">
        <v>74</v>
      </c>
      <c r="H2025" s="838" t="s">
        <v>1795</v>
      </c>
      <c r="I2025" s="838"/>
      <c r="J2025" s="838"/>
      <c r="K2025" s="834"/>
      <c r="L2025" s="834"/>
      <c r="M2025" s="834"/>
      <c r="N2025" s="834"/>
      <c r="O2025" s="848" t="s">
        <v>2863</v>
      </c>
      <c r="P2025" s="848" t="s">
        <v>30</v>
      </c>
      <c r="Q2025" s="23">
        <v>46047</v>
      </c>
      <c r="R2025" s="24" t="s">
        <v>67</v>
      </c>
      <c r="S2025" s="22" t="s">
        <v>32</v>
      </c>
      <c r="T2025" s="22">
        <v>74</v>
      </c>
      <c r="U2025" s="24" t="s">
        <v>67</v>
      </c>
      <c r="V2025" s="23">
        <v>46050</v>
      </c>
      <c r="W2025" s="96" t="s">
        <v>113</v>
      </c>
      <c r="X2025" s="96"/>
      <c r="Y2025" s="91"/>
      <c r="Z2025" s="91"/>
      <c r="AA2025" s="91"/>
      <c r="AB2025" s="96"/>
      <c r="AC2025" s="96"/>
      <c r="AD2025" s="96"/>
      <c r="AE2025" s="96"/>
      <c r="AF2025" s="96"/>
      <c r="AG2025" s="96"/>
      <c r="AH2025" s="110"/>
      <c r="AI2025" s="110"/>
      <c r="AJ2025" s="110"/>
      <c r="AK2025" s="96"/>
      <c r="AL2025" s="110"/>
      <c r="AM2025" s="840"/>
      <c r="AN2025" s="6">
        <v>3</v>
      </c>
      <c r="AO2025" s="6">
        <v>0</v>
      </c>
      <c r="AP2025" s="6">
        <v>58</v>
      </c>
      <c r="AQ2025" s="6">
        <v>13</v>
      </c>
      <c r="AR2025" s="6">
        <f>SUM(AN2025:AQ2025)</f>
        <v>74</v>
      </c>
      <c r="AS2025" s="104">
        <f>+AN2025/AR2025*AS$1</f>
        <v>0</v>
      </c>
      <c r="AT2025" s="105">
        <f>+AO2025/AR2025*AT$1</f>
        <v>0</v>
      </c>
      <c r="AU2025" s="105">
        <f>+AP2025/AR2025*AU$1</f>
        <v>0</v>
      </c>
      <c r="AV2025" s="105">
        <f>+AQ2025/AR2025*AV$1</f>
        <v>0</v>
      </c>
    </row>
    <row r="2026" spans="1:48">
      <c r="A2026" s="834" t="s">
        <v>2342</v>
      </c>
      <c r="B2026" s="835">
        <v>2023</v>
      </c>
      <c r="C2026" s="834" t="s">
        <v>2952</v>
      </c>
      <c r="D2026" s="834" t="s">
        <v>1912</v>
      </c>
      <c r="E2026" s="839">
        <v>46006.125</v>
      </c>
      <c r="F2026" s="838" t="s">
        <v>140</v>
      </c>
      <c r="G2026" s="838">
        <v>94</v>
      </c>
      <c r="H2026" s="838" t="s">
        <v>2953</v>
      </c>
      <c r="I2026" s="838"/>
      <c r="J2026" s="838"/>
      <c r="K2026" s="834"/>
      <c r="L2026" s="834"/>
      <c r="M2026" s="834"/>
      <c r="N2026" s="834"/>
      <c r="O2026" s="848" t="s">
        <v>2863</v>
      </c>
      <c r="P2026" s="848" t="s">
        <v>30</v>
      </c>
      <c r="Q2026" s="23">
        <v>46048</v>
      </c>
      <c r="R2026" s="24" t="s">
        <v>67</v>
      </c>
      <c r="S2026" s="22" t="s">
        <v>32</v>
      </c>
      <c r="T2026" s="22">
        <v>75</v>
      </c>
      <c r="U2026" s="24" t="s">
        <v>67</v>
      </c>
      <c r="V2026" s="23">
        <v>46049</v>
      </c>
      <c r="W2026" s="96" t="s">
        <v>113</v>
      </c>
      <c r="X2026" s="96"/>
      <c r="Y2026" s="91"/>
      <c r="Z2026" s="91"/>
      <c r="AA2026" s="91"/>
      <c r="AB2026" s="91"/>
      <c r="AC2026" s="96"/>
      <c r="AD2026" s="96"/>
      <c r="AE2026" s="96"/>
      <c r="AF2026" s="96"/>
      <c r="AG2026" s="96"/>
      <c r="AH2026" s="110"/>
      <c r="AI2026" s="96"/>
      <c r="AJ2026" s="96"/>
      <c r="AK2026" s="96"/>
      <c r="AL2026" s="110"/>
      <c r="AM2026" s="840"/>
      <c r="AN2026" s="6">
        <v>21</v>
      </c>
      <c r="AO2026" s="6">
        <v>63</v>
      </c>
      <c r="AP2026" s="6">
        <v>0</v>
      </c>
      <c r="AQ2026" s="6">
        <v>10</v>
      </c>
      <c r="AR2026" s="6">
        <f>SUM(AN2026:AQ2026)</f>
        <v>94</v>
      </c>
      <c r="AS2026" s="104">
        <f>+AN2026/AR2026*AS$1</f>
        <v>0</v>
      </c>
      <c r="AT2026" s="105">
        <f>+AO2026/AR2026*AT$1</f>
        <v>0</v>
      </c>
      <c r="AU2026" s="105">
        <f>+AP2026/AR2026*AU$1</f>
        <v>0</v>
      </c>
      <c r="AV2026" s="105">
        <f>+AQ2026/AR2026*AV$1</f>
        <v>0</v>
      </c>
    </row>
    <row r="2027" spans="1:48">
      <c r="A2027" s="834" t="s">
        <v>2342</v>
      </c>
      <c r="B2027" s="835">
        <v>2024</v>
      </c>
      <c r="C2027" s="834" t="s">
        <v>2954</v>
      </c>
      <c r="D2027" s="834" t="s">
        <v>1184</v>
      </c>
      <c r="E2027" s="839">
        <v>46006</v>
      </c>
      <c r="F2027" s="838" t="s">
        <v>140</v>
      </c>
      <c r="G2027" s="838">
        <v>52</v>
      </c>
      <c r="H2027" s="838" t="s">
        <v>1786</v>
      </c>
      <c r="I2027" s="838"/>
      <c r="J2027" s="838"/>
      <c r="K2027" s="834"/>
      <c r="L2027" s="834"/>
      <c r="M2027" s="834"/>
      <c r="N2027" s="834"/>
      <c r="O2027" s="848" t="s">
        <v>2863</v>
      </c>
      <c r="P2027" s="848" t="s">
        <v>30</v>
      </c>
      <c r="Q2027" s="23">
        <v>46029</v>
      </c>
      <c r="R2027" s="24" t="s">
        <v>67</v>
      </c>
      <c r="S2027" s="22" t="s">
        <v>32</v>
      </c>
      <c r="T2027" s="22">
        <v>52</v>
      </c>
      <c r="U2027" s="24" t="s">
        <v>67</v>
      </c>
      <c r="V2027" s="23">
        <v>46050</v>
      </c>
      <c r="W2027" s="96" t="s">
        <v>113</v>
      </c>
      <c r="X2027" s="96"/>
      <c r="Y2027" s="91"/>
      <c r="Z2027" s="96"/>
      <c r="AA2027" s="96"/>
      <c r="AB2027" s="96"/>
      <c r="AC2027" s="96"/>
      <c r="AD2027" s="96"/>
      <c r="AE2027" s="96"/>
      <c r="AF2027" s="96"/>
      <c r="AG2027" s="96"/>
      <c r="AH2027" s="110"/>
      <c r="AI2027" s="96"/>
      <c r="AJ2027" s="96"/>
      <c r="AK2027" s="96"/>
      <c r="AL2027" s="110"/>
      <c r="AM2027" s="840"/>
      <c r="AN2027" s="6">
        <v>38</v>
      </c>
      <c r="AO2027" s="6">
        <v>0</v>
      </c>
      <c r="AP2027" s="6">
        <v>3</v>
      </c>
      <c r="AQ2027" s="6">
        <v>11</v>
      </c>
      <c r="AR2027" s="6">
        <f>SUM(AN2027:AQ2027)</f>
        <v>52</v>
      </c>
      <c r="AS2027" s="104">
        <f>+AN2027/AR2027*AS$1</f>
        <v>0</v>
      </c>
      <c r="AT2027" s="105">
        <f>+AO2027/AR2027*AT$1</f>
        <v>0</v>
      </c>
      <c r="AU2027" s="105">
        <f>+AP2027/AR2027*AU$1</f>
        <v>0</v>
      </c>
      <c r="AV2027" s="105">
        <f>+AQ2027/AR2027*AV$1</f>
        <v>0</v>
      </c>
    </row>
    <row r="2028" spans="1:48">
      <c r="A2028" s="834" t="s">
        <v>2342</v>
      </c>
      <c r="B2028" s="835">
        <v>2025</v>
      </c>
      <c r="C2028" s="834" t="s">
        <v>2955</v>
      </c>
      <c r="D2028" s="834" t="s">
        <v>829</v>
      </c>
      <c r="E2028" s="839">
        <v>46006.375</v>
      </c>
      <c r="F2028" s="838" t="s">
        <v>140</v>
      </c>
      <c r="G2028" s="838">
        <v>122</v>
      </c>
      <c r="H2028" s="838" t="s">
        <v>2934</v>
      </c>
      <c r="I2028" s="838"/>
      <c r="J2028" s="838"/>
      <c r="K2028" s="834"/>
      <c r="L2028" s="834"/>
      <c r="M2028" s="834"/>
      <c r="N2028" s="834"/>
      <c r="O2028" s="848" t="s">
        <v>2863</v>
      </c>
      <c r="P2028" s="848" t="s">
        <v>30</v>
      </c>
      <c r="Q2028" s="23">
        <v>46049</v>
      </c>
      <c r="R2028" s="24" t="s">
        <v>67</v>
      </c>
      <c r="S2028" s="22" t="s">
        <v>32</v>
      </c>
      <c r="T2028" s="22">
        <f>141-78</f>
        <v>63</v>
      </c>
      <c r="U2028" s="24" t="s">
        <v>67</v>
      </c>
      <c r="V2028" s="23">
        <v>46050</v>
      </c>
      <c r="W2028" s="96" t="s">
        <v>113</v>
      </c>
      <c r="X2028" s="96"/>
      <c r="Y2028" s="91"/>
      <c r="Z2028" s="96"/>
      <c r="AA2028" s="96"/>
      <c r="AB2028" s="96"/>
      <c r="AC2028" s="96"/>
      <c r="AD2028" s="96"/>
      <c r="AE2028" s="96"/>
      <c r="AF2028" s="96"/>
      <c r="AG2028" s="96"/>
      <c r="AH2028" s="110"/>
      <c r="AI2028" s="107"/>
      <c r="AJ2028" s="107"/>
      <c r="AK2028" s="107"/>
      <c r="AL2028" s="110"/>
      <c r="AM2028" s="840"/>
      <c r="AN2028" s="6">
        <v>21</v>
      </c>
      <c r="AO2028" s="6">
        <v>0</v>
      </c>
      <c r="AP2028" s="6">
        <v>5</v>
      </c>
      <c r="AQ2028" s="6">
        <v>96</v>
      </c>
      <c r="AR2028" s="6">
        <f>SUM(AN2028:AQ2028)</f>
        <v>122</v>
      </c>
      <c r="AS2028" s="104">
        <f>+AN2028/AR2028*AS$1</f>
        <v>0</v>
      </c>
      <c r="AT2028" s="105">
        <f>+AO2028/AR2028*AT$1</f>
        <v>0</v>
      </c>
      <c r="AU2028" s="105">
        <f>+AP2028/AR2028*AU$1</f>
        <v>0</v>
      </c>
      <c r="AV2028" s="105">
        <f>+AQ2028/AR2028*AV$1</f>
        <v>0</v>
      </c>
    </row>
    <row r="2029" spans="1:48">
      <c r="A2029" s="834" t="s">
        <v>2342</v>
      </c>
      <c r="B2029" s="835">
        <v>2026</v>
      </c>
      <c r="C2029" s="834" t="s">
        <v>2956</v>
      </c>
      <c r="D2029" s="834" t="s">
        <v>1574</v>
      </c>
      <c r="E2029" s="839">
        <v>46006.375</v>
      </c>
      <c r="F2029" s="838" t="s">
        <v>140</v>
      </c>
      <c r="G2029" s="838">
        <v>1</v>
      </c>
      <c r="H2029" s="838" t="s">
        <v>1077</v>
      </c>
      <c r="I2029" s="838"/>
      <c r="J2029" s="838"/>
      <c r="K2029" s="834"/>
      <c r="L2029" s="834"/>
      <c r="M2029" s="834"/>
      <c r="N2029" s="834"/>
      <c r="O2029" s="848"/>
      <c r="P2029" s="848" t="s">
        <v>30</v>
      </c>
      <c r="Q2029" s="23">
        <v>46050</v>
      </c>
      <c r="R2029" s="24" t="s">
        <v>67</v>
      </c>
      <c r="S2029" s="22" t="s">
        <v>32</v>
      </c>
      <c r="T2029" s="22">
        <v>1</v>
      </c>
      <c r="U2029" s="24" t="s">
        <v>67</v>
      </c>
      <c r="V2029" s="23">
        <v>46050</v>
      </c>
      <c r="W2029" s="96" t="s">
        <v>113</v>
      </c>
      <c r="X2029" s="96"/>
      <c r="Y2029" s="91"/>
      <c r="Z2029" s="91"/>
      <c r="AA2029" s="91"/>
      <c r="AB2029" s="91"/>
      <c r="AC2029" s="96"/>
      <c r="AD2029" s="96"/>
      <c r="AE2029" s="96"/>
      <c r="AF2029" s="96"/>
      <c r="AG2029" s="96"/>
      <c r="AH2029" s="110"/>
      <c r="AI2029" s="110"/>
      <c r="AJ2029" s="110"/>
      <c r="AK2029" s="107"/>
      <c r="AL2029" s="110"/>
      <c r="AM2029" s="840"/>
      <c r="AN2029" s="6"/>
      <c r="AO2029" s="6"/>
      <c r="AP2029" s="6"/>
      <c r="AQ2029" s="6"/>
      <c r="AR2029" s="6"/>
      <c r="AS2029" s="104"/>
      <c r="AT2029" s="105"/>
      <c r="AU2029" s="105"/>
      <c r="AV2029" s="105"/>
    </row>
    <row r="2030" spans="1:48">
      <c r="A2030" s="834" t="s">
        <v>2342</v>
      </c>
      <c r="B2030" s="835">
        <v>2027</v>
      </c>
      <c r="C2030" s="834" t="s">
        <v>2957</v>
      </c>
      <c r="D2030" s="834" t="s">
        <v>1516</v>
      </c>
      <c r="E2030" s="839">
        <v>46006</v>
      </c>
      <c r="F2030" s="838" t="s">
        <v>140</v>
      </c>
      <c r="G2030" s="838">
        <v>1</v>
      </c>
      <c r="H2030" s="838" t="s">
        <v>67</v>
      </c>
      <c r="I2030" s="838"/>
      <c r="J2030" s="838"/>
      <c r="K2030" s="834"/>
      <c r="L2030" s="834"/>
      <c r="M2030" s="834"/>
      <c r="N2030" s="834"/>
      <c r="O2030" s="848"/>
      <c r="P2030" s="848" t="s">
        <v>30</v>
      </c>
      <c r="Q2030" s="23">
        <v>46049</v>
      </c>
      <c r="R2030" s="24" t="s">
        <v>67</v>
      </c>
      <c r="S2030" s="22" t="s">
        <v>32</v>
      </c>
      <c r="T2030" s="22">
        <v>1</v>
      </c>
      <c r="U2030" s="24" t="s">
        <v>67</v>
      </c>
      <c r="V2030" s="23">
        <v>46050</v>
      </c>
      <c r="W2030" s="96" t="s">
        <v>113</v>
      </c>
      <c r="X2030" s="96"/>
      <c r="Y2030" s="91"/>
      <c r="Z2030" s="96"/>
      <c r="AA2030" s="96"/>
      <c r="AB2030" s="96"/>
      <c r="AC2030" s="96"/>
      <c r="AD2030" s="96"/>
      <c r="AE2030" s="96"/>
      <c r="AF2030" s="96"/>
      <c r="AG2030" s="96"/>
      <c r="AH2030" s="110"/>
      <c r="AI2030" s="110"/>
      <c r="AJ2030" s="110"/>
      <c r="AK2030" s="110"/>
      <c r="AL2030" s="110"/>
      <c r="AM2030" s="840"/>
      <c r="AN2030" s="6"/>
      <c r="AO2030" s="6"/>
      <c r="AP2030" s="6"/>
      <c r="AQ2030" s="6"/>
      <c r="AR2030" s="6"/>
      <c r="AS2030" s="104"/>
      <c r="AT2030" s="105"/>
      <c r="AU2030" s="105"/>
      <c r="AV2030" s="105"/>
    </row>
    <row r="2031" spans="1:48">
      <c r="A2031" s="834" t="s">
        <v>2342</v>
      </c>
      <c r="B2031" s="835">
        <v>2028</v>
      </c>
      <c r="C2031" s="834" t="s">
        <v>2958</v>
      </c>
      <c r="D2031" s="834" t="s">
        <v>2959</v>
      </c>
      <c r="E2031" s="839">
        <v>46006.041666666664</v>
      </c>
      <c r="F2031" s="838" t="s">
        <v>140</v>
      </c>
      <c r="G2031" s="838">
        <v>11</v>
      </c>
      <c r="H2031" s="838" t="s">
        <v>127</v>
      </c>
      <c r="I2031" s="838"/>
      <c r="J2031" s="838"/>
      <c r="K2031" s="834"/>
      <c r="L2031" s="834"/>
      <c r="M2031" s="834"/>
      <c r="N2031" s="834"/>
      <c r="O2031" s="113"/>
      <c r="P2031" s="848" t="s">
        <v>30</v>
      </c>
      <c r="Q2031" s="23">
        <v>46050</v>
      </c>
      <c r="R2031" s="24" t="s">
        <v>67</v>
      </c>
      <c r="S2031" s="22" t="s">
        <v>32</v>
      </c>
      <c r="T2031" s="22">
        <v>8</v>
      </c>
      <c r="U2031" s="24" t="s">
        <v>67</v>
      </c>
      <c r="V2031" s="23">
        <v>46050</v>
      </c>
      <c r="W2031" s="96" t="s">
        <v>113</v>
      </c>
      <c r="X2031" s="96"/>
      <c r="Y2031" s="91"/>
      <c r="Z2031" s="96"/>
      <c r="AA2031" s="96"/>
      <c r="AB2031" s="96"/>
      <c r="AC2031" s="96"/>
      <c r="AD2031" s="96"/>
      <c r="AE2031" s="96"/>
      <c r="AF2031" s="96"/>
      <c r="AG2031" s="96"/>
      <c r="AH2031" s="110"/>
      <c r="AI2031" s="107"/>
      <c r="AJ2031" s="107"/>
      <c r="AK2031" s="107"/>
      <c r="AL2031" s="110"/>
      <c r="AM2031" s="840"/>
      <c r="AN2031" s="6"/>
      <c r="AO2031" s="6"/>
      <c r="AP2031" s="6"/>
      <c r="AQ2031" s="6"/>
      <c r="AR2031" s="6"/>
      <c r="AS2031" s="104"/>
      <c r="AT2031" s="105"/>
      <c r="AU2031" s="105"/>
      <c r="AV2031" s="105"/>
    </row>
    <row r="2032" spans="1:48">
      <c r="A2032" s="834" t="s">
        <v>2342</v>
      </c>
      <c r="B2032" s="835">
        <v>2029</v>
      </c>
      <c r="C2032" s="834" t="s">
        <v>2960</v>
      </c>
      <c r="D2032" s="834" t="s">
        <v>989</v>
      </c>
      <c r="E2032" s="839">
        <v>46006</v>
      </c>
      <c r="F2032" s="838" t="s">
        <v>140</v>
      </c>
      <c r="G2032" s="838">
        <v>24</v>
      </c>
      <c r="H2032" s="838" t="s">
        <v>127</v>
      </c>
      <c r="I2032" s="838"/>
      <c r="J2032" s="838"/>
      <c r="K2032" s="834"/>
      <c r="L2032" s="834"/>
      <c r="M2032" s="834"/>
      <c r="N2032" s="834"/>
      <c r="O2032" s="848"/>
      <c r="P2032" s="848" t="s">
        <v>30</v>
      </c>
      <c r="Q2032" s="23">
        <v>46050</v>
      </c>
      <c r="R2032" s="24" t="s">
        <v>67</v>
      </c>
      <c r="S2032" s="22" t="s">
        <v>32</v>
      </c>
      <c r="T2032" s="22">
        <v>24</v>
      </c>
      <c r="U2032" s="24" t="s">
        <v>67</v>
      </c>
      <c r="V2032" s="23">
        <v>46050</v>
      </c>
      <c r="W2032" s="96" t="s">
        <v>113</v>
      </c>
      <c r="X2032" s="96"/>
      <c r="Y2032" s="91"/>
      <c r="Z2032" s="96"/>
      <c r="AA2032" s="96"/>
      <c r="AB2032" s="96"/>
      <c r="AC2032" s="96"/>
      <c r="AD2032" s="96"/>
      <c r="AE2032" s="96"/>
      <c r="AF2032" s="96"/>
      <c r="AG2032" s="96"/>
      <c r="AH2032" s="110"/>
      <c r="AI2032" s="107"/>
      <c r="AJ2032" s="107"/>
      <c r="AK2032" s="107"/>
      <c r="AL2032" s="110"/>
      <c r="AM2032" s="840"/>
      <c r="AN2032" s="87"/>
      <c r="AO2032" s="87"/>
      <c r="AS2032" s="71"/>
      <c r="AT2032" s="92"/>
      <c r="AU2032" s="92"/>
      <c r="AV2032" s="105"/>
    </row>
    <row r="2033" spans="1:48">
      <c r="A2033" s="834" t="s">
        <v>2342</v>
      </c>
      <c r="B2033" s="835">
        <v>2030</v>
      </c>
      <c r="C2033" s="834" t="s">
        <v>2961</v>
      </c>
      <c r="D2033" s="834" t="s">
        <v>1250</v>
      </c>
      <c r="E2033" s="839">
        <v>46006.375</v>
      </c>
      <c r="F2033" s="838" t="s">
        <v>140</v>
      </c>
      <c r="G2033" s="838">
        <v>5</v>
      </c>
      <c r="H2033" s="838" t="s">
        <v>1077</v>
      </c>
      <c r="I2033" s="838"/>
      <c r="J2033" s="838"/>
      <c r="K2033" s="834"/>
      <c r="L2033" s="834"/>
      <c r="M2033" s="834"/>
      <c r="N2033" s="834"/>
      <c r="O2033" s="113"/>
      <c r="P2033" s="848" t="s">
        <v>30</v>
      </c>
      <c r="Q2033" s="23">
        <v>46050</v>
      </c>
      <c r="R2033" s="24" t="s">
        <v>67</v>
      </c>
      <c r="S2033" s="22" t="s">
        <v>32</v>
      </c>
      <c r="T2033" s="7">
        <v>4</v>
      </c>
      <c r="U2033" s="24" t="s">
        <v>67</v>
      </c>
      <c r="V2033" s="23">
        <v>46050</v>
      </c>
      <c r="W2033" s="96" t="s">
        <v>113</v>
      </c>
      <c r="X2033" s="96"/>
      <c r="Y2033" s="91"/>
      <c r="Z2033" s="96"/>
      <c r="AA2033" s="96"/>
      <c r="AB2033" s="96"/>
      <c r="AC2033" s="96"/>
      <c r="AD2033" s="96"/>
      <c r="AE2033" s="96"/>
      <c r="AF2033" s="96"/>
      <c r="AG2033" s="96"/>
      <c r="AH2033" s="110"/>
      <c r="AI2033" s="96"/>
      <c r="AJ2033" s="96"/>
      <c r="AK2033" s="96"/>
      <c r="AL2033" s="110"/>
      <c r="AM2033" s="840"/>
      <c r="AN2033" s="6"/>
      <c r="AO2033" s="6"/>
      <c r="AP2033" s="6"/>
      <c r="AQ2033" s="6"/>
      <c r="AR2033" s="6"/>
      <c r="AS2033" s="104"/>
      <c r="AT2033" s="105"/>
      <c r="AU2033" s="105"/>
      <c r="AV2033" s="105"/>
    </row>
    <row r="2034" spans="1:48">
      <c r="A2034" s="834" t="s">
        <v>2342</v>
      </c>
      <c r="B2034" s="835">
        <v>2031</v>
      </c>
      <c r="C2034" s="834" t="s">
        <v>2962</v>
      </c>
      <c r="D2034" s="834" t="s">
        <v>2963</v>
      </c>
      <c r="E2034" s="839">
        <v>46006</v>
      </c>
      <c r="F2034" s="838" t="s">
        <v>140</v>
      </c>
      <c r="G2034" s="838">
        <v>24</v>
      </c>
      <c r="H2034" s="838" t="s">
        <v>1721</v>
      </c>
      <c r="I2034" s="838"/>
      <c r="J2034" s="838"/>
      <c r="K2034" s="834"/>
      <c r="L2034" s="834"/>
      <c r="M2034" s="834"/>
      <c r="N2034" s="834"/>
      <c r="O2034" s="113"/>
      <c r="P2034" s="848" t="s">
        <v>30</v>
      </c>
      <c r="Q2034" s="23">
        <v>46050</v>
      </c>
      <c r="R2034" s="24" t="s">
        <v>67</v>
      </c>
      <c r="S2034" s="22" t="s">
        <v>32</v>
      </c>
      <c r="T2034" s="22">
        <v>25</v>
      </c>
      <c r="U2034" s="24" t="s">
        <v>67</v>
      </c>
      <c r="V2034" s="23">
        <v>46050</v>
      </c>
      <c r="W2034" s="96" t="s">
        <v>113</v>
      </c>
      <c r="X2034" s="96"/>
      <c r="Y2034" s="91"/>
      <c r="Z2034" s="96"/>
      <c r="AA2034" s="96"/>
      <c r="AB2034" s="96"/>
      <c r="AC2034" s="96"/>
      <c r="AD2034" s="96"/>
      <c r="AE2034" s="96"/>
      <c r="AF2034" s="96"/>
      <c r="AG2034" s="96"/>
      <c r="AH2034" s="110"/>
      <c r="AI2034" s="110"/>
      <c r="AJ2034" s="110"/>
      <c r="AK2034" s="110"/>
      <c r="AL2034" s="110"/>
      <c r="AM2034" s="840"/>
      <c r="AN2034" s="6"/>
      <c r="AO2034" s="6"/>
      <c r="AP2034" s="6"/>
      <c r="AQ2034" s="6"/>
      <c r="AR2034" s="6"/>
      <c r="AS2034" s="104"/>
      <c r="AT2034" s="105"/>
      <c r="AU2034" s="105"/>
      <c r="AV2034" s="105"/>
    </row>
    <row r="2035" spans="1:48">
      <c r="A2035" s="834" t="s">
        <v>2342</v>
      </c>
      <c r="B2035" s="835">
        <v>2032</v>
      </c>
      <c r="C2035" s="834" t="s">
        <v>2964</v>
      </c>
      <c r="D2035" s="834" t="s">
        <v>2965</v>
      </c>
      <c r="E2035" s="839">
        <v>46006.375</v>
      </c>
      <c r="F2035" s="838" t="s">
        <v>140</v>
      </c>
      <c r="G2035" s="838">
        <v>45</v>
      </c>
      <c r="H2035" s="838" t="s">
        <v>2966</v>
      </c>
      <c r="I2035" s="838"/>
      <c r="J2035" s="838"/>
      <c r="K2035" s="834"/>
      <c r="L2035" s="834"/>
      <c r="M2035" s="834"/>
      <c r="N2035" s="834"/>
      <c r="O2035" s="848" t="s">
        <v>2863</v>
      </c>
      <c r="P2035" s="848" t="s">
        <v>30</v>
      </c>
      <c r="Q2035" s="23">
        <v>46050</v>
      </c>
      <c r="R2035" s="24" t="s">
        <v>67</v>
      </c>
      <c r="S2035" s="22" t="s">
        <v>32</v>
      </c>
      <c r="T2035" s="22">
        <v>46</v>
      </c>
      <c r="U2035" s="24" t="s">
        <v>67</v>
      </c>
      <c r="V2035" s="23">
        <v>46051</v>
      </c>
      <c r="W2035" s="96" t="s">
        <v>113</v>
      </c>
      <c r="X2035" s="96"/>
      <c r="Y2035" s="91"/>
      <c r="Z2035" s="96"/>
      <c r="AA2035" s="96"/>
      <c r="AB2035" s="96"/>
      <c r="AC2035" s="96"/>
      <c r="AD2035" s="96"/>
      <c r="AE2035" s="96"/>
      <c r="AF2035" s="96"/>
      <c r="AG2035" s="96"/>
      <c r="AH2035" s="110"/>
      <c r="AI2035" s="110"/>
      <c r="AJ2035" s="110"/>
      <c r="AK2035" s="110"/>
      <c r="AL2035" s="110"/>
      <c r="AM2035" s="840"/>
      <c r="AN2035" s="6">
        <v>0</v>
      </c>
      <c r="AO2035" s="6">
        <v>14</v>
      </c>
      <c r="AP2035" s="6">
        <v>31</v>
      </c>
      <c r="AQ2035" s="6">
        <v>0</v>
      </c>
      <c r="AR2035" s="6">
        <f>SUM(AN2035:AQ2035)</f>
        <v>45</v>
      </c>
      <c r="AS2035" s="104">
        <f>+AN2035/AR2035*AS$1</f>
        <v>0</v>
      </c>
      <c r="AT2035" s="105">
        <f>+AO2035/AR2035*AT$1</f>
        <v>0</v>
      </c>
      <c r="AU2035" s="105">
        <f>+AP2035/AR2035*AU$1</f>
        <v>0</v>
      </c>
      <c r="AV2035" s="105">
        <f>+AQ2035/AR2035*AV$1</f>
        <v>0</v>
      </c>
    </row>
    <row r="2036" spans="1:48">
      <c r="A2036" s="834" t="s">
        <v>2342</v>
      </c>
      <c r="B2036" s="835">
        <v>2033</v>
      </c>
      <c r="C2036" s="834" t="s">
        <v>2967</v>
      </c>
      <c r="D2036" s="834" t="s">
        <v>2968</v>
      </c>
      <c r="E2036" s="839">
        <v>46006</v>
      </c>
      <c r="F2036" s="838" t="s">
        <v>140</v>
      </c>
      <c r="G2036" s="838">
        <v>1</v>
      </c>
      <c r="H2036" s="838" t="s">
        <v>1077</v>
      </c>
      <c r="I2036" s="838"/>
      <c r="J2036" s="838"/>
      <c r="K2036" s="834"/>
      <c r="L2036" s="834"/>
      <c r="M2036" s="834"/>
      <c r="N2036" s="834"/>
      <c r="O2036" s="848"/>
      <c r="P2036" s="848" t="s">
        <v>30</v>
      </c>
      <c r="Q2036" s="23">
        <v>46050</v>
      </c>
      <c r="R2036" s="24" t="s">
        <v>67</v>
      </c>
      <c r="S2036" s="22" t="s">
        <v>32</v>
      </c>
      <c r="T2036" s="22">
        <v>1</v>
      </c>
      <c r="U2036" s="24" t="s">
        <v>67</v>
      </c>
      <c r="V2036" s="23">
        <v>46051</v>
      </c>
      <c r="W2036" s="96" t="s">
        <v>113</v>
      </c>
      <c r="X2036" s="96"/>
      <c r="Y2036" s="103"/>
      <c r="Z2036" s="96"/>
      <c r="AA2036" s="91"/>
      <c r="AB2036" s="96"/>
      <c r="AC2036" s="96"/>
      <c r="AD2036" s="96"/>
      <c r="AE2036" s="96"/>
      <c r="AF2036" s="96"/>
      <c r="AG2036" s="96"/>
      <c r="AH2036" s="110"/>
      <c r="AI2036" s="110"/>
      <c r="AJ2036" s="110"/>
      <c r="AK2036" s="110"/>
      <c r="AL2036" s="110"/>
      <c r="AM2036" s="840"/>
      <c r="AS2036" s="71"/>
      <c r="AT2036" s="92"/>
      <c r="AU2036" s="92"/>
      <c r="AV2036" s="105"/>
    </row>
    <row r="2037" spans="1:48">
      <c r="A2037" s="834" t="s">
        <v>2342</v>
      </c>
      <c r="B2037" s="835">
        <v>2034</v>
      </c>
      <c r="C2037" s="834" t="s">
        <v>2969</v>
      </c>
      <c r="D2037" s="834" t="s">
        <v>1366</v>
      </c>
      <c r="E2037" s="839">
        <v>46006</v>
      </c>
      <c r="F2037" s="838" t="s">
        <v>140</v>
      </c>
      <c r="G2037" s="838">
        <v>1</v>
      </c>
      <c r="H2037" s="838" t="s">
        <v>67</v>
      </c>
      <c r="I2037" s="838"/>
      <c r="J2037" s="838"/>
      <c r="K2037" s="834"/>
      <c r="L2037" s="834"/>
      <c r="M2037" s="834"/>
      <c r="N2037" s="834"/>
      <c r="O2037" s="848"/>
      <c r="P2037" s="848" t="s">
        <v>30</v>
      </c>
      <c r="Q2037" s="23">
        <v>46050</v>
      </c>
      <c r="R2037" s="24" t="s">
        <v>67</v>
      </c>
      <c r="S2037" s="22" t="s">
        <v>32</v>
      </c>
      <c r="T2037" s="22">
        <v>1</v>
      </c>
      <c r="U2037" s="24" t="s">
        <v>67</v>
      </c>
      <c r="V2037" s="23">
        <v>46024</v>
      </c>
      <c r="W2037" s="96" t="s">
        <v>113</v>
      </c>
      <c r="X2037" s="96"/>
      <c r="Y2037" s="91"/>
      <c r="Z2037" s="96"/>
      <c r="AA2037" s="96"/>
      <c r="AB2037" s="96"/>
      <c r="AC2037" s="96"/>
      <c r="AD2037" s="96"/>
      <c r="AE2037" s="96"/>
      <c r="AF2037" s="96"/>
      <c r="AG2037" s="96"/>
      <c r="AH2037" s="110"/>
      <c r="AI2037" s="110"/>
      <c r="AJ2037" s="107"/>
      <c r="AK2037" s="107"/>
      <c r="AL2037" s="110"/>
      <c r="AM2037" s="840"/>
      <c r="AV2037" s="105"/>
    </row>
    <row r="2038" spans="1:48">
      <c r="A2038" s="834" t="s">
        <v>2342</v>
      </c>
      <c r="B2038" s="835">
        <v>2035</v>
      </c>
      <c r="C2038" s="834" t="s">
        <v>2970</v>
      </c>
      <c r="D2038" s="834" t="s">
        <v>2374</v>
      </c>
      <c r="E2038" s="839">
        <v>46006</v>
      </c>
      <c r="F2038" s="838" t="s">
        <v>140</v>
      </c>
      <c r="G2038" s="838">
        <v>3</v>
      </c>
      <c r="H2038" s="838" t="s">
        <v>1721</v>
      </c>
      <c r="I2038" s="838"/>
      <c r="J2038" s="838"/>
      <c r="K2038" s="834"/>
      <c r="L2038" s="834"/>
      <c r="M2038" s="834"/>
      <c r="N2038" s="834"/>
      <c r="O2038" s="113"/>
      <c r="P2038" s="848" t="s">
        <v>30</v>
      </c>
      <c r="Q2038" s="23">
        <v>46050</v>
      </c>
      <c r="R2038" s="24" t="s">
        <v>67</v>
      </c>
      <c r="S2038" s="22" t="s">
        <v>32</v>
      </c>
      <c r="T2038" s="22">
        <v>3</v>
      </c>
      <c r="U2038" s="24" t="s">
        <v>67</v>
      </c>
      <c r="V2038" s="23">
        <v>46051</v>
      </c>
      <c r="W2038" s="96" t="s">
        <v>113</v>
      </c>
      <c r="X2038" s="96"/>
      <c r="Y2038" s="91"/>
      <c r="Z2038" s="96"/>
      <c r="AA2038" s="91"/>
      <c r="AB2038" s="96"/>
      <c r="AC2038" s="96"/>
      <c r="AD2038" s="96"/>
      <c r="AE2038" s="96"/>
      <c r="AF2038" s="96"/>
      <c r="AG2038" s="96"/>
      <c r="AH2038" s="110"/>
      <c r="AI2038" s="110"/>
      <c r="AJ2038" s="110"/>
      <c r="AK2038" s="110"/>
      <c r="AL2038" s="110"/>
      <c r="AM2038" s="840"/>
      <c r="AS2038" s="71"/>
      <c r="AT2038" s="92"/>
      <c r="AU2038" s="92"/>
      <c r="AV2038" s="105"/>
    </row>
    <row r="2039" spans="1:48">
      <c r="A2039" s="834" t="s">
        <v>2342</v>
      </c>
      <c r="B2039" s="835">
        <v>2036</v>
      </c>
      <c r="C2039" s="834" t="s">
        <v>2971</v>
      </c>
      <c r="D2039" s="834" t="s">
        <v>1025</v>
      </c>
      <c r="E2039" s="839">
        <v>46006</v>
      </c>
      <c r="F2039" s="838" t="s">
        <v>140</v>
      </c>
      <c r="G2039" s="838">
        <v>1</v>
      </c>
      <c r="H2039" s="838" t="s">
        <v>1077</v>
      </c>
      <c r="I2039" s="838"/>
      <c r="J2039" s="838"/>
      <c r="K2039" s="834"/>
      <c r="L2039" s="834"/>
      <c r="M2039" s="834"/>
      <c r="N2039" s="834"/>
      <c r="O2039" s="848"/>
      <c r="P2039" s="848" t="s">
        <v>30</v>
      </c>
      <c r="Q2039" s="23">
        <v>46051</v>
      </c>
      <c r="R2039" s="24" t="s">
        <v>67</v>
      </c>
      <c r="S2039" s="22" t="s">
        <v>32</v>
      </c>
      <c r="T2039" s="22">
        <v>1</v>
      </c>
      <c r="U2039" s="24" t="s">
        <v>67</v>
      </c>
      <c r="V2039" s="23">
        <v>46051</v>
      </c>
      <c r="W2039" s="96" t="s">
        <v>113</v>
      </c>
      <c r="X2039" s="96"/>
      <c r="Y2039" s="91"/>
      <c r="Z2039" s="96"/>
      <c r="AA2039" s="96"/>
      <c r="AB2039" s="96"/>
      <c r="AC2039" s="96"/>
      <c r="AD2039" s="96"/>
      <c r="AE2039" s="96"/>
      <c r="AF2039" s="96"/>
      <c r="AG2039" s="96"/>
      <c r="AH2039" s="110"/>
      <c r="AI2039" s="110"/>
      <c r="AJ2039" s="110"/>
      <c r="AK2039" s="107"/>
      <c r="AL2039" s="110"/>
      <c r="AM2039" s="840"/>
      <c r="AS2039" s="71"/>
      <c r="AT2039" s="92"/>
      <c r="AU2039" s="92"/>
      <c r="AV2039" s="105"/>
    </row>
    <row r="2040" spans="1:48">
      <c r="A2040" s="834" t="s">
        <v>2342</v>
      </c>
      <c r="B2040" s="835">
        <v>2037</v>
      </c>
      <c r="C2040" s="834" t="s">
        <v>2972</v>
      </c>
      <c r="D2040" s="834" t="s">
        <v>846</v>
      </c>
      <c r="E2040" s="839">
        <v>46006</v>
      </c>
      <c r="F2040" s="838" t="s">
        <v>140</v>
      </c>
      <c r="G2040" s="838">
        <v>4</v>
      </c>
      <c r="H2040" s="838" t="s">
        <v>1077</v>
      </c>
      <c r="I2040" s="838"/>
      <c r="J2040" s="838"/>
      <c r="K2040" s="834"/>
      <c r="L2040" s="834"/>
      <c r="M2040" s="834"/>
      <c r="N2040" s="834"/>
      <c r="O2040" s="848"/>
      <c r="P2040" s="848" t="s">
        <v>30</v>
      </c>
      <c r="Q2040" s="23">
        <v>46051</v>
      </c>
      <c r="R2040" s="24" t="s">
        <v>67</v>
      </c>
      <c r="S2040" s="22" t="s">
        <v>32</v>
      </c>
      <c r="T2040" s="22">
        <v>4</v>
      </c>
      <c r="U2040" s="24" t="s">
        <v>67</v>
      </c>
      <c r="V2040" s="23">
        <v>46051</v>
      </c>
      <c r="W2040" s="96" t="s">
        <v>113</v>
      </c>
      <c r="X2040" s="103"/>
      <c r="Y2040" s="103"/>
      <c r="Z2040" s="96"/>
      <c r="AA2040" s="96"/>
      <c r="AB2040" s="96"/>
      <c r="AC2040" s="96"/>
      <c r="AD2040" s="96"/>
      <c r="AE2040" s="96"/>
      <c r="AF2040" s="96"/>
      <c r="AG2040" s="96"/>
      <c r="AH2040" s="110"/>
      <c r="AI2040" s="110"/>
      <c r="AJ2040" s="110"/>
      <c r="AK2040" s="110"/>
      <c r="AL2040" s="110"/>
      <c r="AM2040" s="840"/>
      <c r="AV2040" s="105"/>
    </row>
    <row r="2041" spans="1:48">
      <c r="A2041" s="834" t="s">
        <v>2342</v>
      </c>
      <c r="B2041" s="835">
        <v>2038</v>
      </c>
      <c r="C2041" s="834" t="s">
        <v>2973</v>
      </c>
      <c r="D2041" s="834" t="s">
        <v>1208</v>
      </c>
      <c r="E2041" s="839">
        <v>46006</v>
      </c>
      <c r="F2041" s="838" t="s">
        <v>140</v>
      </c>
      <c r="G2041" s="838">
        <v>1</v>
      </c>
      <c r="H2041" s="838" t="s">
        <v>1721</v>
      </c>
      <c r="I2041" s="838"/>
      <c r="J2041" s="838"/>
      <c r="K2041" s="834"/>
      <c r="L2041" s="834"/>
      <c r="M2041" s="834"/>
      <c r="N2041" s="834"/>
      <c r="O2041" s="113"/>
      <c r="P2041" s="848" t="s">
        <v>30</v>
      </c>
      <c r="Q2041" s="23">
        <v>46024</v>
      </c>
      <c r="R2041" s="24" t="s">
        <v>67</v>
      </c>
      <c r="S2041" s="22" t="s">
        <v>32</v>
      </c>
      <c r="T2041" s="22">
        <v>1</v>
      </c>
      <c r="U2041" s="24" t="s">
        <v>67</v>
      </c>
      <c r="V2041" s="23">
        <v>46051</v>
      </c>
      <c r="W2041" s="96" t="s">
        <v>113</v>
      </c>
      <c r="X2041" s="96"/>
      <c r="Y2041" s="91"/>
      <c r="Z2041" s="91"/>
      <c r="AA2041" s="91"/>
      <c r="AB2041" s="91"/>
      <c r="AC2041" s="96"/>
      <c r="AD2041" s="96"/>
      <c r="AE2041" s="96"/>
      <c r="AF2041" s="96"/>
      <c r="AG2041" s="96"/>
      <c r="AH2041" s="110"/>
      <c r="AI2041" s="96"/>
      <c r="AJ2041" s="96"/>
      <c r="AK2041" s="96"/>
      <c r="AL2041" s="110"/>
      <c r="AM2041" s="840"/>
      <c r="AN2041" s="6"/>
      <c r="AO2041" s="6"/>
      <c r="AP2041" s="6"/>
      <c r="AQ2041" s="6"/>
      <c r="AR2041" s="6"/>
      <c r="AS2041" s="104"/>
      <c r="AT2041" s="105"/>
      <c r="AU2041" s="105"/>
      <c r="AV2041" s="105"/>
    </row>
    <row r="2042" spans="1:48">
      <c r="A2042" s="834" t="s">
        <v>2342</v>
      </c>
      <c r="B2042" s="835">
        <v>2039</v>
      </c>
      <c r="C2042" s="834" t="s">
        <v>2974</v>
      </c>
      <c r="D2042" s="834" t="s">
        <v>2975</v>
      </c>
      <c r="E2042" s="839">
        <v>46006</v>
      </c>
      <c r="F2042" s="838" t="s">
        <v>140</v>
      </c>
      <c r="G2042" s="838">
        <v>9</v>
      </c>
      <c r="H2042" s="838" t="s">
        <v>67</v>
      </c>
      <c r="I2042" s="838"/>
      <c r="J2042" s="838"/>
      <c r="K2042" s="834"/>
      <c r="L2042" s="834"/>
      <c r="M2042" s="834"/>
      <c r="N2042" s="834"/>
      <c r="O2042" s="113"/>
      <c r="P2042" s="848" t="s">
        <v>30</v>
      </c>
      <c r="Q2042" s="23">
        <v>46051</v>
      </c>
      <c r="R2042" s="24" t="s">
        <v>67</v>
      </c>
      <c r="S2042" s="22" t="s">
        <v>32</v>
      </c>
      <c r="T2042" s="22">
        <v>9</v>
      </c>
      <c r="U2042" s="24" t="s">
        <v>67</v>
      </c>
      <c r="V2042" s="23">
        <v>46051</v>
      </c>
      <c r="W2042" s="96" t="s">
        <v>113</v>
      </c>
      <c r="X2042" s="96"/>
      <c r="Y2042" s="91"/>
      <c r="Z2042" s="96"/>
      <c r="AA2042" s="96"/>
      <c r="AB2042" s="96"/>
      <c r="AC2042" s="96"/>
      <c r="AD2042" s="96"/>
      <c r="AE2042" s="96"/>
      <c r="AF2042" s="96"/>
      <c r="AG2042" s="96"/>
      <c r="AH2042" s="110"/>
      <c r="AI2042" s="107"/>
      <c r="AJ2042" s="107"/>
      <c r="AK2042" s="107"/>
      <c r="AL2042" s="110"/>
      <c r="AM2042" s="840"/>
      <c r="AR2042" s="84"/>
      <c r="AS2042" s="71"/>
      <c r="AT2042" s="71"/>
      <c r="AU2042" s="71"/>
      <c r="AV2042" s="105"/>
    </row>
    <row r="2043" spans="1:48">
      <c r="A2043" s="834" t="s">
        <v>2342</v>
      </c>
      <c r="B2043" s="835">
        <v>2040</v>
      </c>
      <c r="C2043" s="834" t="s">
        <v>2976</v>
      </c>
      <c r="D2043" s="834" t="s">
        <v>1544</v>
      </c>
      <c r="E2043" s="839">
        <v>46013</v>
      </c>
      <c r="F2043" s="838" t="s">
        <v>140</v>
      </c>
      <c r="G2043" s="838">
        <v>5</v>
      </c>
      <c r="H2043" s="838" t="s">
        <v>2977</v>
      </c>
      <c r="I2043" s="838"/>
      <c r="J2043" s="838"/>
      <c r="K2043" s="834"/>
      <c r="L2043" s="834"/>
      <c r="M2043" s="834"/>
      <c r="N2043" s="834"/>
      <c r="O2043" s="848"/>
      <c r="P2043" s="848" t="s">
        <v>30</v>
      </c>
      <c r="Q2043" s="23">
        <v>46051</v>
      </c>
      <c r="R2043" s="24" t="s">
        <v>67</v>
      </c>
      <c r="S2043" s="22" t="s">
        <v>32</v>
      </c>
      <c r="T2043" s="22">
        <v>3</v>
      </c>
      <c r="U2043" s="24" t="s">
        <v>67</v>
      </c>
      <c r="V2043" s="23">
        <v>46051</v>
      </c>
      <c r="W2043" s="96" t="s">
        <v>113</v>
      </c>
      <c r="X2043" s="96"/>
      <c r="Y2043" s="91"/>
      <c r="Z2043" s="96"/>
      <c r="AA2043" s="96"/>
      <c r="AB2043" s="96"/>
      <c r="AC2043" s="96"/>
      <c r="AD2043" s="96"/>
      <c r="AE2043" s="96"/>
      <c r="AF2043" s="96"/>
      <c r="AG2043" s="96"/>
      <c r="AH2043" s="110"/>
      <c r="AI2043" s="110"/>
      <c r="AJ2043" s="110"/>
      <c r="AK2043" s="110"/>
      <c r="AL2043" s="110"/>
      <c r="AM2043" s="840"/>
      <c r="AS2043" s="71"/>
      <c r="AT2043" s="92"/>
      <c r="AU2043" s="92"/>
      <c r="AV2043" s="105"/>
    </row>
    <row r="2044" spans="1:48">
      <c r="A2044" s="834" t="s">
        <v>2342</v>
      </c>
      <c r="B2044" s="835">
        <v>2041</v>
      </c>
      <c r="C2044" s="834" t="s">
        <v>2978</v>
      </c>
      <c r="D2044" s="834" t="s">
        <v>829</v>
      </c>
      <c r="E2044" s="839">
        <v>46013</v>
      </c>
      <c r="F2044" s="838" t="s">
        <v>140</v>
      </c>
      <c r="G2044" s="838">
        <v>24</v>
      </c>
      <c r="H2044" s="838" t="s">
        <v>2979</v>
      </c>
      <c r="I2044" s="838"/>
      <c r="J2044" s="838"/>
      <c r="K2044" s="834"/>
      <c r="L2044" s="834"/>
      <c r="M2044" s="834"/>
      <c r="N2044" s="834"/>
      <c r="O2044" s="113"/>
      <c r="P2044" s="848" t="s">
        <v>30</v>
      </c>
      <c r="Q2044" s="23">
        <v>46051</v>
      </c>
      <c r="R2044" s="24" t="s">
        <v>67</v>
      </c>
      <c r="S2044" s="22" t="s">
        <v>32</v>
      </c>
      <c r="T2044" s="22">
        <v>24</v>
      </c>
      <c r="U2044" s="24" t="s">
        <v>67</v>
      </c>
      <c r="V2044" s="23">
        <v>46052</v>
      </c>
      <c r="W2044" s="96" t="s">
        <v>113</v>
      </c>
      <c r="X2044" s="103"/>
      <c r="Y2044" s="103"/>
      <c r="Z2044" s="96"/>
      <c r="AA2044" s="96"/>
      <c r="AB2044" s="96"/>
      <c r="AC2044" s="96"/>
      <c r="AD2044" s="96"/>
      <c r="AE2044" s="96"/>
      <c r="AF2044" s="96"/>
      <c r="AG2044" s="96"/>
      <c r="AH2044" s="110"/>
      <c r="AI2044" s="110"/>
      <c r="AJ2044" s="110"/>
      <c r="AK2044" s="110"/>
      <c r="AL2044" s="110"/>
      <c r="AM2044" s="840"/>
      <c r="AV2044" s="105"/>
    </row>
    <row r="2045" spans="1:48">
      <c r="A2045" s="834" t="s">
        <v>2342</v>
      </c>
      <c r="B2045" s="835">
        <v>2042</v>
      </c>
      <c r="C2045" s="834" t="s">
        <v>2980</v>
      </c>
      <c r="D2045" s="834" t="s">
        <v>1208</v>
      </c>
      <c r="E2045" s="839">
        <v>46013.041666666664</v>
      </c>
      <c r="F2045" s="838" t="s">
        <v>140</v>
      </c>
      <c r="G2045" s="838">
        <v>1</v>
      </c>
      <c r="H2045" s="838" t="s">
        <v>127</v>
      </c>
      <c r="I2045" s="838"/>
      <c r="J2045" s="838"/>
      <c r="K2045" s="834"/>
      <c r="L2045" s="834"/>
      <c r="M2045" s="834"/>
      <c r="N2045" s="834"/>
      <c r="O2045" s="848"/>
      <c r="P2045" s="848" t="s">
        <v>30</v>
      </c>
      <c r="Q2045" s="23">
        <v>46051</v>
      </c>
      <c r="R2045" s="24" t="s">
        <v>67</v>
      </c>
      <c r="S2045" s="22" t="s">
        <v>32</v>
      </c>
      <c r="T2045" s="22">
        <v>1</v>
      </c>
      <c r="U2045" s="24" t="s">
        <v>67</v>
      </c>
      <c r="V2045" s="23">
        <v>46053</v>
      </c>
      <c r="W2045" s="96" t="s">
        <v>113</v>
      </c>
      <c r="X2045" s="96"/>
      <c r="Y2045" s="91"/>
      <c r="Z2045" s="96"/>
      <c r="AA2045" s="96"/>
      <c r="AB2045" s="96"/>
      <c r="AC2045" s="96"/>
      <c r="AD2045" s="96"/>
      <c r="AE2045" s="96"/>
      <c r="AF2045" s="96"/>
      <c r="AG2045" s="96"/>
      <c r="AH2045" s="110"/>
      <c r="AI2045" s="107"/>
      <c r="AJ2045" s="107"/>
      <c r="AK2045" s="107"/>
      <c r="AL2045" s="110"/>
      <c r="AM2045" s="840"/>
      <c r="AV2045" s="105"/>
    </row>
    <row r="2046" spans="1:48">
      <c r="A2046" s="834" t="s">
        <v>2342</v>
      </c>
      <c r="B2046" s="835">
        <v>2043</v>
      </c>
      <c r="C2046" s="834" t="s">
        <v>2981</v>
      </c>
      <c r="D2046" s="834" t="s">
        <v>1212</v>
      </c>
      <c r="E2046" s="839">
        <v>46013.041666666664</v>
      </c>
      <c r="F2046" s="838" t="s">
        <v>140</v>
      </c>
      <c r="G2046" s="838">
        <v>8</v>
      </c>
      <c r="H2046" s="838" t="s">
        <v>2982</v>
      </c>
      <c r="I2046" s="838"/>
      <c r="J2046" s="838"/>
      <c r="K2046" s="834"/>
      <c r="L2046" s="834"/>
      <c r="M2046" s="834"/>
      <c r="N2046" s="834"/>
      <c r="O2046" s="848"/>
      <c r="P2046" s="848" t="s">
        <v>30</v>
      </c>
      <c r="Q2046" s="23">
        <v>46051</v>
      </c>
      <c r="R2046" s="24" t="s">
        <v>67</v>
      </c>
      <c r="S2046" s="22" t="s">
        <v>32</v>
      </c>
      <c r="T2046" s="22">
        <v>8</v>
      </c>
      <c r="U2046" s="24" t="s">
        <v>67</v>
      </c>
      <c r="V2046" s="23">
        <v>46053</v>
      </c>
      <c r="W2046" s="96" t="s">
        <v>113</v>
      </c>
      <c r="X2046" s="96"/>
      <c r="Y2046" s="91"/>
      <c r="Z2046" s="96"/>
      <c r="AA2046" s="96"/>
      <c r="AB2046" s="96"/>
      <c r="AC2046" s="96"/>
      <c r="AD2046" s="96"/>
      <c r="AE2046" s="96"/>
      <c r="AF2046" s="96"/>
      <c r="AG2046" s="96"/>
      <c r="AH2046" s="110"/>
      <c r="AI2046" s="110"/>
      <c r="AJ2046" s="110"/>
      <c r="AK2046" s="110"/>
      <c r="AL2046" s="110"/>
      <c r="AM2046" s="840"/>
      <c r="AO2046" s="776"/>
      <c r="AP2046" s="776"/>
      <c r="AQ2046" s="776"/>
      <c r="AR2046" s="776"/>
      <c r="AV2046" s="105"/>
    </row>
    <row r="2047" spans="1:48">
      <c r="A2047" s="834" t="s">
        <v>2342</v>
      </c>
      <c r="B2047" s="835">
        <v>2044</v>
      </c>
      <c r="C2047" s="834" t="s">
        <v>2983</v>
      </c>
      <c r="D2047" s="834" t="s">
        <v>937</v>
      </c>
      <c r="E2047" s="839">
        <v>46013</v>
      </c>
      <c r="F2047" s="838" t="s">
        <v>140</v>
      </c>
      <c r="G2047" s="838">
        <v>29</v>
      </c>
      <c r="H2047" s="838" t="s">
        <v>2984</v>
      </c>
      <c r="I2047" s="838"/>
      <c r="J2047" s="838"/>
      <c r="K2047" s="834"/>
      <c r="L2047" s="834"/>
      <c r="M2047" s="834"/>
      <c r="N2047" s="834"/>
      <c r="O2047" s="848" t="s">
        <v>2863</v>
      </c>
      <c r="P2047" s="848" t="s">
        <v>30</v>
      </c>
      <c r="Q2047" s="23">
        <v>46051</v>
      </c>
      <c r="R2047" s="24" t="s">
        <v>67</v>
      </c>
      <c r="S2047" s="22" t="s">
        <v>32</v>
      </c>
      <c r="T2047" s="22">
        <v>29</v>
      </c>
      <c r="U2047" s="24" t="s">
        <v>67</v>
      </c>
      <c r="V2047" s="23">
        <v>46052</v>
      </c>
      <c r="W2047" s="96" t="s">
        <v>113</v>
      </c>
      <c r="X2047" s="90"/>
      <c r="Y2047" s="91"/>
      <c r="Z2047" s="96"/>
      <c r="AA2047" s="96"/>
      <c r="AB2047" s="96"/>
      <c r="AC2047" s="96"/>
      <c r="AD2047" s="96"/>
      <c r="AE2047" s="96"/>
      <c r="AF2047" s="96"/>
      <c r="AG2047" s="96"/>
      <c r="AH2047" s="110"/>
      <c r="AI2047" s="110"/>
      <c r="AJ2047" s="110"/>
      <c r="AK2047" s="110"/>
      <c r="AL2047" s="110"/>
      <c r="AM2047" s="840"/>
      <c r="AN2047" s="6">
        <v>0</v>
      </c>
      <c r="AO2047" s="6">
        <v>1</v>
      </c>
      <c r="AP2047" s="6">
        <v>3</v>
      </c>
      <c r="AQ2047" s="6">
        <v>0</v>
      </c>
      <c r="AR2047" s="6">
        <v>25</v>
      </c>
      <c r="AS2047" s="104">
        <f>+AN2047/AR2047*AS$1</f>
        <v>0</v>
      </c>
      <c r="AT2047" s="105">
        <f>+AO2047/AR2047*AT$1</f>
        <v>0</v>
      </c>
      <c r="AU2047" s="105">
        <f>+AP2047/AR2047*AU$1</f>
        <v>0</v>
      </c>
      <c r="AV2047" s="105">
        <f>+AQ2047/AR2047*AV$1</f>
        <v>0</v>
      </c>
    </row>
    <row r="2048" spans="1:48">
      <c r="A2048" s="834" t="s">
        <v>2342</v>
      </c>
      <c r="B2048" s="835">
        <v>2045</v>
      </c>
      <c r="C2048" s="834" t="s">
        <v>2985</v>
      </c>
      <c r="D2048" s="834" t="s">
        <v>779</v>
      </c>
      <c r="E2048" s="839">
        <v>46013</v>
      </c>
      <c r="F2048" s="838" t="s">
        <v>140</v>
      </c>
      <c r="G2048" s="838">
        <v>12</v>
      </c>
      <c r="H2048" s="838" t="s">
        <v>2986</v>
      </c>
      <c r="I2048" s="838"/>
      <c r="J2048" s="838"/>
      <c r="K2048" s="834"/>
      <c r="L2048" s="834"/>
      <c r="M2048" s="834"/>
      <c r="N2048" s="834"/>
      <c r="O2048" s="848"/>
      <c r="P2048" s="848" t="s">
        <v>30</v>
      </c>
      <c r="Q2048" s="23">
        <v>46052</v>
      </c>
      <c r="R2048" s="24" t="s">
        <v>67</v>
      </c>
      <c r="S2048" s="22" t="s">
        <v>32</v>
      </c>
      <c r="T2048" s="22">
        <v>12</v>
      </c>
      <c r="U2048" s="24" t="s">
        <v>67</v>
      </c>
      <c r="V2048" s="23">
        <v>46053</v>
      </c>
      <c r="W2048" s="96" t="s">
        <v>113</v>
      </c>
      <c r="X2048" s="96"/>
      <c r="Y2048" s="91"/>
      <c r="Z2048" s="96"/>
      <c r="AA2048" s="96"/>
      <c r="AB2048" s="96"/>
      <c r="AC2048" s="96"/>
      <c r="AD2048" s="96"/>
      <c r="AE2048" s="96"/>
      <c r="AF2048" s="96"/>
      <c r="AG2048" s="96"/>
      <c r="AH2048" s="110"/>
      <c r="AI2048" s="96"/>
      <c r="AJ2048" s="96"/>
      <c r="AK2048" s="96"/>
      <c r="AL2048" s="110"/>
      <c r="AM2048" s="840"/>
      <c r="AO2048" s="776"/>
      <c r="AP2048" s="776"/>
      <c r="AQ2048" s="776"/>
      <c r="AR2048" s="776"/>
      <c r="AV2048" s="105"/>
    </row>
    <row r="2049" spans="1:48">
      <c r="A2049" s="834" t="s">
        <v>2342</v>
      </c>
      <c r="B2049" s="835">
        <v>2046</v>
      </c>
      <c r="C2049" s="834" t="s">
        <v>2987</v>
      </c>
      <c r="D2049" s="834" t="s">
        <v>798</v>
      </c>
      <c r="E2049" s="839">
        <v>46013.041666666664</v>
      </c>
      <c r="F2049" s="838" t="s">
        <v>140</v>
      </c>
      <c r="G2049" s="838">
        <v>5</v>
      </c>
      <c r="H2049" s="838" t="s">
        <v>127</v>
      </c>
      <c r="I2049" s="838"/>
      <c r="J2049" s="838"/>
      <c r="K2049" s="834"/>
      <c r="L2049" s="834"/>
      <c r="M2049" s="834"/>
      <c r="N2049" s="834"/>
      <c r="O2049" s="113"/>
      <c r="P2049" s="848" t="s">
        <v>30</v>
      </c>
      <c r="Q2049" s="23">
        <v>46053</v>
      </c>
      <c r="R2049" s="24" t="s">
        <v>67</v>
      </c>
      <c r="S2049" s="22" t="s">
        <v>32</v>
      </c>
      <c r="T2049" s="22">
        <v>5</v>
      </c>
      <c r="U2049" s="24" t="s">
        <v>67</v>
      </c>
      <c r="V2049" s="23">
        <v>46053</v>
      </c>
      <c r="W2049" s="96" t="s">
        <v>113</v>
      </c>
      <c r="X2049" s="90"/>
      <c r="Y2049" s="103"/>
      <c r="Z2049" s="96"/>
      <c r="AA2049" s="96"/>
      <c r="AB2049" s="96"/>
      <c r="AC2049" s="96"/>
      <c r="AD2049" s="96"/>
      <c r="AE2049" s="96"/>
      <c r="AF2049" s="96"/>
      <c r="AG2049" s="96"/>
      <c r="AH2049" s="110"/>
      <c r="AI2049" s="110"/>
      <c r="AJ2049" s="110"/>
      <c r="AK2049" s="110"/>
      <c r="AL2049" s="110"/>
      <c r="AM2049" s="840"/>
      <c r="AN2049" s="6"/>
      <c r="AO2049" s="6"/>
      <c r="AP2049" s="6"/>
      <c r="AQ2049" s="6"/>
      <c r="AR2049" s="6"/>
      <c r="AS2049" s="104"/>
      <c r="AT2049" s="105"/>
      <c r="AU2049" s="105"/>
      <c r="AV2049" s="105"/>
    </row>
    <row r="2050" spans="1:48">
      <c r="A2050" s="834" t="s">
        <v>2342</v>
      </c>
      <c r="B2050" s="835">
        <v>2047</v>
      </c>
      <c r="C2050" s="834" t="s">
        <v>2988</v>
      </c>
      <c r="D2050" s="834" t="s">
        <v>2989</v>
      </c>
      <c r="E2050" s="839">
        <v>46013.375</v>
      </c>
      <c r="F2050" s="838" t="s">
        <v>140</v>
      </c>
      <c r="G2050" s="838">
        <v>15</v>
      </c>
      <c r="H2050" s="838" t="s">
        <v>1721</v>
      </c>
      <c r="I2050" s="838"/>
      <c r="J2050" s="838"/>
      <c r="K2050" s="834"/>
      <c r="L2050" s="834"/>
      <c r="M2050" s="834"/>
      <c r="N2050" s="834"/>
      <c r="O2050" s="848"/>
      <c r="P2050" s="848" t="s">
        <v>30</v>
      </c>
      <c r="Q2050" s="23">
        <v>46053</v>
      </c>
      <c r="R2050" s="24" t="s">
        <v>67</v>
      </c>
      <c r="S2050" s="22" t="s">
        <v>32</v>
      </c>
      <c r="T2050" s="22">
        <v>15</v>
      </c>
      <c r="U2050" s="24" t="s">
        <v>67</v>
      </c>
      <c r="V2050" s="23">
        <v>46053</v>
      </c>
      <c r="W2050" s="96" t="s">
        <v>113</v>
      </c>
      <c r="X2050" s="103"/>
      <c r="Y2050" s="103"/>
      <c r="Z2050" s="96"/>
      <c r="AA2050" s="96"/>
      <c r="AB2050" s="96"/>
      <c r="AC2050" s="96"/>
      <c r="AD2050" s="96"/>
      <c r="AE2050" s="96"/>
      <c r="AF2050" s="96"/>
      <c r="AG2050" s="96"/>
      <c r="AH2050" s="110"/>
      <c r="AI2050" s="110"/>
      <c r="AJ2050" s="110"/>
      <c r="AK2050" s="110"/>
      <c r="AL2050" s="110"/>
      <c r="AM2050" s="840"/>
      <c r="AV2050" s="105"/>
    </row>
    <row r="2051" spans="1:48">
      <c r="A2051" s="834" t="s">
        <v>2342</v>
      </c>
      <c r="B2051" s="835">
        <v>2048</v>
      </c>
      <c r="C2051" s="834" t="s">
        <v>2990</v>
      </c>
      <c r="D2051" s="834" t="s">
        <v>358</v>
      </c>
      <c r="E2051" s="839">
        <v>46013.375</v>
      </c>
      <c r="F2051" s="838" t="s">
        <v>140</v>
      </c>
      <c r="G2051" s="838">
        <v>7</v>
      </c>
      <c r="H2051" s="838" t="s">
        <v>1721</v>
      </c>
      <c r="I2051" s="838"/>
      <c r="J2051" s="838"/>
      <c r="K2051" s="834"/>
      <c r="L2051" s="834"/>
      <c r="M2051" s="834"/>
      <c r="N2051" s="834"/>
      <c r="O2051" s="113"/>
      <c r="P2051" s="848" t="s">
        <v>30</v>
      </c>
      <c r="Q2051" s="23">
        <v>46052</v>
      </c>
      <c r="R2051" s="24" t="s">
        <v>67</v>
      </c>
      <c r="S2051" s="22" t="s">
        <v>32</v>
      </c>
      <c r="T2051" s="22">
        <v>7</v>
      </c>
      <c r="U2051" s="24" t="s">
        <v>67</v>
      </c>
      <c r="V2051" s="23">
        <v>46053</v>
      </c>
      <c r="W2051" s="96" t="s">
        <v>113</v>
      </c>
      <c r="X2051" s="103"/>
      <c r="Y2051" s="103"/>
      <c r="Z2051" s="96"/>
      <c r="AA2051" s="96"/>
      <c r="AB2051" s="96"/>
      <c r="AC2051" s="96"/>
      <c r="AD2051" s="96"/>
      <c r="AE2051" s="96"/>
      <c r="AF2051" s="96"/>
      <c r="AG2051" s="96"/>
      <c r="AH2051" s="110"/>
      <c r="AI2051" s="110"/>
      <c r="AJ2051" s="110"/>
      <c r="AK2051" s="110"/>
      <c r="AL2051" s="110"/>
      <c r="AM2051" s="840"/>
      <c r="AN2051" s="6"/>
      <c r="AO2051" s="6"/>
      <c r="AP2051" s="6"/>
      <c r="AQ2051" s="6"/>
      <c r="AR2051" s="6"/>
      <c r="AS2051" s="104"/>
      <c r="AT2051" s="105"/>
      <c r="AU2051" s="105"/>
      <c r="AV2051" s="105"/>
    </row>
    <row r="2052" spans="1:48">
      <c r="A2052" s="834" t="s">
        <v>2342</v>
      </c>
      <c r="B2052" s="835">
        <v>2049</v>
      </c>
      <c r="C2052" s="834" t="s">
        <v>2991</v>
      </c>
      <c r="D2052" s="834" t="s">
        <v>526</v>
      </c>
      <c r="E2052" s="839">
        <v>46013.375</v>
      </c>
      <c r="F2052" s="838" t="s">
        <v>140</v>
      </c>
      <c r="G2052" s="838">
        <v>8</v>
      </c>
      <c r="H2052" s="838" t="s">
        <v>2409</v>
      </c>
      <c r="I2052" s="838"/>
      <c r="J2052" s="838"/>
      <c r="K2052" s="834"/>
      <c r="L2052" s="834"/>
      <c r="M2052" s="834"/>
      <c r="N2052" s="834"/>
      <c r="O2052" s="848"/>
      <c r="P2052" s="848" t="s">
        <v>30</v>
      </c>
      <c r="Q2052" s="23">
        <v>46053</v>
      </c>
      <c r="R2052" s="24" t="s">
        <v>67</v>
      </c>
      <c r="S2052" s="22" t="s">
        <v>32</v>
      </c>
      <c r="T2052" s="22">
        <v>15</v>
      </c>
      <c r="U2052" s="24" t="s">
        <v>67</v>
      </c>
      <c r="V2052" s="23">
        <v>46053</v>
      </c>
      <c r="W2052" s="96" t="s">
        <v>113</v>
      </c>
      <c r="X2052" s="103"/>
      <c r="Y2052" s="103"/>
      <c r="Z2052" s="96"/>
      <c r="AA2052" s="96"/>
      <c r="AB2052" s="96"/>
      <c r="AC2052" s="96"/>
      <c r="AD2052" s="96"/>
      <c r="AE2052" s="96"/>
      <c r="AF2052" s="96"/>
      <c r="AG2052" s="96"/>
      <c r="AH2052" s="110"/>
      <c r="AI2052" s="110"/>
      <c r="AJ2052" s="110"/>
      <c r="AK2052" s="110"/>
      <c r="AL2052" s="110"/>
      <c r="AM2052" s="840"/>
      <c r="AN2052" s="6"/>
      <c r="AO2052" s="6"/>
      <c r="AP2052" s="6"/>
      <c r="AQ2052" s="6"/>
      <c r="AR2052" s="6"/>
      <c r="AS2052" s="104"/>
      <c r="AT2052" s="105"/>
      <c r="AU2052" s="105"/>
      <c r="AV2052" s="105"/>
    </row>
    <row r="2053" spans="1:48">
      <c r="A2053" s="834" t="s">
        <v>2342</v>
      </c>
      <c r="B2053" s="835">
        <v>2050</v>
      </c>
      <c r="C2053" s="834" t="s">
        <v>2992</v>
      </c>
      <c r="D2053" s="834" t="s">
        <v>1250</v>
      </c>
      <c r="E2053" s="839">
        <v>46013.375</v>
      </c>
      <c r="F2053" s="838" t="s">
        <v>140</v>
      </c>
      <c r="G2053" s="838">
        <v>2</v>
      </c>
      <c r="H2053" s="838" t="s">
        <v>2835</v>
      </c>
      <c r="I2053" s="838"/>
      <c r="J2053" s="838"/>
      <c r="K2053" s="834"/>
      <c r="L2053" s="834"/>
      <c r="M2053" s="834"/>
      <c r="N2053" s="834"/>
      <c r="O2053" s="848"/>
      <c r="P2053" s="848" t="s">
        <v>30</v>
      </c>
      <c r="Q2053" s="23">
        <v>46053</v>
      </c>
      <c r="R2053" s="24" t="s">
        <v>67</v>
      </c>
      <c r="S2053" s="22" t="s">
        <v>32</v>
      </c>
      <c r="T2053" s="22">
        <v>2</v>
      </c>
      <c r="U2053" s="24" t="s">
        <v>67</v>
      </c>
      <c r="V2053" s="23">
        <v>46054</v>
      </c>
      <c r="W2053" s="96" t="s">
        <v>113</v>
      </c>
      <c r="X2053" s="103"/>
      <c r="Y2053" s="103"/>
      <c r="Z2053" s="96"/>
      <c r="AA2053" s="91"/>
      <c r="AB2053" s="96"/>
      <c r="AC2053" s="96"/>
      <c r="AD2053" s="96"/>
      <c r="AE2053" s="96"/>
      <c r="AF2053" s="96"/>
      <c r="AG2053" s="96"/>
      <c r="AH2053" s="110"/>
      <c r="AI2053" s="110"/>
      <c r="AJ2053" s="110"/>
      <c r="AK2053" s="110"/>
      <c r="AL2053" s="110"/>
      <c r="AM2053" s="840"/>
      <c r="AV2053" s="105"/>
    </row>
    <row r="2054" spans="1:48">
      <c r="A2054" s="834" t="s">
        <v>2342</v>
      </c>
      <c r="B2054" s="835">
        <v>2051</v>
      </c>
      <c r="C2054" s="834" t="s">
        <v>2993</v>
      </c>
      <c r="D2054" s="834" t="s">
        <v>969</v>
      </c>
      <c r="E2054" s="839">
        <v>46013</v>
      </c>
      <c r="F2054" s="838" t="s">
        <v>140</v>
      </c>
      <c r="G2054" s="838">
        <v>10</v>
      </c>
      <c r="H2054" s="838" t="s">
        <v>2994</v>
      </c>
      <c r="I2054" s="838"/>
      <c r="J2054" s="838"/>
      <c r="K2054" s="834"/>
      <c r="L2054" s="834"/>
      <c r="M2054" s="834"/>
      <c r="N2054" s="834"/>
      <c r="O2054" s="113"/>
      <c r="P2054" s="848" t="s">
        <v>30</v>
      </c>
      <c r="Q2054" s="23">
        <v>46053</v>
      </c>
      <c r="R2054" s="24" t="s">
        <v>67</v>
      </c>
      <c r="S2054" s="22" t="s">
        <v>32</v>
      </c>
      <c r="T2054" s="22">
        <v>10</v>
      </c>
      <c r="U2054" s="24" t="s">
        <v>67</v>
      </c>
      <c r="V2054" s="23">
        <v>46053</v>
      </c>
      <c r="W2054" s="96" t="s">
        <v>113</v>
      </c>
      <c r="X2054" s="96"/>
      <c r="Y2054" s="91"/>
      <c r="Z2054" s="96"/>
      <c r="AA2054" s="96"/>
      <c r="AB2054" s="96"/>
      <c r="AC2054" s="96"/>
      <c r="AD2054" s="96"/>
      <c r="AE2054" s="96"/>
      <c r="AF2054" s="96"/>
      <c r="AG2054" s="96"/>
      <c r="AH2054" s="110"/>
      <c r="AI2054" s="96"/>
      <c r="AJ2054" s="96"/>
      <c r="AK2054" s="96"/>
      <c r="AL2054" s="110"/>
      <c r="AM2054" s="840"/>
      <c r="AN2054" s="87"/>
      <c r="AO2054" s="87"/>
      <c r="AS2054" s="71"/>
      <c r="AT2054" s="92"/>
      <c r="AU2054" s="92"/>
      <c r="AV2054" s="105"/>
    </row>
    <row r="2055" spans="1:48">
      <c r="A2055" s="834" t="s">
        <v>2342</v>
      </c>
      <c r="B2055" s="835">
        <v>2052</v>
      </c>
      <c r="C2055" s="834" t="s">
        <v>2995</v>
      </c>
      <c r="D2055" s="834" t="s">
        <v>2855</v>
      </c>
      <c r="E2055" s="839">
        <v>46013.041666666664</v>
      </c>
      <c r="F2055" s="838" t="s">
        <v>140</v>
      </c>
      <c r="G2055" s="838">
        <v>25</v>
      </c>
      <c r="H2055" s="838" t="s">
        <v>2856</v>
      </c>
      <c r="I2055" s="838"/>
      <c r="J2055" s="838"/>
      <c r="K2055" s="834"/>
      <c r="L2055" s="834"/>
      <c r="M2055" s="834"/>
      <c r="N2055" s="834"/>
      <c r="O2055" s="848" t="s">
        <v>2863</v>
      </c>
      <c r="P2055" s="848" t="s">
        <v>30</v>
      </c>
      <c r="Q2055" s="23">
        <v>46053</v>
      </c>
      <c r="R2055" s="24" t="s">
        <v>67</v>
      </c>
      <c r="S2055" s="22" t="s">
        <v>32</v>
      </c>
      <c r="T2055" s="7">
        <v>15</v>
      </c>
      <c r="U2055" s="24" t="s">
        <v>67</v>
      </c>
      <c r="V2055" s="23">
        <v>46053</v>
      </c>
      <c r="W2055" s="96" t="s">
        <v>113</v>
      </c>
      <c r="X2055" s="103"/>
      <c r="Y2055" s="91"/>
      <c r="Z2055" s="96"/>
      <c r="AA2055" s="96"/>
      <c r="AB2055" s="96"/>
      <c r="AC2055" s="96"/>
      <c r="AD2055" s="96"/>
      <c r="AE2055" s="96"/>
      <c r="AF2055" s="96"/>
      <c r="AG2055" s="96"/>
      <c r="AH2055" s="110"/>
      <c r="AI2055" s="110"/>
      <c r="AJ2055" s="110"/>
      <c r="AK2055" s="110"/>
      <c r="AL2055" s="110"/>
      <c r="AM2055" s="840"/>
      <c r="AN2055" s="6">
        <v>0</v>
      </c>
      <c r="AO2055" s="6">
        <v>10</v>
      </c>
      <c r="AP2055" s="6">
        <v>1</v>
      </c>
      <c r="AQ2055" s="6">
        <v>14</v>
      </c>
      <c r="AR2055" s="6">
        <f>SUM(AN2055:AQ2055)</f>
        <v>25</v>
      </c>
      <c r="AS2055" s="104">
        <f>+AN2055/AR2055*AS$1</f>
        <v>0</v>
      </c>
      <c r="AT2055" s="105">
        <f>+AO2055/AR2055*AT$1</f>
        <v>0</v>
      </c>
      <c r="AU2055" s="105">
        <f>+AP2055/AR2055*AU$1</f>
        <v>0</v>
      </c>
      <c r="AV2055" s="105">
        <f>+AQ2055/AR2055*AV$1</f>
        <v>0</v>
      </c>
    </row>
    <row r="2056" spans="1:48">
      <c r="A2056" s="834" t="s">
        <v>2342</v>
      </c>
      <c r="B2056" s="835">
        <v>2053</v>
      </c>
      <c r="C2056" s="834" t="s">
        <v>2996</v>
      </c>
      <c r="D2056" s="834" t="s">
        <v>1184</v>
      </c>
      <c r="E2056" s="839">
        <v>46013</v>
      </c>
      <c r="F2056" s="838" t="s">
        <v>140</v>
      </c>
      <c r="G2056" s="838">
        <v>4</v>
      </c>
      <c r="H2056" s="838" t="s">
        <v>2997</v>
      </c>
      <c r="I2056" s="838"/>
      <c r="J2056" s="838"/>
      <c r="K2056" s="834"/>
      <c r="L2056" s="834"/>
      <c r="M2056" s="834"/>
      <c r="N2056" s="834"/>
      <c r="O2056" s="848"/>
      <c r="P2056" s="848" t="s">
        <v>30</v>
      </c>
      <c r="Q2056" s="23">
        <v>46053</v>
      </c>
      <c r="R2056" s="24" t="s">
        <v>67</v>
      </c>
      <c r="S2056" s="22" t="s">
        <v>32</v>
      </c>
      <c r="T2056" s="22">
        <v>2</v>
      </c>
      <c r="U2056" s="24" t="s">
        <v>67</v>
      </c>
      <c r="V2056" s="23">
        <v>46053</v>
      </c>
      <c r="W2056" s="96" t="s">
        <v>113</v>
      </c>
      <c r="X2056" s="103"/>
      <c r="Y2056" s="103"/>
      <c r="Z2056" s="96"/>
      <c r="AA2056" s="91"/>
      <c r="AB2056" s="96"/>
      <c r="AC2056" s="96"/>
      <c r="AD2056" s="96"/>
      <c r="AE2056" s="96"/>
      <c r="AF2056" s="96"/>
      <c r="AG2056" s="96"/>
      <c r="AH2056" s="110"/>
      <c r="AI2056" s="110"/>
      <c r="AJ2056" s="110"/>
      <c r="AK2056" s="110"/>
      <c r="AL2056" s="110"/>
      <c r="AM2056" s="840"/>
      <c r="AN2056" s="87"/>
      <c r="AO2056" s="87"/>
      <c r="AS2056" s="71"/>
      <c r="AT2056" s="92"/>
      <c r="AU2056" s="92"/>
      <c r="AV2056" s="105"/>
    </row>
    <row r="2057" spans="1:48">
      <c r="A2057" s="834" t="s">
        <v>2342</v>
      </c>
      <c r="B2057" s="835">
        <v>2054</v>
      </c>
      <c r="C2057" s="834" t="s">
        <v>2998</v>
      </c>
      <c r="D2057" s="834" t="s">
        <v>2999</v>
      </c>
      <c r="E2057" s="839">
        <v>46013.041666666664</v>
      </c>
      <c r="F2057" s="838" t="s">
        <v>140</v>
      </c>
      <c r="G2057" s="838">
        <v>11</v>
      </c>
      <c r="H2057" s="838" t="s">
        <v>127</v>
      </c>
      <c r="I2057" s="838"/>
      <c r="J2057" s="838"/>
      <c r="K2057" s="834"/>
      <c r="L2057" s="834"/>
      <c r="M2057" s="834"/>
      <c r="N2057" s="834"/>
      <c r="O2057" s="848"/>
      <c r="P2057" s="848" t="s">
        <v>30</v>
      </c>
      <c r="Q2057" s="23">
        <v>46054</v>
      </c>
      <c r="R2057" s="24" t="s">
        <v>67</v>
      </c>
      <c r="S2057" s="22" t="s">
        <v>32</v>
      </c>
      <c r="T2057" s="22">
        <v>11</v>
      </c>
      <c r="U2057" s="24" t="s">
        <v>67</v>
      </c>
      <c r="V2057" s="23">
        <v>46054</v>
      </c>
      <c r="W2057" s="96" t="s">
        <v>113</v>
      </c>
      <c r="X2057" s="103"/>
      <c r="Y2057" s="103"/>
      <c r="Z2057" s="96"/>
      <c r="AA2057" s="96"/>
      <c r="AB2057" s="96"/>
      <c r="AC2057" s="96"/>
      <c r="AD2057" s="96"/>
      <c r="AE2057" s="96"/>
      <c r="AF2057" s="96"/>
      <c r="AG2057" s="96"/>
      <c r="AH2057" s="110"/>
      <c r="AI2057" s="110"/>
      <c r="AJ2057" s="110"/>
      <c r="AK2057" s="110"/>
      <c r="AL2057" s="110"/>
      <c r="AM2057" s="840"/>
      <c r="AS2057" s="71"/>
      <c r="AT2057" s="92"/>
      <c r="AU2057" s="92"/>
      <c r="AV2057" s="105"/>
    </row>
    <row r="2058" spans="1:48">
      <c r="A2058" s="834" t="s">
        <v>2342</v>
      </c>
      <c r="B2058" s="835">
        <v>2055</v>
      </c>
      <c r="C2058" s="834" t="s">
        <v>3000</v>
      </c>
      <c r="D2058" s="834" t="s">
        <v>3001</v>
      </c>
      <c r="E2058" s="839">
        <v>46013.458333333336</v>
      </c>
      <c r="F2058" s="838" t="s">
        <v>140</v>
      </c>
      <c r="G2058" s="838">
        <v>30</v>
      </c>
      <c r="H2058" s="838" t="s">
        <v>2840</v>
      </c>
      <c r="I2058" s="838"/>
      <c r="J2058" s="838"/>
      <c r="K2058" s="834"/>
      <c r="L2058" s="834"/>
      <c r="M2058" s="834"/>
      <c r="N2058" s="834"/>
      <c r="O2058" s="848" t="s">
        <v>2863</v>
      </c>
      <c r="P2058" s="848" t="s">
        <v>30</v>
      </c>
      <c r="Q2058" s="23">
        <v>46053</v>
      </c>
      <c r="R2058" s="24" t="s">
        <v>67</v>
      </c>
      <c r="S2058" s="22" t="s">
        <v>32</v>
      </c>
      <c r="T2058" s="22">
        <v>30</v>
      </c>
      <c r="U2058" s="24" t="s">
        <v>67</v>
      </c>
      <c r="V2058" s="23">
        <v>46053</v>
      </c>
      <c r="W2058" s="96" t="s">
        <v>113</v>
      </c>
      <c r="X2058" s="103"/>
      <c r="Y2058" s="103"/>
      <c r="Z2058" s="96"/>
      <c r="AA2058" s="96"/>
      <c r="AB2058" s="96"/>
      <c r="AC2058" s="96"/>
      <c r="AD2058" s="96"/>
      <c r="AE2058" s="96"/>
      <c r="AF2058" s="96"/>
      <c r="AG2058" s="96"/>
      <c r="AH2058" s="110"/>
      <c r="AI2058" s="110"/>
      <c r="AJ2058" s="110"/>
      <c r="AK2058" s="110"/>
      <c r="AL2058" s="110"/>
      <c r="AM2058" s="840"/>
      <c r="AN2058" s="6">
        <v>0</v>
      </c>
      <c r="AO2058" s="6">
        <v>22</v>
      </c>
      <c r="AP2058" s="6">
        <v>8</v>
      </c>
      <c r="AQ2058" s="6">
        <v>0</v>
      </c>
      <c r="AR2058" s="6">
        <f>SUM(AN2058:AQ2058)</f>
        <v>30</v>
      </c>
      <c r="AS2058" s="104">
        <f>+AN2058/AR2058*AS$1</f>
        <v>0</v>
      </c>
      <c r="AT2058" s="105">
        <f>+AO2058/AR2058*AT$1</f>
        <v>0</v>
      </c>
      <c r="AU2058" s="105">
        <f>+AP2058/AR2058*AU$1</f>
        <v>0</v>
      </c>
      <c r="AV2058" s="105">
        <f>+AQ2058/AR2058*AV$1</f>
        <v>0</v>
      </c>
    </row>
    <row r="2059" spans="1:48">
      <c r="A2059" s="834" t="s">
        <v>2342</v>
      </c>
      <c r="B2059" s="835">
        <v>2056</v>
      </c>
      <c r="C2059" s="834" t="s">
        <v>3002</v>
      </c>
      <c r="D2059" s="834" t="s">
        <v>992</v>
      </c>
      <c r="E2059" s="839">
        <v>46013.375</v>
      </c>
      <c r="F2059" s="838" t="s">
        <v>140</v>
      </c>
      <c r="G2059" s="838">
        <v>1</v>
      </c>
      <c r="H2059" s="838" t="s">
        <v>1077</v>
      </c>
      <c r="I2059" s="838"/>
      <c r="J2059" s="838"/>
      <c r="K2059" s="834"/>
      <c r="L2059" s="834"/>
      <c r="M2059" s="834"/>
      <c r="N2059" s="834"/>
      <c r="O2059" s="848"/>
      <c r="P2059" s="848" t="s">
        <v>30</v>
      </c>
      <c r="Q2059" s="23">
        <v>46053</v>
      </c>
      <c r="R2059" s="24" t="s">
        <v>67</v>
      </c>
      <c r="S2059" s="22" t="s">
        <v>32</v>
      </c>
      <c r="T2059" s="22">
        <v>1</v>
      </c>
      <c r="U2059" s="24" t="s">
        <v>67</v>
      </c>
      <c r="V2059" s="23">
        <v>46053</v>
      </c>
      <c r="W2059" s="96" t="s">
        <v>113</v>
      </c>
      <c r="X2059" s="103"/>
      <c r="Y2059" s="103"/>
      <c r="Z2059" s="96"/>
      <c r="AA2059" s="91"/>
      <c r="AB2059" s="96"/>
      <c r="AC2059" s="96"/>
      <c r="AD2059" s="96"/>
      <c r="AE2059" s="96"/>
      <c r="AF2059" s="96"/>
      <c r="AG2059" s="96"/>
      <c r="AH2059" s="110"/>
      <c r="AI2059" s="110"/>
      <c r="AJ2059" s="110"/>
      <c r="AK2059" s="110"/>
      <c r="AL2059" s="110"/>
      <c r="AM2059" s="840"/>
      <c r="AS2059" s="71"/>
      <c r="AT2059" s="92"/>
      <c r="AU2059" s="92"/>
      <c r="AV2059" s="105"/>
    </row>
    <row r="2060" spans="1:48">
      <c r="A2060" s="834" t="s">
        <v>2342</v>
      </c>
      <c r="B2060" s="835">
        <v>2057</v>
      </c>
      <c r="C2060" s="834" t="s">
        <v>3003</v>
      </c>
      <c r="D2060" s="834" t="s">
        <v>3004</v>
      </c>
      <c r="E2060" s="839">
        <v>46013.125</v>
      </c>
      <c r="F2060" s="838" t="s">
        <v>140</v>
      </c>
      <c r="G2060" s="838">
        <v>16</v>
      </c>
      <c r="H2060" s="838" t="s">
        <v>67</v>
      </c>
      <c r="I2060" s="838"/>
      <c r="J2060" s="838"/>
      <c r="K2060" s="834"/>
      <c r="L2060" s="834"/>
      <c r="M2060" s="834"/>
      <c r="N2060" s="834"/>
      <c r="O2060" s="848"/>
      <c r="P2060" s="848" t="s">
        <v>30</v>
      </c>
      <c r="Q2060" s="23">
        <v>46053</v>
      </c>
      <c r="R2060" s="24" t="s">
        <v>67</v>
      </c>
      <c r="S2060" s="22" t="s">
        <v>32</v>
      </c>
      <c r="T2060" s="22">
        <v>16</v>
      </c>
      <c r="U2060" s="24" t="s">
        <v>67</v>
      </c>
      <c r="V2060" s="23">
        <v>46053</v>
      </c>
      <c r="W2060" s="96" t="s">
        <v>113</v>
      </c>
      <c r="X2060" s="103"/>
      <c r="Y2060" s="103"/>
      <c r="Z2060" s="103"/>
      <c r="AA2060" s="103"/>
      <c r="AB2060" s="103"/>
      <c r="AC2060" s="96"/>
      <c r="AD2060" s="96"/>
      <c r="AE2060" s="96"/>
      <c r="AF2060" s="96"/>
      <c r="AG2060" s="96"/>
      <c r="AH2060" s="110"/>
      <c r="AI2060" s="110"/>
      <c r="AJ2060" s="110"/>
      <c r="AK2060" s="110"/>
      <c r="AL2060" s="110"/>
      <c r="AM2060" s="840"/>
      <c r="AS2060" s="71"/>
      <c r="AT2060" s="92"/>
      <c r="AU2060" s="92"/>
      <c r="AV2060" s="105"/>
    </row>
    <row r="2061" spans="1:48">
      <c r="A2061" s="834" t="s">
        <v>2342</v>
      </c>
      <c r="B2061" s="835">
        <v>2058</v>
      </c>
      <c r="C2061" s="834" t="s">
        <v>3005</v>
      </c>
      <c r="D2061" s="834" t="s">
        <v>526</v>
      </c>
      <c r="E2061" s="839">
        <v>46020.375</v>
      </c>
      <c r="F2061" s="838" t="s">
        <v>140</v>
      </c>
      <c r="G2061" s="838">
        <v>3</v>
      </c>
      <c r="H2061" s="838" t="s">
        <v>3006</v>
      </c>
      <c r="I2061" s="838"/>
      <c r="J2061" s="838"/>
      <c r="K2061" s="834"/>
      <c r="L2061" s="834"/>
      <c r="M2061" s="834"/>
      <c r="N2061" s="834"/>
      <c r="O2061" s="848"/>
      <c r="P2061" s="848" t="s">
        <v>30</v>
      </c>
      <c r="Q2061" s="23">
        <v>46054</v>
      </c>
      <c r="R2061" s="24" t="s">
        <v>28</v>
      </c>
      <c r="S2061" s="22" t="s">
        <v>32</v>
      </c>
      <c r="T2061" s="22">
        <v>2</v>
      </c>
      <c r="U2061" s="24" t="s">
        <v>28</v>
      </c>
      <c r="V2061" s="23">
        <v>46053</v>
      </c>
      <c r="W2061" s="96" t="s">
        <v>113</v>
      </c>
      <c r="X2061" s="103"/>
      <c r="Y2061" s="103"/>
      <c r="Z2061" s="96"/>
      <c r="AA2061" s="96"/>
      <c r="AB2061" s="96"/>
      <c r="AC2061" s="96"/>
      <c r="AD2061" s="96"/>
      <c r="AE2061" s="96"/>
      <c r="AF2061" s="96"/>
      <c r="AG2061" s="96"/>
      <c r="AH2061" s="110"/>
      <c r="AI2061" s="110"/>
      <c r="AJ2061" s="110"/>
      <c r="AK2061" s="110"/>
      <c r="AL2061" s="110"/>
      <c r="AM2061" s="840"/>
      <c r="AS2061" s="71"/>
      <c r="AT2061" s="92"/>
      <c r="AU2061" s="92"/>
      <c r="AV2061" s="105"/>
    </row>
    <row r="2062" spans="1:48">
      <c r="A2062" s="834" t="s">
        <v>2342</v>
      </c>
      <c r="B2062" s="835">
        <v>2059</v>
      </c>
      <c r="C2062" s="834" t="s">
        <v>3007</v>
      </c>
      <c r="D2062" s="834" t="s">
        <v>829</v>
      </c>
      <c r="E2062" s="839">
        <v>46020</v>
      </c>
      <c r="F2062" s="838" t="s">
        <v>140</v>
      </c>
      <c r="G2062" s="838">
        <v>26</v>
      </c>
      <c r="H2062" s="838" t="s">
        <v>1853</v>
      </c>
      <c r="I2062" s="838"/>
      <c r="J2062" s="838"/>
      <c r="K2062" s="834"/>
      <c r="L2062" s="834"/>
      <c r="M2062" s="834"/>
      <c r="N2062" s="834"/>
      <c r="O2062" s="848" t="s">
        <v>2863</v>
      </c>
      <c r="P2062" s="848" t="s">
        <v>30</v>
      </c>
      <c r="Q2062" s="23">
        <v>46053</v>
      </c>
      <c r="R2062" s="24" t="s">
        <v>67</v>
      </c>
      <c r="S2062" s="22" t="s">
        <v>32</v>
      </c>
      <c r="T2062" s="22">
        <v>17</v>
      </c>
      <c r="U2062" s="24" t="s">
        <v>67</v>
      </c>
      <c r="V2062" s="23">
        <v>46054</v>
      </c>
      <c r="W2062" s="96" t="s">
        <v>113</v>
      </c>
      <c r="X2062" s="96"/>
      <c r="Y2062" s="103"/>
      <c r="Z2062" s="96"/>
      <c r="AA2062" s="96"/>
      <c r="AB2062" s="96"/>
      <c r="AC2062" s="96"/>
      <c r="AD2062" s="96"/>
      <c r="AE2062" s="96"/>
      <c r="AF2062" s="96"/>
      <c r="AG2062" s="96"/>
      <c r="AH2062" s="110"/>
      <c r="AI2062" s="110"/>
      <c r="AJ2062" s="110"/>
      <c r="AK2062" s="110"/>
      <c r="AL2062" s="110"/>
      <c r="AM2062" s="840"/>
      <c r="AN2062" s="6">
        <v>0</v>
      </c>
      <c r="AO2062" s="6">
        <v>0</v>
      </c>
      <c r="AP2062" s="6">
        <v>7</v>
      </c>
      <c r="AQ2062" s="6">
        <v>19</v>
      </c>
      <c r="AR2062" s="6">
        <f>SUM(AN2062:AQ2062)</f>
        <v>26</v>
      </c>
      <c r="AS2062" s="104">
        <f>+AN2062/AR2062*AS$1</f>
        <v>0</v>
      </c>
      <c r="AT2062" s="105">
        <f>+AO2062/AR2062*AT$1</f>
        <v>0</v>
      </c>
      <c r="AU2062" s="105">
        <f>+AP2062/AR2062*AU$1</f>
        <v>0</v>
      </c>
      <c r="AV2062" s="105">
        <f>+AQ2062/AR2062*AV$1</f>
        <v>0</v>
      </c>
    </row>
    <row r="2063" spans="1:48">
      <c r="A2063" s="834" t="s">
        <v>2342</v>
      </c>
      <c r="B2063" s="835">
        <v>2060</v>
      </c>
      <c r="C2063" s="834" t="s">
        <v>3008</v>
      </c>
      <c r="D2063" s="834" t="s">
        <v>1198</v>
      </c>
      <c r="E2063" s="839">
        <v>46020.125</v>
      </c>
      <c r="F2063" s="838" t="s">
        <v>140</v>
      </c>
      <c r="G2063" s="838">
        <v>2</v>
      </c>
      <c r="H2063" s="838" t="s">
        <v>1077</v>
      </c>
      <c r="I2063" s="838"/>
      <c r="J2063" s="98" t="s">
        <v>3009</v>
      </c>
      <c r="K2063" s="834"/>
      <c r="L2063" s="834"/>
      <c r="M2063" s="834"/>
      <c r="N2063" s="834"/>
      <c r="O2063" s="848"/>
      <c r="P2063" s="251"/>
      <c r="Q2063" s="23"/>
      <c r="R2063" s="79"/>
      <c r="S2063" s="22"/>
      <c r="T2063" s="22"/>
      <c r="U2063" s="24"/>
      <c r="V2063" s="23">
        <v>46054</v>
      </c>
      <c r="W2063" s="96" t="s">
        <v>113</v>
      </c>
      <c r="X2063" s="103"/>
      <c r="Y2063" s="103"/>
      <c r="Z2063" s="96"/>
      <c r="AA2063" s="103"/>
      <c r="AB2063" s="96"/>
      <c r="AC2063" s="96"/>
      <c r="AD2063" s="96"/>
      <c r="AE2063" s="96"/>
      <c r="AF2063" s="96"/>
      <c r="AG2063" s="96"/>
      <c r="AH2063" s="110"/>
      <c r="AI2063" s="110"/>
      <c r="AJ2063" s="110"/>
      <c r="AK2063" s="110"/>
      <c r="AL2063" s="110"/>
      <c r="AM2063" s="840"/>
      <c r="AS2063" s="92"/>
      <c r="AT2063" s="92"/>
      <c r="AU2063" s="92"/>
      <c r="AV2063" s="105"/>
    </row>
    <row r="2064" spans="1:48">
      <c r="A2064" s="834" t="s">
        <v>2342</v>
      </c>
      <c r="B2064" s="835">
        <v>2061</v>
      </c>
      <c r="C2064" s="834" t="s">
        <v>3010</v>
      </c>
      <c r="D2064" s="834" t="s">
        <v>523</v>
      </c>
      <c r="E2064" s="839">
        <v>46020.041666666664</v>
      </c>
      <c r="F2064" s="838" t="s">
        <v>140</v>
      </c>
      <c r="G2064" s="838">
        <v>12</v>
      </c>
      <c r="H2064" s="838" t="s">
        <v>1786</v>
      </c>
      <c r="I2064" s="838"/>
      <c r="J2064" s="838"/>
      <c r="K2064" s="834"/>
      <c r="L2064" s="834"/>
      <c r="M2064" s="834"/>
      <c r="N2064" s="834"/>
      <c r="O2064" s="848"/>
      <c r="P2064" s="247" t="s">
        <v>30</v>
      </c>
      <c r="Q2064" s="23">
        <v>46053</v>
      </c>
      <c r="R2064" s="24" t="s">
        <v>67</v>
      </c>
      <c r="S2064" s="22" t="s">
        <v>32</v>
      </c>
      <c r="T2064" s="22">
        <v>11</v>
      </c>
      <c r="U2064" s="24" t="s">
        <v>67</v>
      </c>
      <c r="V2064" s="23">
        <v>46054</v>
      </c>
      <c r="W2064" s="96" t="s">
        <v>113</v>
      </c>
      <c r="X2064" s="103"/>
      <c r="Y2064" s="103"/>
      <c r="Z2064" s="96"/>
      <c r="AA2064" s="96"/>
      <c r="AB2064" s="96"/>
      <c r="AC2064" s="96"/>
      <c r="AD2064" s="96"/>
      <c r="AE2064" s="96"/>
      <c r="AF2064" s="96"/>
      <c r="AG2064" s="96"/>
      <c r="AH2064" s="110"/>
      <c r="AI2064" s="110"/>
      <c r="AJ2064" s="110"/>
      <c r="AK2064" s="110"/>
      <c r="AL2064" s="110"/>
      <c r="AM2064" s="840"/>
      <c r="AO2064" s="85"/>
      <c r="AP2064" s="85"/>
      <c r="AQ2064" s="85"/>
      <c r="AR2064" s="84"/>
      <c r="AS2064" s="92"/>
      <c r="AT2064" s="92"/>
      <c r="AU2064" s="92"/>
      <c r="AV2064" s="105"/>
    </row>
    <row r="2065" spans="1:48">
      <c r="A2065" s="834" t="s">
        <v>2342</v>
      </c>
      <c r="B2065" s="835">
        <v>2062</v>
      </c>
      <c r="C2065" s="834" t="s">
        <v>3011</v>
      </c>
      <c r="D2065" s="834" t="s">
        <v>1245</v>
      </c>
      <c r="E2065" s="839">
        <v>46020.041666666664</v>
      </c>
      <c r="F2065" s="838" t="s">
        <v>140</v>
      </c>
      <c r="G2065" s="838">
        <v>1</v>
      </c>
      <c r="H2065" s="838" t="s">
        <v>127</v>
      </c>
      <c r="I2065" s="838"/>
      <c r="J2065" s="838"/>
      <c r="K2065" s="834"/>
      <c r="L2065" s="834"/>
      <c r="M2065" s="834"/>
      <c r="N2065" s="834"/>
      <c r="O2065" s="848"/>
      <c r="P2065" s="247" t="s">
        <v>30</v>
      </c>
      <c r="Q2065" s="23">
        <v>46053</v>
      </c>
      <c r="R2065" s="24" t="s">
        <v>67</v>
      </c>
      <c r="S2065" s="22" t="s">
        <v>32</v>
      </c>
      <c r="T2065" s="22">
        <v>1</v>
      </c>
      <c r="U2065" s="24" t="s">
        <v>67</v>
      </c>
      <c r="V2065" s="23">
        <v>46054</v>
      </c>
      <c r="W2065" s="96" t="s">
        <v>113</v>
      </c>
      <c r="X2065" s="96"/>
      <c r="Y2065" s="91"/>
      <c r="Z2065" s="96"/>
      <c r="AA2065" s="96"/>
      <c r="AB2065" s="96"/>
      <c r="AC2065" s="96"/>
      <c r="AD2065" s="96"/>
      <c r="AE2065" s="96"/>
      <c r="AF2065" s="96"/>
      <c r="AG2065" s="96"/>
      <c r="AH2065" s="110"/>
      <c r="AI2065" s="107"/>
      <c r="AJ2065" s="107"/>
      <c r="AK2065" s="107"/>
      <c r="AL2065" s="110"/>
      <c r="AM2065" s="840"/>
      <c r="AV2065" s="105"/>
    </row>
    <row r="2066" spans="1:48">
      <c r="A2066" s="834" t="s">
        <v>2342</v>
      </c>
      <c r="B2066" s="835">
        <v>2063</v>
      </c>
      <c r="C2066" s="834" t="s">
        <v>3012</v>
      </c>
      <c r="D2066" s="834" t="s">
        <v>1565</v>
      </c>
      <c r="E2066" s="839">
        <v>46020</v>
      </c>
      <c r="F2066" s="838" t="s">
        <v>140</v>
      </c>
      <c r="G2066" s="838">
        <v>3</v>
      </c>
      <c r="H2066" s="838" t="s">
        <v>1077</v>
      </c>
      <c r="I2066" s="838"/>
      <c r="J2066" s="838"/>
      <c r="K2066" s="834"/>
      <c r="L2066" s="834"/>
      <c r="M2066" s="834"/>
      <c r="N2066" s="834"/>
      <c r="O2066" s="848"/>
      <c r="P2066" s="247" t="s">
        <v>30</v>
      </c>
      <c r="Q2066" s="23">
        <v>46053</v>
      </c>
      <c r="R2066" s="24" t="s">
        <v>67</v>
      </c>
      <c r="S2066" s="22" t="s">
        <v>32</v>
      </c>
      <c r="T2066" s="22">
        <v>3</v>
      </c>
      <c r="U2066" s="24" t="s">
        <v>67</v>
      </c>
      <c r="V2066" s="23">
        <v>46054</v>
      </c>
      <c r="W2066" s="96" t="s">
        <v>113</v>
      </c>
      <c r="X2066" s="96"/>
      <c r="Y2066" s="91"/>
      <c r="Z2066" s="96"/>
      <c r="AA2066" s="96"/>
      <c r="AB2066" s="96"/>
      <c r="AC2066" s="96"/>
      <c r="AD2066" s="96"/>
      <c r="AE2066" s="96"/>
      <c r="AF2066" s="96"/>
      <c r="AG2066" s="96"/>
      <c r="AH2066" s="110"/>
      <c r="AI2066" s="110"/>
      <c r="AJ2066" s="110"/>
      <c r="AK2066" s="110"/>
      <c r="AL2066" s="110"/>
      <c r="AM2066" s="840"/>
      <c r="AO2066" s="776"/>
      <c r="AP2066" s="776"/>
      <c r="AQ2066" s="776"/>
      <c r="AR2066" s="776"/>
      <c r="AV2066" s="105"/>
    </row>
    <row r="2067" spans="1:48">
      <c r="A2067" s="834" t="s">
        <v>2342</v>
      </c>
      <c r="B2067" s="835">
        <v>2064</v>
      </c>
      <c r="C2067" s="834" t="s">
        <v>3013</v>
      </c>
      <c r="D2067" s="834" t="s">
        <v>1184</v>
      </c>
      <c r="E2067" s="839">
        <v>46020</v>
      </c>
      <c r="F2067" s="838" t="s">
        <v>140</v>
      </c>
      <c r="G2067" s="838">
        <v>9</v>
      </c>
      <c r="H2067" s="838" t="s">
        <v>1818</v>
      </c>
      <c r="I2067" s="838"/>
      <c r="J2067" s="838"/>
      <c r="K2067" s="834"/>
      <c r="L2067" s="834"/>
      <c r="M2067" s="834"/>
      <c r="N2067" s="834"/>
      <c r="O2067" s="848"/>
      <c r="P2067" s="247" t="s">
        <v>30</v>
      </c>
      <c r="Q2067" s="23">
        <v>46054</v>
      </c>
      <c r="R2067" s="24" t="s">
        <v>67</v>
      </c>
      <c r="S2067" s="22" t="s">
        <v>32</v>
      </c>
      <c r="T2067" s="22">
        <v>9</v>
      </c>
      <c r="U2067" s="24" t="s">
        <v>67</v>
      </c>
      <c r="V2067" s="23">
        <v>46056</v>
      </c>
      <c r="W2067" s="96" t="s">
        <v>113</v>
      </c>
      <c r="X2067" s="90"/>
      <c r="Y2067" s="91"/>
      <c r="Z2067" s="96"/>
      <c r="AA2067" s="96"/>
      <c r="AB2067" s="96"/>
      <c r="AC2067" s="96"/>
      <c r="AD2067" s="96"/>
      <c r="AE2067" s="96"/>
      <c r="AF2067" s="96"/>
      <c r="AG2067" s="96"/>
      <c r="AH2067" s="110"/>
      <c r="AI2067" s="110"/>
      <c r="AJ2067" s="110"/>
      <c r="AK2067" s="110"/>
      <c r="AL2067" s="110"/>
      <c r="AM2067" s="840"/>
      <c r="AS2067" s="71"/>
      <c r="AT2067" s="92"/>
      <c r="AU2067" s="92"/>
      <c r="AV2067" s="105"/>
    </row>
    <row r="2068" spans="1:48">
      <c r="A2068" s="834" t="s">
        <v>2342</v>
      </c>
      <c r="B2068" s="835">
        <v>2065</v>
      </c>
      <c r="C2068" s="834" t="s">
        <v>3014</v>
      </c>
      <c r="D2068" s="834" t="s">
        <v>3015</v>
      </c>
      <c r="E2068" s="839">
        <v>46020</v>
      </c>
      <c r="F2068" s="838" t="s">
        <v>140</v>
      </c>
      <c r="G2068" s="838">
        <v>3</v>
      </c>
      <c r="H2068" s="838" t="s">
        <v>1721</v>
      </c>
      <c r="I2068" s="838"/>
      <c r="J2068" s="838"/>
      <c r="K2068" s="834"/>
      <c r="L2068" s="834"/>
      <c r="M2068" s="834"/>
      <c r="N2068" s="834"/>
      <c r="O2068" s="848"/>
      <c r="P2068" s="247" t="s">
        <v>30</v>
      </c>
      <c r="Q2068" s="23">
        <v>46054</v>
      </c>
      <c r="R2068" s="24" t="s">
        <v>67</v>
      </c>
      <c r="S2068" s="22" t="s">
        <v>32</v>
      </c>
      <c r="T2068" s="22">
        <v>3</v>
      </c>
      <c r="U2068" s="24" t="s">
        <v>67</v>
      </c>
      <c r="V2068" s="23">
        <v>46054</v>
      </c>
      <c r="W2068" s="96" t="s">
        <v>113</v>
      </c>
      <c r="X2068" s="96"/>
      <c r="Y2068" s="91"/>
      <c r="Z2068" s="96"/>
      <c r="AA2068" s="96"/>
      <c r="AB2068" s="96"/>
      <c r="AC2068" s="96"/>
      <c r="AD2068" s="96"/>
      <c r="AE2068" s="96"/>
      <c r="AF2068" s="96"/>
      <c r="AG2068" s="96"/>
      <c r="AH2068" s="110"/>
      <c r="AI2068" s="96"/>
      <c r="AJ2068" s="96"/>
      <c r="AK2068" s="96"/>
      <c r="AL2068" s="110"/>
      <c r="AM2068" s="840"/>
      <c r="AO2068" s="776"/>
      <c r="AP2068" s="776"/>
      <c r="AQ2068" s="776"/>
      <c r="AR2068" s="776"/>
      <c r="AV2068" s="105"/>
    </row>
    <row r="2069" spans="1:48">
      <c r="A2069" s="834" t="s">
        <v>2342</v>
      </c>
      <c r="B2069" s="835">
        <v>2066</v>
      </c>
      <c r="C2069" s="834" t="s">
        <v>3016</v>
      </c>
      <c r="D2069" s="834" t="s">
        <v>846</v>
      </c>
      <c r="E2069" s="839">
        <v>46020</v>
      </c>
      <c r="F2069" s="838" t="s">
        <v>140</v>
      </c>
      <c r="G2069" s="838">
        <v>6</v>
      </c>
      <c r="H2069" s="838" t="s">
        <v>1795</v>
      </c>
      <c r="I2069" s="838"/>
      <c r="J2069" s="838"/>
      <c r="K2069" s="834"/>
      <c r="L2069" s="834"/>
      <c r="M2069" s="834"/>
      <c r="N2069" s="834"/>
      <c r="O2069" s="113"/>
      <c r="P2069" s="247" t="s">
        <v>30</v>
      </c>
      <c r="Q2069" s="23">
        <v>46054</v>
      </c>
      <c r="R2069" s="24" t="s">
        <v>67</v>
      </c>
      <c r="S2069" s="22" t="s">
        <v>32</v>
      </c>
      <c r="T2069" s="22">
        <v>6</v>
      </c>
      <c r="U2069" s="24" t="s">
        <v>67</v>
      </c>
      <c r="V2069" s="23">
        <v>46054</v>
      </c>
      <c r="W2069" s="96" t="s">
        <v>113</v>
      </c>
      <c r="X2069" s="90"/>
      <c r="Y2069" s="103"/>
      <c r="Z2069" s="96"/>
      <c r="AA2069" s="96"/>
      <c r="AB2069" s="96"/>
      <c r="AC2069" s="96"/>
      <c r="AD2069" s="96"/>
      <c r="AE2069" s="96"/>
      <c r="AF2069" s="96"/>
      <c r="AG2069" s="96"/>
      <c r="AH2069" s="110"/>
      <c r="AI2069" s="110"/>
      <c r="AJ2069" s="110"/>
      <c r="AK2069" s="110"/>
      <c r="AL2069" s="110"/>
      <c r="AM2069" s="840"/>
      <c r="AN2069" s="6"/>
      <c r="AO2069" s="6"/>
      <c r="AP2069" s="6"/>
      <c r="AQ2069" s="6"/>
      <c r="AR2069" s="6"/>
      <c r="AS2069" s="104"/>
      <c r="AT2069" s="105"/>
      <c r="AU2069" s="105"/>
      <c r="AV2069" s="105"/>
    </row>
    <row r="2070" spans="1:48">
      <c r="A2070" s="834" t="s">
        <v>2342</v>
      </c>
      <c r="B2070" s="835">
        <v>2067</v>
      </c>
      <c r="C2070" s="834" t="s">
        <v>3017</v>
      </c>
      <c r="D2070" s="834" t="s">
        <v>308</v>
      </c>
      <c r="E2070" s="839">
        <v>46020.75</v>
      </c>
      <c r="F2070" s="838" t="s">
        <v>140</v>
      </c>
      <c r="G2070" s="838">
        <v>6</v>
      </c>
      <c r="H2070" s="838" t="s">
        <v>1721</v>
      </c>
      <c r="I2070" s="838"/>
      <c r="J2070" s="838"/>
      <c r="K2070" s="834"/>
      <c r="L2070" s="834"/>
      <c r="M2070" s="834"/>
      <c r="N2070" s="834"/>
      <c r="O2070" s="848"/>
      <c r="P2070" s="247" t="s">
        <v>30</v>
      </c>
      <c r="Q2070" s="23">
        <v>46054</v>
      </c>
      <c r="R2070" s="24" t="s">
        <v>67</v>
      </c>
      <c r="S2070" s="22" t="s">
        <v>32</v>
      </c>
      <c r="T2070" s="22">
        <v>5</v>
      </c>
      <c r="U2070" s="24" t="s">
        <v>67</v>
      </c>
      <c r="V2070" s="23">
        <v>46056</v>
      </c>
      <c r="W2070" s="96" t="s">
        <v>113</v>
      </c>
      <c r="X2070" s="103"/>
      <c r="Y2070" s="103"/>
      <c r="Z2070" s="96"/>
      <c r="AA2070" s="96"/>
      <c r="AB2070" s="96"/>
      <c r="AC2070" s="96"/>
      <c r="AD2070" s="96"/>
      <c r="AE2070" s="96"/>
      <c r="AF2070" s="96"/>
      <c r="AG2070" s="96"/>
      <c r="AH2070" s="110"/>
      <c r="AI2070" s="110"/>
      <c r="AJ2070" s="110"/>
      <c r="AK2070" s="110"/>
      <c r="AL2070" s="110"/>
      <c r="AM2070" s="840"/>
      <c r="AV2070" s="105"/>
    </row>
    <row r="2071" spans="1:48">
      <c r="A2071" s="834" t="s">
        <v>2342</v>
      </c>
      <c r="B2071" s="835">
        <v>2068</v>
      </c>
      <c r="C2071" s="834" t="s">
        <v>3018</v>
      </c>
      <c r="D2071" s="834" t="s">
        <v>1245</v>
      </c>
      <c r="E2071" s="839">
        <v>46010</v>
      </c>
      <c r="F2071" s="838" t="s">
        <v>140</v>
      </c>
      <c r="G2071" s="838">
        <v>1</v>
      </c>
      <c r="H2071" s="838" t="s">
        <v>67</v>
      </c>
      <c r="I2071" s="838"/>
      <c r="J2071" s="98" t="s">
        <v>3009</v>
      </c>
      <c r="K2071" s="834"/>
      <c r="L2071" s="834"/>
      <c r="M2071" s="834"/>
      <c r="N2071" s="834"/>
      <c r="O2071" s="113"/>
      <c r="P2071" s="251"/>
      <c r="Q2071" s="23"/>
      <c r="R2071" s="79"/>
      <c r="S2071" s="22"/>
      <c r="T2071" s="22"/>
      <c r="U2071" s="24"/>
      <c r="V2071" s="23"/>
      <c r="W2071" s="96" t="s">
        <v>113</v>
      </c>
      <c r="X2071" s="103"/>
      <c r="Y2071" s="103"/>
      <c r="Z2071" s="96"/>
      <c r="AA2071" s="96"/>
      <c r="AB2071" s="96"/>
      <c r="AC2071" s="96"/>
      <c r="AD2071" s="96"/>
      <c r="AE2071" s="96"/>
      <c r="AF2071" s="96"/>
      <c r="AG2071" s="96"/>
      <c r="AH2071" s="110"/>
      <c r="AI2071" s="110"/>
      <c r="AJ2071" s="110"/>
      <c r="AK2071" s="110"/>
      <c r="AL2071" s="110"/>
      <c r="AM2071" s="840"/>
      <c r="AN2071" s="6"/>
      <c r="AO2071" s="6"/>
      <c r="AP2071" s="6"/>
      <c r="AQ2071" s="6"/>
      <c r="AR2071" s="6"/>
      <c r="AS2071" s="104"/>
      <c r="AT2071" s="105"/>
      <c r="AU2071" s="105"/>
      <c r="AV2071" s="105"/>
    </row>
    <row r="2072" spans="1:48">
      <c r="A2072" s="834" t="s">
        <v>2342</v>
      </c>
      <c r="B2072" s="835">
        <v>2069</v>
      </c>
      <c r="C2072" s="834" t="s">
        <v>3019</v>
      </c>
      <c r="D2072" s="834" t="s">
        <v>2397</v>
      </c>
      <c r="E2072" s="839">
        <v>46010</v>
      </c>
      <c r="F2072" s="838" t="s">
        <v>140</v>
      </c>
      <c r="G2072" s="838">
        <v>1</v>
      </c>
      <c r="H2072" s="838" t="s">
        <v>67</v>
      </c>
      <c r="I2072" s="838"/>
      <c r="J2072" s="98" t="s">
        <v>3009</v>
      </c>
      <c r="K2072" s="834"/>
      <c r="L2072" s="834"/>
      <c r="M2072" s="834"/>
      <c r="N2072" s="834"/>
      <c r="O2072" s="848"/>
      <c r="P2072" s="245"/>
      <c r="Q2072" s="23"/>
      <c r="R2072" s="79"/>
      <c r="S2072" s="22"/>
      <c r="T2072" s="22"/>
      <c r="U2072" s="24"/>
      <c r="V2072" s="23"/>
      <c r="W2072" s="96" t="s">
        <v>113</v>
      </c>
      <c r="X2072" s="103"/>
      <c r="Y2072" s="103"/>
      <c r="Z2072" s="96"/>
      <c r="AA2072" s="96"/>
      <c r="AB2072" s="96"/>
      <c r="AC2072" s="96"/>
      <c r="AD2072" s="96"/>
      <c r="AE2072" s="96"/>
      <c r="AF2072" s="96"/>
      <c r="AG2072" s="96"/>
      <c r="AH2072" s="110"/>
      <c r="AI2072" s="110"/>
      <c r="AJ2072" s="110"/>
      <c r="AK2072" s="110"/>
      <c r="AL2072" s="110"/>
      <c r="AM2072" s="840"/>
      <c r="AN2072" s="6"/>
      <c r="AO2072" s="6"/>
      <c r="AP2072" s="6"/>
      <c r="AQ2072" s="6"/>
      <c r="AR2072" s="6"/>
      <c r="AS2072" s="104"/>
      <c r="AT2072" s="105"/>
      <c r="AU2072" s="105"/>
      <c r="AV2072" s="105"/>
    </row>
    <row r="2073" spans="1:48">
      <c r="A2073" s="834" t="s">
        <v>2342</v>
      </c>
      <c r="B2073" s="835">
        <v>2070</v>
      </c>
      <c r="C2073" s="834" t="s">
        <v>3020</v>
      </c>
      <c r="D2073" s="834" t="s">
        <v>2421</v>
      </c>
      <c r="E2073" s="839">
        <v>46010</v>
      </c>
      <c r="F2073" s="838" t="s">
        <v>140</v>
      </c>
      <c r="G2073" s="838">
        <v>1</v>
      </c>
      <c r="H2073" s="838" t="s">
        <v>67</v>
      </c>
      <c r="I2073" s="838"/>
      <c r="J2073" s="98" t="s">
        <v>3009</v>
      </c>
      <c r="K2073" s="834"/>
      <c r="L2073" s="834"/>
      <c r="M2073" s="834"/>
      <c r="N2073" s="834"/>
      <c r="O2073" s="848"/>
      <c r="P2073" s="245"/>
      <c r="Q2073" s="23"/>
      <c r="R2073" s="79"/>
      <c r="S2073" s="22"/>
      <c r="T2073" s="22"/>
      <c r="U2073" s="24"/>
      <c r="V2073" s="23"/>
      <c r="W2073" s="96" t="s">
        <v>113</v>
      </c>
      <c r="X2073" s="103"/>
      <c r="Y2073" s="103"/>
      <c r="Z2073" s="96"/>
      <c r="AA2073" s="91"/>
      <c r="AB2073" s="96"/>
      <c r="AC2073" s="96"/>
      <c r="AD2073" s="96"/>
      <c r="AE2073" s="96"/>
      <c r="AF2073" s="96"/>
      <c r="AG2073" s="96"/>
      <c r="AH2073" s="110"/>
      <c r="AI2073" s="110"/>
      <c r="AJ2073" s="110"/>
      <c r="AK2073" s="110"/>
      <c r="AL2073" s="110"/>
      <c r="AM2073" s="840"/>
      <c r="AV2073" s="105"/>
    </row>
    <row r="2074" spans="1:48">
      <c r="A2074" s="834" t="s">
        <v>2342</v>
      </c>
      <c r="B2074" s="835">
        <v>2071</v>
      </c>
      <c r="C2074" s="834" t="s">
        <v>3021</v>
      </c>
      <c r="D2074" s="834" t="s">
        <v>2415</v>
      </c>
      <c r="E2074" s="839">
        <v>46010</v>
      </c>
      <c r="F2074" s="838" t="s">
        <v>140</v>
      </c>
      <c r="G2074" s="838">
        <v>2</v>
      </c>
      <c r="H2074" s="838" t="s">
        <v>67</v>
      </c>
      <c r="I2074" s="838"/>
      <c r="J2074" s="98" t="s">
        <v>3009</v>
      </c>
      <c r="K2074" s="834"/>
      <c r="L2074" s="834"/>
      <c r="M2074" s="834"/>
      <c r="N2074" s="834"/>
      <c r="O2074" s="113"/>
      <c r="P2074" s="252"/>
      <c r="Q2074" s="23"/>
      <c r="R2074" s="79"/>
      <c r="S2074" s="22"/>
      <c r="T2074" s="22"/>
      <c r="U2074" s="24"/>
      <c r="V2074" s="23"/>
      <c r="W2074" s="96" t="s">
        <v>113</v>
      </c>
      <c r="X2074" s="96"/>
      <c r="Y2074" s="91"/>
      <c r="Z2074" s="96"/>
      <c r="AA2074" s="96"/>
      <c r="AB2074" s="96"/>
      <c r="AC2074" s="96"/>
      <c r="AD2074" s="96"/>
      <c r="AE2074" s="96"/>
      <c r="AF2074" s="96"/>
      <c r="AG2074" s="96"/>
      <c r="AH2074" s="110"/>
      <c r="AI2074" s="96"/>
      <c r="AJ2074" s="96"/>
      <c r="AK2074" s="96"/>
      <c r="AL2074" s="110"/>
      <c r="AM2074" s="840"/>
      <c r="AN2074" s="87"/>
      <c r="AO2074" s="87"/>
      <c r="AS2074" s="71"/>
      <c r="AT2074" s="92"/>
      <c r="AU2074" s="92"/>
      <c r="AV2074" s="105"/>
    </row>
    <row r="2075" spans="1:48">
      <c r="A2075" s="834" t="s">
        <v>2342</v>
      </c>
      <c r="B2075" s="835">
        <v>2072</v>
      </c>
      <c r="C2075" s="834" t="s">
        <v>3022</v>
      </c>
      <c r="D2075" s="834" t="s">
        <v>1406</v>
      </c>
      <c r="E2075" s="839">
        <v>46010</v>
      </c>
      <c r="F2075" s="838" t="s">
        <v>140</v>
      </c>
      <c r="G2075" s="838">
        <v>2</v>
      </c>
      <c r="H2075" s="838" t="s">
        <v>67</v>
      </c>
      <c r="I2075" s="838"/>
      <c r="J2075" s="98" t="s">
        <v>3009</v>
      </c>
      <c r="K2075" s="834"/>
      <c r="L2075" s="834"/>
      <c r="M2075" s="834"/>
      <c r="N2075" s="834"/>
      <c r="O2075" s="848"/>
      <c r="P2075" s="252"/>
      <c r="Q2075" s="23"/>
      <c r="R2075" s="79"/>
      <c r="S2075" s="22"/>
      <c r="U2075" s="24"/>
      <c r="V2075" s="23"/>
      <c r="W2075" s="96" t="s">
        <v>113</v>
      </c>
      <c r="X2075" s="103"/>
      <c r="Y2075" s="91"/>
      <c r="Z2075" s="96"/>
      <c r="AA2075" s="96"/>
      <c r="AB2075" s="96"/>
      <c r="AC2075" s="96"/>
      <c r="AD2075" s="96"/>
      <c r="AE2075" s="96"/>
      <c r="AF2075" s="96"/>
      <c r="AG2075" s="96"/>
      <c r="AH2075" s="110"/>
      <c r="AI2075" s="110"/>
      <c r="AJ2075" s="110"/>
      <c r="AK2075" s="110"/>
      <c r="AL2075" s="110"/>
      <c r="AM2075" s="840"/>
      <c r="AS2075" s="71"/>
      <c r="AT2075" s="92"/>
      <c r="AU2075" s="92"/>
      <c r="AV2075" s="105"/>
    </row>
    <row r="2076" spans="1:48">
      <c r="A2076" s="834" t="s">
        <v>2342</v>
      </c>
      <c r="B2076" s="835">
        <v>2073</v>
      </c>
      <c r="C2076" s="834" t="s">
        <v>3023</v>
      </c>
      <c r="D2076" s="834" t="s">
        <v>865</v>
      </c>
      <c r="E2076" s="839">
        <v>46010</v>
      </c>
      <c r="F2076" s="838" t="s">
        <v>140</v>
      </c>
      <c r="G2076" s="838">
        <v>1</v>
      </c>
      <c r="H2076" s="838" t="s">
        <v>67</v>
      </c>
      <c r="I2076" s="838"/>
      <c r="J2076" s="98" t="s">
        <v>3009</v>
      </c>
      <c r="K2076" s="834"/>
      <c r="L2076" s="834"/>
      <c r="M2076" s="834"/>
      <c r="N2076" s="834"/>
      <c r="O2076" s="848"/>
      <c r="P2076" s="245"/>
      <c r="Q2076" s="23"/>
      <c r="R2076" s="79"/>
      <c r="S2076" s="22"/>
      <c r="T2076" s="22"/>
      <c r="U2076" s="24"/>
      <c r="V2076" s="23"/>
      <c r="W2076" s="96" t="s">
        <v>113</v>
      </c>
      <c r="X2076" s="103"/>
      <c r="Y2076" s="103"/>
      <c r="Z2076" s="96"/>
      <c r="AA2076" s="91"/>
      <c r="AB2076" s="96"/>
      <c r="AC2076" s="96"/>
      <c r="AD2076" s="96"/>
      <c r="AE2076" s="96"/>
      <c r="AF2076" s="96"/>
      <c r="AG2076" s="96"/>
      <c r="AH2076" s="110"/>
      <c r="AI2076" s="110"/>
      <c r="AJ2076" s="110"/>
      <c r="AK2076" s="110"/>
      <c r="AL2076" s="110"/>
      <c r="AM2076" s="840"/>
      <c r="AN2076" s="87"/>
      <c r="AO2076" s="87"/>
      <c r="AS2076" s="71"/>
      <c r="AT2076" s="92"/>
      <c r="AU2076" s="92"/>
      <c r="AV2076" s="105"/>
    </row>
    <row r="2077" spans="1:48">
      <c r="A2077" s="834" t="s">
        <v>2342</v>
      </c>
      <c r="B2077" s="835">
        <v>2074</v>
      </c>
      <c r="C2077" s="834" t="s">
        <v>3024</v>
      </c>
      <c r="D2077" s="834" t="s">
        <v>953</v>
      </c>
      <c r="E2077" s="839">
        <v>46020.375</v>
      </c>
      <c r="F2077" s="838" t="s">
        <v>140</v>
      </c>
      <c r="G2077" s="838">
        <v>2</v>
      </c>
      <c r="H2077" s="838" t="s">
        <v>67</v>
      </c>
      <c r="I2077" s="838"/>
      <c r="J2077" s="838"/>
      <c r="K2077" s="834"/>
      <c r="L2077" s="834"/>
      <c r="M2077" s="834"/>
      <c r="N2077" s="834"/>
      <c r="O2077" s="848"/>
      <c r="P2077" s="245" t="s">
        <v>30</v>
      </c>
      <c r="Q2077" s="23">
        <v>46054</v>
      </c>
      <c r="R2077" s="24" t="s">
        <v>67</v>
      </c>
      <c r="S2077" s="22" t="s">
        <v>32</v>
      </c>
      <c r="T2077" s="22">
        <v>2</v>
      </c>
      <c r="U2077" s="24" t="s">
        <v>67</v>
      </c>
      <c r="V2077" s="23"/>
      <c r="W2077" s="96" t="s">
        <v>113</v>
      </c>
      <c r="X2077" s="103"/>
      <c r="Y2077" s="103"/>
      <c r="Z2077" s="96"/>
      <c r="AA2077" s="96"/>
      <c r="AB2077" s="96"/>
      <c r="AC2077" s="96"/>
      <c r="AD2077" s="96"/>
      <c r="AE2077" s="96"/>
      <c r="AF2077" s="96"/>
      <c r="AG2077" s="96"/>
      <c r="AH2077" s="110"/>
      <c r="AI2077" s="110"/>
      <c r="AJ2077" s="110"/>
      <c r="AK2077" s="110"/>
      <c r="AL2077" s="110"/>
      <c r="AM2077" s="840"/>
      <c r="AS2077" s="71"/>
      <c r="AT2077" s="92"/>
      <c r="AU2077" s="92"/>
      <c r="AV2077" s="105"/>
    </row>
    <row r="2078" spans="1:48">
      <c r="A2078" s="834" t="s">
        <v>2342</v>
      </c>
      <c r="B2078" s="835">
        <v>2075</v>
      </c>
      <c r="C2078" s="834" t="s">
        <v>3025</v>
      </c>
      <c r="D2078" s="834" t="s">
        <v>1366</v>
      </c>
      <c r="E2078" s="839">
        <v>46020</v>
      </c>
      <c r="F2078" s="838" t="s">
        <v>140</v>
      </c>
      <c r="G2078" s="838">
        <v>1</v>
      </c>
      <c r="H2078" s="838" t="s">
        <v>67</v>
      </c>
      <c r="I2078" s="838"/>
      <c r="J2078" s="838"/>
      <c r="K2078" s="834"/>
      <c r="L2078" s="834"/>
      <c r="M2078" s="834"/>
      <c r="N2078" s="834"/>
      <c r="O2078" s="113"/>
      <c r="P2078" s="245" t="s">
        <v>30</v>
      </c>
      <c r="Q2078" s="23">
        <v>46056</v>
      </c>
      <c r="R2078" s="24" t="s">
        <v>67</v>
      </c>
      <c r="S2078" s="22" t="s">
        <v>32</v>
      </c>
      <c r="T2078" s="22">
        <v>1</v>
      </c>
      <c r="U2078" s="24" t="s">
        <v>67</v>
      </c>
      <c r="V2078" s="23"/>
      <c r="W2078" s="96" t="s">
        <v>113</v>
      </c>
      <c r="X2078" s="103"/>
      <c r="Y2078" s="103"/>
      <c r="Z2078" s="96"/>
      <c r="AA2078" s="96"/>
      <c r="AB2078" s="96"/>
      <c r="AC2078" s="96"/>
      <c r="AD2078" s="96"/>
      <c r="AE2078" s="96"/>
      <c r="AF2078" s="96"/>
      <c r="AG2078" s="96"/>
      <c r="AH2078" s="110"/>
      <c r="AI2078" s="110"/>
      <c r="AJ2078" s="110"/>
      <c r="AK2078" s="110"/>
      <c r="AL2078" s="110"/>
      <c r="AM2078" s="840"/>
      <c r="AV2078" s="105"/>
    </row>
    <row r="2079" spans="1:48">
      <c r="A2079" s="834" t="s">
        <v>2342</v>
      </c>
      <c r="B2079" s="835">
        <v>2076</v>
      </c>
      <c r="C2079" s="834" t="s">
        <v>3026</v>
      </c>
      <c r="D2079" s="834" t="s">
        <v>1042</v>
      </c>
      <c r="E2079" s="839">
        <v>45999.041666666664</v>
      </c>
      <c r="F2079" s="838" t="s">
        <v>140</v>
      </c>
      <c r="G2079" s="838">
        <v>1</v>
      </c>
      <c r="H2079" s="838" t="s">
        <v>127</v>
      </c>
      <c r="I2079" s="838"/>
      <c r="J2079" s="838"/>
      <c r="K2079" s="834"/>
      <c r="L2079" s="834"/>
      <c r="M2079" s="834"/>
      <c r="N2079" s="834"/>
      <c r="O2079" s="848"/>
      <c r="P2079" s="853" t="s">
        <v>30</v>
      </c>
      <c r="Q2079" s="23">
        <v>46054</v>
      </c>
      <c r="R2079" s="24" t="s">
        <v>28</v>
      </c>
      <c r="S2079" s="22" t="s">
        <v>32</v>
      </c>
      <c r="T2079" s="22">
        <v>1</v>
      </c>
      <c r="U2079" s="24" t="s">
        <v>28</v>
      </c>
      <c r="V2079" s="23">
        <v>46054</v>
      </c>
      <c r="W2079" s="96" t="s">
        <v>113</v>
      </c>
      <c r="X2079" s="103"/>
      <c r="Y2079" s="103"/>
      <c r="Z2079" s="96"/>
      <c r="AA2079" s="91"/>
      <c r="AB2079" s="96"/>
      <c r="AC2079" s="96"/>
      <c r="AD2079" s="96"/>
      <c r="AE2079" s="96"/>
      <c r="AF2079" s="96"/>
      <c r="AG2079" s="96"/>
      <c r="AH2079" s="110"/>
      <c r="AI2079" s="110"/>
      <c r="AJ2079" s="110"/>
      <c r="AK2079" s="110"/>
      <c r="AL2079" s="110"/>
      <c r="AM2079" s="840"/>
      <c r="AS2079" s="71"/>
      <c r="AT2079" s="92"/>
      <c r="AU2079" s="92"/>
      <c r="AV2079" s="105"/>
    </row>
    <row r="2080" spans="1:48">
      <c r="A2080" s="834" t="s">
        <v>2342</v>
      </c>
      <c r="B2080" s="835">
        <v>2077</v>
      </c>
      <c r="C2080" s="834" t="s">
        <v>3027</v>
      </c>
      <c r="D2080" s="834" t="s">
        <v>1042</v>
      </c>
      <c r="E2080" s="839">
        <v>46006</v>
      </c>
      <c r="F2080" s="838" t="s">
        <v>140</v>
      </c>
      <c r="G2080" s="838">
        <v>3</v>
      </c>
      <c r="H2080" s="838" t="s">
        <v>2897</v>
      </c>
      <c r="I2080" s="838"/>
      <c r="J2080" s="838"/>
      <c r="K2080" s="834"/>
      <c r="L2080" s="834"/>
      <c r="M2080" s="834"/>
      <c r="N2080" s="834"/>
      <c r="O2080" s="848"/>
      <c r="P2080" s="853" t="s">
        <v>30</v>
      </c>
      <c r="Q2080" s="23">
        <v>46054</v>
      </c>
      <c r="R2080" s="24" t="s">
        <v>28</v>
      </c>
      <c r="S2080" s="22" t="s">
        <v>32</v>
      </c>
      <c r="T2080" s="22">
        <v>1</v>
      </c>
      <c r="U2080" s="24" t="s">
        <v>28</v>
      </c>
      <c r="V2080" s="23">
        <v>46054</v>
      </c>
      <c r="W2080" s="96" t="s">
        <v>113</v>
      </c>
      <c r="X2080" s="103"/>
      <c r="Y2080" s="103"/>
      <c r="Z2080" s="103"/>
      <c r="AA2080" s="103"/>
      <c r="AB2080" s="103"/>
      <c r="AC2080" s="96"/>
      <c r="AD2080" s="96"/>
      <c r="AE2080" s="96"/>
      <c r="AF2080" s="96"/>
      <c r="AG2080" s="96"/>
      <c r="AH2080" s="110"/>
      <c r="AI2080" s="110"/>
      <c r="AJ2080" s="110"/>
      <c r="AK2080" s="110"/>
      <c r="AL2080" s="110"/>
      <c r="AM2080" s="840"/>
      <c r="AS2080" s="71"/>
      <c r="AT2080" s="92"/>
      <c r="AU2080" s="92"/>
      <c r="AV2080" s="105"/>
    </row>
    <row r="2081" spans="1:48">
      <c r="A2081" s="834" t="s">
        <v>2342</v>
      </c>
      <c r="B2081" s="835">
        <v>2078</v>
      </c>
      <c r="C2081" s="834" t="s">
        <v>3028</v>
      </c>
      <c r="D2081" s="834" t="s">
        <v>3029</v>
      </c>
      <c r="E2081" s="839">
        <v>46020</v>
      </c>
      <c r="F2081" s="838" t="s">
        <v>140</v>
      </c>
      <c r="G2081" s="838">
        <v>1</v>
      </c>
      <c r="H2081" s="838" t="s">
        <v>67</v>
      </c>
      <c r="I2081" s="838"/>
      <c r="J2081" s="838"/>
      <c r="K2081" s="834"/>
      <c r="L2081" s="834"/>
      <c r="M2081" s="834"/>
      <c r="N2081" s="834"/>
      <c r="O2081" s="848"/>
      <c r="P2081" s="853" t="s">
        <v>30</v>
      </c>
      <c r="Q2081" s="23">
        <v>46056</v>
      </c>
      <c r="R2081" s="24" t="s">
        <v>67</v>
      </c>
      <c r="S2081" s="22" t="s">
        <v>32</v>
      </c>
      <c r="T2081" s="22">
        <v>1</v>
      </c>
      <c r="U2081" s="24" t="s">
        <v>67</v>
      </c>
      <c r="V2081" s="23"/>
      <c r="W2081" s="96" t="s">
        <v>113</v>
      </c>
      <c r="X2081" s="103"/>
      <c r="Y2081" s="103"/>
      <c r="Z2081" s="96"/>
      <c r="AA2081" s="96"/>
      <c r="AB2081" s="96"/>
      <c r="AC2081" s="96"/>
      <c r="AD2081" s="96"/>
      <c r="AE2081" s="96"/>
      <c r="AF2081" s="96"/>
      <c r="AG2081" s="96"/>
      <c r="AH2081" s="110"/>
      <c r="AI2081" s="110"/>
      <c r="AJ2081" s="110"/>
      <c r="AK2081" s="110"/>
      <c r="AL2081" s="110"/>
      <c r="AM2081" s="840"/>
      <c r="AS2081" s="71"/>
      <c r="AT2081" s="92"/>
      <c r="AU2081" s="92"/>
      <c r="AV2081" s="105"/>
    </row>
    <row r="2082" spans="1:48">
      <c r="A2082" s="830"/>
      <c r="C2082" s="831"/>
      <c r="D2082" s="831"/>
      <c r="E2082" s="854"/>
      <c r="F2082" s="845"/>
      <c r="G2082" s="855"/>
      <c r="H2082" s="856"/>
      <c r="I2082" s="857"/>
      <c r="J2082" s="857"/>
      <c r="K2082" s="857"/>
      <c r="L2082" s="25"/>
      <c r="M2082" s="26"/>
      <c r="N2082" s="27"/>
      <c r="O2082" s="848"/>
      <c r="P2082" s="28"/>
      <c r="Q2082" s="28"/>
      <c r="R2082" s="29"/>
      <c r="S2082" s="7"/>
      <c r="U2082" s="7"/>
      <c r="V2082" s="29"/>
      <c r="W2082" s="377"/>
      <c r="X2082" s="96"/>
      <c r="Y2082" s="96"/>
      <c r="Z2082" s="96"/>
      <c r="AA2082" s="96"/>
      <c r="AB2082" s="96"/>
      <c r="AC2082" s="96"/>
      <c r="AD2082" s="96"/>
      <c r="AE2082" s="96"/>
      <c r="AF2082" s="96"/>
      <c r="AG2082" s="96"/>
      <c r="AH2082" s="107"/>
      <c r="AI2082" s="107"/>
      <c r="AJ2082" s="107"/>
      <c r="AK2082" s="107"/>
      <c r="AL2082" s="96"/>
      <c r="AM2082" s="840"/>
      <c r="AO2082" s="776"/>
      <c r="AP2082" s="776"/>
      <c r="AQ2082" s="776"/>
      <c r="AR2082" s="776"/>
    </row>
    <row r="2083" spans="1:48">
      <c r="A2083" s="830"/>
      <c r="F2083" s="30"/>
      <c r="G2083" s="783"/>
      <c r="H2083" s="784"/>
      <c r="I2083" s="31"/>
      <c r="J2083" s="31"/>
      <c r="K2083" s="31"/>
      <c r="L2083" s="783"/>
      <c r="M2083" s="784"/>
      <c r="N2083" s="32"/>
      <c r="O2083" s="848"/>
      <c r="P2083" s="61"/>
      <c r="Q2083" s="61"/>
      <c r="R2083" s="72"/>
      <c r="S2083" s="72"/>
      <c r="T2083" s="22"/>
      <c r="U2083" s="78"/>
      <c r="V2083" s="114"/>
      <c r="W2083" s="22"/>
      <c r="X2083" s="840"/>
      <c r="Y2083" s="840"/>
      <c r="Z2083" s="840"/>
      <c r="AA2083" s="840"/>
      <c r="AB2083" s="840"/>
      <c r="AC2083" s="840"/>
      <c r="AD2083" s="840"/>
      <c r="AE2083" s="840"/>
      <c r="AF2083" s="840"/>
      <c r="AG2083" s="840"/>
      <c r="AH2083" s="858"/>
      <c r="AI2083" s="858"/>
      <c r="AJ2083" s="858"/>
      <c r="AK2083" s="858"/>
      <c r="AL2083" s="840"/>
      <c r="AM2083" s="840"/>
      <c r="AO2083" s="776"/>
      <c r="AP2083" s="776"/>
      <c r="AQ2083" s="776"/>
      <c r="AR2083" s="776"/>
    </row>
  </sheetData>
  <autoFilter ref="A3:AV2081" xr:uid="{00000000-0009-0000-0000-000000000000}"/>
  <mergeCells count="2">
    <mergeCell ref="G2083:H2083"/>
    <mergeCell ref="L2083:M208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XFC806"/>
  <sheetViews>
    <sheetView tabSelected="1" zoomScale="90" zoomScaleNormal="90" workbookViewId="0">
      <pane xSplit="7" ySplit="3" topLeftCell="H640" activePane="bottomRight" state="frozen"/>
      <selection pane="bottomRight" activeCell="A647" sqref="A647:XFD649"/>
      <selection pane="bottomLeft" activeCell="A4" sqref="A4"/>
      <selection pane="topRight" activeCell="H1" sqref="H1"/>
    </sheetView>
  </sheetViews>
  <sheetFormatPr defaultColWidth="8.5" defaultRowHeight="15.75"/>
  <cols>
    <col min="1" max="1" width="9.375" style="624" bestFit="1" customWidth="1"/>
    <col min="2" max="2" width="8" style="624" customWidth="1"/>
    <col min="3" max="3" width="15.375" style="624" customWidth="1"/>
    <col min="4" max="4" width="21.875" style="624" customWidth="1"/>
    <col min="5" max="5" width="11.875" style="638" customWidth="1"/>
    <col min="6" max="6" width="22.375" style="624" customWidth="1"/>
    <col min="7" max="7" width="11.875" style="740" customWidth="1"/>
    <col min="8" max="8" width="9" style="624" customWidth="1"/>
    <col min="9" max="9" width="8" style="624" customWidth="1"/>
    <col min="10" max="10" width="59" style="624" customWidth="1"/>
    <col min="11" max="11" width="6.625" style="639" customWidth="1"/>
    <col min="12" max="12" width="36.25" style="624" customWidth="1"/>
    <col min="13" max="13" width="13.5" style="624" customWidth="1"/>
    <col min="14" max="14" width="13.125" style="624" customWidth="1"/>
    <col min="15" max="15" width="32.25" style="631" customWidth="1"/>
    <col min="16" max="16" width="11.5" style="631" customWidth="1"/>
    <col min="17" max="17" width="12.5" style="631" customWidth="1"/>
    <col min="18" max="18" width="12.625" style="631" customWidth="1"/>
    <col min="19" max="19" width="9" style="640" customWidth="1"/>
    <col min="20" max="21" width="9.5" style="624" customWidth="1"/>
    <col min="22" max="22" width="11.5" style="624" customWidth="1"/>
    <col min="23" max="24" width="12.5" style="624" customWidth="1"/>
    <col min="25" max="26" width="10.5" style="83" customWidth="1"/>
    <col min="27" max="27" width="9" style="83" customWidth="1"/>
    <col min="28" max="28" width="18.5" style="83" customWidth="1"/>
    <col min="29" max="29" width="9" style="83" customWidth="1"/>
    <col min="30" max="30" width="15.125" style="83" customWidth="1"/>
    <col min="31" max="31" width="6.5" style="83" customWidth="1"/>
    <col min="32" max="32" width="10.5" style="83" customWidth="1"/>
    <col min="33" max="33" width="12.625" style="83" customWidth="1"/>
    <col min="34" max="34" width="10" style="83" customWidth="1"/>
    <col min="35" max="36" width="19.5" style="506" customWidth="1"/>
    <col min="37" max="37" width="14" style="506" customWidth="1"/>
    <col min="38" max="38" width="7.5" style="506" customWidth="1"/>
    <col min="39" max="39" width="10.5" style="83" customWidth="1"/>
    <col min="40" max="40" width="18.125" style="83" customWidth="1"/>
    <col min="41" max="41" width="9.125" style="622" customWidth="1"/>
    <col min="42" max="42" width="13.5" style="623" customWidth="1"/>
    <col min="43" max="44" width="12" style="623" customWidth="1"/>
    <col min="45" max="46" width="12" style="10" customWidth="1"/>
    <col min="47" max="47" width="10.125" style="92" customWidth="1"/>
    <col min="48" max="48" width="8.875" style="92" bestFit="1" customWidth="1"/>
    <col min="49" max="49" width="9.875" style="92" customWidth="1"/>
    <col min="50" max="50" width="8.625" style="92" customWidth="1"/>
    <col min="51" max="51" width="8.875" bestFit="1" customWidth="1"/>
  </cols>
  <sheetData>
    <row r="1" spans="1:54">
      <c r="A1" s="859"/>
      <c r="B1" s="860"/>
      <c r="C1" s="860"/>
      <c r="D1" s="860"/>
      <c r="E1" s="861"/>
      <c r="F1" s="860"/>
      <c r="G1" s="862"/>
      <c r="H1" s="863"/>
      <c r="I1" s="860"/>
      <c r="J1" s="860"/>
      <c r="K1" s="620"/>
      <c r="L1" s="860"/>
      <c r="M1" s="860"/>
      <c r="N1" s="860"/>
      <c r="O1" s="864"/>
      <c r="P1" s="864"/>
      <c r="Q1" s="865"/>
      <c r="R1" s="865"/>
      <c r="S1" s="621"/>
      <c r="T1" s="866"/>
      <c r="U1" s="866"/>
      <c r="V1" s="866"/>
      <c r="W1" s="867"/>
      <c r="X1" s="504"/>
      <c r="Y1" s="505"/>
      <c r="Z1" s="505"/>
      <c r="AA1" s="505"/>
      <c r="AB1" s="505"/>
      <c r="AC1" s="505"/>
      <c r="AD1" s="505"/>
      <c r="AE1" s="505"/>
      <c r="AF1" s="505"/>
      <c r="AG1" s="505"/>
      <c r="AH1" s="505"/>
      <c r="AI1" s="505"/>
      <c r="AJ1" s="505"/>
      <c r="AK1" s="505"/>
      <c r="AL1" s="505"/>
      <c r="AM1" s="505"/>
      <c r="AN1" s="506"/>
      <c r="AO1" s="868">
        <f>SUBTOTAL(9,AU4:AU704)</f>
        <v>2.8402831052006463</v>
      </c>
      <c r="AP1" s="868">
        <f>SUBTOTAL(9,AV4:AV704)</f>
        <v>19.316128286822693</v>
      </c>
      <c r="AQ1" s="868">
        <f>SUBTOTAL(9,AW4:AW704)</f>
        <v>4.7038043478260869</v>
      </c>
      <c r="AR1" s="868">
        <f>SUBTOTAL(9,AX4:AX704)</f>
        <v>7.7038043478260869</v>
      </c>
      <c r="AS1" s="74">
        <f>SUBTOTAL(9,AY4:AY704)</f>
        <v>5.1392481203007518</v>
      </c>
      <c r="AT1" s="776"/>
      <c r="AU1" s="92">
        <v>3</v>
      </c>
      <c r="AV1" s="95">
        <v>3</v>
      </c>
      <c r="AW1" s="95">
        <v>3</v>
      </c>
      <c r="AX1" s="95">
        <v>3</v>
      </c>
      <c r="AY1" s="95">
        <v>3</v>
      </c>
    </row>
    <row r="2" spans="1:54" s="551" customFormat="1" ht="15">
      <c r="A2" s="550">
        <f>COUNT(9,A4:A1224)</f>
        <v>1</v>
      </c>
      <c r="B2" s="550">
        <f>COUNT(9,B4:B1224)</f>
        <v>800</v>
      </c>
      <c r="C2" s="869"/>
      <c r="D2" s="869"/>
      <c r="E2" s="550">
        <f>SUBTOTAL(9,BB4:BB1224)</f>
        <v>568</v>
      </c>
      <c r="F2" s="869"/>
      <c r="G2" s="737">
        <f>SUBTOTAL(9,G4:G1224)</f>
        <v>8219</v>
      </c>
      <c r="H2" s="870"/>
      <c r="I2" s="869"/>
      <c r="J2" s="869"/>
      <c r="K2" s="383"/>
      <c r="L2" s="869"/>
      <c r="M2" s="869"/>
      <c r="N2" s="869"/>
      <c r="O2" s="871"/>
      <c r="P2" s="871"/>
      <c r="Q2" s="872"/>
      <c r="R2" s="872"/>
      <c r="S2" s="507"/>
      <c r="T2" s="873"/>
      <c r="U2" s="873"/>
      <c r="V2" s="873"/>
      <c r="W2" s="874"/>
      <c r="X2" s="779" t="s">
        <v>3030</v>
      </c>
      <c r="Y2" s="782"/>
      <c r="Z2" s="782"/>
      <c r="AA2" s="782" t="s">
        <v>11</v>
      </c>
      <c r="AB2" s="782"/>
      <c r="AC2" s="782"/>
      <c r="AD2" s="782" t="s">
        <v>3031</v>
      </c>
      <c r="AE2" s="782" t="s">
        <v>3032</v>
      </c>
      <c r="AF2" s="782"/>
      <c r="AG2" s="782" t="s">
        <v>3033</v>
      </c>
      <c r="AH2" s="782" t="s">
        <v>3034</v>
      </c>
      <c r="AI2" s="777" t="s">
        <v>3035</v>
      </c>
      <c r="AJ2" s="778"/>
      <c r="AK2" s="778"/>
      <c r="AL2" s="779"/>
      <c r="AM2" s="780" t="s">
        <v>3036</v>
      </c>
      <c r="AN2" s="782" t="s">
        <v>3037</v>
      </c>
      <c r="AO2" s="832" t="s">
        <v>0</v>
      </c>
      <c r="AP2" s="875" t="s">
        <v>0</v>
      </c>
      <c r="AQ2" s="875" t="s">
        <v>0</v>
      </c>
      <c r="AR2" s="875" t="s">
        <v>0</v>
      </c>
      <c r="AS2" s="875"/>
      <c r="AT2" s="875"/>
      <c r="AU2" s="876" t="s">
        <v>0</v>
      </c>
      <c r="AV2" s="877" t="s">
        <v>0</v>
      </c>
      <c r="AW2" s="877"/>
      <c r="AX2" s="877" t="s">
        <v>0</v>
      </c>
      <c r="AY2" s="832"/>
      <c r="AZ2" s="832"/>
      <c r="BA2" s="832"/>
      <c r="BB2" s="832" t="s">
        <v>3038</v>
      </c>
    </row>
    <row r="3" spans="1:54" s="552" customFormat="1" ht="29.25" customHeight="1">
      <c r="A3" s="111" t="s">
        <v>1</v>
      </c>
      <c r="B3" s="112" t="s">
        <v>2</v>
      </c>
      <c r="C3" s="112" t="s">
        <v>3</v>
      </c>
      <c r="D3" s="112" t="s">
        <v>4</v>
      </c>
      <c r="E3" s="253" t="s">
        <v>5</v>
      </c>
      <c r="F3" s="112" t="s">
        <v>6</v>
      </c>
      <c r="G3" s="738" t="s">
        <v>7</v>
      </c>
      <c r="H3" s="254" t="s">
        <v>8</v>
      </c>
      <c r="I3" s="112" t="s">
        <v>9</v>
      </c>
      <c r="J3" s="112" t="s">
        <v>3039</v>
      </c>
      <c r="K3" s="384" t="s">
        <v>1</v>
      </c>
      <c r="L3" s="112" t="s">
        <v>11</v>
      </c>
      <c r="M3" s="111" t="s">
        <v>3040</v>
      </c>
      <c r="N3" s="111" t="s">
        <v>3041</v>
      </c>
      <c r="O3" s="399" t="s">
        <v>3042</v>
      </c>
      <c r="P3" s="111" t="s">
        <v>3043</v>
      </c>
      <c r="Q3" s="508" t="s">
        <v>15</v>
      </c>
      <c r="R3" s="598" t="s">
        <v>14</v>
      </c>
      <c r="S3" s="508" t="s">
        <v>16</v>
      </c>
      <c r="T3" s="508" t="s">
        <v>17</v>
      </c>
      <c r="U3" s="597" t="s">
        <v>18</v>
      </c>
      <c r="V3" s="508" t="s">
        <v>16</v>
      </c>
      <c r="W3" s="597" t="s">
        <v>19</v>
      </c>
      <c r="X3" s="508" t="s">
        <v>3044</v>
      </c>
      <c r="Y3" s="108" t="s">
        <v>3045</v>
      </c>
      <c r="Z3" s="108" t="s">
        <v>3046</v>
      </c>
      <c r="AA3" s="108" t="s">
        <v>3047</v>
      </c>
      <c r="AB3" s="108" t="s">
        <v>3048</v>
      </c>
      <c r="AC3" s="108" t="s">
        <v>3049</v>
      </c>
      <c r="AD3" s="782"/>
      <c r="AE3" s="108" t="s">
        <v>3050</v>
      </c>
      <c r="AF3" s="108" t="s">
        <v>3051</v>
      </c>
      <c r="AG3" s="782"/>
      <c r="AH3" s="782"/>
      <c r="AI3" s="108" t="s">
        <v>3052</v>
      </c>
      <c r="AJ3" s="108" t="s">
        <v>3053</v>
      </c>
      <c r="AK3" s="108" t="s">
        <v>3054</v>
      </c>
      <c r="AL3" s="108" t="s">
        <v>3055</v>
      </c>
      <c r="AM3" s="781"/>
      <c r="AN3" s="780"/>
      <c r="AO3" s="878" t="s">
        <v>127</v>
      </c>
      <c r="AP3" s="879" t="s">
        <v>3056</v>
      </c>
      <c r="AQ3" s="879" t="s">
        <v>1721</v>
      </c>
      <c r="AR3" s="879" t="s">
        <v>1077</v>
      </c>
      <c r="AS3" s="879" t="s">
        <v>1076</v>
      </c>
      <c r="AT3" s="879"/>
      <c r="AU3" s="878" t="s">
        <v>127</v>
      </c>
      <c r="AV3" s="879" t="s">
        <v>3056</v>
      </c>
      <c r="AW3" s="879" t="s">
        <v>1721</v>
      </c>
      <c r="AX3" s="879" t="s">
        <v>1077</v>
      </c>
      <c r="AY3" s="879" t="s">
        <v>1076</v>
      </c>
      <c r="AZ3" s="878"/>
      <c r="BA3" s="878"/>
      <c r="BB3" s="878"/>
    </row>
    <row r="4" spans="1:54" ht="15.75" customHeight="1">
      <c r="A4" s="834" t="s">
        <v>24</v>
      </c>
      <c r="B4" s="834">
        <v>1</v>
      </c>
      <c r="C4" s="847" t="s">
        <v>3057</v>
      </c>
      <c r="D4" s="847" t="s">
        <v>34</v>
      </c>
      <c r="E4" s="880">
        <v>46024</v>
      </c>
      <c r="F4" s="847" t="s">
        <v>286</v>
      </c>
      <c r="G4" s="847">
        <v>21</v>
      </c>
      <c r="H4" s="847" t="s">
        <v>127</v>
      </c>
      <c r="I4" s="847" t="s">
        <v>178</v>
      </c>
      <c r="J4" s="98" t="s">
        <v>2110</v>
      </c>
      <c r="K4" s="136" t="s">
        <v>3058</v>
      </c>
      <c r="L4" s="834" t="s">
        <v>2087</v>
      </c>
      <c r="M4" s="847" t="s">
        <v>2745</v>
      </c>
      <c r="N4" s="847" t="s">
        <v>2745</v>
      </c>
      <c r="O4" s="847" t="s">
        <v>2050</v>
      </c>
      <c r="P4" s="126" t="s">
        <v>31</v>
      </c>
      <c r="Q4" s="848"/>
      <c r="R4" s="848"/>
      <c r="S4" s="852" t="s">
        <v>28</v>
      </c>
      <c r="T4" s="834" t="s">
        <v>30</v>
      </c>
      <c r="U4" s="834">
        <v>16</v>
      </c>
      <c r="V4" s="852" t="s">
        <v>28</v>
      </c>
      <c r="W4" s="848"/>
      <c r="X4" s="96" t="s">
        <v>30</v>
      </c>
      <c r="Y4" s="96" t="s">
        <v>30</v>
      </c>
      <c r="Z4" s="96" t="s">
        <v>30</v>
      </c>
      <c r="AA4" s="91" t="s">
        <v>32</v>
      </c>
      <c r="AB4" s="91" t="s">
        <v>32</v>
      </c>
      <c r="AC4" s="91" t="s">
        <v>32</v>
      </c>
      <c r="AD4" s="96" t="s">
        <v>30</v>
      </c>
      <c r="AE4" s="96" t="s">
        <v>30</v>
      </c>
      <c r="AF4" s="96" t="s">
        <v>30</v>
      </c>
      <c r="AG4" s="96" t="s">
        <v>30</v>
      </c>
      <c r="AH4" s="96" t="s">
        <v>30</v>
      </c>
      <c r="AI4" s="96" t="s">
        <v>30</v>
      </c>
      <c r="AJ4" s="96" t="s">
        <v>30</v>
      </c>
      <c r="AK4" s="96" t="s">
        <v>30</v>
      </c>
      <c r="AL4" s="96" t="s">
        <v>30</v>
      </c>
      <c r="AM4" s="91"/>
      <c r="AN4" s="840"/>
      <c r="AO4" s="832"/>
      <c r="AP4" s="875"/>
      <c r="AQ4" s="875"/>
      <c r="AR4" s="875"/>
      <c r="AS4" s="776"/>
      <c r="AT4" s="776"/>
      <c r="AU4"/>
      <c r="AV4"/>
      <c r="AW4"/>
      <c r="AX4"/>
      <c r="BB4">
        <f>IF(E4&gt;1,1,"")</f>
        <v>1</v>
      </c>
    </row>
    <row r="5" spans="1:54" ht="15.75" customHeight="1">
      <c r="A5" s="834" t="s">
        <v>24</v>
      </c>
      <c r="B5" s="834">
        <v>2</v>
      </c>
      <c r="C5" s="847" t="s">
        <v>3059</v>
      </c>
      <c r="D5" s="847" t="s">
        <v>34</v>
      </c>
      <c r="E5" s="880">
        <v>46024</v>
      </c>
      <c r="F5" s="847" t="s">
        <v>97</v>
      </c>
      <c r="G5" s="847">
        <v>9</v>
      </c>
      <c r="H5" s="847" t="s">
        <v>1077</v>
      </c>
      <c r="I5" s="847" t="s">
        <v>1138</v>
      </c>
      <c r="J5" s="834"/>
      <c r="K5" s="136" t="s">
        <v>3058</v>
      </c>
      <c r="L5" s="834" t="s">
        <v>2180</v>
      </c>
      <c r="M5" s="847" t="s">
        <v>2745</v>
      </c>
      <c r="N5" s="847" t="s">
        <v>2745</v>
      </c>
      <c r="O5" s="847" t="s">
        <v>2050</v>
      </c>
      <c r="P5" s="847" t="s">
        <v>32</v>
      </c>
      <c r="Q5" s="848" t="s">
        <v>1091</v>
      </c>
      <c r="R5" s="848">
        <v>46042</v>
      </c>
      <c r="S5" s="852" t="s">
        <v>1138</v>
      </c>
      <c r="T5" s="834" t="s">
        <v>32</v>
      </c>
      <c r="U5" s="834">
        <v>8</v>
      </c>
      <c r="V5" s="852" t="s">
        <v>1138</v>
      </c>
      <c r="W5" s="848">
        <v>46042</v>
      </c>
      <c r="X5" s="96" t="s">
        <v>30</v>
      </c>
      <c r="Y5" s="80" t="s">
        <v>30</v>
      </c>
      <c r="Z5" s="96" t="s">
        <v>30</v>
      </c>
      <c r="AA5" s="91" t="s">
        <v>32</v>
      </c>
      <c r="AB5" s="91" t="s">
        <v>32</v>
      </c>
      <c r="AC5" s="91" t="s">
        <v>32</v>
      </c>
      <c r="AD5" s="96" t="s">
        <v>30</v>
      </c>
      <c r="AE5" s="96" t="s">
        <v>30</v>
      </c>
      <c r="AF5" s="96" t="s">
        <v>30</v>
      </c>
      <c r="AG5" s="96" t="s">
        <v>30</v>
      </c>
      <c r="AH5" s="96" t="s">
        <v>30</v>
      </c>
      <c r="AI5" s="96" t="s">
        <v>30</v>
      </c>
      <c r="AJ5" s="96" t="s">
        <v>30</v>
      </c>
      <c r="AK5" s="96" t="s">
        <v>30</v>
      </c>
      <c r="AL5" s="108" t="s">
        <v>30</v>
      </c>
      <c r="AM5" s="91"/>
      <c r="AN5" s="840"/>
      <c r="AO5" s="832"/>
      <c r="AP5" s="875"/>
      <c r="AQ5" s="875"/>
      <c r="AR5" s="875"/>
      <c r="AS5" s="776"/>
      <c r="AT5" s="776"/>
      <c r="AU5"/>
      <c r="AV5"/>
      <c r="AW5"/>
      <c r="AX5"/>
      <c r="BB5">
        <f t="shared" ref="BB5:BB68" si="0">IF(E5&gt;1,1,"")</f>
        <v>1</v>
      </c>
    </row>
    <row r="6" spans="1:54" ht="15.75" customHeight="1">
      <c r="A6" s="834" t="s">
        <v>24</v>
      </c>
      <c r="B6" s="834">
        <v>3</v>
      </c>
      <c r="C6" s="847" t="s">
        <v>3060</v>
      </c>
      <c r="D6" s="847" t="s">
        <v>34</v>
      </c>
      <c r="E6" s="880">
        <v>46024</v>
      </c>
      <c r="F6" s="847" t="s">
        <v>91</v>
      </c>
      <c r="G6" s="847">
        <v>13</v>
      </c>
      <c r="H6" s="847" t="s">
        <v>127</v>
      </c>
      <c r="I6" s="847" t="s">
        <v>178</v>
      </c>
      <c r="J6" s="98"/>
      <c r="K6" s="136" t="s">
        <v>3058</v>
      </c>
      <c r="L6" s="834" t="s">
        <v>2092</v>
      </c>
      <c r="M6" s="847" t="s">
        <v>2799</v>
      </c>
      <c r="N6" s="847" t="s">
        <v>2799</v>
      </c>
      <c r="O6" s="847" t="s">
        <v>2050</v>
      </c>
      <c r="P6" s="847" t="s">
        <v>32</v>
      </c>
      <c r="Q6" s="400" t="s">
        <v>30</v>
      </c>
      <c r="R6" s="852">
        <v>46080</v>
      </c>
      <c r="S6" s="852" t="s">
        <v>28</v>
      </c>
      <c r="T6" s="834" t="s">
        <v>32</v>
      </c>
      <c r="U6" s="834">
        <v>10</v>
      </c>
      <c r="V6" s="852" t="s">
        <v>28</v>
      </c>
      <c r="W6" s="852">
        <v>46080</v>
      </c>
      <c r="X6" s="80" t="s">
        <v>30</v>
      </c>
      <c r="Y6" s="80" t="s">
        <v>30</v>
      </c>
      <c r="Z6" s="80" t="s">
        <v>30</v>
      </c>
      <c r="AA6" s="91" t="s">
        <v>32</v>
      </c>
      <c r="AB6" s="91" t="s">
        <v>32</v>
      </c>
      <c r="AC6" s="91" t="s">
        <v>32</v>
      </c>
      <c r="AD6" s="96" t="s">
        <v>30</v>
      </c>
      <c r="AE6" s="96" t="s">
        <v>30</v>
      </c>
      <c r="AF6" s="96" t="s">
        <v>30</v>
      </c>
      <c r="AG6" s="96" t="s">
        <v>30</v>
      </c>
      <c r="AH6" s="96" t="s">
        <v>30</v>
      </c>
      <c r="AI6" s="96" t="s">
        <v>30</v>
      </c>
      <c r="AJ6" s="96" t="s">
        <v>30</v>
      </c>
      <c r="AK6" s="96" t="s">
        <v>30</v>
      </c>
      <c r="AL6" s="96" t="s">
        <v>30</v>
      </c>
      <c r="AM6" s="91"/>
      <c r="AN6" s="840" t="s">
        <v>3061</v>
      </c>
      <c r="AO6" s="832"/>
      <c r="AP6" s="875"/>
      <c r="AQ6" s="875"/>
      <c r="AR6" s="875"/>
      <c r="AS6" s="776"/>
      <c r="AT6" s="776"/>
      <c r="AU6"/>
      <c r="AV6"/>
      <c r="AW6"/>
      <c r="AX6"/>
      <c r="BB6">
        <f t="shared" si="0"/>
        <v>1</v>
      </c>
    </row>
    <row r="7" spans="1:54" ht="15.6" customHeight="1">
      <c r="A7" s="834" t="s">
        <v>24</v>
      </c>
      <c r="B7" s="834">
        <v>4</v>
      </c>
      <c r="C7" s="847" t="s">
        <v>3062</v>
      </c>
      <c r="D7" s="847" t="s">
        <v>72</v>
      </c>
      <c r="E7" s="880">
        <v>46024</v>
      </c>
      <c r="F7" s="847" t="s">
        <v>2694</v>
      </c>
      <c r="G7" s="847">
        <v>11</v>
      </c>
      <c r="H7" s="847" t="s">
        <v>1721</v>
      </c>
      <c r="I7" s="847" t="s">
        <v>1638</v>
      </c>
      <c r="J7" s="834"/>
      <c r="K7" s="136" t="s">
        <v>3063</v>
      </c>
      <c r="L7" s="834" t="s">
        <v>2056</v>
      </c>
      <c r="M7" s="847" t="s">
        <v>2799</v>
      </c>
      <c r="N7" s="847" t="s">
        <v>2799</v>
      </c>
      <c r="O7" s="847" t="s">
        <v>2696</v>
      </c>
      <c r="P7" s="847" t="s">
        <v>32</v>
      </c>
      <c r="Q7" s="400" t="s">
        <v>30</v>
      </c>
      <c r="R7" s="848">
        <v>46062</v>
      </c>
      <c r="S7" s="852" t="s">
        <v>1638</v>
      </c>
      <c r="T7" s="834" t="s">
        <v>32</v>
      </c>
      <c r="U7" s="834">
        <v>11</v>
      </c>
      <c r="V7" s="852" t="s">
        <v>1638</v>
      </c>
      <c r="W7" s="848">
        <v>46062</v>
      </c>
      <c r="X7" s="80" t="s">
        <v>30</v>
      </c>
      <c r="Y7" s="80" t="s">
        <v>30</v>
      </c>
      <c r="Z7" s="91"/>
      <c r="AA7" s="96" t="s">
        <v>30</v>
      </c>
      <c r="AB7" s="96" t="s">
        <v>30</v>
      </c>
      <c r="AC7" s="96" t="s">
        <v>30</v>
      </c>
      <c r="AD7" s="96" t="s">
        <v>30</v>
      </c>
      <c r="AE7" s="96" t="s">
        <v>30</v>
      </c>
      <c r="AF7" s="96" t="s">
        <v>30</v>
      </c>
      <c r="AG7" s="96" t="s">
        <v>30</v>
      </c>
      <c r="AH7" s="96" t="s">
        <v>30</v>
      </c>
      <c r="AI7" s="107" t="s">
        <v>30</v>
      </c>
      <c r="AJ7" s="96" t="s">
        <v>30</v>
      </c>
      <c r="AK7" s="96" t="s">
        <v>30</v>
      </c>
      <c r="AL7" s="96" t="s">
        <v>30</v>
      </c>
      <c r="AM7" s="91"/>
      <c r="AN7" s="840"/>
      <c r="AO7" s="832"/>
      <c r="AP7" s="832"/>
      <c r="AQ7" s="832"/>
      <c r="AR7" s="832"/>
      <c r="AS7"/>
      <c r="AT7"/>
      <c r="AU7"/>
      <c r="AV7"/>
      <c r="AW7"/>
      <c r="AX7"/>
      <c r="BB7">
        <f t="shared" si="0"/>
        <v>1</v>
      </c>
    </row>
    <row r="8" spans="1:54" ht="15.75" customHeight="1">
      <c r="A8" s="834" t="s">
        <v>24</v>
      </c>
      <c r="B8" s="834">
        <v>5</v>
      </c>
      <c r="C8" s="847" t="s">
        <v>3064</v>
      </c>
      <c r="D8" s="847" t="s">
        <v>64</v>
      </c>
      <c r="E8" s="880">
        <v>46024</v>
      </c>
      <c r="F8" s="847" t="s">
        <v>187</v>
      </c>
      <c r="G8" s="847">
        <v>20</v>
      </c>
      <c r="H8" s="847" t="s">
        <v>67</v>
      </c>
      <c r="I8" s="847" t="s">
        <v>47</v>
      </c>
      <c r="J8" s="98" t="s">
        <v>2110</v>
      </c>
      <c r="K8" s="136" t="s">
        <v>3058</v>
      </c>
      <c r="L8" s="834" t="s">
        <v>2126</v>
      </c>
      <c r="M8" s="847" t="s">
        <v>2799</v>
      </c>
      <c r="N8" s="847" t="s">
        <v>2799</v>
      </c>
      <c r="O8" s="847" t="s">
        <v>3065</v>
      </c>
      <c r="P8" s="126" t="s">
        <v>31</v>
      </c>
      <c r="Q8" s="400" t="s">
        <v>30</v>
      </c>
      <c r="R8" s="848">
        <v>46059</v>
      </c>
      <c r="S8" s="852" t="s">
        <v>47</v>
      </c>
      <c r="T8" s="834" t="s">
        <v>30</v>
      </c>
      <c r="U8" s="834">
        <v>14</v>
      </c>
      <c r="V8" s="852" t="s">
        <v>47</v>
      </c>
      <c r="W8" s="848">
        <v>46059</v>
      </c>
      <c r="X8" s="80" t="s">
        <v>30</v>
      </c>
      <c r="Y8" s="80" t="s">
        <v>30</v>
      </c>
      <c r="Z8" s="80" t="s">
        <v>30</v>
      </c>
      <c r="AA8" s="96" t="s">
        <v>30</v>
      </c>
      <c r="AB8" s="96" t="s">
        <v>30</v>
      </c>
      <c r="AC8" s="96" t="s">
        <v>30</v>
      </c>
      <c r="AD8" s="96" t="s">
        <v>30</v>
      </c>
      <c r="AE8" s="96" t="s">
        <v>30</v>
      </c>
      <c r="AF8" s="96" t="s">
        <v>30</v>
      </c>
      <c r="AG8" s="96" t="s">
        <v>30</v>
      </c>
      <c r="AH8" s="96" t="s">
        <v>30</v>
      </c>
      <c r="AI8" s="96" t="s">
        <v>30</v>
      </c>
      <c r="AJ8" s="107" t="s">
        <v>30</v>
      </c>
      <c r="AK8" s="107" t="s">
        <v>30</v>
      </c>
      <c r="AL8" s="107" t="s">
        <v>30</v>
      </c>
      <c r="AM8" s="91"/>
      <c r="AN8" s="840" t="s">
        <v>3061</v>
      </c>
      <c r="AO8" s="832"/>
      <c r="AP8" s="875"/>
      <c r="AQ8" s="875"/>
      <c r="AR8" s="875"/>
      <c r="AS8" s="776"/>
      <c r="AT8" s="776"/>
      <c r="AU8"/>
      <c r="AV8"/>
      <c r="AW8"/>
      <c r="AX8"/>
      <c r="BB8">
        <f t="shared" si="0"/>
        <v>1</v>
      </c>
    </row>
    <row r="9" spans="1:54" ht="15.6" customHeight="1">
      <c r="A9" s="834" t="s">
        <v>24</v>
      </c>
      <c r="B9" s="834">
        <v>6</v>
      </c>
      <c r="C9" s="847" t="s">
        <v>3066</v>
      </c>
      <c r="D9" s="847" t="s">
        <v>374</v>
      </c>
      <c r="E9" s="880">
        <v>46024</v>
      </c>
      <c r="F9" s="847" t="s">
        <v>106</v>
      </c>
      <c r="G9" s="847">
        <v>15</v>
      </c>
      <c r="H9" s="847" t="s">
        <v>127</v>
      </c>
      <c r="I9" s="847" t="s">
        <v>178</v>
      </c>
      <c r="J9" s="834"/>
      <c r="K9" s="136" t="s">
        <v>3063</v>
      </c>
      <c r="L9" s="834" t="s">
        <v>2061</v>
      </c>
      <c r="M9" s="847" t="s">
        <v>3067</v>
      </c>
      <c r="N9" s="847" t="s">
        <v>3067</v>
      </c>
      <c r="O9" s="847" t="s">
        <v>2050</v>
      </c>
      <c r="P9" s="126" t="s">
        <v>31</v>
      </c>
      <c r="Q9" s="848" t="s">
        <v>30</v>
      </c>
      <c r="R9" s="848">
        <v>46058</v>
      </c>
      <c r="S9" s="852" t="s">
        <v>28</v>
      </c>
      <c r="T9" s="834" t="s">
        <v>32</v>
      </c>
      <c r="U9" s="834">
        <v>15</v>
      </c>
      <c r="V9" s="834" t="s">
        <v>28</v>
      </c>
      <c r="W9" s="848">
        <v>46058</v>
      </c>
      <c r="X9" s="80" t="s">
        <v>30</v>
      </c>
      <c r="Y9" s="96" t="s">
        <v>30</v>
      </c>
      <c r="Z9" s="96" t="s">
        <v>30</v>
      </c>
      <c r="AA9" s="96" t="s">
        <v>30</v>
      </c>
      <c r="AB9" s="96" t="s">
        <v>30</v>
      </c>
      <c r="AC9" s="96" t="s">
        <v>30</v>
      </c>
      <c r="AD9" s="96" t="s">
        <v>30</v>
      </c>
      <c r="AE9" s="96" t="s">
        <v>30</v>
      </c>
      <c r="AF9" s="96" t="s">
        <v>30</v>
      </c>
      <c r="AG9" s="96" t="s">
        <v>30</v>
      </c>
      <c r="AH9" s="96" t="s">
        <v>30</v>
      </c>
      <c r="AI9" s="96" t="s">
        <v>30</v>
      </c>
      <c r="AJ9" s="96" t="s">
        <v>30</v>
      </c>
      <c r="AK9" s="96" t="s">
        <v>30</v>
      </c>
      <c r="AL9" s="96" t="s">
        <v>30</v>
      </c>
      <c r="AM9" s="91"/>
      <c r="AN9" s="840"/>
      <c r="AO9" s="832"/>
      <c r="AP9" s="875"/>
      <c r="AQ9" s="875"/>
      <c r="AR9" s="875"/>
      <c r="AS9" s="776"/>
      <c r="AT9" s="776"/>
      <c r="AU9"/>
      <c r="AV9"/>
      <c r="AW9"/>
      <c r="AX9"/>
      <c r="BB9">
        <f t="shared" si="0"/>
        <v>1</v>
      </c>
    </row>
    <row r="10" spans="1:54" ht="15.75" customHeight="1">
      <c r="A10" s="834" t="s">
        <v>24</v>
      </c>
      <c r="B10" s="834">
        <v>7</v>
      </c>
      <c r="C10" s="847" t="s">
        <v>3068</v>
      </c>
      <c r="D10" s="847" t="s">
        <v>425</v>
      </c>
      <c r="E10" s="880">
        <v>46024</v>
      </c>
      <c r="F10" s="847" t="s">
        <v>364</v>
      </c>
      <c r="G10" s="847">
        <v>12</v>
      </c>
      <c r="H10" s="847" t="s">
        <v>67</v>
      </c>
      <c r="I10" s="847" t="s">
        <v>47</v>
      </c>
      <c r="J10" s="834"/>
      <c r="K10" s="136" t="s">
        <v>3058</v>
      </c>
      <c r="L10" s="834" t="s">
        <v>2102</v>
      </c>
      <c r="M10" s="847" t="s">
        <v>2799</v>
      </c>
      <c r="N10" s="847" t="s">
        <v>2819</v>
      </c>
      <c r="O10" s="847" t="s">
        <v>2050</v>
      </c>
      <c r="P10" s="847" t="s">
        <v>32</v>
      </c>
      <c r="Q10" s="848" t="s">
        <v>30</v>
      </c>
      <c r="R10" s="848">
        <v>46059</v>
      </c>
      <c r="S10" s="852" t="s">
        <v>47</v>
      </c>
      <c r="T10" s="834" t="s">
        <v>32</v>
      </c>
      <c r="U10" s="834">
        <v>13</v>
      </c>
      <c r="V10" s="852" t="s">
        <v>47</v>
      </c>
      <c r="W10" s="848">
        <v>46059</v>
      </c>
      <c r="X10" s="80" t="s">
        <v>30</v>
      </c>
      <c r="Y10" s="80" t="s">
        <v>30</v>
      </c>
      <c r="Z10" s="96" t="s">
        <v>30</v>
      </c>
      <c r="AA10" s="96" t="s">
        <v>30</v>
      </c>
      <c r="AB10" s="96" t="s">
        <v>30</v>
      </c>
      <c r="AC10" s="96" t="s">
        <v>30</v>
      </c>
      <c r="AD10" s="96" t="s">
        <v>30</v>
      </c>
      <c r="AE10" s="96" t="s">
        <v>30</v>
      </c>
      <c r="AF10" s="96" t="s">
        <v>30</v>
      </c>
      <c r="AG10" s="96" t="s">
        <v>30</v>
      </c>
      <c r="AH10" s="96" t="s">
        <v>30</v>
      </c>
      <c r="AI10" s="96" t="s">
        <v>30</v>
      </c>
      <c r="AJ10" s="96" t="s">
        <v>30</v>
      </c>
      <c r="AK10" s="96" t="s">
        <v>30</v>
      </c>
      <c r="AL10" s="91" t="s">
        <v>32</v>
      </c>
      <c r="AM10" s="91"/>
      <c r="AN10" s="840" t="s">
        <v>3069</v>
      </c>
      <c r="AO10" s="832"/>
      <c r="AP10" s="832"/>
      <c r="AQ10" s="832"/>
      <c r="AR10" s="832"/>
      <c r="AS10"/>
      <c r="AT10"/>
      <c r="AU10"/>
      <c r="AV10"/>
      <c r="AW10"/>
      <c r="AX10"/>
      <c r="BB10">
        <f t="shared" si="0"/>
        <v>1</v>
      </c>
    </row>
    <row r="11" spans="1:54" ht="15.75" customHeight="1">
      <c r="A11" s="834" t="s">
        <v>24</v>
      </c>
      <c r="B11" s="834">
        <v>8</v>
      </c>
      <c r="C11" s="847" t="s">
        <v>3070</v>
      </c>
      <c r="D11" s="847" t="s">
        <v>43</v>
      </c>
      <c r="E11" s="880">
        <v>46027</v>
      </c>
      <c r="F11" s="847" t="s">
        <v>187</v>
      </c>
      <c r="G11" s="847">
        <v>20</v>
      </c>
      <c r="H11" s="847" t="s">
        <v>67</v>
      </c>
      <c r="I11" s="847" t="s">
        <v>47</v>
      </c>
      <c r="J11" s="98" t="s">
        <v>2110</v>
      </c>
      <c r="K11" s="136" t="s">
        <v>3063</v>
      </c>
      <c r="L11" s="834" t="s">
        <v>2113</v>
      </c>
      <c r="M11" s="847" t="s">
        <v>2603</v>
      </c>
      <c r="N11" s="847" t="s">
        <v>2799</v>
      </c>
      <c r="O11" s="847" t="s">
        <v>3065</v>
      </c>
      <c r="P11" s="126" t="s">
        <v>31</v>
      </c>
      <c r="Q11" s="113"/>
      <c r="R11" s="848">
        <v>46064</v>
      </c>
      <c r="S11" s="852" t="s">
        <v>47</v>
      </c>
      <c r="T11" s="834" t="s">
        <v>30</v>
      </c>
      <c r="U11" s="834">
        <v>14</v>
      </c>
      <c r="V11" s="852" t="s">
        <v>47</v>
      </c>
      <c r="W11" s="848">
        <v>46064</v>
      </c>
      <c r="X11" s="91" t="s">
        <v>32</v>
      </c>
      <c r="Y11" s="91"/>
      <c r="Z11" s="91"/>
      <c r="AA11" s="96" t="s">
        <v>30</v>
      </c>
      <c r="AB11" s="96" t="s">
        <v>30</v>
      </c>
      <c r="AC11" s="96" t="s">
        <v>30</v>
      </c>
      <c r="AD11" s="96" t="s">
        <v>30</v>
      </c>
      <c r="AE11" s="96" t="s">
        <v>30</v>
      </c>
      <c r="AF11" s="96" t="s">
        <v>30</v>
      </c>
      <c r="AG11" s="96" t="s">
        <v>30</v>
      </c>
      <c r="AH11" s="96" t="s">
        <v>30</v>
      </c>
      <c r="AI11" s="96" t="s">
        <v>30</v>
      </c>
      <c r="AJ11" s="96" t="s">
        <v>30</v>
      </c>
      <c r="AK11" s="96" t="s">
        <v>30</v>
      </c>
      <c r="AL11" s="96" t="s">
        <v>30</v>
      </c>
      <c r="AM11" s="91"/>
      <c r="AN11" s="840"/>
      <c r="AO11" s="832"/>
      <c r="AP11" s="832"/>
      <c r="AQ11" s="832"/>
      <c r="AR11" s="832"/>
      <c r="AS11"/>
      <c r="AT11"/>
      <c r="AU11"/>
      <c r="AV11"/>
      <c r="AW11"/>
      <c r="AX11"/>
      <c r="BB11">
        <f t="shared" si="0"/>
        <v>1</v>
      </c>
    </row>
    <row r="12" spans="1:54" ht="15.75" customHeight="1">
      <c r="A12" s="834" t="s">
        <v>24</v>
      </c>
      <c r="B12" s="834">
        <v>9</v>
      </c>
      <c r="C12" s="847" t="s">
        <v>3071</v>
      </c>
      <c r="D12" s="847" t="s">
        <v>57</v>
      </c>
      <c r="E12" s="880">
        <v>46027</v>
      </c>
      <c r="F12" s="847" t="s">
        <v>97</v>
      </c>
      <c r="G12" s="847">
        <v>21</v>
      </c>
      <c r="H12" s="847" t="s">
        <v>1721</v>
      </c>
      <c r="I12" s="847" t="s">
        <v>1638</v>
      </c>
      <c r="J12" s="98"/>
      <c r="K12" s="136" t="s">
        <v>3063</v>
      </c>
      <c r="L12" s="834" t="s">
        <v>2096</v>
      </c>
      <c r="M12" s="847" t="s">
        <v>3072</v>
      </c>
      <c r="N12" s="847" t="s">
        <v>3072</v>
      </c>
      <c r="O12" s="847" t="s">
        <v>2050</v>
      </c>
      <c r="P12" s="126" t="s">
        <v>31</v>
      </c>
      <c r="Q12" s="848" t="s">
        <v>30</v>
      </c>
      <c r="R12" s="848">
        <v>46077</v>
      </c>
      <c r="S12" s="852" t="s">
        <v>1638</v>
      </c>
      <c r="T12" s="834" t="s">
        <v>32</v>
      </c>
      <c r="U12" s="834">
        <v>18</v>
      </c>
      <c r="V12" s="852" t="s">
        <v>1638</v>
      </c>
      <c r="W12" s="848">
        <v>46077</v>
      </c>
      <c r="X12" s="80" t="s">
        <v>30</v>
      </c>
      <c r="Y12" s="80" t="s">
        <v>30</v>
      </c>
      <c r="Z12" s="80" t="s">
        <v>30</v>
      </c>
      <c r="AA12" s="96" t="s">
        <v>30</v>
      </c>
      <c r="AB12" s="96" t="s">
        <v>30</v>
      </c>
      <c r="AC12" s="96" t="s">
        <v>30</v>
      </c>
      <c r="AD12" s="96" t="s">
        <v>30</v>
      </c>
      <c r="AE12" s="96" t="s">
        <v>30</v>
      </c>
      <c r="AF12" s="96" t="s">
        <v>30</v>
      </c>
      <c r="AG12" s="96" t="s">
        <v>30</v>
      </c>
      <c r="AH12" s="96" t="s">
        <v>30</v>
      </c>
      <c r="AI12" s="96" t="s">
        <v>30</v>
      </c>
      <c r="AJ12" s="96" t="s">
        <v>30</v>
      </c>
      <c r="AK12" s="96" t="s">
        <v>30</v>
      </c>
      <c r="AL12" s="96" t="s">
        <v>30</v>
      </c>
      <c r="AM12" s="91"/>
      <c r="AN12" s="840"/>
      <c r="AO12" s="83"/>
      <c r="AP12" s="832"/>
      <c r="AQ12" s="832"/>
      <c r="AR12" s="832"/>
      <c r="AS12"/>
      <c r="AT12"/>
      <c r="AU12"/>
      <c r="AV12"/>
      <c r="AW12"/>
      <c r="AX12"/>
      <c r="BB12">
        <f t="shared" si="0"/>
        <v>1</v>
      </c>
    </row>
    <row r="13" spans="1:54" ht="15.75" customHeight="1">
      <c r="A13" s="834" t="s">
        <v>24</v>
      </c>
      <c r="B13" s="834">
        <v>10</v>
      </c>
      <c r="C13" s="847" t="s">
        <v>3073</v>
      </c>
      <c r="D13" s="847" t="s">
        <v>64</v>
      </c>
      <c r="E13" s="880">
        <v>46027</v>
      </c>
      <c r="F13" s="847" t="s">
        <v>1626</v>
      </c>
      <c r="G13" s="847">
        <v>14</v>
      </c>
      <c r="H13" s="847" t="s">
        <v>1077</v>
      </c>
      <c r="I13" s="847" t="s">
        <v>1138</v>
      </c>
      <c r="J13" s="834"/>
      <c r="K13" s="136" t="s">
        <v>3058</v>
      </c>
      <c r="L13" s="834" t="s">
        <v>2108</v>
      </c>
      <c r="M13" s="847" t="s">
        <v>3072</v>
      </c>
      <c r="N13" s="847" t="s">
        <v>3072</v>
      </c>
      <c r="O13" s="847" t="s">
        <v>2050</v>
      </c>
      <c r="P13" s="847" t="s">
        <v>32</v>
      </c>
      <c r="Q13" s="400" t="s">
        <v>30</v>
      </c>
      <c r="R13" s="848">
        <v>46056</v>
      </c>
      <c r="S13" s="852" t="s">
        <v>1138</v>
      </c>
      <c r="T13" s="834" t="s">
        <v>32</v>
      </c>
      <c r="U13" s="834">
        <v>12</v>
      </c>
      <c r="V13" s="852" t="s">
        <v>1138</v>
      </c>
      <c r="W13" s="848">
        <v>46056</v>
      </c>
      <c r="X13" s="80" t="s">
        <v>30</v>
      </c>
      <c r="Y13" s="80" t="s">
        <v>30</v>
      </c>
      <c r="Z13" s="80" t="s">
        <v>30</v>
      </c>
      <c r="AA13" s="96" t="s">
        <v>30</v>
      </c>
      <c r="AB13" s="96" t="s">
        <v>30</v>
      </c>
      <c r="AC13" s="96" t="s">
        <v>30</v>
      </c>
      <c r="AD13" s="96" t="s">
        <v>30</v>
      </c>
      <c r="AE13" s="96" t="s">
        <v>30</v>
      </c>
      <c r="AF13" s="96" t="s">
        <v>30</v>
      </c>
      <c r="AG13" s="96" t="s">
        <v>30</v>
      </c>
      <c r="AH13" s="96" t="s">
        <v>30</v>
      </c>
      <c r="AI13" s="96" t="s">
        <v>30</v>
      </c>
      <c r="AJ13" s="91" t="s">
        <v>32</v>
      </c>
      <c r="AK13" s="91" t="s">
        <v>32</v>
      </c>
      <c r="AL13" s="91" t="s">
        <v>32</v>
      </c>
      <c r="AM13" s="91"/>
      <c r="AN13" s="840" t="s">
        <v>3074</v>
      </c>
      <c r="AO13" s="832"/>
      <c r="AP13" s="832"/>
      <c r="AQ13" s="832"/>
      <c r="AR13" s="832"/>
      <c r="AS13"/>
      <c r="AT13"/>
      <c r="AU13"/>
      <c r="AV13"/>
      <c r="AW13"/>
      <c r="AX13"/>
      <c r="BB13">
        <f t="shared" si="0"/>
        <v>1</v>
      </c>
    </row>
    <row r="14" spans="1:54" ht="15.75" customHeight="1">
      <c r="A14" s="834" t="s">
        <v>24</v>
      </c>
      <c r="B14" s="834">
        <v>11</v>
      </c>
      <c r="C14" s="847" t="s">
        <v>3075</v>
      </c>
      <c r="D14" s="847" t="s">
        <v>374</v>
      </c>
      <c r="E14" s="880">
        <v>46027</v>
      </c>
      <c r="F14" s="847" t="s">
        <v>1505</v>
      </c>
      <c r="G14" s="847">
        <v>12</v>
      </c>
      <c r="H14" s="847" t="s">
        <v>1721</v>
      </c>
      <c r="I14" s="847" t="s">
        <v>1638</v>
      </c>
      <c r="J14" s="834"/>
      <c r="K14" s="136" t="s">
        <v>3058</v>
      </c>
      <c r="L14" s="834" t="s">
        <v>2098</v>
      </c>
      <c r="M14" s="847" t="s">
        <v>3072</v>
      </c>
      <c r="N14" s="847" t="s">
        <v>3072</v>
      </c>
      <c r="O14" s="847" t="s">
        <v>2050</v>
      </c>
      <c r="P14" s="847" t="s">
        <v>32</v>
      </c>
      <c r="Q14" s="400" t="s">
        <v>1091</v>
      </c>
      <c r="R14" s="848">
        <v>46057</v>
      </c>
      <c r="S14" s="852" t="s">
        <v>1638</v>
      </c>
      <c r="T14" s="834" t="s">
        <v>32</v>
      </c>
      <c r="U14" s="834">
        <v>10</v>
      </c>
      <c r="V14" s="852" t="s">
        <v>1638</v>
      </c>
      <c r="W14" s="848">
        <v>46057</v>
      </c>
      <c r="X14" s="80" t="s">
        <v>30</v>
      </c>
      <c r="Y14" s="96" t="s">
        <v>30</v>
      </c>
      <c r="Z14" s="96" t="s">
        <v>30</v>
      </c>
      <c r="AA14" s="96" t="s">
        <v>30</v>
      </c>
      <c r="AB14" s="96" t="s">
        <v>30</v>
      </c>
      <c r="AC14" s="96" t="s">
        <v>30</v>
      </c>
      <c r="AD14" s="96" t="s">
        <v>30</v>
      </c>
      <c r="AE14" s="96" t="s">
        <v>30</v>
      </c>
      <c r="AF14" s="96" t="s">
        <v>30</v>
      </c>
      <c r="AG14" s="96" t="s">
        <v>30</v>
      </c>
      <c r="AH14" s="96" t="s">
        <v>30</v>
      </c>
      <c r="AI14" s="96" t="s">
        <v>30</v>
      </c>
      <c r="AJ14" s="96" t="s">
        <v>30</v>
      </c>
      <c r="AK14" s="96" t="s">
        <v>30</v>
      </c>
      <c r="AL14" s="96" t="s">
        <v>30</v>
      </c>
      <c r="AM14" s="91"/>
      <c r="AN14" s="840"/>
      <c r="AO14" s="832"/>
      <c r="AP14" s="832"/>
      <c r="AQ14" s="832"/>
      <c r="AR14" s="832"/>
      <c r="AS14"/>
      <c r="AT14"/>
      <c r="AU14"/>
      <c r="AV14"/>
      <c r="AW14"/>
      <c r="AX14"/>
      <c r="BB14">
        <f t="shared" si="0"/>
        <v>1</v>
      </c>
    </row>
    <row r="15" spans="1:54" ht="15.75" customHeight="1">
      <c r="A15" s="834" t="s">
        <v>24</v>
      </c>
      <c r="B15" s="834">
        <v>12</v>
      </c>
      <c r="C15" s="847" t="s">
        <v>3076</v>
      </c>
      <c r="D15" s="847" t="s">
        <v>34</v>
      </c>
      <c r="E15" s="880">
        <v>46027</v>
      </c>
      <c r="F15" s="847" t="s">
        <v>1105</v>
      </c>
      <c r="G15" s="847">
        <v>8</v>
      </c>
      <c r="H15" s="847" t="s">
        <v>127</v>
      </c>
      <c r="I15" s="847" t="s">
        <v>178</v>
      </c>
      <c r="J15" s="834"/>
      <c r="K15" s="136" t="s">
        <v>3058</v>
      </c>
      <c r="L15" s="834" t="s">
        <v>2123</v>
      </c>
      <c r="M15" s="847" t="s">
        <v>3072</v>
      </c>
      <c r="N15" s="847" t="s">
        <v>3072</v>
      </c>
      <c r="O15" s="847" t="s">
        <v>3077</v>
      </c>
      <c r="P15" s="847" t="s">
        <v>32</v>
      </c>
      <c r="Q15" s="400" t="s">
        <v>30</v>
      </c>
      <c r="R15" s="848">
        <v>46058</v>
      </c>
      <c r="S15" s="852" t="s">
        <v>28</v>
      </c>
      <c r="T15" s="834" t="s">
        <v>1140</v>
      </c>
      <c r="U15" s="834">
        <v>8</v>
      </c>
      <c r="V15" s="852" t="s">
        <v>28</v>
      </c>
      <c r="W15" s="848">
        <v>46058</v>
      </c>
      <c r="X15" s="80" t="s">
        <v>30</v>
      </c>
      <c r="Y15" s="96" t="s">
        <v>30</v>
      </c>
      <c r="Z15" s="96" t="s">
        <v>30</v>
      </c>
      <c r="AA15" s="96" t="s">
        <v>30</v>
      </c>
      <c r="AB15" s="96" t="s">
        <v>30</v>
      </c>
      <c r="AC15" s="96" t="s">
        <v>30</v>
      </c>
      <c r="AD15" s="96" t="s">
        <v>30</v>
      </c>
      <c r="AE15" s="96" t="s">
        <v>30</v>
      </c>
      <c r="AF15" s="96" t="s">
        <v>30</v>
      </c>
      <c r="AG15" s="96" t="s">
        <v>30</v>
      </c>
      <c r="AH15" s="96" t="s">
        <v>30</v>
      </c>
      <c r="AI15" s="96" t="s">
        <v>30</v>
      </c>
      <c r="AJ15" s="96" t="s">
        <v>30</v>
      </c>
      <c r="AK15" s="96" t="s">
        <v>30</v>
      </c>
      <c r="AL15" s="96" t="s">
        <v>30</v>
      </c>
      <c r="AM15" s="91"/>
      <c r="AN15" s="840"/>
      <c r="AO15" s="832"/>
      <c r="AP15" s="832"/>
      <c r="AQ15" s="832"/>
      <c r="AR15" s="832"/>
      <c r="AS15"/>
      <c r="AT15"/>
      <c r="AU15"/>
      <c r="AV15"/>
      <c r="AW15"/>
      <c r="AX15"/>
      <c r="BB15">
        <f t="shared" si="0"/>
        <v>1</v>
      </c>
    </row>
    <row r="16" spans="1:54" ht="15.75" customHeight="1">
      <c r="A16" s="834" t="s">
        <v>24</v>
      </c>
      <c r="B16" s="834">
        <v>13</v>
      </c>
      <c r="C16" s="847" t="s">
        <v>3078</v>
      </c>
      <c r="D16" s="847" t="s">
        <v>3079</v>
      </c>
      <c r="E16" s="880">
        <v>46027</v>
      </c>
      <c r="F16" s="847" t="s">
        <v>89</v>
      </c>
      <c r="G16" s="847">
        <v>12</v>
      </c>
      <c r="H16" s="847" t="s">
        <v>127</v>
      </c>
      <c r="I16" s="847" t="s">
        <v>178</v>
      </c>
      <c r="J16" s="834"/>
      <c r="K16" s="136" t="s">
        <v>3058</v>
      </c>
      <c r="L16" s="834" t="s">
        <v>2264</v>
      </c>
      <c r="M16" s="847" t="s">
        <v>3072</v>
      </c>
      <c r="N16" s="847" t="s">
        <v>3072</v>
      </c>
      <c r="O16" s="847" t="s">
        <v>2050</v>
      </c>
      <c r="P16" s="847" t="s">
        <v>32</v>
      </c>
      <c r="Q16" s="400" t="s">
        <v>30</v>
      </c>
      <c r="R16" s="848">
        <v>46038</v>
      </c>
      <c r="S16" s="852" t="s">
        <v>127</v>
      </c>
      <c r="T16" s="834" t="s">
        <v>1140</v>
      </c>
      <c r="U16" s="834">
        <v>15</v>
      </c>
      <c r="V16" s="852" t="s">
        <v>127</v>
      </c>
      <c r="W16" s="848">
        <v>46038</v>
      </c>
      <c r="X16" s="80" t="s">
        <v>30</v>
      </c>
      <c r="Y16" s="96" t="s">
        <v>30</v>
      </c>
      <c r="Z16" s="96" t="s">
        <v>30</v>
      </c>
      <c r="AA16" s="96" t="s">
        <v>30</v>
      </c>
      <c r="AB16" s="96" t="s">
        <v>30</v>
      </c>
      <c r="AC16" s="96" t="s">
        <v>30</v>
      </c>
      <c r="AD16" s="96" t="s">
        <v>30</v>
      </c>
      <c r="AE16" s="96" t="s">
        <v>30</v>
      </c>
      <c r="AF16" s="96" t="s">
        <v>30</v>
      </c>
      <c r="AG16" s="96" t="s">
        <v>30</v>
      </c>
      <c r="AH16" s="96" t="s">
        <v>30</v>
      </c>
      <c r="AI16" s="96" t="s">
        <v>30</v>
      </c>
      <c r="AJ16" s="96" t="s">
        <v>30</v>
      </c>
      <c r="AK16" s="96" t="s">
        <v>30</v>
      </c>
      <c r="AL16" s="96" t="s">
        <v>30</v>
      </c>
      <c r="AM16" s="91"/>
      <c r="AN16" s="840"/>
      <c r="AO16" s="832"/>
      <c r="AP16" s="832"/>
      <c r="AQ16" s="832"/>
      <c r="AR16" s="832"/>
      <c r="AS16"/>
      <c r="AT16"/>
      <c r="AU16"/>
      <c r="AV16"/>
      <c r="AW16"/>
      <c r="AX16"/>
      <c r="BB16">
        <f t="shared" si="0"/>
        <v>1</v>
      </c>
    </row>
    <row r="17" spans="1:54" ht="15.75" customHeight="1">
      <c r="A17" s="834" t="s">
        <v>24</v>
      </c>
      <c r="B17" s="834">
        <v>14</v>
      </c>
      <c r="C17" s="847" t="s">
        <v>3080</v>
      </c>
      <c r="D17" s="847" t="s">
        <v>34</v>
      </c>
      <c r="E17" s="880">
        <v>46029</v>
      </c>
      <c r="F17" s="847" t="s">
        <v>89</v>
      </c>
      <c r="G17" s="136">
        <v>12</v>
      </c>
      <c r="H17" s="847" t="s">
        <v>127</v>
      </c>
      <c r="I17" s="847" t="s">
        <v>178</v>
      </c>
      <c r="J17" s="834"/>
      <c r="K17" s="136" t="s">
        <v>3058</v>
      </c>
      <c r="L17" s="834" t="s">
        <v>2087</v>
      </c>
      <c r="M17" s="847" t="s">
        <v>3081</v>
      </c>
      <c r="N17" s="847" t="s">
        <v>3081</v>
      </c>
      <c r="O17" s="847" t="s">
        <v>2050</v>
      </c>
      <c r="P17" s="847" t="s">
        <v>32</v>
      </c>
      <c r="Q17" s="848" t="s">
        <v>30</v>
      </c>
      <c r="R17" s="848">
        <v>46059</v>
      </c>
      <c r="S17" s="852" t="s">
        <v>28</v>
      </c>
      <c r="T17" s="834" t="s">
        <v>32</v>
      </c>
      <c r="U17" s="834">
        <v>11</v>
      </c>
      <c r="V17" s="852" t="s">
        <v>28</v>
      </c>
      <c r="W17" s="848">
        <v>46059</v>
      </c>
      <c r="X17" s="80" t="s">
        <v>30</v>
      </c>
      <c r="Y17" s="96" t="s">
        <v>30</v>
      </c>
      <c r="Z17" s="80" t="s">
        <v>30</v>
      </c>
      <c r="AA17" s="91" t="s">
        <v>32</v>
      </c>
      <c r="AB17" s="91" t="s">
        <v>32</v>
      </c>
      <c r="AC17" s="91" t="s">
        <v>32</v>
      </c>
      <c r="AD17" s="96" t="s">
        <v>30</v>
      </c>
      <c r="AE17" s="96" t="s">
        <v>30</v>
      </c>
      <c r="AF17" s="96" t="s">
        <v>30</v>
      </c>
      <c r="AG17" s="96" t="s">
        <v>30</v>
      </c>
      <c r="AH17" s="96" t="s">
        <v>30</v>
      </c>
      <c r="AI17" s="96" t="s">
        <v>30</v>
      </c>
      <c r="AJ17" s="96" t="s">
        <v>30</v>
      </c>
      <c r="AK17" s="96" t="s">
        <v>30</v>
      </c>
      <c r="AL17" s="96" t="s">
        <v>30</v>
      </c>
      <c r="AM17" s="91"/>
      <c r="AN17" s="840"/>
      <c r="AO17" s="832"/>
      <c r="AP17" s="875"/>
      <c r="AQ17" s="875"/>
      <c r="AR17" s="875"/>
      <c r="AS17" s="776"/>
      <c r="AT17" s="776"/>
      <c r="AU17"/>
      <c r="AV17"/>
      <c r="AW17"/>
      <c r="AX17"/>
      <c r="BB17">
        <f t="shared" si="0"/>
        <v>1</v>
      </c>
    </row>
    <row r="18" spans="1:54" ht="15" customHeight="1">
      <c r="A18" s="834" t="s">
        <v>24</v>
      </c>
      <c r="B18" s="834">
        <v>15</v>
      </c>
      <c r="C18" s="847" t="s">
        <v>3082</v>
      </c>
      <c r="D18" s="847" t="s">
        <v>102</v>
      </c>
      <c r="E18" s="880">
        <v>46031</v>
      </c>
      <c r="F18" s="847" t="s">
        <v>187</v>
      </c>
      <c r="G18" s="847">
        <v>15</v>
      </c>
      <c r="H18" s="847" t="s">
        <v>67</v>
      </c>
      <c r="I18" s="847" t="s">
        <v>47</v>
      </c>
      <c r="J18" s="834"/>
      <c r="K18" s="136" t="s">
        <v>3063</v>
      </c>
      <c r="L18" s="834" t="s">
        <v>3083</v>
      </c>
      <c r="M18" s="847" t="s">
        <v>3072</v>
      </c>
      <c r="N18" s="847" t="s">
        <v>3072</v>
      </c>
      <c r="O18" s="847" t="s">
        <v>2050</v>
      </c>
      <c r="P18" s="126" t="s">
        <v>31</v>
      </c>
      <c r="Q18" s="400" t="s">
        <v>30</v>
      </c>
      <c r="R18" s="848">
        <v>46065</v>
      </c>
      <c r="S18" s="852" t="s">
        <v>47</v>
      </c>
      <c r="T18" s="834" t="s">
        <v>32</v>
      </c>
      <c r="U18" s="834">
        <v>15</v>
      </c>
      <c r="V18" s="852" t="s">
        <v>47</v>
      </c>
      <c r="W18" s="848">
        <v>46065</v>
      </c>
      <c r="X18" s="91" t="s">
        <v>32</v>
      </c>
      <c r="Y18" s="96" t="s">
        <v>30</v>
      </c>
      <c r="Z18" s="96" t="s">
        <v>30</v>
      </c>
      <c r="AA18" s="96" t="s">
        <v>30</v>
      </c>
      <c r="AB18" s="96" t="s">
        <v>30</v>
      </c>
      <c r="AC18" s="96" t="s">
        <v>30</v>
      </c>
      <c r="AD18" s="96" t="s">
        <v>30</v>
      </c>
      <c r="AE18" s="96" t="s">
        <v>30</v>
      </c>
      <c r="AF18" s="96" t="s">
        <v>30</v>
      </c>
      <c r="AG18" s="96" t="s">
        <v>30</v>
      </c>
      <c r="AH18" s="96" t="s">
        <v>30</v>
      </c>
      <c r="AI18" s="96" t="s">
        <v>30</v>
      </c>
      <c r="AJ18" s="96" t="s">
        <v>30</v>
      </c>
      <c r="AK18" s="96" t="s">
        <v>30</v>
      </c>
      <c r="AL18" s="96" t="s">
        <v>30</v>
      </c>
      <c r="AM18" s="91"/>
      <c r="AN18" s="840"/>
      <c r="AO18" s="832"/>
      <c r="AP18" s="875"/>
      <c r="AQ18" s="875"/>
      <c r="AR18" s="875"/>
      <c r="AS18" s="776"/>
      <c r="AT18" s="776"/>
      <c r="AU18"/>
      <c r="AV18"/>
      <c r="AW18"/>
      <c r="AX18"/>
      <c r="BB18">
        <f t="shared" si="0"/>
        <v>1</v>
      </c>
    </row>
    <row r="19" spans="1:54" ht="15.75" customHeight="1">
      <c r="A19" s="834" t="s">
        <v>24</v>
      </c>
      <c r="B19" s="834">
        <v>16</v>
      </c>
      <c r="C19" s="847" t="s">
        <v>3084</v>
      </c>
      <c r="D19" s="847" t="s">
        <v>34</v>
      </c>
      <c r="E19" s="880">
        <v>46032</v>
      </c>
      <c r="F19" s="847" t="s">
        <v>1943</v>
      </c>
      <c r="G19" s="847">
        <v>12</v>
      </c>
      <c r="H19" s="847" t="s">
        <v>127</v>
      </c>
      <c r="I19" s="847" t="s">
        <v>178</v>
      </c>
      <c r="J19" s="98"/>
      <c r="K19" s="136" t="s">
        <v>3058</v>
      </c>
      <c r="L19" s="834" t="s">
        <v>2130</v>
      </c>
      <c r="M19" s="847" t="s">
        <v>3072</v>
      </c>
      <c r="N19" s="847" t="s">
        <v>3072</v>
      </c>
      <c r="O19" s="847" t="s">
        <v>2050</v>
      </c>
      <c r="P19" s="847" t="s">
        <v>32</v>
      </c>
      <c r="Q19" s="848" t="s">
        <v>30</v>
      </c>
      <c r="R19" s="848">
        <v>46062</v>
      </c>
      <c r="S19" s="852" t="s">
        <v>28</v>
      </c>
      <c r="T19" s="834" t="s">
        <v>30</v>
      </c>
      <c r="U19" s="834">
        <v>12</v>
      </c>
      <c r="V19" s="852" t="s">
        <v>28</v>
      </c>
      <c r="W19" s="848">
        <v>46062</v>
      </c>
      <c r="X19" s="80" t="s">
        <v>30</v>
      </c>
      <c r="Y19" s="80" t="s">
        <v>30</v>
      </c>
      <c r="Z19" s="80" t="s">
        <v>30</v>
      </c>
      <c r="AA19" s="91" t="s">
        <v>32</v>
      </c>
      <c r="AB19" s="91" t="s">
        <v>32</v>
      </c>
      <c r="AC19" s="96" t="s">
        <v>30</v>
      </c>
      <c r="AD19" s="96" t="s">
        <v>30</v>
      </c>
      <c r="AE19" s="96" t="s">
        <v>30</v>
      </c>
      <c r="AF19" s="96" t="s">
        <v>30</v>
      </c>
      <c r="AG19" s="96" t="s">
        <v>30</v>
      </c>
      <c r="AH19" s="96" t="s">
        <v>30</v>
      </c>
      <c r="AI19" s="96" t="s">
        <v>30</v>
      </c>
      <c r="AJ19" s="91" t="s">
        <v>32</v>
      </c>
      <c r="AK19" s="91" t="s">
        <v>32</v>
      </c>
      <c r="AL19" s="96" t="s">
        <v>30</v>
      </c>
      <c r="AM19" s="91"/>
      <c r="AN19" s="840" t="s">
        <v>3069</v>
      </c>
      <c r="AO19" s="832"/>
      <c r="AP19" s="832"/>
      <c r="AQ19" s="832"/>
      <c r="AR19" s="832"/>
      <c r="AS19"/>
      <c r="AT19"/>
      <c r="AU19"/>
      <c r="AV19"/>
      <c r="AW19"/>
      <c r="AX19"/>
      <c r="BB19">
        <f t="shared" si="0"/>
        <v>1</v>
      </c>
    </row>
    <row r="20" spans="1:54" ht="15.75" customHeight="1">
      <c r="A20" s="834" t="s">
        <v>24</v>
      </c>
      <c r="B20" s="834">
        <v>17</v>
      </c>
      <c r="C20" s="847" t="s">
        <v>3085</v>
      </c>
      <c r="D20" s="847" t="s">
        <v>477</v>
      </c>
      <c r="E20" s="880">
        <v>46032</v>
      </c>
      <c r="F20" s="847" t="s">
        <v>93</v>
      </c>
      <c r="G20" s="847">
        <v>15</v>
      </c>
      <c r="H20" s="847" t="s">
        <v>127</v>
      </c>
      <c r="I20" s="847" t="s">
        <v>178</v>
      </c>
      <c r="J20" s="834"/>
      <c r="K20" s="136" t="s">
        <v>3058</v>
      </c>
      <c r="L20" s="834" t="s">
        <v>2705</v>
      </c>
      <c r="M20" s="847" t="s">
        <v>3086</v>
      </c>
      <c r="N20" s="847" t="s">
        <v>3086</v>
      </c>
      <c r="O20" s="847" t="s">
        <v>2050</v>
      </c>
      <c r="P20" s="126" t="s">
        <v>31</v>
      </c>
      <c r="Q20" s="400" t="s">
        <v>30</v>
      </c>
      <c r="R20" s="848">
        <v>46062</v>
      </c>
      <c r="S20" s="852" t="s">
        <v>28</v>
      </c>
      <c r="T20" s="834" t="s">
        <v>32</v>
      </c>
      <c r="U20" s="834">
        <v>13</v>
      </c>
      <c r="V20" s="834" t="s">
        <v>28</v>
      </c>
      <c r="W20" s="848">
        <v>46062</v>
      </c>
      <c r="X20" s="90" t="s">
        <v>30</v>
      </c>
      <c r="Y20" s="96" t="s">
        <v>30</v>
      </c>
      <c r="Z20" s="96" t="s">
        <v>30</v>
      </c>
      <c r="AA20" s="91" t="s">
        <v>32</v>
      </c>
      <c r="AB20" s="91" t="s">
        <v>32</v>
      </c>
      <c r="AC20" s="91" t="s">
        <v>32</v>
      </c>
      <c r="AD20" s="96" t="s">
        <v>30</v>
      </c>
      <c r="AE20" s="96" t="s">
        <v>30</v>
      </c>
      <c r="AF20" s="96" t="s">
        <v>30</v>
      </c>
      <c r="AG20" s="96" t="s">
        <v>30</v>
      </c>
      <c r="AH20" s="96" t="s">
        <v>30</v>
      </c>
      <c r="AI20" s="96" t="s">
        <v>30</v>
      </c>
      <c r="AJ20" s="96" t="s">
        <v>30</v>
      </c>
      <c r="AK20" s="96" t="s">
        <v>30</v>
      </c>
      <c r="AL20" s="96" t="s">
        <v>30</v>
      </c>
      <c r="AM20" s="91"/>
      <c r="AN20" s="840"/>
      <c r="AO20" s="832"/>
      <c r="AP20" s="832"/>
      <c r="AQ20" s="832"/>
      <c r="AR20" s="832"/>
      <c r="AS20"/>
      <c r="AT20"/>
      <c r="AU20"/>
      <c r="AV20"/>
      <c r="AW20"/>
      <c r="AX20"/>
      <c r="BB20">
        <f t="shared" si="0"/>
        <v>1</v>
      </c>
    </row>
    <row r="21" spans="1:54" ht="15.75" customHeight="1">
      <c r="A21" s="834" t="s">
        <v>24</v>
      </c>
      <c r="B21" s="834">
        <v>18</v>
      </c>
      <c r="C21" s="847" t="s">
        <v>3087</v>
      </c>
      <c r="D21" s="847" t="s">
        <v>34</v>
      </c>
      <c r="E21" s="880">
        <v>46032</v>
      </c>
      <c r="F21" s="847" t="s">
        <v>1757</v>
      </c>
      <c r="G21" s="847">
        <v>18</v>
      </c>
      <c r="H21" s="847" t="s">
        <v>67</v>
      </c>
      <c r="I21" s="847" t="s">
        <v>47</v>
      </c>
      <c r="J21" s="834"/>
      <c r="K21" s="136" t="s">
        <v>3058</v>
      </c>
      <c r="L21" s="834" t="s">
        <v>2126</v>
      </c>
      <c r="M21" s="847" t="s">
        <v>3086</v>
      </c>
      <c r="N21" s="847" t="s">
        <v>3086</v>
      </c>
      <c r="O21" s="847" t="s">
        <v>2050</v>
      </c>
      <c r="P21" s="126" t="s">
        <v>31</v>
      </c>
      <c r="Q21" s="848" t="s">
        <v>30</v>
      </c>
      <c r="R21" s="848">
        <v>46060</v>
      </c>
      <c r="S21" s="852" t="s">
        <v>47</v>
      </c>
      <c r="T21" s="834" t="s">
        <v>32</v>
      </c>
      <c r="U21" s="834">
        <v>14</v>
      </c>
      <c r="V21" s="852" t="s">
        <v>47</v>
      </c>
      <c r="W21" s="848">
        <v>46060</v>
      </c>
      <c r="X21" s="80" t="s">
        <v>30</v>
      </c>
      <c r="Y21" s="80" t="s">
        <v>30</v>
      </c>
      <c r="Z21" s="96" t="s">
        <v>30</v>
      </c>
      <c r="AA21" s="96" t="s">
        <v>30</v>
      </c>
      <c r="AB21" s="96" t="s">
        <v>30</v>
      </c>
      <c r="AC21" s="96" t="s">
        <v>30</v>
      </c>
      <c r="AD21" s="96" t="s">
        <v>30</v>
      </c>
      <c r="AE21" s="96" t="s">
        <v>30</v>
      </c>
      <c r="AF21" s="96" t="s">
        <v>30</v>
      </c>
      <c r="AG21" s="96" t="s">
        <v>30</v>
      </c>
      <c r="AH21" s="96" t="s">
        <v>30</v>
      </c>
      <c r="AI21" s="96" t="s">
        <v>30</v>
      </c>
      <c r="AJ21" s="96" t="s">
        <v>30</v>
      </c>
      <c r="AK21" s="96" t="s">
        <v>30</v>
      </c>
      <c r="AL21" s="96" t="s">
        <v>30</v>
      </c>
      <c r="AM21" s="91"/>
      <c r="AN21" s="840"/>
      <c r="AO21" s="832"/>
      <c r="AP21" s="832"/>
      <c r="AQ21" s="832"/>
      <c r="AR21" s="832"/>
      <c r="AS21"/>
      <c r="AT21"/>
      <c r="AU21"/>
      <c r="AV21"/>
      <c r="AW21"/>
      <c r="AX21"/>
      <c r="BB21">
        <f t="shared" si="0"/>
        <v>1</v>
      </c>
    </row>
    <row r="22" spans="1:54" ht="15.75" customHeight="1">
      <c r="A22" s="834" t="s">
        <v>24</v>
      </c>
      <c r="B22" s="834">
        <v>19</v>
      </c>
      <c r="C22" s="847" t="s">
        <v>3088</v>
      </c>
      <c r="D22" s="847" t="s">
        <v>34</v>
      </c>
      <c r="E22" s="880">
        <v>46032</v>
      </c>
      <c r="F22" s="847" t="s">
        <v>77</v>
      </c>
      <c r="G22" s="847">
        <v>12</v>
      </c>
      <c r="H22" s="847" t="s">
        <v>1721</v>
      </c>
      <c r="I22" s="847" t="s">
        <v>1638</v>
      </c>
      <c r="J22" s="834"/>
      <c r="K22" s="136" t="s">
        <v>3058</v>
      </c>
      <c r="L22" s="834" t="s">
        <v>2102</v>
      </c>
      <c r="M22" s="834" t="s">
        <v>3086</v>
      </c>
      <c r="N22" s="847" t="s">
        <v>3086</v>
      </c>
      <c r="O22" s="847" t="s">
        <v>2050</v>
      </c>
      <c r="P22" s="847" t="s">
        <v>32</v>
      </c>
      <c r="Q22" s="400" t="s">
        <v>30</v>
      </c>
      <c r="R22" s="848">
        <v>46116</v>
      </c>
      <c r="S22" s="852" t="s">
        <v>1638</v>
      </c>
      <c r="T22" s="834" t="s">
        <v>32</v>
      </c>
      <c r="U22" s="834">
        <v>4</v>
      </c>
      <c r="V22" s="852" t="s">
        <v>1638</v>
      </c>
      <c r="W22" s="848">
        <v>46116</v>
      </c>
      <c r="X22" s="80" t="s">
        <v>30</v>
      </c>
      <c r="Y22" s="96" t="s">
        <v>30</v>
      </c>
      <c r="Z22" s="96" t="s">
        <v>30</v>
      </c>
      <c r="AA22" s="96" t="s">
        <v>30</v>
      </c>
      <c r="AB22" s="96" t="s">
        <v>30</v>
      </c>
      <c r="AC22" s="96" t="s">
        <v>30</v>
      </c>
      <c r="AD22" s="96" t="s">
        <v>30</v>
      </c>
      <c r="AE22" s="96" t="s">
        <v>30</v>
      </c>
      <c r="AF22" s="96" t="s">
        <v>30</v>
      </c>
      <c r="AG22" s="96" t="s">
        <v>30</v>
      </c>
      <c r="AH22" s="96" t="s">
        <v>30</v>
      </c>
      <c r="AI22" s="96" t="s">
        <v>30</v>
      </c>
      <c r="AJ22" s="96" t="s">
        <v>30</v>
      </c>
      <c r="AK22" s="96" t="s">
        <v>30</v>
      </c>
      <c r="AL22" s="96" t="s">
        <v>30</v>
      </c>
      <c r="AM22" s="91"/>
      <c r="AN22" s="840"/>
      <c r="AO22" s="832"/>
      <c r="AP22" s="832"/>
      <c r="AQ22" s="832"/>
      <c r="AR22" s="832"/>
      <c r="AS22"/>
      <c r="AT22"/>
      <c r="AU22"/>
      <c r="AV22"/>
      <c r="AW22"/>
      <c r="AX22"/>
      <c r="BB22">
        <f t="shared" si="0"/>
        <v>1</v>
      </c>
    </row>
    <row r="23" spans="1:54" ht="15.75" customHeight="1">
      <c r="A23" s="834" t="s">
        <v>24</v>
      </c>
      <c r="B23" s="834">
        <v>20</v>
      </c>
      <c r="C23" s="847" t="s">
        <v>3089</v>
      </c>
      <c r="D23" s="847" t="s">
        <v>234</v>
      </c>
      <c r="E23" s="880">
        <v>46032</v>
      </c>
      <c r="F23" s="847" t="s">
        <v>77</v>
      </c>
      <c r="G23" s="847">
        <v>0</v>
      </c>
      <c r="H23" s="847" t="s">
        <v>1721</v>
      </c>
      <c r="I23" s="847" t="s">
        <v>1638</v>
      </c>
      <c r="J23" s="834"/>
      <c r="K23" s="136" t="s">
        <v>3058</v>
      </c>
      <c r="L23" s="834" t="s">
        <v>2102</v>
      </c>
      <c r="M23" s="847" t="s">
        <v>401</v>
      </c>
      <c r="N23" s="847" t="s">
        <v>401</v>
      </c>
      <c r="O23" s="847" t="s">
        <v>401</v>
      </c>
      <c r="P23" s="847" t="s">
        <v>32</v>
      </c>
      <c r="Q23" s="400" t="s">
        <v>30</v>
      </c>
      <c r="R23" s="848">
        <v>46057</v>
      </c>
      <c r="S23" s="852" t="s">
        <v>1638</v>
      </c>
      <c r="T23" s="834" t="s">
        <v>32</v>
      </c>
      <c r="U23" s="834">
        <v>7</v>
      </c>
      <c r="V23" s="852" t="s">
        <v>1638</v>
      </c>
      <c r="W23" s="848">
        <v>46057</v>
      </c>
      <c r="X23" s="80" t="s">
        <v>30</v>
      </c>
      <c r="Y23" s="96" t="s">
        <v>30</v>
      </c>
      <c r="Z23" s="96" t="s">
        <v>30</v>
      </c>
      <c r="AA23" s="96" t="s">
        <v>30</v>
      </c>
      <c r="AB23" s="96" t="s">
        <v>30</v>
      </c>
      <c r="AC23" s="96" t="s">
        <v>30</v>
      </c>
      <c r="AD23" s="96" t="s">
        <v>30</v>
      </c>
      <c r="AE23" s="96" t="s">
        <v>30</v>
      </c>
      <c r="AF23" s="96" t="s">
        <v>30</v>
      </c>
      <c r="AG23" s="96" t="s">
        <v>30</v>
      </c>
      <c r="AH23" s="96" t="s">
        <v>30</v>
      </c>
      <c r="AI23" s="96" t="s">
        <v>30</v>
      </c>
      <c r="AJ23" s="96" t="s">
        <v>30</v>
      </c>
      <c r="AK23" s="96" t="s">
        <v>30</v>
      </c>
      <c r="AL23" s="96" t="s">
        <v>30</v>
      </c>
      <c r="AM23" s="91"/>
      <c r="AN23" s="840"/>
      <c r="AO23" s="832"/>
      <c r="AP23" s="832"/>
      <c r="AQ23" s="832"/>
      <c r="AR23" s="832"/>
      <c r="AS23"/>
      <c r="AT23"/>
      <c r="AU23"/>
      <c r="AV23"/>
      <c r="AW23"/>
      <c r="AX23"/>
      <c r="BB23">
        <f t="shared" si="0"/>
        <v>1</v>
      </c>
    </row>
    <row r="24" spans="1:54" ht="15.75" customHeight="1">
      <c r="A24" s="834" t="s">
        <v>24</v>
      </c>
      <c r="B24" s="834">
        <v>21</v>
      </c>
      <c r="C24" s="847" t="s">
        <v>3090</v>
      </c>
      <c r="D24" s="847" t="s">
        <v>270</v>
      </c>
      <c r="E24" s="880">
        <v>46032</v>
      </c>
      <c r="F24" s="847" t="s">
        <v>91</v>
      </c>
      <c r="G24" s="847">
        <v>14</v>
      </c>
      <c r="H24" s="847" t="s">
        <v>1721</v>
      </c>
      <c r="I24" s="847" t="s">
        <v>1638</v>
      </c>
      <c r="J24" s="834"/>
      <c r="K24" s="136" t="s">
        <v>3058</v>
      </c>
      <c r="L24" s="834" t="s">
        <v>2092</v>
      </c>
      <c r="M24" s="834" t="s">
        <v>3086</v>
      </c>
      <c r="N24" s="847" t="s">
        <v>3086</v>
      </c>
      <c r="O24" s="847" t="s">
        <v>2050</v>
      </c>
      <c r="P24" s="847" t="s">
        <v>32</v>
      </c>
      <c r="Q24" s="400" t="s">
        <v>30</v>
      </c>
      <c r="R24" s="848">
        <v>46058</v>
      </c>
      <c r="S24" s="852" t="s">
        <v>1638</v>
      </c>
      <c r="T24" s="834" t="s">
        <v>32</v>
      </c>
      <c r="U24" s="834">
        <v>14</v>
      </c>
      <c r="V24" s="852" t="s">
        <v>1638</v>
      </c>
      <c r="W24" s="848">
        <v>46058</v>
      </c>
      <c r="X24" s="80" t="s">
        <v>30</v>
      </c>
      <c r="Y24" s="90" t="s">
        <v>30</v>
      </c>
      <c r="Z24" s="90" t="s">
        <v>30</v>
      </c>
      <c r="AA24" s="91" t="s">
        <v>32</v>
      </c>
      <c r="AB24" s="91" t="s">
        <v>32</v>
      </c>
      <c r="AC24" s="91" t="s">
        <v>32</v>
      </c>
      <c r="AD24" s="96" t="s">
        <v>30</v>
      </c>
      <c r="AE24" s="96" t="s">
        <v>30</v>
      </c>
      <c r="AF24" s="96" t="s">
        <v>30</v>
      </c>
      <c r="AG24" s="96" t="s">
        <v>30</v>
      </c>
      <c r="AH24" s="96" t="s">
        <v>30</v>
      </c>
      <c r="AI24" s="96" t="s">
        <v>30</v>
      </c>
      <c r="AJ24" s="90" t="s">
        <v>30</v>
      </c>
      <c r="AK24" s="90" t="s">
        <v>30</v>
      </c>
      <c r="AL24" s="90" t="s">
        <v>30</v>
      </c>
      <c r="AM24" s="91"/>
      <c r="AN24" s="840"/>
      <c r="AO24" s="832"/>
      <c r="AP24" s="832"/>
      <c r="AQ24" s="832"/>
      <c r="AR24" s="832"/>
      <c r="AS24"/>
      <c r="AT24"/>
      <c r="AU24"/>
      <c r="AV24"/>
      <c r="AW24"/>
      <c r="AX24"/>
      <c r="BB24">
        <f t="shared" si="0"/>
        <v>1</v>
      </c>
    </row>
    <row r="25" spans="1:54" ht="15.75" customHeight="1">
      <c r="A25" s="834" t="s">
        <v>24</v>
      </c>
      <c r="B25" s="834">
        <v>22</v>
      </c>
      <c r="C25" s="847" t="s">
        <v>3091</v>
      </c>
      <c r="D25" s="847" t="s">
        <v>34</v>
      </c>
      <c r="E25" s="880">
        <v>46032</v>
      </c>
      <c r="F25" s="847" t="s">
        <v>65</v>
      </c>
      <c r="G25" s="847">
        <v>3</v>
      </c>
      <c r="H25" s="847" t="s">
        <v>1721</v>
      </c>
      <c r="I25" s="847" t="s">
        <v>1638</v>
      </c>
      <c r="J25" s="834"/>
      <c r="K25" s="136" t="s">
        <v>3058</v>
      </c>
      <c r="L25" s="834" t="s">
        <v>2052</v>
      </c>
      <c r="M25" s="847" t="s">
        <v>3092</v>
      </c>
      <c r="N25" s="847" t="s">
        <v>3092</v>
      </c>
      <c r="O25" s="847" t="s">
        <v>2166</v>
      </c>
      <c r="P25" s="847" t="s">
        <v>32</v>
      </c>
      <c r="Q25" s="400" t="s">
        <v>30</v>
      </c>
      <c r="R25" s="848">
        <v>46058</v>
      </c>
      <c r="S25" s="852" t="s">
        <v>1638</v>
      </c>
      <c r="T25" s="834" t="s">
        <v>32</v>
      </c>
      <c r="U25" s="834">
        <v>3</v>
      </c>
      <c r="V25" s="852" t="s">
        <v>1638</v>
      </c>
      <c r="W25" s="848">
        <v>46058</v>
      </c>
      <c r="X25" s="96" t="s">
        <v>30</v>
      </c>
      <c r="Y25" s="80" t="s">
        <v>30</v>
      </c>
      <c r="Z25" s="96" t="s">
        <v>30</v>
      </c>
      <c r="AA25" s="96" t="s">
        <v>30</v>
      </c>
      <c r="AB25" s="96" t="s">
        <v>30</v>
      </c>
      <c r="AC25" s="96" t="s">
        <v>30</v>
      </c>
      <c r="AD25" s="96" t="s">
        <v>30</v>
      </c>
      <c r="AE25" s="96" t="s">
        <v>30</v>
      </c>
      <c r="AF25" s="96" t="s">
        <v>30</v>
      </c>
      <c r="AG25" s="96" t="s">
        <v>30</v>
      </c>
      <c r="AH25" s="96" t="s">
        <v>30</v>
      </c>
      <c r="AI25" s="96" t="s">
        <v>30</v>
      </c>
      <c r="AJ25" s="96" t="s">
        <v>30</v>
      </c>
      <c r="AK25" s="96" t="s">
        <v>30</v>
      </c>
      <c r="AL25" s="107" t="s">
        <v>30</v>
      </c>
      <c r="AM25" s="91"/>
      <c r="AN25" s="840"/>
      <c r="AO25" s="832"/>
      <c r="AP25" s="832"/>
      <c r="AQ25" s="832"/>
      <c r="AR25" s="832"/>
      <c r="AS25"/>
      <c r="AT25"/>
      <c r="AU25"/>
      <c r="AV25"/>
      <c r="AW25"/>
      <c r="AX25"/>
      <c r="BB25">
        <f t="shared" si="0"/>
        <v>1</v>
      </c>
    </row>
    <row r="26" spans="1:54" ht="15.75" customHeight="1">
      <c r="A26" s="834" t="s">
        <v>24</v>
      </c>
      <c r="B26" s="834">
        <v>23</v>
      </c>
      <c r="C26" s="847" t="s">
        <v>3093</v>
      </c>
      <c r="D26" s="847" t="s">
        <v>34</v>
      </c>
      <c r="E26" s="880">
        <v>46032</v>
      </c>
      <c r="F26" s="847" t="s">
        <v>65</v>
      </c>
      <c r="G26" s="847">
        <v>8</v>
      </c>
      <c r="H26" s="847" t="s">
        <v>1077</v>
      </c>
      <c r="I26" s="847" t="s">
        <v>1138</v>
      </c>
      <c r="J26" s="834"/>
      <c r="K26" s="136" t="s">
        <v>3058</v>
      </c>
      <c r="L26" s="834" t="s">
        <v>2052</v>
      </c>
      <c r="M26" s="847" t="s">
        <v>401</v>
      </c>
      <c r="N26" s="847" t="s">
        <v>401</v>
      </c>
      <c r="O26" s="847" t="s">
        <v>401</v>
      </c>
      <c r="P26" s="847" t="s">
        <v>32</v>
      </c>
      <c r="Q26" s="848" t="s">
        <v>30</v>
      </c>
      <c r="R26" s="848">
        <v>46042</v>
      </c>
      <c r="S26" s="852" t="s">
        <v>1138</v>
      </c>
      <c r="T26" s="834" t="s">
        <v>32</v>
      </c>
      <c r="U26" s="834">
        <v>8</v>
      </c>
      <c r="V26" s="852" t="s">
        <v>1138</v>
      </c>
      <c r="W26" s="848">
        <v>46042</v>
      </c>
      <c r="X26" s="96" t="s">
        <v>30</v>
      </c>
      <c r="Y26" s="80" t="s">
        <v>30</v>
      </c>
      <c r="Z26" s="96" t="s">
        <v>30</v>
      </c>
      <c r="AA26" s="96" t="s">
        <v>30</v>
      </c>
      <c r="AB26" s="96" t="s">
        <v>30</v>
      </c>
      <c r="AC26" s="96" t="s">
        <v>30</v>
      </c>
      <c r="AD26" s="96" t="s">
        <v>30</v>
      </c>
      <c r="AE26" s="96" t="s">
        <v>30</v>
      </c>
      <c r="AF26" s="96" t="s">
        <v>30</v>
      </c>
      <c r="AG26" s="96" t="s">
        <v>30</v>
      </c>
      <c r="AH26" s="96" t="s">
        <v>30</v>
      </c>
      <c r="AI26" s="96" t="s">
        <v>30</v>
      </c>
      <c r="AJ26" s="96" t="s">
        <v>30</v>
      </c>
      <c r="AK26" s="96" t="s">
        <v>30</v>
      </c>
      <c r="AL26" s="96" t="s">
        <v>30</v>
      </c>
      <c r="AM26" s="91"/>
      <c r="AN26" s="840"/>
      <c r="AO26" s="832"/>
      <c r="AP26" s="832"/>
      <c r="AQ26" s="832"/>
      <c r="AR26" s="832"/>
      <c r="AS26"/>
      <c r="AT26"/>
      <c r="AU26"/>
      <c r="AV26"/>
      <c r="AW26"/>
      <c r="AX26"/>
      <c r="BB26">
        <f t="shared" si="0"/>
        <v>1</v>
      </c>
    </row>
    <row r="27" spans="1:54" ht="15.75" customHeight="1">
      <c r="A27" s="834" t="s">
        <v>24</v>
      </c>
      <c r="B27" s="834">
        <v>24</v>
      </c>
      <c r="C27" s="847" t="s">
        <v>3094</v>
      </c>
      <c r="D27" s="847" t="s">
        <v>34</v>
      </c>
      <c r="E27" s="880">
        <v>46032</v>
      </c>
      <c r="F27" s="847" t="s">
        <v>1124</v>
      </c>
      <c r="G27" s="847">
        <v>11</v>
      </c>
      <c r="H27" s="847" t="s">
        <v>1077</v>
      </c>
      <c r="I27" s="847" t="s">
        <v>1138</v>
      </c>
      <c r="J27" s="98" t="s">
        <v>3095</v>
      </c>
      <c r="K27" s="136" t="s">
        <v>3058</v>
      </c>
      <c r="L27" s="834" t="s">
        <v>2115</v>
      </c>
      <c r="M27" s="847" t="s">
        <v>3092</v>
      </c>
      <c r="N27" s="847" t="s">
        <v>3092</v>
      </c>
      <c r="O27" s="847" t="s">
        <v>2050</v>
      </c>
      <c r="P27" s="847" t="s">
        <v>32</v>
      </c>
      <c r="Q27" s="848"/>
      <c r="R27" s="848"/>
      <c r="S27" s="852" t="s">
        <v>1138</v>
      </c>
      <c r="T27" s="834" t="s">
        <v>30</v>
      </c>
      <c r="U27" s="834">
        <v>10</v>
      </c>
      <c r="V27" s="852" t="s">
        <v>1138</v>
      </c>
      <c r="W27" s="848"/>
      <c r="X27" s="91" t="s">
        <v>32</v>
      </c>
      <c r="Y27" s="96" t="s">
        <v>30</v>
      </c>
      <c r="Z27" s="91"/>
      <c r="AA27" s="91" t="s">
        <v>32</v>
      </c>
      <c r="AB27" s="91" t="s">
        <v>32</v>
      </c>
      <c r="AC27" s="91" t="s">
        <v>32</v>
      </c>
      <c r="AD27" s="96" t="s">
        <v>30</v>
      </c>
      <c r="AE27" s="96" t="s">
        <v>30</v>
      </c>
      <c r="AF27" s="96" t="s">
        <v>30</v>
      </c>
      <c r="AG27" s="96" t="s">
        <v>30</v>
      </c>
      <c r="AH27" s="96" t="s">
        <v>30</v>
      </c>
      <c r="AI27" s="110"/>
      <c r="AJ27" s="96" t="s">
        <v>30</v>
      </c>
      <c r="AK27" s="96" t="s">
        <v>30</v>
      </c>
      <c r="AL27" s="96" t="s">
        <v>30</v>
      </c>
      <c r="AM27" s="91"/>
      <c r="AN27" s="840"/>
      <c r="AO27" s="832"/>
      <c r="AP27" s="875"/>
      <c r="AQ27" s="875"/>
      <c r="AR27" s="875"/>
      <c r="AS27" s="776"/>
      <c r="AT27" s="776"/>
      <c r="AU27"/>
      <c r="AV27"/>
      <c r="AW27"/>
      <c r="AX27"/>
      <c r="BB27">
        <f t="shared" si="0"/>
        <v>1</v>
      </c>
    </row>
    <row r="28" spans="1:54" ht="15.75" customHeight="1">
      <c r="A28" s="834" t="s">
        <v>24</v>
      </c>
      <c r="B28" s="834">
        <v>25</v>
      </c>
      <c r="C28" s="847" t="s">
        <v>3096</v>
      </c>
      <c r="D28" s="847" t="s">
        <v>64</v>
      </c>
      <c r="E28" s="880">
        <v>46034</v>
      </c>
      <c r="F28" s="847" t="s">
        <v>1626</v>
      </c>
      <c r="G28" s="847">
        <v>14</v>
      </c>
      <c r="H28" s="847" t="s">
        <v>1077</v>
      </c>
      <c r="I28" s="847" t="s">
        <v>1138</v>
      </c>
      <c r="J28" s="98"/>
      <c r="K28" s="136" t="s">
        <v>3058</v>
      </c>
      <c r="L28" s="834" t="s">
        <v>2135</v>
      </c>
      <c r="M28" s="847" t="s">
        <v>3086</v>
      </c>
      <c r="N28" s="847" t="s">
        <v>3086</v>
      </c>
      <c r="O28" s="847" t="s">
        <v>2050</v>
      </c>
      <c r="P28" s="847" t="s">
        <v>32</v>
      </c>
      <c r="Q28" s="400" t="s">
        <v>30</v>
      </c>
      <c r="R28" s="848">
        <v>46080</v>
      </c>
      <c r="S28" s="852" t="s">
        <v>28</v>
      </c>
      <c r="T28" s="834" t="s">
        <v>32</v>
      </c>
      <c r="U28" s="834">
        <v>11</v>
      </c>
      <c r="V28" s="852" t="s">
        <v>28</v>
      </c>
      <c r="W28" s="848">
        <v>46080</v>
      </c>
      <c r="X28" s="96" t="s">
        <v>30</v>
      </c>
      <c r="Y28" s="80" t="s">
        <v>30</v>
      </c>
      <c r="Z28" s="96" t="s">
        <v>30</v>
      </c>
      <c r="AA28" s="91" t="s">
        <v>32</v>
      </c>
      <c r="AB28" s="91" t="s">
        <v>32</v>
      </c>
      <c r="AC28" s="91" t="s">
        <v>32</v>
      </c>
      <c r="AD28" s="96" t="s">
        <v>30</v>
      </c>
      <c r="AE28" s="96" t="s">
        <v>30</v>
      </c>
      <c r="AF28" s="96" t="s">
        <v>30</v>
      </c>
      <c r="AG28" s="96" t="s">
        <v>30</v>
      </c>
      <c r="AH28" s="96" t="s">
        <v>30</v>
      </c>
      <c r="AI28" s="96" t="s">
        <v>30</v>
      </c>
      <c r="AJ28" s="91" t="s">
        <v>32</v>
      </c>
      <c r="AK28" s="91" t="s">
        <v>32</v>
      </c>
      <c r="AL28" s="96" t="s">
        <v>30</v>
      </c>
      <c r="AM28" s="91"/>
      <c r="AN28" s="840" t="s">
        <v>3061</v>
      </c>
      <c r="AO28" s="832"/>
      <c r="AP28" s="832"/>
      <c r="AQ28" s="832"/>
      <c r="AR28" s="832"/>
      <c r="AS28"/>
      <c r="AT28"/>
      <c r="AU28" s="71"/>
      <c r="BB28">
        <f t="shared" si="0"/>
        <v>1</v>
      </c>
    </row>
    <row r="29" spans="1:54" ht="15.75" customHeight="1">
      <c r="A29" s="834" t="s">
        <v>24</v>
      </c>
      <c r="B29" s="834">
        <v>26</v>
      </c>
      <c r="C29" s="847" t="s">
        <v>3097</v>
      </c>
      <c r="D29" s="847" t="s">
        <v>34</v>
      </c>
      <c r="E29" s="880">
        <v>46034</v>
      </c>
      <c r="F29" s="847" t="s">
        <v>206</v>
      </c>
      <c r="G29" s="847">
        <v>11</v>
      </c>
      <c r="H29" s="847" t="s">
        <v>1721</v>
      </c>
      <c r="I29" s="847" t="s">
        <v>1638</v>
      </c>
      <c r="J29" s="834"/>
      <c r="K29" s="136" t="s">
        <v>3058</v>
      </c>
      <c r="L29" s="834" t="s">
        <v>2316</v>
      </c>
      <c r="M29" s="847" t="s">
        <v>3086</v>
      </c>
      <c r="N29" s="847" t="s">
        <v>3086</v>
      </c>
      <c r="O29" s="847" t="s">
        <v>2050</v>
      </c>
      <c r="P29" s="847" t="s">
        <v>32</v>
      </c>
      <c r="Q29" s="848" t="s">
        <v>30</v>
      </c>
      <c r="R29" s="848">
        <v>46065</v>
      </c>
      <c r="S29" s="852" t="s">
        <v>1638</v>
      </c>
      <c r="T29" s="834" t="s">
        <v>32</v>
      </c>
      <c r="U29" s="834">
        <v>11</v>
      </c>
      <c r="V29" s="852" t="s">
        <v>1638</v>
      </c>
      <c r="W29" s="848">
        <v>46065</v>
      </c>
      <c r="X29" s="96" t="s">
        <v>30</v>
      </c>
      <c r="Y29" s="96" t="s">
        <v>30</v>
      </c>
      <c r="Z29" s="96" t="s">
        <v>30</v>
      </c>
      <c r="AA29" s="91" t="s">
        <v>32</v>
      </c>
      <c r="AB29" s="91" t="s">
        <v>32</v>
      </c>
      <c r="AC29" s="91" t="s">
        <v>32</v>
      </c>
      <c r="AD29" s="96" t="s">
        <v>30</v>
      </c>
      <c r="AE29" s="96" t="s">
        <v>30</v>
      </c>
      <c r="AF29" s="96" t="s">
        <v>30</v>
      </c>
      <c r="AG29" s="96" t="s">
        <v>30</v>
      </c>
      <c r="AH29" s="96" t="s">
        <v>30</v>
      </c>
      <c r="AI29" s="110"/>
      <c r="AJ29" s="107" t="s">
        <v>30</v>
      </c>
      <c r="AK29" s="107" t="s">
        <v>30</v>
      </c>
      <c r="AL29" s="107" t="s">
        <v>30</v>
      </c>
      <c r="AM29" s="91"/>
      <c r="AN29" s="840"/>
      <c r="AO29" s="832"/>
      <c r="AP29" s="875"/>
      <c r="AQ29" s="875"/>
      <c r="AR29" s="875"/>
      <c r="AS29" s="776"/>
      <c r="AT29" s="776"/>
      <c r="AU29"/>
      <c r="AV29"/>
      <c r="AW29"/>
      <c r="AX29"/>
      <c r="BB29">
        <f t="shared" si="0"/>
        <v>1</v>
      </c>
    </row>
    <row r="30" spans="1:54" ht="15.75" customHeight="1">
      <c r="A30" s="834" t="s">
        <v>24</v>
      </c>
      <c r="B30" s="834">
        <v>27</v>
      </c>
      <c r="C30" s="847" t="s">
        <v>3098</v>
      </c>
      <c r="D30" s="847" t="s">
        <v>34</v>
      </c>
      <c r="E30" s="880">
        <v>46036</v>
      </c>
      <c r="F30" s="847" t="s">
        <v>3099</v>
      </c>
      <c r="G30" s="847">
        <v>18</v>
      </c>
      <c r="H30" s="847" t="s">
        <v>67</v>
      </c>
      <c r="I30" s="847" t="s">
        <v>47</v>
      </c>
      <c r="J30" s="834"/>
      <c r="K30" s="136" t="s">
        <v>3058</v>
      </c>
      <c r="L30" s="834" t="s">
        <v>2325</v>
      </c>
      <c r="M30" s="847" t="s">
        <v>3086</v>
      </c>
      <c r="N30" s="847" t="s">
        <v>3100</v>
      </c>
      <c r="O30" s="847" t="s">
        <v>2050</v>
      </c>
      <c r="P30" s="126" t="s">
        <v>31</v>
      </c>
      <c r="Q30" s="848" t="s">
        <v>30</v>
      </c>
      <c r="R30" s="848">
        <v>46059</v>
      </c>
      <c r="S30" s="852" t="s">
        <v>1138</v>
      </c>
      <c r="T30" s="834" t="s">
        <v>32</v>
      </c>
      <c r="U30" s="834">
        <v>15</v>
      </c>
      <c r="V30" s="852" t="s">
        <v>1138</v>
      </c>
      <c r="W30" s="848">
        <v>46059</v>
      </c>
      <c r="X30" s="80" t="s">
        <v>30</v>
      </c>
      <c r="Y30" s="96" t="s">
        <v>30</v>
      </c>
      <c r="Z30" s="96" t="s">
        <v>30</v>
      </c>
      <c r="AA30" s="96" t="s">
        <v>30</v>
      </c>
      <c r="AB30" s="96" t="s">
        <v>30</v>
      </c>
      <c r="AC30" s="96" t="s">
        <v>30</v>
      </c>
      <c r="AD30" s="96" t="s">
        <v>30</v>
      </c>
      <c r="AE30" s="96" t="s">
        <v>30</v>
      </c>
      <c r="AF30" s="96" t="s">
        <v>30</v>
      </c>
      <c r="AG30" s="96" t="s">
        <v>30</v>
      </c>
      <c r="AH30" s="96" t="s">
        <v>30</v>
      </c>
      <c r="AI30" s="96" t="s">
        <v>30</v>
      </c>
      <c r="AJ30" s="96" t="s">
        <v>30</v>
      </c>
      <c r="AK30" s="96" t="s">
        <v>30</v>
      </c>
      <c r="AL30" s="96" t="s">
        <v>30</v>
      </c>
      <c r="AM30" s="91"/>
      <c r="AN30" s="840"/>
      <c r="AO30" s="832"/>
      <c r="AP30" s="875"/>
      <c r="AQ30" s="875"/>
      <c r="AR30" s="875"/>
      <c r="AS30" s="776"/>
      <c r="AT30" s="776"/>
      <c r="AU30"/>
      <c r="AV30"/>
      <c r="AW30"/>
      <c r="AX30"/>
      <c r="BB30">
        <f t="shared" si="0"/>
        <v>1</v>
      </c>
    </row>
    <row r="31" spans="1:54" ht="15.75" customHeight="1">
      <c r="A31" s="834" t="s">
        <v>24</v>
      </c>
      <c r="B31" s="834">
        <v>28</v>
      </c>
      <c r="C31" s="847" t="s">
        <v>3101</v>
      </c>
      <c r="D31" s="847" t="s">
        <v>102</v>
      </c>
      <c r="E31" s="880">
        <v>46038</v>
      </c>
      <c r="F31" s="847" t="s">
        <v>187</v>
      </c>
      <c r="G31" s="847">
        <v>15</v>
      </c>
      <c r="H31" s="847" t="s">
        <v>1721</v>
      </c>
      <c r="I31" s="847" t="s">
        <v>1638</v>
      </c>
      <c r="J31" s="834"/>
      <c r="K31" s="136" t="s">
        <v>3063</v>
      </c>
      <c r="L31" s="834" t="s">
        <v>3083</v>
      </c>
      <c r="M31" s="847" t="s">
        <v>3072</v>
      </c>
      <c r="N31" s="847" t="s">
        <v>3072</v>
      </c>
      <c r="O31" s="847" t="s">
        <v>2058</v>
      </c>
      <c r="P31" s="126" t="s">
        <v>31</v>
      </c>
      <c r="Q31" s="400" t="s">
        <v>30</v>
      </c>
      <c r="R31" s="848">
        <v>46064</v>
      </c>
      <c r="S31" s="852" t="s">
        <v>1638</v>
      </c>
      <c r="T31" s="834" t="s">
        <v>32</v>
      </c>
      <c r="U31" s="834">
        <v>14</v>
      </c>
      <c r="V31" s="852" t="s">
        <v>1638</v>
      </c>
      <c r="W31" s="848">
        <v>46064</v>
      </c>
      <c r="X31" s="91" t="s">
        <v>32</v>
      </c>
      <c r="Y31" s="96" t="s">
        <v>30</v>
      </c>
      <c r="Z31" s="91"/>
      <c r="AA31" s="96" t="s">
        <v>30</v>
      </c>
      <c r="AB31" s="96" t="s">
        <v>30</v>
      </c>
      <c r="AC31" s="96" t="s">
        <v>30</v>
      </c>
      <c r="AD31" s="96" t="s">
        <v>30</v>
      </c>
      <c r="AE31" s="96" t="s">
        <v>30</v>
      </c>
      <c r="AF31" s="96" t="s">
        <v>30</v>
      </c>
      <c r="AG31" s="96" t="s">
        <v>30</v>
      </c>
      <c r="AH31" s="96" t="s">
        <v>30</v>
      </c>
      <c r="AI31" s="110"/>
      <c r="AJ31" s="96" t="s">
        <v>30</v>
      </c>
      <c r="AK31" s="96" t="s">
        <v>30</v>
      </c>
      <c r="AL31" s="96" t="s">
        <v>30</v>
      </c>
      <c r="AM31" s="91"/>
      <c r="AN31" s="840"/>
      <c r="AO31" s="832"/>
      <c r="AP31" s="832"/>
      <c r="AQ31" s="832"/>
      <c r="AR31" s="832"/>
      <c r="AS31"/>
      <c r="AT31"/>
      <c r="AU31"/>
      <c r="AV31"/>
      <c r="AW31"/>
      <c r="AX31"/>
      <c r="BB31">
        <f t="shared" si="0"/>
        <v>1</v>
      </c>
    </row>
    <row r="32" spans="1:54" ht="15.75" customHeight="1">
      <c r="A32" s="834" t="s">
        <v>24</v>
      </c>
      <c r="B32" s="834">
        <v>29</v>
      </c>
      <c r="C32" s="847" t="s">
        <v>3102</v>
      </c>
      <c r="D32" s="847" t="s">
        <v>43</v>
      </c>
      <c r="E32" s="880">
        <v>46038</v>
      </c>
      <c r="F32" s="847" t="s">
        <v>65</v>
      </c>
      <c r="G32" s="847">
        <v>12</v>
      </c>
      <c r="H32" s="847" t="s">
        <v>1077</v>
      </c>
      <c r="I32" s="847" t="s">
        <v>1138</v>
      </c>
      <c r="J32" s="830"/>
      <c r="K32" s="136" t="s">
        <v>3063</v>
      </c>
      <c r="L32" s="834" t="s">
        <v>2203</v>
      </c>
      <c r="M32" s="847" t="s">
        <v>3103</v>
      </c>
      <c r="N32" s="847" t="s">
        <v>3103</v>
      </c>
      <c r="O32" s="847" t="s">
        <v>2166</v>
      </c>
      <c r="P32" s="847" t="s">
        <v>32</v>
      </c>
      <c r="Q32" s="400" t="s">
        <v>30</v>
      </c>
      <c r="R32" s="848">
        <v>46052</v>
      </c>
      <c r="S32" s="852" t="s">
        <v>1138</v>
      </c>
      <c r="T32" s="834" t="s">
        <v>32</v>
      </c>
      <c r="U32" s="834">
        <v>11</v>
      </c>
      <c r="V32" s="852" t="s">
        <v>1138</v>
      </c>
      <c r="W32" s="848">
        <v>46052</v>
      </c>
      <c r="X32" s="96" t="s">
        <v>30</v>
      </c>
      <c r="Y32" s="96" t="s">
        <v>30</v>
      </c>
      <c r="Z32" s="96" t="s">
        <v>30</v>
      </c>
      <c r="AA32" s="96" t="s">
        <v>30</v>
      </c>
      <c r="AB32" s="96" t="s">
        <v>30</v>
      </c>
      <c r="AC32" s="96" t="s">
        <v>30</v>
      </c>
      <c r="AD32" s="96" t="s">
        <v>30</v>
      </c>
      <c r="AE32" s="96" t="s">
        <v>30</v>
      </c>
      <c r="AF32" s="96" t="s">
        <v>30</v>
      </c>
      <c r="AG32" s="96" t="s">
        <v>30</v>
      </c>
      <c r="AH32" s="96" t="s">
        <v>30</v>
      </c>
      <c r="AI32" s="96" t="s">
        <v>30</v>
      </c>
      <c r="AJ32" s="91" t="s">
        <v>32</v>
      </c>
      <c r="AK32" s="91" t="s">
        <v>32</v>
      </c>
      <c r="AL32" s="96" t="s">
        <v>30</v>
      </c>
      <c r="AM32" s="91"/>
      <c r="AN32" s="840" t="s">
        <v>3074</v>
      </c>
      <c r="AO32" s="832"/>
      <c r="AP32" s="832"/>
      <c r="AQ32" s="832"/>
      <c r="AR32" s="832"/>
      <c r="AS32"/>
      <c r="AT32"/>
      <c r="AU32"/>
      <c r="AV32"/>
      <c r="AW32"/>
      <c r="AX32"/>
      <c r="BB32">
        <f t="shared" si="0"/>
        <v>1</v>
      </c>
    </row>
    <row r="33" spans="1:54" ht="15.75" customHeight="1">
      <c r="A33" s="834" t="s">
        <v>24</v>
      </c>
      <c r="B33" s="834">
        <v>30</v>
      </c>
      <c r="C33" s="847" t="s">
        <v>3104</v>
      </c>
      <c r="D33" s="847" t="s">
        <v>397</v>
      </c>
      <c r="E33" s="880">
        <v>46038</v>
      </c>
      <c r="F33" s="847" t="s">
        <v>2202</v>
      </c>
      <c r="G33" s="847">
        <v>8</v>
      </c>
      <c r="H33" s="847" t="s">
        <v>1077</v>
      </c>
      <c r="I33" s="847" t="s">
        <v>1138</v>
      </c>
      <c r="J33" s="834"/>
      <c r="K33" s="136" t="s">
        <v>3063</v>
      </c>
      <c r="L33" s="834" t="s">
        <v>2066</v>
      </c>
      <c r="M33" s="847" t="s">
        <v>3103</v>
      </c>
      <c r="N33" s="847" t="s">
        <v>3103</v>
      </c>
      <c r="O33" s="847" t="s">
        <v>2083</v>
      </c>
      <c r="P33" s="847" t="s">
        <v>32</v>
      </c>
      <c r="Q33" s="400" t="s">
        <v>30</v>
      </c>
      <c r="R33" s="848">
        <v>46056</v>
      </c>
      <c r="S33" s="852" t="s">
        <v>1138</v>
      </c>
      <c r="T33" s="834" t="s">
        <v>32</v>
      </c>
      <c r="U33" s="834">
        <v>8</v>
      </c>
      <c r="V33" s="852" t="s">
        <v>1138</v>
      </c>
      <c r="W33" s="848">
        <v>46056</v>
      </c>
      <c r="X33" s="80" t="s">
        <v>30</v>
      </c>
      <c r="Y33" s="80" t="s">
        <v>30</v>
      </c>
      <c r="Z33" s="80" t="s">
        <v>30</v>
      </c>
      <c r="AA33" s="96" t="s">
        <v>30</v>
      </c>
      <c r="AB33" s="96" t="s">
        <v>30</v>
      </c>
      <c r="AC33" s="96" t="s">
        <v>30</v>
      </c>
      <c r="AD33" s="96" t="s">
        <v>30</v>
      </c>
      <c r="AE33" s="96" t="s">
        <v>30</v>
      </c>
      <c r="AF33" s="96" t="s">
        <v>30</v>
      </c>
      <c r="AG33" s="96" t="s">
        <v>30</v>
      </c>
      <c r="AH33" s="96" t="s">
        <v>30</v>
      </c>
      <c r="AI33" s="96" t="s">
        <v>30</v>
      </c>
      <c r="AJ33" s="103" t="s">
        <v>32</v>
      </c>
      <c r="AK33" s="103" t="s">
        <v>32</v>
      </c>
      <c r="AL33" s="103" t="s">
        <v>32</v>
      </c>
      <c r="AM33" s="103" t="s">
        <v>32</v>
      </c>
      <c r="AN33" s="840" t="s">
        <v>3061</v>
      </c>
      <c r="AO33" s="832"/>
      <c r="AP33" s="832"/>
      <c r="AQ33" s="832"/>
      <c r="AR33" s="832"/>
      <c r="AS33"/>
      <c r="AT33"/>
      <c r="AU33"/>
      <c r="AV33"/>
      <c r="AW33"/>
      <c r="AX33"/>
      <c r="BB33">
        <f t="shared" si="0"/>
        <v>1</v>
      </c>
    </row>
    <row r="34" spans="1:54" ht="15.75" customHeight="1">
      <c r="A34" s="834" t="s">
        <v>24</v>
      </c>
      <c r="B34" s="834">
        <v>31</v>
      </c>
      <c r="C34" s="847" t="s">
        <v>3105</v>
      </c>
      <c r="D34" s="847" t="s">
        <v>1131</v>
      </c>
      <c r="E34" s="880">
        <v>46038</v>
      </c>
      <c r="F34" s="847" t="s">
        <v>2557</v>
      </c>
      <c r="G34" s="847">
        <v>21</v>
      </c>
      <c r="H34" s="847" t="s">
        <v>67</v>
      </c>
      <c r="I34" s="847" t="s">
        <v>47</v>
      </c>
      <c r="J34" s="834"/>
      <c r="K34" s="136" t="s">
        <v>3063</v>
      </c>
      <c r="L34" s="834" t="s">
        <v>2056</v>
      </c>
      <c r="M34" s="847" t="s">
        <v>3103</v>
      </c>
      <c r="N34" s="847" t="s">
        <v>3103</v>
      </c>
      <c r="O34" s="847" t="s">
        <v>3106</v>
      </c>
      <c r="P34" s="126" t="s">
        <v>31</v>
      </c>
      <c r="Q34" s="848" t="s">
        <v>30</v>
      </c>
      <c r="R34" s="848">
        <v>46075</v>
      </c>
      <c r="S34" s="852" t="s">
        <v>47</v>
      </c>
      <c r="T34" s="834" t="s">
        <v>32</v>
      </c>
      <c r="U34" s="834">
        <v>22</v>
      </c>
      <c r="V34" s="852" t="s">
        <v>47</v>
      </c>
      <c r="W34" s="848">
        <v>46075</v>
      </c>
      <c r="X34" s="80" t="s">
        <v>30</v>
      </c>
      <c r="Y34" s="80" t="s">
        <v>30</v>
      </c>
      <c r="Z34" s="80" t="s">
        <v>30</v>
      </c>
      <c r="AA34" s="96" t="s">
        <v>30</v>
      </c>
      <c r="AB34" s="96" t="s">
        <v>30</v>
      </c>
      <c r="AC34" s="96" t="s">
        <v>30</v>
      </c>
      <c r="AD34" s="96" t="s">
        <v>30</v>
      </c>
      <c r="AE34" s="96" t="s">
        <v>30</v>
      </c>
      <c r="AF34" s="96" t="s">
        <v>30</v>
      </c>
      <c r="AG34" s="96" t="s">
        <v>30</v>
      </c>
      <c r="AH34" s="96" t="s">
        <v>30</v>
      </c>
      <c r="AI34" s="96" t="s">
        <v>30</v>
      </c>
      <c r="AJ34" s="96" t="s">
        <v>30</v>
      </c>
      <c r="AK34" s="96" t="s">
        <v>30</v>
      </c>
      <c r="AL34" s="96" t="s">
        <v>30</v>
      </c>
      <c r="AM34" s="91"/>
      <c r="AN34" s="840"/>
      <c r="AO34" s="832"/>
      <c r="AP34" s="832"/>
      <c r="AQ34" s="832"/>
      <c r="AR34" s="832"/>
      <c r="AS34"/>
      <c r="AT34"/>
      <c r="AU34"/>
      <c r="AV34"/>
      <c r="AW34"/>
      <c r="AX34"/>
      <c r="BB34">
        <f t="shared" si="0"/>
        <v>1</v>
      </c>
    </row>
    <row r="35" spans="1:54" ht="15.75" customHeight="1">
      <c r="A35" s="834" t="s">
        <v>24</v>
      </c>
      <c r="B35" s="834">
        <v>32</v>
      </c>
      <c r="C35" s="847" t="s">
        <v>3107</v>
      </c>
      <c r="D35" s="847" t="s">
        <v>102</v>
      </c>
      <c r="E35" s="880">
        <v>46039</v>
      </c>
      <c r="F35" s="847" t="s">
        <v>97</v>
      </c>
      <c r="G35" s="847">
        <v>20</v>
      </c>
      <c r="H35" s="847" t="s">
        <v>1721</v>
      </c>
      <c r="I35" s="847" t="s">
        <v>1638</v>
      </c>
      <c r="J35" s="834"/>
      <c r="K35" s="136" t="s">
        <v>3063</v>
      </c>
      <c r="L35" s="834" t="s">
        <v>2056</v>
      </c>
      <c r="M35" s="834" t="s">
        <v>3103</v>
      </c>
      <c r="N35" s="847" t="s">
        <v>3103</v>
      </c>
      <c r="O35" s="847" t="s">
        <v>2058</v>
      </c>
      <c r="P35" s="126" t="s">
        <v>31</v>
      </c>
      <c r="Q35" s="400" t="s">
        <v>30</v>
      </c>
      <c r="R35" s="848">
        <v>46064</v>
      </c>
      <c r="S35" s="852" t="s">
        <v>1638</v>
      </c>
      <c r="T35" s="834" t="s">
        <v>32</v>
      </c>
      <c r="U35" s="834">
        <v>21</v>
      </c>
      <c r="V35" s="852" t="s">
        <v>1638</v>
      </c>
      <c r="W35" s="848">
        <v>46064</v>
      </c>
      <c r="X35" s="80" t="s">
        <v>30</v>
      </c>
      <c r="Y35" s="80" t="s">
        <v>30</v>
      </c>
      <c r="Z35" s="80" t="s">
        <v>30</v>
      </c>
      <c r="AA35" s="96" t="s">
        <v>30</v>
      </c>
      <c r="AB35" s="96" t="s">
        <v>30</v>
      </c>
      <c r="AC35" s="96" t="s">
        <v>30</v>
      </c>
      <c r="AD35" s="96" t="s">
        <v>30</v>
      </c>
      <c r="AE35" s="96" t="s">
        <v>30</v>
      </c>
      <c r="AF35" s="96" t="s">
        <v>30</v>
      </c>
      <c r="AG35" s="91" t="s">
        <v>32</v>
      </c>
      <c r="AH35" s="96" t="s">
        <v>30</v>
      </c>
      <c r="AI35" s="96" t="s">
        <v>30</v>
      </c>
      <c r="AJ35" s="96" t="s">
        <v>30</v>
      </c>
      <c r="AK35" s="96" t="s">
        <v>30</v>
      </c>
      <c r="AL35" s="96" t="s">
        <v>30</v>
      </c>
      <c r="AM35" s="91"/>
      <c r="AN35" s="840" t="s">
        <v>3108</v>
      </c>
      <c r="AO35" s="832"/>
      <c r="AP35" s="832"/>
      <c r="AQ35" s="832"/>
      <c r="AR35" s="832"/>
      <c r="AS35"/>
      <c r="AT35"/>
      <c r="AU35"/>
      <c r="AV35"/>
      <c r="AW35"/>
      <c r="AX35"/>
      <c r="BB35">
        <f t="shared" si="0"/>
        <v>1</v>
      </c>
    </row>
    <row r="36" spans="1:54" ht="15.75" customHeight="1">
      <c r="A36" s="834" t="s">
        <v>24</v>
      </c>
      <c r="B36" s="834">
        <v>33</v>
      </c>
      <c r="C36" s="847" t="s">
        <v>3109</v>
      </c>
      <c r="D36" s="847" t="s">
        <v>43</v>
      </c>
      <c r="E36" s="880">
        <v>46039</v>
      </c>
      <c r="F36" s="847" t="s">
        <v>97</v>
      </c>
      <c r="G36" s="847">
        <v>20</v>
      </c>
      <c r="H36" s="847" t="s">
        <v>1721</v>
      </c>
      <c r="I36" s="847" t="s">
        <v>1638</v>
      </c>
      <c r="J36" s="98"/>
      <c r="K36" s="136" t="s">
        <v>3063</v>
      </c>
      <c r="L36" s="834" t="s">
        <v>2056</v>
      </c>
      <c r="M36" s="834" t="s">
        <v>401</v>
      </c>
      <c r="N36" s="847" t="s">
        <v>401</v>
      </c>
      <c r="O36" s="847" t="s">
        <v>401</v>
      </c>
      <c r="P36" s="126" t="s">
        <v>31</v>
      </c>
      <c r="Q36" s="834" t="s">
        <v>30</v>
      </c>
      <c r="R36" s="848">
        <v>46078</v>
      </c>
      <c r="S36" s="852" t="s">
        <v>1638</v>
      </c>
      <c r="T36" s="834" t="s">
        <v>32</v>
      </c>
      <c r="U36" s="834">
        <v>20</v>
      </c>
      <c r="V36" s="852" t="s">
        <v>1638</v>
      </c>
      <c r="W36" s="848">
        <v>46078</v>
      </c>
      <c r="X36" s="80" t="s">
        <v>30</v>
      </c>
      <c r="Y36" s="80" t="s">
        <v>30</v>
      </c>
      <c r="Z36" s="80" t="s">
        <v>30</v>
      </c>
      <c r="AA36" s="96" t="s">
        <v>30</v>
      </c>
      <c r="AB36" s="96" t="s">
        <v>30</v>
      </c>
      <c r="AC36" s="96" t="s">
        <v>30</v>
      </c>
      <c r="AD36" s="96" t="s">
        <v>30</v>
      </c>
      <c r="AE36" s="96" t="s">
        <v>30</v>
      </c>
      <c r="AF36" s="96" t="s">
        <v>30</v>
      </c>
      <c r="AG36" s="96" t="s">
        <v>30</v>
      </c>
      <c r="AH36" s="96" t="s">
        <v>30</v>
      </c>
      <c r="AI36" s="96" t="s">
        <v>30</v>
      </c>
      <c r="AJ36" s="96" t="s">
        <v>30</v>
      </c>
      <c r="AK36" s="96" t="s">
        <v>30</v>
      </c>
      <c r="AL36" s="96" t="s">
        <v>30</v>
      </c>
      <c r="AM36" s="91"/>
      <c r="AN36" s="840" t="s">
        <v>3108</v>
      </c>
      <c r="AO36" s="832"/>
      <c r="AP36" s="832"/>
      <c r="AQ36" s="832"/>
      <c r="AR36" s="832"/>
      <c r="AS36"/>
      <c r="AT36"/>
      <c r="AU36"/>
      <c r="AV36"/>
      <c r="AW36"/>
      <c r="AX36"/>
      <c r="BB36">
        <f t="shared" si="0"/>
        <v>1</v>
      </c>
    </row>
    <row r="37" spans="1:54" ht="15.6" customHeight="1">
      <c r="A37" s="834" t="s">
        <v>24</v>
      </c>
      <c r="B37" s="834">
        <v>34</v>
      </c>
      <c r="C37" s="847" t="s">
        <v>3110</v>
      </c>
      <c r="D37" s="847" t="s">
        <v>34</v>
      </c>
      <c r="E37" s="880">
        <v>46039</v>
      </c>
      <c r="F37" s="847" t="s">
        <v>1105</v>
      </c>
      <c r="G37" s="847">
        <v>15</v>
      </c>
      <c r="H37" s="847" t="s">
        <v>1721</v>
      </c>
      <c r="I37" s="847" t="s">
        <v>1638</v>
      </c>
      <c r="J37" s="834"/>
      <c r="K37" s="136" t="s">
        <v>3058</v>
      </c>
      <c r="L37" s="834" t="s">
        <v>2092</v>
      </c>
      <c r="M37" s="834" t="s">
        <v>3111</v>
      </c>
      <c r="N37" s="847" t="s">
        <v>3111</v>
      </c>
      <c r="O37" s="847" t="s">
        <v>2083</v>
      </c>
      <c r="P37" s="126" t="s">
        <v>31</v>
      </c>
      <c r="Q37" s="400" t="s">
        <v>30</v>
      </c>
      <c r="R37" s="848">
        <v>46062</v>
      </c>
      <c r="S37" s="852" t="s">
        <v>1638</v>
      </c>
      <c r="T37" s="834" t="s">
        <v>32</v>
      </c>
      <c r="U37" s="834">
        <v>16</v>
      </c>
      <c r="V37" s="852" t="s">
        <v>1638</v>
      </c>
      <c r="W37" s="848">
        <v>46062</v>
      </c>
      <c r="X37" s="90" t="s">
        <v>30</v>
      </c>
      <c r="Y37" s="96" t="s">
        <v>30</v>
      </c>
      <c r="Z37" s="96" t="s">
        <v>30</v>
      </c>
      <c r="AA37" s="91" t="s">
        <v>32</v>
      </c>
      <c r="AB37" s="91" t="s">
        <v>32</v>
      </c>
      <c r="AC37" s="91" t="s">
        <v>32</v>
      </c>
      <c r="AD37" s="96" t="s">
        <v>30</v>
      </c>
      <c r="AE37" s="96" t="s">
        <v>30</v>
      </c>
      <c r="AF37" s="96" t="s">
        <v>30</v>
      </c>
      <c r="AG37" s="96" t="s">
        <v>30</v>
      </c>
      <c r="AH37" s="96" t="s">
        <v>30</v>
      </c>
      <c r="AI37" s="96" t="s">
        <v>30</v>
      </c>
      <c r="AJ37" s="90" t="s">
        <v>30</v>
      </c>
      <c r="AK37" s="90" t="s">
        <v>30</v>
      </c>
      <c r="AL37" s="96" t="s">
        <v>30</v>
      </c>
      <c r="AM37" s="91"/>
      <c r="AN37" s="840"/>
      <c r="AO37" s="832"/>
      <c r="AP37" s="875"/>
      <c r="AQ37" s="875"/>
      <c r="AR37" s="875"/>
      <c r="AS37" s="776"/>
      <c r="AT37" s="776"/>
      <c r="AU37"/>
      <c r="AV37"/>
      <c r="AW37"/>
      <c r="AX37"/>
      <c r="BB37">
        <f t="shared" si="0"/>
        <v>1</v>
      </c>
    </row>
    <row r="38" spans="1:54" ht="15.6" customHeight="1">
      <c r="A38" s="834" t="s">
        <v>24</v>
      </c>
      <c r="B38" s="834">
        <v>35</v>
      </c>
      <c r="C38" s="847" t="s">
        <v>3112</v>
      </c>
      <c r="D38" s="847" t="s">
        <v>34</v>
      </c>
      <c r="E38" s="880">
        <v>46039</v>
      </c>
      <c r="F38" s="847" t="s">
        <v>3113</v>
      </c>
      <c r="G38" s="847">
        <v>10</v>
      </c>
      <c r="H38" s="847" t="s">
        <v>1721</v>
      </c>
      <c r="I38" s="847" t="s">
        <v>1638</v>
      </c>
      <c r="J38" s="98" t="s">
        <v>3114</v>
      </c>
      <c r="K38" s="136" t="s">
        <v>3063</v>
      </c>
      <c r="L38" s="834" t="s">
        <v>2270</v>
      </c>
      <c r="M38" s="834" t="s">
        <v>3115</v>
      </c>
      <c r="N38" s="847" t="s">
        <v>3116</v>
      </c>
      <c r="O38" s="847" t="s">
        <v>3117</v>
      </c>
      <c r="P38" s="847" t="s">
        <v>32</v>
      </c>
      <c r="Q38" s="834"/>
      <c r="R38" s="848"/>
      <c r="S38" s="852" t="s">
        <v>1638</v>
      </c>
      <c r="T38" s="834"/>
      <c r="U38" s="834"/>
      <c r="V38" s="852"/>
      <c r="W38" s="848"/>
      <c r="X38" s="91" t="s">
        <v>32</v>
      </c>
      <c r="Y38" s="91" t="s">
        <v>32</v>
      </c>
      <c r="Z38" s="91"/>
      <c r="AA38" s="96" t="s">
        <v>30</v>
      </c>
      <c r="AB38" s="96" t="s">
        <v>30</v>
      </c>
      <c r="AC38" s="91" t="s">
        <v>32</v>
      </c>
      <c r="AD38" s="96" t="s">
        <v>30</v>
      </c>
      <c r="AE38" s="96" t="s">
        <v>30</v>
      </c>
      <c r="AF38" s="96" t="s">
        <v>30</v>
      </c>
      <c r="AG38" s="96" t="s">
        <v>30</v>
      </c>
      <c r="AH38" s="96" t="s">
        <v>30</v>
      </c>
      <c r="AI38" s="110"/>
      <c r="AJ38" s="107" t="s">
        <v>30</v>
      </c>
      <c r="AK38" s="107" t="s">
        <v>30</v>
      </c>
      <c r="AL38" s="91" t="s">
        <v>32</v>
      </c>
      <c r="AM38" s="91"/>
      <c r="AN38" s="840" t="s">
        <v>3108</v>
      </c>
      <c r="AO38" s="832"/>
      <c r="AP38" s="875"/>
      <c r="AQ38" s="875"/>
      <c r="AR38" s="875"/>
      <c r="AS38" s="776"/>
      <c r="AT38" s="776"/>
      <c r="AU38"/>
      <c r="AV38"/>
      <c r="AW38"/>
      <c r="AX38"/>
      <c r="BB38">
        <f t="shared" si="0"/>
        <v>1</v>
      </c>
    </row>
    <row r="39" spans="1:54" ht="15.6" customHeight="1">
      <c r="A39" s="834" t="s">
        <v>24</v>
      </c>
      <c r="B39" s="834">
        <v>36</v>
      </c>
      <c r="C39" s="847" t="s">
        <v>3118</v>
      </c>
      <c r="D39" s="847" t="s">
        <v>34</v>
      </c>
      <c r="E39" s="880">
        <v>46039</v>
      </c>
      <c r="F39" s="847" t="s">
        <v>35</v>
      </c>
      <c r="G39" s="847">
        <v>5</v>
      </c>
      <c r="H39" s="847" t="s">
        <v>1721</v>
      </c>
      <c r="I39" s="847" t="s">
        <v>1638</v>
      </c>
      <c r="J39" s="834"/>
      <c r="K39" s="136" t="s">
        <v>3058</v>
      </c>
      <c r="L39" s="834" t="s">
        <v>2102</v>
      </c>
      <c r="M39" s="834" t="s">
        <v>3115</v>
      </c>
      <c r="N39" s="847" t="s">
        <v>3116</v>
      </c>
      <c r="O39" s="847" t="s">
        <v>2166</v>
      </c>
      <c r="P39" s="847" t="s">
        <v>32</v>
      </c>
      <c r="Q39" s="834" t="s">
        <v>30</v>
      </c>
      <c r="R39" s="848">
        <v>46058</v>
      </c>
      <c r="S39" s="852" t="s">
        <v>1638</v>
      </c>
      <c r="T39" s="834" t="s">
        <v>32</v>
      </c>
      <c r="U39" s="834">
        <v>3</v>
      </c>
      <c r="V39" s="852" t="s">
        <v>1638</v>
      </c>
      <c r="W39" s="848">
        <v>46058</v>
      </c>
      <c r="X39" s="80" t="s">
        <v>30</v>
      </c>
      <c r="Y39" s="96" t="s">
        <v>30</v>
      </c>
      <c r="Z39" s="96" t="s">
        <v>30</v>
      </c>
      <c r="AA39" s="96" t="s">
        <v>30</v>
      </c>
      <c r="AB39" s="96" t="s">
        <v>30</v>
      </c>
      <c r="AC39" s="96" t="s">
        <v>30</v>
      </c>
      <c r="AD39" s="96" t="s">
        <v>30</v>
      </c>
      <c r="AE39" s="96" t="s">
        <v>30</v>
      </c>
      <c r="AF39" s="96" t="s">
        <v>30</v>
      </c>
      <c r="AG39" s="96" t="s">
        <v>30</v>
      </c>
      <c r="AH39" s="96" t="s">
        <v>30</v>
      </c>
      <c r="AI39" s="96" t="s">
        <v>30</v>
      </c>
      <c r="AJ39" s="96" t="s">
        <v>30</v>
      </c>
      <c r="AK39" s="96" t="s">
        <v>30</v>
      </c>
      <c r="AL39" s="96" t="s">
        <v>30</v>
      </c>
      <c r="AM39" s="91"/>
      <c r="AN39" s="840"/>
      <c r="AO39" s="832"/>
      <c r="AP39" s="832"/>
      <c r="AQ39" s="832"/>
      <c r="AR39" s="832"/>
      <c r="AS39"/>
      <c r="AT39"/>
      <c r="AU39" s="71"/>
      <c r="BB39">
        <f t="shared" si="0"/>
        <v>1</v>
      </c>
    </row>
    <row r="40" spans="1:54" ht="15.6" customHeight="1">
      <c r="A40" s="834" t="s">
        <v>24</v>
      </c>
      <c r="B40" s="834">
        <v>37</v>
      </c>
      <c r="C40" s="847" t="s">
        <v>3119</v>
      </c>
      <c r="D40" s="847" t="s">
        <v>34</v>
      </c>
      <c r="E40" s="880">
        <v>46039</v>
      </c>
      <c r="F40" s="847" t="s">
        <v>401</v>
      </c>
      <c r="G40" s="847">
        <v>5</v>
      </c>
      <c r="H40" s="847" t="s">
        <v>1721</v>
      </c>
      <c r="I40" s="847" t="s">
        <v>1638</v>
      </c>
      <c r="J40" s="834"/>
      <c r="K40" s="136" t="s">
        <v>3058</v>
      </c>
      <c r="L40" s="834" t="s">
        <v>2102</v>
      </c>
      <c r="M40" s="834" t="s">
        <v>401</v>
      </c>
      <c r="N40" s="847" t="s">
        <v>401</v>
      </c>
      <c r="O40" s="847" t="s">
        <v>401</v>
      </c>
      <c r="P40" s="847" t="s">
        <v>32</v>
      </c>
      <c r="Q40" s="834" t="s">
        <v>30</v>
      </c>
      <c r="R40" s="848">
        <v>46059</v>
      </c>
      <c r="S40" s="852" t="s">
        <v>1638</v>
      </c>
      <c r="T40" s="834" t="s">
        <v>32</v>
      </c>
      <c r="U40" s="834">
        <v>5</v>
      </c>
      <c r="V40" s="852" t="s">
        <v>1638</v>
      </c>
      <c r="W40" s="848">
        <v>46059</v>
      </c>
      <c r="X40" s="80" t="s">
        <v>30</v>
      </c>
      <c r="Y40" s="80" t="s">
        <v>30</v>
      </c>
      <c r="Z40" s="80" t="s">
        <v>30</v>
      </c>
      <c r="AA40" s="80" t="s">
        <v>30</v>
      </c>
      <c r="AB40" s="80" t="s">
        <v>30</v>
      </c>
      <c r="AC40" s="80" t="s">
        <v>30</v>
      </c>
      <c r="AD40" s="80" t="s">
        <v>30</v>
      </c>
      <c r="AE40" s="80" t="s">
        <v>30</v>
      </c>
      <c r="AF40" s="80" t="s">
        <v>30</v>
      </c>
      <c r="AG40" s="80" t="s">
        <v>30</v>
      </c>
      <c r="AH40" s="80" t="s">
        <v>30</v>
      </c>
      <c r="AI40" s="96" t="s">
        <v>30</v>
      </c>
      <c r="AJ40" s="96" t="s">
        <v>30</v>
      </c>
      <c r="AK40" s="96" t="s">
        <v>30</v>
      </c>
      <c r="AL40" s="96" t="s">
        <v>30</v>
      </c>
      <c r="AM40" s="91"/>
      <c r="AN40" s="840"/>
      <c r="AO40" s="832"/>
      <c r="AP40" s="832"/>
      <c r="AQ40" s="832"/>
      <c r="AR40" s="832"/>
      <c r="AS40"/>
      <c r="AT40"/>
      <c r="AU40"/>
      <c r="AV40"/>
      <c r="AW40"/>
      <c r="AX40"/>
      <c r="BB40">
        <f t="shared" si="0"/>
        <v>1</v>
      </c>
    </row>
    <row r="41" spans="1:54" ht="15.6" customHeight="1">
      <c r="A41" s="834" t="s">
        <v>24</v>
      </c>
      <c r="B41" s="834">
        <v>38</v>
      </c>
      <c r="C41" s="847" t="s">
        <v>3120</v>
      </c>
      <c r="D41" s="847" t="s">
        <v>34</v>
      </c>
      <c r="E41" s="880">
        <v>46039</v>
      </c>
      <c r="F41" s="847" t="s">
        <v>1608</v>
      </c>
      <c r="G41" s="847">
        <v>15</v>
      </c>
      <c r="H41" s="847" t="s">
        <v>67</v>
      </c>
      <c r="I41" s="847" t="s">
        <v>47</v>
      </c>
      <c r="J41" s="834"/>
      <c r="K41" s="136" t="s">
        <v>3058</v>
      </c>
      <c r="L41" s="834" t="s">
        <v>2052</v>
      </c>
      <c r="M41" s="834" t="s">
        <v>3111</v>
      </c>
      <c r="N41" s="847" t="s">
        <v>3111</v>
      </c>
      <c r="O41" s="847" t="s">
        <v>2050</v>
      </c>
      <c r="P41" s="126" t="s">
        <v>31</v>
      </c>
      <c r="Q41" s="848" t="s">
        <v>30</v>
      </c>
      <c r="R41" s="848">
        <v>46068</v>
      </c>
      <c r="S41" s="852" t="s">
        <v>47</v>
      </c>
      <c r="T41" s="834" t="s">
        <v>32</v>
      </c>
      <c r="U41" s="834">
        <v>12</v>
      </c>
      <c r="V41" s="852" t="s">
        <v>47</v>
      </c>
      <c r="W41" s="848">
        <v>46068</v>
      </c>
      <c r="X41" s="96" t="s">
        <v>30</v>
      </c>
      <c r="Y41" s="96" t="s">
        <v>30</v>
      </c>
      <c r="Z41" s="96" t="s">
        <v>30</v>
      </c>
      <c r="AA41" s="96" t="s">
        <v>30</v>
      </c>
      <c r="AB41" s="96" t="s">
        <v>30</v>
      </c>
      <c r="AC41" s="96" t="s">
        <v>30</v>
      </c>
      <c r="AD41" s="96" t="s">
        <v>30</v>
      </c>
      <c r="AE41" s="96" t="s">
        <v>30</v>
      </c>
      <c r="AF41" s="96" t="s">
        <v>30</v>
      </c>
      <c r="AG41" s="96" t="s">
        <v>30</v>
      </c>
      <c r="AH41" s="96" t="s">
        <v>30</v>
      </c>
      <c r="AI41" s="96" t="s">
        <v>30</v>
      </c>
      <c r="AJ41" s="107" t="s">
        <v>30</v>
      </c>
      <c r="AK41" s="107" t="s">
        <v>30</v>
      </c>
      <c r="AL41" s="107" t="s">
        <v>30</v>
      </c>
      <c r="AM41" s="91"/>
      <c r="AN41" s="840"/>
      <c r="AO41" s="832"/>
      <c r="AP41" s="832"/>
      <c r="AQ41" s="832"/>
      <c r="AR41" s="832"/>
      <c r="AS41"/>
      <c r="AT41"/>
      <c r="AU41"/>
      <c r="AV41"/>
      <c r="AW41"/>
      <c r="AX41"/>
      <c r="BB41">
        <f t="shared" si="0"/>
        <v>1</v>
      </c>
    </row>
    <row r="42" spans="1:54" ht="15.6" customHeight="1">
      <c r="A42" s="834" t="s">
        <v>24</v>
      </c>
      <c r="B42" s="834">
        <v>39</v>
      </c>
      <c r="C42" s="847" t="s">
        <v>3121</v>
      </c>
      <c r="D42" s="847" t="s">
        <v>34</v>
      </c>
      <c r="E42" s="880">
        <v>46039</v>
      </c>
      <c r="F42" s="847" t="s">
        <v>187</v>
      </c>
      <c r="G42" s="847">
        <v>13</v>
      </c>
      <c r="H42" s="847" t="s">
        <v>67</v>
      </c>
      <c r="I42" s="847" t="s">
        <v>47</v>
      </c>
      <c r="J42" s="98" t="s">
        <v>2110</v>
      </c>
      <c r="K42" s="136" t="s">
        <v>3058</v>
      </c>
      <c r="L42" s="834" t="s">
        <v>2130</v>
      </c>
      <c r="M42" s="834" t="s">
        <v>3115</v>
      </c>
      <c r="N42" s="847" t="s">
        <v>3115</v>
      </c>
      <c r="O42" s="847" t="s">
        <v>2050</v>
      </c>
      <c r="P42" s="847" t="s">
        <v>32</v>
      </c>
      <c r="Q42" s="834"/>
      <c r="R42" s="848">
        <v>46061</v>
      </c>
      <c r="S42" s="852" t="s">
        <v>47</v>
      </c>
      <c r="T42" s="834" t="s">
        <v>30</v>
      </c>
      <c r="U42" s="834">
        <v>14</v>
      </c>
      <c r="V42" s="852" t="s">
        <v>47</v>
      </c>
      <c r="W42" s="848">
        <v>46061</v>
      </c>
      <c r="X42" s="80" t="s">
        <v>30</v>
      </c>
      <c r="Y42" s="96" t="s">
        <v>30</v>
      </c>
      <c r="Z42" s="96" t="s">
        <v>30</v>
      </c>
      <c r="AA42" s="91" t="s">
        <v>32</v>
      </c>
      <c r="AB42" s="91" t="s">
        <v>32</v>
      </c>
      <c r="AC42" s="96" t="s">
        <v>30</v>
      </c>
      <c r="AD42" s="96" t="s">
        <v>30</v>
      </c>
      <c r="AE42" s="96" t="s">
        <v>30</v>
      </c>
      <c r="AF42" s="96" t="s">
        <v>30</v>
      </c>
      <c r="AG42" s="96" t="s">
        <v>30</v>
      </c>
      <c r="AH42" s="96" t="s">
        <v>30</v>
      </c>
      <c r="AI42" s="96" t="s">
        <v>30</v>
      </c>
      <c r="AJ42" s="96" t="s">
        <v>30</v>
      </c>
      <c r="AK42" s="96" t="s">
        <v>30</v>
      </c>
      <c r="AL42" s="96" t="s">
        <v>30</v>
      </c>
      <c r="AM42" s="91"/>
      <c r="AN42" s="840" t="s">
        <v>3069</v>
      </c>
      <c r="AO42" s="832"/>
      <c r="AP42" s="832"/>
      <c r="AQ42" s="832"/>
      <c r="AR42" s="832"/>
      <c r="AS42"/>
      <c r="AT42"/>
      <c r="AU42" s="71"/>
      <c r="BB42">
        <f t="shared" si="0"/>
        <v>1</v>
      </c>
    </row>
    <row r="43" spans="1:54" ht="15.6" customHeight="1">
      <c r="A43" s="834" t="s">
        <v>24</v>
      </c>
      <c r="B43" s="834">
        <v>40</v>
      </c>
      <c r="C43" s="847" t="s">
        <v>3122</v>
      </c>
      <c r="D43" s="847" t="s">
        <v>406</v>
      </c>
      <c r="E43" s="880">
        <v>46039</v>
      </c>
      <c r="F43" s="847" t="s">
        <v>1135</v>
      </c>
      <c r="G43" s="847">
        <v>14</v>
      </c>
      <c r="H43" s="847" t="s">
        <v>67</v>
      </c>
      <c r="I43" s="847" t="s">
        <v>47</v>
      </c>
      <c r="J43" s="834"/>
      <c r="K43" s="136" t="s">
        <v>3058</v>
      </c>
      <c r="L43" s="834" t="s">
        <v>2126</v>
      </c>
      <c r="M43" s="834" t="s">
        <v>3111</v>
      </c>
      <c r="N43" s="847" t="s">
        <v>3115</v>
      </c>
      <c r="O43" s="847" t="s">
        <v>2050</v>
      </c>
      <c r="P43" s="847" t="s">
        <v>32</v>
      </c>
      <c r="Q43" s="834" t="s">
        <v>30</v>
      </c>
      <c r="R43" s="848">
        <v>46060</v>
      </c>
      <c r="S43" s="852" t="s">
        <v>47</v>
      </c>
      <c r="T43" s="834" t="s">
        <v>32</v>
      </c>
      <c r="U43" s="834">
        <v>12</v>
      </c>
      <c r="V43" s="852" t="s">
        <v>47</v>
      </c>
      <c r="W43" s="848">
        <v>46060</v>
      </c>
      <c r="X43" s="90" t="s">
        <v>30</v>
      </c>
      <c r="Y43" s="80" t="s">
        <v>30</v>
      </c>
      <c r="Z43" s="96" t="s">
        <v>30</v>
      </c>
      <c r="AA43" s="96" t="s">
        <v>30</v>
      </c>
      <c r="AB43" s="96" t="s">
        <v>30</v>
      </c>
      <c r="AC43" s="96" t="s">
        <v>30</v>
      </c>
      <c r="AD43" s="96" t="s">
        <v>30</v>
      </c>
      <c r="AE43" s="96" t="s">
        <v>30</v>
      </c>
      <c r="AF43" s="96" t="s">
        <v>30</v>
      </c>
      <c r="AG43" s="96" t="s">
        <v>30</v>
      </c>
      <c r="AH43" s="96" t="s">
        <v>30</v>
      </c>
      <c r="AI43" s="96" t="s">
        <v>30</v>
      </c>
      <c r="AJ43" s="96" t="s">
        <v>30</v>
      </c>
      <c r="AK43" s="96" t="s">
        <v>30</v>
      </c>
      <c r="AL43" s="96" t="s">
        <v>30</v>
      </c>
      <c r="AM43" s="91"/>
      <c r="AN43" s="840"/>
      <c r="AO43" s="832"/>
      <c r="AP43" s="832"/>
      <c r="AQ43" s="832"/>
      <c r="AR43" s="832"/>
      <c r="AS43"/>
      <c r="AT43"/>
      <c r="AU43"/>
      <c r="AV43"/>
      <c r="AW43"/>
      <c r="AX43"/>
      <c r="BB43">
        <f t="shared" si="0"/>
        <v>1</v>
      </c>
    </row>
    <row r="44" spans="1:54" ht="15.6" customHeight="1">
      <c r="A44" s="834" t="s">
        <v>24</v>
      </c>
      <c r="B44" s="834">
        <v>41</v>
      </c>
      <c r="C44" s="847" t="s">
        <v>3123</v>
      </c>
      <c r="D44" s="847" t="s">
        <v>178</v>
      </c>
      <c r="E44" s="880">
        <v>46039</v>
      </c>
      <c r="F44" s="847" t="s">
        <v>3124</v>
      </c>
      <c r="G44" s="847">
        <v>10</v>
      </c>
      <c r="H44" s="847" t="s">
        <v>67</v>
      </c>
      <c r="I44" s="847" t="s">
        <v>47</v>
      </c>
      <c r="J44" s="98" t="s">
        <v>2110</v>
      </c>
      <c r="K44" s="136" t="s">
        <v>3058</v>
      </c>
      <c r="L44" s="834" t="s">
        <v>2123</v>
      </c>
      <c r="M44" s="834" t="s">
        <v>3111</v>
      </c>
      <c r="N44" s="834" t="s">
        <v>3116</v>
      </c>
      <c r="O44" s="847" t="s">
        <v>3125</v>
      </c>
      <c r="P44" s="847" t="s">
        <v>32</v>
      </c>
      <c r="Q44" s="834"/>
      <c r="R44" s="848"/>
      <c r="S44" s="852" t="s">
        <v>47</v>
      </c>
      <c r="T44" s="834" t="s">
        <v>30</v>
      </c>
      <c r="U44" s="834">
        <v>9</v>
      </c>
      <c r="V44" s="852" t="s">
        <v>47</v>
      </c>
      <c r="W44" s="848">
        <v>46070</v>
      </c>
      <c r="X44" s="80" t="s">
        <v>30</v>
      </c>
      <c r="Y44" s="96" t="s">
        <v>30</v>
      </c>
      <c r="Z44" s="96" t="s">
        <v>30</v>
      </c>
      <c r="AA44" s="96" t="s">
        <v>30</v>
      </c>
      <c r="AB44" s="96" t="s">
        <v>30</v>
      </c>
      <c r="AC44" s="96" t="s">
        <v>30</v>
      </c>
      <c r="AD44" s="96" t="s">
        <v>30</v>
      </c>
      <c r="AE44" s="96" t="s">
        <v>30</v>
      </c>
      <c r="AF44" s="96" t="s">
        <v>30</v>
      </c>
      <c r="AG44" s="96" t="s">
        <v>30</v>
      </c>
      <c r="AH44" s="96" t="s">
        <v>30</v>
      </c>
      <c r="AI44" s="96" t="s">
        <v>30</v>
      </c>
      <c r="AJ44" s="96" t="s">
        <v>30</v>
      </c>
      <c r="AK44" s="96" t="s">
        <v>30</v>
      </c>
      <c r="AL44" s="96" t="s">
        <v>30</v>
      </c>
      <c r="AM44" s="91"/>
      <c r="AN44" s="840"/>
      <c r="AO44" s="832"/>
      <c r="AP44" s="832"/>
      <c r="AQ44" s="832"/>
      <c r="AR44" s="832"/>
      <c r="AS44"/>
      <c r="AT44"/>
      <c r="AU44"/>
      <c r="AV44"/>
      <c r="AW44"/>
      <c r="AX44"/>
      <c r="BB44">
        <f t="shared" si="0"/>
        <v>1</v>
      </c>
    </row>
    <row r="45" spans="1:54" ht="15.75" customHeight="1">
      <c r="A45" s="834" t="s">
        <v>24</v>
      </c>
      <c r="B45" s="834">
        <v>42</v>
      </c>
      <c r="C45" s="847" t="s">
        <v>3126</v>
      </c>
      <c r="D45" s="847" t="s">
        <v>34</v>
      </c>
      <c r="E45" s="880">
        <v>46039</v>
      </c>
      <c r="F45" s="847" t="s">
        <v>202</v>
      </c>
      <c r="G45" s="847">
        <v>12</v>
      </c>
      <c r="H45" s="847" t="s">
        <v>127</v>
      </c>
      <c r="I45" s="847" t="s">
        <v>178</v>
      </c>
      <c r="J45" s="834"/>
      <c r="K45" s="136" t="s">
        <v>3058</v>
      </c>
      <c r="L45" s="834" t="s">
        <v>2180</v>
      </c>
      <c r="M45" s="834" t="s">
        <v>3111</v>
      </c>
      <c r="N45" s="834" t="s">
        <v>3111</v>
      </c>
      <c r="O45" s="847" t="s">
        <v>2050</v>
      </c>
      <c r="P45" s="847" t="s">
        <v>32</v>
      </c>
      <c r="Q45" s="834" t="s">
        <v>30</v>
      </c>
      <c r="R45" s="848">
        <v>46062</v>
      </c>
      <c r="S45" s="852" t="s">
        <v>28</v>
      </c>
      <c r="T45" s="834" t="s">
        <v>32</v>
      </c>
      <c r="U45" s="834">
        <v>12</v>
      </c>
      <c r="V45" s="852" t="s">
        <v>28</v>
      </c>
      <c r="W45" s="848">
        <v>46062</v>
      </c>
      <c r="X45" s="80" t="s">
        <v>30</v>
      </c>
      <c r="Y45" s="80" t="s">
        <v>30</v>
      </c>
      <c r="Z45" s="96" t="s">
        <v>30</v>
      </c>
      <c r="AA45" s="91" t="s">
        <v>32</v>
      </c>
      <c r="AB45" s="91" t="s">
        <v>32</v>
      </c>
      <c r="AC45" s="91" t="s">
        <v>32</v>
      </c>
      <c r="AD45" s="96" t="s">
        <v>30</v>
      </c>
      <c r="AE45" s="96" t="s">
        <v>30</v>
      </c>
      <c r="AF45" s="96" t="s">
        <v>30</v>
      </c>
      <c r="AG45" s="96" t="s">
        <v>30</v>
      </c>
      <c r="AH45" s="96" t="s">
        <v>30</v>
      </c>
      <c r="AI45" s="96" t="s">
        <v>30</v>
      </c>
      <c r="AJ45" s="96" t="s">
        <v>30</v>
      </c>
      <c r="AK45" s="96" t="s">
        <v>30</v>
      </c>
      <c r="AL45" s="108" t="s">
        <v>30</v>
      </c>
      <c r="AM45" s="91"/>
      <c r="AN45" s="840"/>
      <c r="AO45" s="832"/>
      <c r="AP45" s="832"/>
      <c r="AQ45" s="832"/>
      <c r="AR45" s="832"/>
      <c r="AS45"/>
      <c r="AT45"/>
      <c r="AU45"/>
      <c r="AV45"/>
      <c r="AW45"/>
      <c r="AX45"/>
      <c r="BB45">
        <f t="shared" si="0"/>
        <v>1</v>
      </c>
    </row>
    <row r="46" spans="1:54" ht="15.75" customHeight="1">
      <c r="A46" s="834" t="s">
        <v>24</v>
      </c>
      <c r="B46" s="834">
        <v>43</v>
      </c>
      <c r="C46" s="847" t="s">
        <v>3127</v>
      </c>
      <c r="D46" s="847" t="s">
        <v>64</v>
      </c>
      <c r="E46" s="880">
        <v>46039</v>
      </c>
      <c r="F46" s="847" t="s">
        <v>97</v>
      </c>
      <c r="G46" s="847">
        <v>22</v>
      </c>
      <c r="H46" s="847" t="s">
        <v>127</v>
      </c>
      <c r="I46" s="847" t="s">
        <v>178</v>
      </c>
      <c r="J46" s="834"/>
      <c r="K46" s="136" t="s">
        <v>3058</v>
      </c>
      <c r="L46" s="834" t="s">
        <v>2085</v>
      </c>
      <c r="M46" s="834" t="s">
        <v>3111</v>
      </c>
      <c r="N46" s="847" t="s">
        <v>3111</v>
      </c>
      <c r="O46" s="847" t="s">
        <v>3128</v>
      </c>
      <c r="P46" s="126" t="s">
        <v>31</v>
      </c>
      <c r="Q46" s="834" t="s">
        <v>30</v>
      </c>
      <c r="R46" s="848">
        <v>46063</v>
      </c>
      <c r="S46" s="852" t="s">
        <v>28</v>
      </c>
      <c r="T46" s="834" t="s">
        <v>32</v>
      </c>
      <c r="U46" s="834">
        <v>21</v>
      </c>
      <c r="V46" s="852" t="s">
        <v>28</v>
      </c>
      <c r="W46" s="848">
        <v>46063</v>
      </c>
      <c r="X46" s="80" t="s">
        <v>30</v>
      </c>
      <c r="Y46" s="96" t="s">
        <v>30</v>
      </c>
      <c r="Z46" s="96" t="s">
        <v>30</v>
      </c>
      <c r="AA46" s="96" t="s">
        <v>30</v>
      </c>
      <c r="AB46" s="96" t="s">
        <v>30</v>
      </c>
      <c r="AC46" s="96" t="s">
        <v>30</v>
      </c>
      <c r="AD46" s="96" t="s">
        <v>30</v>
      </c>
      <c r="AE46" s="96" t="s">
        <v>30</v>
      </c>
      <c r="AF46" s="96" t="s">
        <v>30</v>
      </c>
      <c r="AG46" s="96" t="s">
        <v>30</v>
      </c>
      <c r="AH46" s="96" t="s">
        <v>30</v>
      </c>
      <c r="AI46" s="96" t="s">
        <v>30</v>
      </c>
      <c r="AJ46" s="96" t="s">
        <v>30</v>
      </c>
      <c r="AK46" s="96" t="s">
        <v>30</v>
      </c>
      <c r="AL46" s="96" t="s">
        <v>30</v>
      </c>
      <c r="AM46" s="91"/>
      <c r="AN46" s="840"/>
      <c r="AO46" s="832"/>
      <c r="AP46" s="832"/>
      <c r="AQ46" s="832"/>
      <c r="AR46" s="832"/>
      <c r="AS46"/>
      <c r="AT46"/>
      <c r="AU46"/>
      <c r="AV46"/>
      <c r="AW46"/>
      <c r="AX46"/>
      <c r="BB46">
        <f t="shared" si="0"/>
        <v>1</v>
      </c>
    </row>
    <row r="47" spans="1:54" ht="15.75" customHeight="1">
      <c r="A47" s="834" t="s">
        <v>24</v>
      </c>
      <c r="B47" s="834">
        <v>44</v>
      </c>
      <c r="C47" s="847" t="s">
        <v>3129</v>
      </c>
      <c r="D47" s="847" t="s">
        <v>102</v>
      </c>
      <c r="E47" s="880">
        <v>46039</v>
      </c>
      <c r="F47" s="847" t="s">
        <v>1356</v>
      </c>
      <c r="G47" s="847">
        <v>14</v>
      </c>
      <c r="H47" s="847" t="s">
        <v>1077</v>
      </c>
      <c r="I47" s="847" t="s">
        <v>1138</v>
      </c>
      <c r="J47" s="834"/>
      <c r="K47" s="136" t="s">
        <v>3058</v>
      </c>
      <c r="L47" s="834" t="s">
        <v>2098</v>
      </c>
      <c r="M47" s="834" t="s">
        <v>3111</v>
      </c>
      <c r="N47" s="834" t="s">
        <v>3111</v>
      </c>
      <c r="O47" s="847" t="s">
        <v>2050</v>
      </c>
      <c r="P47" s="847" t="s">
        <v>32</v>
      </c>
      <c r="Q47" s="834" t="s">
        <v>30</v>
      </c>
      <c r="R47" s="848">
        <v>46056</v>
      </c>
      <c r="S47" s="852" t="s">
        <v>1138</v>
      </c>
      <c r="T47" s="834" t="s">
        <v>32</v>
      </c>
      <c r="U47" s="834">
        <v>15</v>
      </c>
      <c r="V47" s="852" t="s">
        <v>1138</v>
      </c>
      <c r="W47" s="848">
        <v>46056</v>
      </c>
      <c r="X47" s="80" t="s">
        <v>30</v>
      </c>
      <c r="Y47" s="96" t="s">
        <v>30</v>
      </c>
      <c r="Z47" s="96" t="s">
        <v>30</v>
      </c>
      <c r="AA47" s="96" t="s">
        <v>30</v>
      </c>
      <c r="AB47" s="96" t="s">
        <v>30</v>
      </c>
      <c r="AC47" s="96" t="s">
        <v>30</v>
      </c>
      <c r="AD47" s="96" t="s">
        <v>30</v>
      </c>
      <c r="AE47" s="96" t="s">
        <v>30</v>
      </c>
      <c r="AF47" s="96" t="s">
        <v>30</v>
      </c>
      <c r="AG47" s="96" t="s">
        <v>30</v>
      </c>
      <c r="AH47" s="96" t="s">
        <v>30</v>
      </c>
      <c r="AI47" s="96" t="s">
        <v>30</v>
      </c>
      <c r="AJ47" s="96" t="s">
        <v>30</v>
      </c>
      <c r="AK47" s="96" t="s">
        <v>30</v>
      </c>
      <c r="AL47" s="96" t="s">
        <v>30</v>
      </c>
      <c r="AM47" s="91"/>
      <c r="AN47" s="840"/>
      <c r="AO47" s="832"/>
      <c r="AP47" s="832"/>
      <c r="AQ47" s="832"/>
      <c r="AR47" s="832"/>
      <c r="AS47"/>
      <c r="AT47"/>
      <c r="AU47"/>
      <c r="AV47"/>
      <c r="AW47"/>
      <c r="AX47"/>
      <c r="BB47">
        <f t="shared" si="0"/>
        <v>1</v>
      </c>
    </row>
    <row r="48" spans="1:54" ht="15.75" customHeight="1">
      <c r="A48" s="834" t="s">
        <v>24</v>
      </c>
      <c r="B48" s="834">
        <v>45</v>
      </c>
      <c r="C48" s="847" t="s">
        <v>3130</v>
      </c>
      <c r="D48" s="847" t="s">
        <v>606</v>
      </c>
      <c r="E48" s="880">
        <v>46039</v>
      </c>
      <c r="F48" s="847" t="s">
        <v>3131</v>
      </c>
      <c r="G48" s="847">
        <v>7</v>
      </c>
      <c r="H48" s="847" t="s">
        <v>1077</v>
      </c>
      <c r="I48" s="847" t="s">
        <v>1138</v>
      </c>
      <c r="J48" s="98"/>
      <c r="K48" s="136" t="s">
        <v>3063</v>
      </c>
      <c r="L48" s="834" t="s">
        <v>2590</v>
      </c>
      <c r="M48" s="834" t="s">
        <v>3116</v>
      </c>
      <c r="N48" s="834" t="s">
        <v>3116</v>
      </c>
      <c r="O48" s="847" t="s">
        <v>2050</v>
      </c>
      <c r="P48" s="847" t="s">
        <v>32</v>
      </c>
      <c r="Q48" s="834" t="s">
        <v>30</v>
      </c>
      <c r="R48" s="848">
        <v>46073</v>
      </c>
      <c r="S48" s="852" t="s">
        <v>1138</v>
      </c>
      <c r="T48" s="834" t="s">
        <v>32</v>
      </c>
      <c r="U48" s="834">
        <v>7</v>
      </c>
      <c r="V48" s="852" t="s">
        <v>1138</v>
      </c>
      <c r="W48" s="848">
        <v>46073</v>
      </c>
      <c r="X48" s="96" t="s">
        <v>30</v>
      </c>
      <c r="Y48" s="96" t="s">
        <v>30</v>
      </c>
      <c r="Z48" s="96" t="s">
        <v>30</v>
      </c>
      <c r="AA48" s="91" t="s">
        <v>32</v>
      </c>
      <c r="AB48" s="91" t="s">
        <v>32</v>
      </c>
      <c r="AC48" s="91" t="s">
        <v>32</v>
      </c>
      <c r="AD48" s="96" t="s">
        <v>30</v>
      </c>
      <c r="AE48" s="91" t="s">
        <v>32</v>
      </c>
      <c r="AF48" s="96" t="s">
        <v>30</v>
      </c>
      <c r="AG48" s="91" t="s">
        <v>32</v>
      </c>
      <c r="AH48" s="96" t="s">
        <v>30</v>
      </c>
      <c r="AI48" s="96" t="s">
        <v>30</v>
      </c>
      <c r="AJ48" s="96" t="s">
        <v>30</v>
      </c>
      <c r="AK48" s="96" t="s">
        <v>30</v>
      </c>
      <c r="AL48" s="91" t="s">
        <v>32</v>
      </c>
      <c r="AM48" s="91"/>
      <c r="AN48" s="840" t="s">
        <v>3061</v>
      </c>
      <c r="AO48" s="832"/>
      <c r="AP48" s="832"/>
      <c r="AQ48" s="832"/>
      <c r="AR48" s="832"/>
      <c r="AS48"/>
      <c r="AT48"/>
      <c r="AU48"/>
      <c r="AV48"/>
      <c r="AW48"/>
      <c r="AX48"/>
      <c r="BB48">
        <f t="shared" si="0"/>
        <v>1</v>
      </c>
    </row>
    <row r="49" spans="1:54" ht="15.75" customHeight="1">
      <c r="A49" s="834" t="s">
        <v>24</v>
      </c>
      <c r="B49" s="834">
        <v>46</v>
      </c>
      <c r="C49" s="847" t="s">
        <v>3132</v>
      </c>
      <c r="D49" s="847" t="s">
        <v>606</v>
      </c>
      <c r="E49" s="880">
        <v>46039</v>
      </c>
      <c r="F49" s="847" t="s">
        <v>401</v>
      </c>
      <c r="G49" s="847">
        <v>2</v>
      </c>
      <c r="H49" s="847" t="s">
        <v>1077</v>
      </c>
      <c r="I49" s="847" t="s">
        <v>1138</v>
      </c>
      <c r="J49" s="834"/>
      <c r="K49" s="136" t="s">
        <v>3063</v>
      </c>
      <c r="L49" s="834" t="s">
        <v>2590</v>
      </c>
      <c r="M49" s="834" t="s">
        <v>401</v>
      </c>
      <c r="N49" s="834" t="s">
        <v>401</v>
      </c>
      <c r="O49" s="847" t="s">
        <v>401</v>
      </c>
      <c r="P49" s="847" t="s">
        <v>32</v>
      </c>
      <c r="Q49" s="834" t="s">
        <v>30</v>
      </c>
      <c r="R49" s="848">
        <v>46073</v>
      </c>
      <c r="S49" s="852" t="s">
        <v>1138</v>
      </c>
      <c r="T49" s="834" t="s">
        <v>32</v>
      </c>
      <c r="U49" s="834">
        <v>2</v>
      </c>
      <c r="V49" s="852" t="s">
        <v>1138</v>
      </c>
      <c r="W49" s="848">
        <v>46073</v>
      </c>
      <c r="X49" s="96" t="s">
        <v>30</v>
      </c>
      <c r="Y49" s="80" t="s">
        <v>30</v>
      </c>
      <c r="Z49" s="80" t="s">
        <v>30</v>
      </c>
      <c r="AA49" s="91" t="s">
        <v>32</v>
      </c>
      <c r="AB49" s="96" t="s">
        <v>30</v>
      </c>
      <c r="AC49" s="91" t="s">
        <v>32</v>
      </c>
      <c r="AD49" s="96"/>
      <c r="AE49" s="96"/>
      <c r="AF49" s="96"/>
      <c r="AG49" s="96"/>
      <c r="AH49" s="96"/>
      <c r="AI49" s="96" t="s">
        <v>30</v>
      </c>
      <c r="AJ49" s="96"/>
      <c r="AK49" s="96"/>
      <c r="AL49" s="96"/>
      <c r="AM49" s="91"/>
      <c r="AN49" s="840" t="s">
        <v>3133</v>
      </c>
      <c r="AO49" s="832"/>
      <c r="AP49" s="832"/>
      <c r="AQ49" s="832"/>
      <c r="AR49" s="832"/>
      <c r="AS49"/>
      <c r="AT49"/>
      <c r="AU49"/>
      <c r="AV49"/>
      <c r="AW49"/>
      <c r="AX49"/>
      <c r="BB49">
        <f t="shared" si="0"/>
        <v>1</v>
      </c>
    </row>
    <row r="50" spans="1:54" ht="15.75" customHeight="1">
      <c r="A50" s="834" t="s">
        <v>24</v>
      </c>
      <c r="B50" s="834">
        <v>47</v>
      </c>
      <c r="C50" s="847" t="s">
        <v>3134</v>
      </c>
      <c r="D50" s="847" t="s">
        <v>50</v>
      </c>
      <c r="E50" s="880">
        <v>46039</v>
      </c>
      <c r="F50" s="847" t="s">
        <v>614</v>
      </c>
      <c r="G50" s="847">
        <v>15</v>
      </c>
      <c r="H50" s="847" t="s">
        <v>1077</v>
      </c>
      <c r="I50" s="847" t="s">
        <v>1138</v>
      </c>
      <c r="J50" s="98" t="s">
        <v>3135</v>
      </c>
      <c r="K50" s="136" t="s">
        <v>3063</v>
      </c>
      <c r="L50" s="834" t="s">
        <v>2203</v>
      </c>
      <c r="M50" s="834" t="s">
        <v>3116</v>
      </c>
      <c r="N50" s="834" t="s">
        <v>3116</v>
      </c>
      <c r="O50" s="847" t="s">
        <v>3136</v>
      </c>
      <c r="P50" s="125" t="s">
        <v>31</v>
      </c>
      <c r="Q50" s="834"/>
      <c r="R50" s="848"/>
      <c r="S50" s="852" t="s">
        <v>1138</v>
      </c>
      <c r="T50" s="834" t="s">
        <v>32</v>
      </c>
      <c r="U50" s="834">
        <v>21</v>
      </c>
      <c r="V50" s="852" t="s">
        <v>1138</v>
      </c>
      <c r="W50" s="848"/>
      <c r="X50" s="96" t="s">
        <v>30</v>
      </c>
      <c r="Y50" s="96" t="s">
        <v>30</v>
      </c>
      <c r="Z50" s="96" t="s">
        <v>30</v>
      </c>
      <c r="AA50" s="96" t="s">
        <v>30</v>
      </c>
      <c r="AB50" s="96" t="s">
        <v>30</v>
      </c>
      <c r="AC50" s="96" t="s">
        <v>30</v>
      </c>
      <c r="AD50" s="96" t="s">
        <v>30</v>
      </c>
      <c r="AE50" s="96" t="s">
        <v>30</v>
      </c>
      <c r="AF50" s="96" t="s">
        <v>30</v>
      </c>
      <c r="AG50" s="96" t="s">
        <v>30</v>
      </c>
      <c r="AH50" s="96" t="s">
        <v>30</v>
      </c>
      <c r="AI50" s="96" t="s">
        <v>30</v>
      </c>
      <c r="AJ50" s="91" t="s">
        <v>32</v>
      </c>
      <c r="AK50" s="91" t="s">
        <v>32</v>
      </c>
      <c r="AL50" s="91" t="s">
        <v>32</v>
      </c>
      <c r="AM50" s="91"/>
      <c r="AN50" s="840" t="s">
        <v>3074</v>
      </c>
      <c r="AO50" s="832"/>
      <c r="AP50" s="832"/>
      <c r="AQ50" s="832"/>
      <c r="AR50" s="832"/>
      <c r="AS50"/>
      <c r="AT50" s="84"/>
      <c r="AU50" s="71"/>
      <c r="AV50" s="71"/>
      <c r="AW50" s="71"/>
      <c r="AX50" s="71"/>
      <c r="BB50">
        <f t="shared" si="0"/>
        <v>1</v>
      </c>
    </row>
    <row r="51" spans="1:54" ht="15.75" customHeight="1">
      <c r="A51" s="834" t="s">
        <v>24</v>
      </c>
      <c r="B51" s="834">
        <v>48</v>
      </c>
      <c r="C51" s="847" t="s">
        <v>3137</v>
      </c>
      <c r="D51" s="847" t="s">
        <v>64</v>
      </c>
      <c r="E51" s="880">
        <v>46041</v>
      </c>
      <c r="F51" s="847" t="s">
        <v>1626</v>
      </c>
      <c r="G51" s="847">
        <v>14</v>
      </c>
      <c r="H51" s="847" t="s">
        <v>1077</v>
      </c>
      <c r="I51" s="847" t="s">
        <v>1138</v>
      </c>
      <c r="J51" s="98" t="s">
        <v>3138</v>
      </c>
      <c r="K51" s="136" t="s">
        <v>3063</v>
      </c>
      <c r="L51" s="834" t="s">
        <v>2296</v>
      </c>
      <c r="M51" s="834" t="s">
        <v>3116</v>
      </c>
      <c r="N51" s="834" t="s">
        <v>3116</v>
      </c>
      <c r="O51" s="847" t="s">
        <v>2050</v>
      </c>
      <c r="P51" s="847" t="s">
        <v>32</v>
      </c>
      <c r="Q51" s="834" t="s">
        <v>113</v>
      </c>
      <c r="R51" s="848"/>
      <c r="S51" s="852" t="s">
        <v>1138</v>
      </c>
      <c r="T51" s="834"/>
      <c r="U51" s="834"/>
      <c r="V51" s="852"/>
      <c r="W51" s="848"/>
      <c r="X51" s="91" t="s">
        <v>32</v>
      </c>
      <c r="Y51" s="96" t="s">
        <v>30</v>
      </c>
      <c r="Z51" s="96"/>
      <c r="AA51" s="96" t="s">
        <v>30</v>
      </c>
      <c r="AB51" s="96" t="s">
        <v>30</v>
      </c>
      <c r="AC51" s="96" t="s">
        <v>30</v>
      </c>
      <c r="AD51" s="96" t="s">
        <v>30</v>
      </c>
      <c r="AE51" s="96" t="s">
        <v>30</v>
      </c>
      <c r="AF51" s="96" t="s">
        <v>30</v>
      </c>
      <c r="AG51" s="96" t="s">
        <v>30</v>
      </c>
      <c r="AH51" s="96" t="s">
        <v>30</v>
      </c>
      <c r="AI51" s="110" t="s">
        <v>32</v>
      </c>
      <c r="AJ51" s="91" t="s">
        <v>32</v>
      </c>
      <c r="AK51" s="91" t="s">
        <v>32</v>
      </c>
      <c r="AL51" s="91" t="s">
        <v>32</v>
      </c>
      <c r="AM51" s="91"/>
      <c r="AN51" s="840" t="s">
        <v>3074</v>
      </c>
      <c r="AO51" s="832"/>
      <c r="AP51" s="832"/>
      <c r="AQ51" s="832"/>
      <c r="AR51" s="832"/>
      <c r="AS51"/>
      <c r="AT51"/>
      <c r="AU51"/>
      <c r="AV51"/>
      <c r="AW51"/>
      <c r="AX51"/>
      <c r="BB51">
        <f t="shared" si="0"/>
        <v>1</v>
      </c>
    </row>
    <row r="52" spans="1:54" ht="15.75" customHeight="1">
      <c r="A52" s="834" t="s">
        <v>24</v>
      </c>
      <c r="B52" s="834">
        <v>49</v>
      </c>
      <c r="C52" s="834" t="s">
        <v>3139</v>
      </c>
      <c r="D52" s="834" t="s">
        <v>3140</v>
      </c>
      <c r="E52" s="852">
        <v>46042</v>
      </c>
      <c r="F52" s="834" t="s">
        <v>110</v>
      </c>
      <c r="G52" s="834">
        <v>12</v>
      </c>
      <c r="H52" s="834" t="s">
        <v>1334</v>
      </c>
      <c r="I52" s="834" t="s">
        <v>3141</v>
      </c>
      <c r="J52" s="834"/>
      <c r="K52" s="136" t="s">
        <v>3063</v>
      </c>
      <c r="L52" s="834" t="s">
        <v>2056</v>
      </c>
      <c r="M52" s="834" t="s">
        <v>3142</v>
      </c>
      <c r="N52" s="834" t="s">
        <v>3142</v>
      </c>
      <c r="O52" s="834" t="s">
        <v>110</v>
      </c>
      <c r="P52" s="847" t="s">
        <v>32</v>
      </c>
      <c r="Q52" s="848" t="s">
        <v>30</v>
      </c>
      <c r="R52" s="848">
        <v>46076</v>
      </c>
      <c r="S52" s="852" t="s">
        <v>48</v>
      </c>
      <c r="T52" s="834" t="s">
        <v>32</v>
      </c>
      <c r="U52" s="834">
        <v>12</v>
      </c>
      <c r="V52" s="852" t="s">
        <v>48</v>
      </c>
      <c r="W52" s="848">
        <v>46076</v>
      </c>
      <c r="X52" s="96" t="s">
        <v>113</v>
      </c>
      <c r="Y52" s="96" t="s">
        <v>113</v>
      </c>
      <c r="Z52" s="96" t="s">
        <v>113</v>
      </c>
      <c r="AA52" s="96" t="s">
        <v>113</v>
      </c>
      <c r="AB52" s="96" t="s">
        <v>113</v>
      </c>
      <c r="AC52" s="96" t="s">
        <v>113</v>
      </c>
      <c r="AD52" s="96" t="s">
        <v>113</v>
      </c>
      <c r="AE52" s="96" t="s">
        <v>113</v>
      </c>
      <c r="AF52" s="96" t="s">
        <v>113</v>
      </c>
      <c r="AG52" s="96" t="s">
        <v>113</v>
      </c>
      <c r="AH52" s="96" t="s">
        <v>113</v>
      </c>
      <c r="AI52" s="96" t="s">
        <v>113</v>
      </c>
      <c r="AJ52" s="96" t="s">
        <v>113</v>
      </c>
      <c r="AK52" s="96" t="s">
        <v>113</v>
      </c>
      <c r="AL52" s="96" t="s">
        <v>113</v>
      </c>
      <c r="AM52" s="96" t="s">
        <v>113</v>
      </c>
      <c r="AN52" s="840"/>
      <c r="AO52" s="832"/>
      <c r="AP52" s="832"/>
      <c r="AQ52" s="832"/>
      <c r="AR52" s="832"/>
      <c r="AS52"/>
      <c r="AT52"/>
      <c r="AU52"/>
      <c r="AV52"/>
      <c r="AW52"/>
      <c r="AX52"/>
      <c r="BB52">
        <f t="shared" si="0"/>
        <v>1</v>
      </c>
    </row>
    <row r="53" spans="1:54" ht="15.75" customHeight="1">
      <c r="A53" s="834" t="s">
        <v>24</v>
      </c>
      <c r="B53" s="834">
        <v>50</v>
      </c>
      <c r="C53" s="834" t="s">
        <v>3139</v>
      </c>
      <c r="D53" s="834" t="s">
        <v>1362</v>
      </c>
      <c r="E53" s="852">
        <v>46043</v>
      </c>
      <c r="F53" s="834" t="s">
        <v>1105</v>
      </c>
      <c r="G53" s="834">
        <v>12</v>
      </c>
      <c r="H53" s="834" t="s">
        <v>1721</v>
      </c>
      <c r="I53" s="834" t="s">
        <v>1638</v>
      </c>
      <c r="J53" s="834"/>
      <c r="K53" s="136" t="s">
        <v>3063</v>
      </c>
      <c r="L53" s="834" t="s">
        <v>2056</v>
      </c>
      <c r="M53" s="834" t="s">
        <v>3143</v>
      </c>
      <c r="N53" s="834" t="s">
        <v>3143</v>
      </c>
      <c r="O53" s="834" t="s">
        <v>2058</v>
      </c>
      <c r="P53" s="847" t="s">
        <v>32</v>
      </c>
      <c r="Q53" s="834" t="s">
        <v>30</v>
      </c>
      <c r="R53" s="848">
        <v>46066</v>
      </c>
      <c r="S53" s="852" t="s">
        <v>1638</v>
      </c>
      <c r="T53" s="834" t="s">
        <v>32</v>
      </c>
      <c r="U53" s="834">
        <v>12</v>
      </c>
      <c r="V53" s="852" t="s">
        <v>1638</v>
      </c>
      <c r="W53" s="848">
        <v>46066</v>
      </c>
      <c r="X53" s="80" t="s">
        <v>30</v>
      </c>
      <c r="Y53" s="80" t="s">
        <v>30</v>
      </c>
      <c r="Z53" s="80" t="s">
        <v>30</v>
      </c>
      <c r="AA53" s="96" t="s">
        <v>30</v>
      </c>
      <c r="AB53" s="96" t="s">
        <v>30</v>
      </c>
      <c r="AC53" s="96" t="s">
        <v>30</v>
      </c>
      <c r="AD53" s="96" t="s">
        <v>30</v>
      </c>
      <c r="AE53" s="96" t="s">
        <v>30</v>
      </c>
      <c r="AF53" s="96" t="s">
        <v>30</v>
      </c>
      <c r="AG53" s="91" t="s">
        <v>32</v>
      </c>
      <c r="AH53" s="96" t="s">
        <v>30</v>
      </c>
      <c r="AI53" s="96" t="s">
        <v>30</v>
      </c>
      <c r="AJ53" s="107" t="s">
        <v>30</v>
      </c>
      <c r="AK53" s="107" t="s">
        <v>30</v>
      </c>
      <c r="AL53" s="107" t="s">
        <v>30</v>
      </c>
      <c r="AM53" s="91"/>
      <c r="AN53" s="840"/>
      <c r="AO53" s="832"/>
      <c r="AP53" s="832"/>
      <c r="AQ53" s="832"/>
      <c r="AR53" s="832"/>
      <c r="AS53"/>
      <c r="AT53" s="84"/>
      <c r="AU53" s="71"/>
      <c r="AV53" s="71"/>
      <c r="AW53" s="71"/>
      <c r="AX53" s="71"/>
      <c r="BB53">
        <f t="shared" si="0"/>
        <v>1</v>
      </c>
    </row>
    <row r="54" spans="1:54" ht="15.6" customHeight="1">
      <c r="A54" s="834" t="s">
        <v>24</v>
      </c>
      <c r="B54" s="834">
        <v>51</v>
      </c>
      <c r="C54" s="834" t="s">
        <v>3144</v>
      </c>
      <c r="D54" s="834" t="s">
        <v>43</v>
      </c>
      <c r="E54" s="852">
        <v>46044</v>
      </c>
      <c r="F54" s="834" t="s">
        <v>737</v>
      </c>
      <c r="G54" s="834">
        <v>13</v>
      </c>
      <c r="H54" s="834" t="s">
        <v>127</v>
      </c>
      <c r="I54" s="834" t="s">
        <v>178</v>
      </c>
      <c r="J54" s="834"/>
      <c r="K54" s="136" t="s">
        <v>3063</v>
      </c>
      <c r="L54" s="834" t="s">
        <v>2061</v>
      </c>
      <c r="M54" s="834" t="s">
        <v>3143</v>
      </c>
      <c r="N54" s="834" t="s">
        <v>3143</v>
      </c>
      <c r="O54" s="834" t="s">
        <v>2058</v>
      </c>
      <c r="P54" s="847" t="s">
        <v>32</v>
      </c>
      <c r="Q54" s="834" t="s">
        <v>30</v>
      </c>
      <c r="R54" s="848">
        <v>46064</v>
      </c>
      <c r="S54" s="852" t="s">
        <v>28</v>
      </c>
      <c r="T54" s="834" t="s">
        <v>32</v>
      </c>
      <c r="U54" s="834">
        <v>12</v>
      </c>
      <c r="V54" s="852" t="s">
        <v>28</v>
      </c>
      <c r="W54" s="848">
        <v>46064</v>
      </c>
      <c r="X54" s="80" t="s">
        <v>30</v>
      </c>
      <c r="Y54" s="96" t="s">
        <v>30</v>
      </c>
      <c r="Z54" s="96" t="s">
        <v>30</v>
      </c>
      <c r="AA54" s="96" t="s">
        <v>30</v>
      </c>
      <c r="AB54" s="96" t="s">
        <v>30</v>
      </c>
      <c r="AC54" s="96" t="s">
        <v>30</v>
      </c>
      <c r="AD54" s="96" t="s">
        <v>30</v>
      </c>
      <c r="AE54" s="96" t="s">
        <v>30</v>
      </c>
      <c r="AF54" s="96" t="s">
        <v>30</v>
      </c>
      <c r="AG54" s="96" t="s">
        <v>30</v>
      </c>
      <c r="AH54" s="96" t="s">
        <v>30</v>
      </c>
      <c r="AI54" s="96" t="s">
        <v>30</v>
      </c>
      <c r="AJ54" s="96" t="s">
        <v>30</v>
      </c>
      <c r="AK54" s="96" t="s">
        <v>30</v>
      </c>
      <c r="AL54" s="96" t="s">
        <v>30</v>
      </c>
      <c r="AM54" s="91"/>
      <c r="AN54" s="840"/>
      <c r="AO54" s="832"/>
      <c r="AP54" s="832"/>
      <c r="AQ54" s="832"/>
      <c r="AR54" s="832"/>
      <c r="AS54"/>
      <c r="AT54" s="84"/>
      <c r="AU54" s="71"/>
      <c r="AV54" s="71"/>
      <c r="AW54" s="71"/>
      <c r="AX54" s="71"/>
      <c r="BB54">
        <f t="shared" si="0"/>
        <v>1</v>
      </c>
    </row>
    <row r="55" spans="1:54" ht="15.6" customHeight="1">
      <c r="A55" s="834" t="s">
        <v>24</v>
      </c>
      <c r="B55" s="834">
        <v>52</v>
      </c>
      <c r="C55" s="834" t="s">
        <v>3145</v>
      </c>
      <c r="D55" s="834" t="s">
        <v>374</v>
      </c>
      <c r="E55" s="852">
        <v>46045</v>
      </c>
      <c r="F55" s="834" t="s">
        <v>439</v>
      </c>
      <c r="G55" s="834">
        <v>12</v>
      </c>
      <c r="H55" s="847" t="s">
        <v>127</v>
      </c>
      <c r="I55" s="834" t="s">
        <v>178</v>
      </c>
      <c r="J55" s="98" t="s">
        <v>2576</v>
      </c>
      <c r="K55" s="136" t="s">
        <v>3063</v>
      </c>
      <c r="L55" s="834" t="s">
        <v>2056</v>
      </c>
      <c r="M55" s="834" t="s">
        <v>3143</v>
      </c>
      <c r="N55" s="834" t="s">
        <v>3143</v>
      </c>
      <c r="O55" s="834" t="s">
        <v>2058</v>
      </c>
      <c r="P55" s="847" t="s">
        <v>32</v>
      </c>
      <c r="Q55" s="834"/>
      <c r="R55" s="848"/>
      <c r="S55" s="852" t="s">
        <v>28</v>
      </c>
      <c r="T55" s="834" t="s">
        <v>32</v>
      </c>
      <c r="U55" s="834">
        <v>11</v>
      </c>
      <c r="V55" s="852" t="s">
        <v>28</v>
      </c>
      <c r="W55" s="848"/>
      <c r="X55" s="80" t="s">
        <v>30</v>
      </c>
      <c r="Y55" s="80" t="s">
        <v>30</v>
      </c>
      <c r="Z55" s="80" t="s">
        <v>30</v>
      </c>
      <c r="AA55" s="96" t="s">
        <v>30</v>
      </c>
      <c r="AB55" s="96" t="s">
        <v>30</v>
      </c>
      <c r="AC55" s="96" t="s">
        <v>30</v>
      </c>
      <c r="AD55" s="96" t="s">
        <v>30</v>
      </c>
      <c r="AE55" s="96" t="s">
        <v>30</v>
      </c>
      <c r="AF55" s="96" t="s">
        <v>30</v>
      </c>
      <c r="AG55" s="96" t="s">
        <v>30</v>
      </c>
      <c r="AH55" s="96" t="s">
        <v>30</v>
      </c>
      <c r="AI55" s="96" t="s">
        <v>30</v>
      </c>
      <c r="AJ55" s="107" t="s">
        <v>30</v>
      </c>
      <c r="AK55" s="107" t="s">
        <v>30</v>
      </c>
      <c r="AL55" s="96" t="s">
        <v>30</v>
      </c>
      <c r="AM55" s="91"/>
      <c r="AN55" s="840"/>
      <c r="AO55" s="832"/>
      <c r="AP55" s="875"/>
      <c r="AQ55" s="875"/>
      <c r="AR55" s="875"/>
      <c r="AS55" s="776"/>
      <c r="AT55" s="776"/>
      <c r="AU55"/>
      <c r="AV55"/>
      <c r="AW55"/>
      <c r="AX55"/>
      <c r="BB55">
        <f t="shared" si="0"/>
        <v>1</v>
      </c>
    </row>
    <row r="56" spans="1:54" ht="15.6" customHeight="1">
      <c r="A56" s="834" t="s">
        <v>24</v>
      </c>
      <c r="B56" s="834">
        <v>53</v>
      </c>
      <c r="C56" s="834" t="s">
        <v>3146</v>
      </c>
      <c r="D56" s="834" t="s">
        <v>102</v>
      </c>
      <c r="E56" s="852">
        <v>46045</v>
      </c>
      <c r="F56" s="834" t="s">
        <v>707</v>
      </c>
      <c r="G56" s="834">
        <v>12</v>
      </c>
      <c r="H56" s="847" t="s">
        <v>67</v>
      </c>
      <c r="I56" s="834" t="s">
        <v>47</v>
      </c>
      <c r="J56" s="834"/>
      <c r="K56" s="136" t="s">
        <v>3058</v>
      </c>
      <c r="L56" s="834" t="s">
        <v>2123</v>
      </c>
      <c r="M56" s="834" t="s">
        <v>3143</v>
      </c>
      <c r="N56" s="834" t="s">
        <v>3143</v>
      </c>
      <c r="O56" s="834" t="s">
        <v>2083</v>
      </c>
      <c r="P56" s="847" t="s">
        <v>32</v>
      </c>
      <c r="Q56" s="834" t="s">
        <v>30</v>
      </c>
      <c r="R56" s="848">
        <v>46065</v>
      </c>
      <c r="S56" s="852" t="s">
        <v>47</v>
      </c>
      <c r="T56" s="834" t="s">
        <v>32</v>
      </c>
      <c r="U56" s="834">
        <v>11</v>
      </c>
      <c r="V56" s="852" t="s">
        <v>47</v>
      </c>
      <c r="W56" s="848">
        <v>46065</v>
      </c>
      <c r="X56" s="80" t="s">
        <v>30</v>
      </c>
      <c r="Y56" s="96" t="s">
        <v>30</v>
      </c>
      <c r="Z56" s="96" t="s">
        <v>30</v>
      </c>
      <c r="AA56" s="96" t="s">
        <v>30</v>
      </c>
      <c r="AB56" s="96" t="s">
        <v>30</v>
      </c>
      <c r="AC56" s="96" t="s">
        <v>30</v>
      </c>
      <c r="AD56" s="96" t="s">
        <v>30</v>
      </c>
      <c r="AE56" s="96" t="s">
        <v>30</v>
      </c>
      <c r="AF56" s="96" t="s">
        <v>30</v>
      </c>
      <c r="AG56" s="96" t="s">
        <v>30</v>
      </c>
      <c r="AH56" s="96" t="s">
        <v>30</v>
      </c>
      <c r="AI56" s="96" t="s">
        <v>30</v>
      </c>
      <c r="AJ56" s="96" t="s">
        <v>30</v>
      </c>
      <c r="AK56" s="96" t="s">
        <v>30</v>
      </c>
      <c r="AL56" s="96" t="s">
        <v>30</v>
      </c>
      <c r="AM56" s="91"/>
      <c r="AN56" s="840"/>
      <c r="AO56" s="832"/>
      <c r="AP56" s="832"/>
      <c r="AQ56" s="832"/>
      <c r="AR56" s="832"/>
      <c r="AS56"/>
      <c r="AT56"/>
      <c r="AU56" s="71"/>
      <c r="BB56">
        <f t="shared" si="0"/>
        <v>1</v>
      </c>
    </row>
    <row r="57" spans="1:54" ht="15.6" customHeight="1">
      <c r="A57" s="834" t="s">
        <v>24</v>
      </c>
      <c r="B57" s="834">
        <v>54</v>
      </c>
      <c r="C57" s="834" t="s">
        <v>3147</v>
      </c>
      <c r="D57" s="834" t="s">
        <v>50</v>
      </c>
      <c r="E57" s="852">
        <v>46046</v>
      </c>
      <c r="F57" s="834" t="s">
        <v>3148</v>
      </c>
      <c r="G57" s="834">
        <v>10</v>
      </c>
      <c r="H57" s="834" t="s">
        <v>1077</v>
      </c>
      <c r="I57" s="834" t="s">
        <v>1138</v>
      </c>
      <c r="J57" s="834"/>
      <c r="K57" s="136" t="s">
        <v>3063</v>
      </c>
      <c r="L57" s="834" t="s">
        <v>2203</v>
      </c>
      <c r="M57" s="834" t="s">
        <v>3143</v>
      </c>
      <c r="N57" s="834" t="s">
        <v>3149</v>
      </c>
      <c r="O57" s="834" t="s">
        <v>2050</v>
      </c>
      <c r="P57" s="847" t="s">
        <v>32</v>
      </c>
      <c r="Q57" s="834" t="s">
        <v>30</v>
      </c>
      <c r="R57" s="848">
        <v>46059</v>
      </c>
      <c r="S57" s="852" t="s">
        <v>1138</v>
      </c>
      <c r="T57" s="834" t="s">
        <v>32</v>
      </c>
      <c r="U57" s="834">
        <v>9</v>
      </c>
      <c r="V57" s="852" t="s">
        <v>1138</v>
      </c>
      <c r="W57" s="848">
        <v>46059</v>
      </c>
      <c r="X57" s="96" t="s">
        <v>30</v>
      </c>
      <c r="Y57" s="96" t="s">
        <v>30</v>
      </c>
      <c r="Z57" s="96" t="s">
        <v>30</v>
      </c>
      <c r="AA57" s="96" t="s">
        <v>30</v>
      </c>
      <c r="AB57" s="96" t="s">
        <v>30</v>
      </c>
      <c r="AC57" s="96" t="s">
        <v>30</v>
      </c>
      <c r="AD57" s="96" t="s">
        <v>30</v>
      </c>
      <c r="AE57" s="96" t="s">
        <v>30</v>
      </c>
      <c r="AF57" s="96" t="s">
        <v>30</v>
      </c>
      <c r="AG57" s="96" t="s">
        <v>30</v>
      </c>
      <c r="AH57" s="96" t="s">
        <v>30</v>
      </c>
      <c r="AI57" s="96" t="s">
        <v>30</v>
      </c>
      <c r="AJ57" s="91" t="s">
        <v>32</v>
      </c>
      <c r="AK57" s="91" t="s">
        <v>32</v>
      </c>
      <c r="AL57" s="108" t="s">
        <v>30</v>
      </c>
      <c r="AM57" s="91"/>
      <c r="AN57" s="840" t="s">
        <v>3074</v>
      </c>
      <c r="AO57" s="832"/>
      <c r="AP57" s="875"/>
      <c r="AQ57" s="875"/>
      <c r="AR57" s="875"/>
      <c r="AS57" s="776"/>
      <c r="AT57" s="776"/>
      <c r="AU57"/>
      <c r="AV57"/>
      <c r="AW57"/>
      <c r="AX57"/>
      <c r="BB57">
        <f t="shared" si="0"/>
        <v>1</v>
      </c>
    </row>
    <row r="58" spans="1:54" ht="15.6" customHeight="1">
      <c r="A58" s="834" t="s">
        <v>24</v>
      </c>
      <c r="B58" s="834">
        <v>55</v>
      </c>
      <c r="C58" s="834" t="s">
        <v>3150</v>
      </c>
      <c r="D58" s="834" t="s">
        <v>34</v>
      </c>
      <c r="E58" s="852">
        <v>46046</v>
      </c>
      <c r="F58" s="834" t="s">
        <v>296</v>
      </c>
      <c r="G58" s="834">
        <v>12</v>
      </c>
      <c r="H58" s="834" t="s">
        <v>1077</v>
      </c>
      <c r="I58" s="834" t="s">
        <v>1138</v>
      </c>
      <c r="J58" s="834"/>
      <c r="K58" s="136" t="s">
        <v>3058</v>
      </c>
      <c r="L58" s="834" t="s">
        <v>2052</v>
      </c>
      <c r="M58" s="834" t="s">
        <v>3143</v>
      </c>
      <c r="N58" s="834" t="s">
        <v>3151</v>
      </c>
      <c r="O58" s="834" t="s">
        <v>2050</v>
      </c>
      <c r="P58" s="847" t="s">
        <v>32</v>
      </c>
      <c r="Q58" s="834" t="s">
        <v>30</v>
      </c>
      <c r="R58" s="848">
        <v>46057</v>
      </c>
      <c r="S58" s="852" t="s">
        <v>1138</v>
      </c>
      <c r="T58" s="834" t="s">
        <v>32</v>
      </c>
      <c r="U58" s="834">
        <v>10</v>
      </c>
      <c r="V58" s="852" t="s">
        <v>1138</v>
      </c>
      <c r="W58" s="848"/>
      <c r="X58" s="80" t="s">
        <v>30</v>
      </c>
      <c r="Y58" s="80" t="s">
        <v>30</v>
      </c>
      <c r="Z58" s="80" t="s">
        <v>30</v>
      </c>
      <c r="AA58" s="96" t="s">
        <v>30</v>
      </c>
      <c r="AB58" s="96" t="s">
        <v>30</v>
      </c>
      <c r="AC58" s="96" t="s">
        <v>30</v>
      </c>
      <c r="AD58" s="96" t="s">
        <v>30</v>
      </c>
      <c r="AE58" s="96" t="s">
        <v>30</v>
      </c>
      <c r="AF58" s="96" t="s">
        <v>30</v>
      </c>
      <c r="AG58" s="96" t="s">
        <v>30</v>
      </c>
      <c r="AH58" s="96" t="s">
        <v>30</v>
      </c>
      <c r="AI58" s="96" t="s">
        <v>30</v>
      </c>
      <c r="AJ58" s="107" t="s">
        <v>30</v>
      </c>
      <c r="AK58" s="107" t="s">
        <v>30</v>
      </c>
      <c r="AL58" s="107" t="s">
        <v>30</v>
      </c>
      <c r="AM58" s="91"/>
      <c r="AN58" s="840"/>
      <c r="AO58" s="832"/>
      <c r="AP58" s="875"/>
      <c r="AQ58" s="875"/>
      <c r="AR58" s="875"/>
      <c r="AS58" s="776"/>
      <c r="AT58" s="776"/>
      <c r="AU58"/>
      <c r="AV58"/>
      <c r="AW58"/>
      <c r="AX58"/>
      <c r="BB58">
        <f t="shared" si="0"/>
        <v>1</v>
      </c>
    </row>
    <row r="59" spans="1:54" ht="15.6" customHeight="1">
      <c r="A59" s="834" t="s">
        <v>24</v>
      </c>
      <c r="B59" s="834">
        <v>56</v>
      </c>
      <c r="C59" s="834" t="s">
        <v>3152</v>
      </c>
      <c r="D59" s="834" t="s">
        <v>50</v>
      </c>
      <c r="E59" s="852">
        <v>46046</v>
      </c>
      <c r="F59" s="834" t="s">
        <v>1342</v>
      </c>
      <c r="G59" s="834">
        <v>8</v>
      </c>
      <c r="H59" s="834" t="s">
        <v>67</v>
      </c>
      <c r="I59" s="834" t="s">
        <v>47</v>
      </c>
      <c r="J59" s="255"/>
      <c r="K59" s="136" t="s">
        <v>3058</v>
      </c>
      <c r="L59" s="834" t="s">
        <v>2126</v>
      </c>
      <c r="M59" s="834" t="s">
        <v>3151</v>
      </c>
      <c r="N59" s="834" t="s">
        <v>3151</v>
      </c>
      <c r="O59" s="834" t="s">
        <v>401</v>
      </c>
      <c r="P59" s="847" t="s">
        <v>32</v>
      </c>
      <c r="Q59" s="834" t="s">
        <v>30</v>
      </c>
      <c r="R59" s="848">
        <v>46065</v>
      </c>
      <c r="S59" s="852" t="s">
        <v>3056</v>
      </c>
      <c r="T59" s="834" t="s">
        <v>32</v>
      </c>
      <c r="U59" s="834">
        <v>7</v>
      </c>
      <c r="V59" s="852" t="s">
        <v>3056</v>
      </c>
      <c r="W59" s="848">
        <v>46065</v>
      </c>
      <c r="X59" s="80" t="s">
        <v>30</v>
      </c>
      <c r="Y59" s="80" t="s">
        <v>30</v>
      </c>
      <c r="Z59" s="80" t="s">
        <v>30</v>
      </c>
      <c r="AA59" s="96" t="s">
        <v>30</v>
      </c>
      <c r="AB59" s="96" t="s">
        <v>30</v>
      </c>
      <c r="AC59" s="96" t="s">
        <v>30</v>
      </c>
      <c r="AD59" s="96" t="s">
        <v>30</v>
      </c>
      <c r="AE59" s="96" t="s">
        <v>30</v>
      </c>
      <c r="AF59" s="96" t="s">
        <v>30</v>
      </c>
      <c r="AG59" s="96" t="s">
        <v>30</v>
      </c>
      <c r="AH59" s="96" t="s">
        <v>30</v>
      </c>
      <c r="AI59" s="96" t="s">
        <v>30</v>
      </c>
      <c r="AJ59" s="96" t="s">
        <v>30</v>
      </c>
      <c r="AK59" s="96" t="s">
        <v>30</v>
      </c>
      <c r="AL59" s="96" t="s">
        <v>30</v>
      </c>
      <c r="AM59" s="91"/>
      <c r="AN59" s="840"/>
      <c r="AO59" s="832"/>
      <c r="AP59" s="832"/>
      <c r="AQ59" s="832"/>
      <c r="AR59" s="832"/>
      <c r="AS59"/>
      <c r="AT59"/>
      <c r="AU59"/>
      <c r="AV59"/>
      <c r="AW59"/>
      <c r="AX59"/>
      <c r="BB59">
        <f t="shared" si="0"/>
        <v>1</v>
      </c>
    </row>
    <row r="60" spans="1:54" ht="15.6" customHeight="1">
      <c r="A60" s="834" t="s">
        <v>24</v>
      </c>
      <c r="B60" s="834">
        <v>57</v>
      </c>
      <c r="C60" s="834" t="s">
        <v>3153</v>
      </c>
      <c r="D60" s="834" t="s">
        <v>102</v>
      </c>
      <c r="E60" s="852">
        <v>46046</v>
      </c>
      <c r="F60" s="834" t="s">
        <v>1342</v>
      </c>
      <c r="G60" s="834">
        <v>8</v>
      </c>
      <c r="H60" s="834" t="s">
        <v>67</v>
      </c>
      <c r="I60" s="834" t="s">
        <v>47</v>
      </c>
      <c r="J60" s="255"/>
      <c r="K60" s="136" t="s">
        <v>3058</v>
      </c>
      <c r="L60" s="834" t="s">
        <v>2126</v>
      </c>
      <c r="M60" s="834" t="s">
        <v>401</v>
      </c>
      <c r="N60" s="834" t="s">
        <v>401</v>
      </c>
      <c r="O60" s="834" t="s">
        <v>401</v>
      </c>
      <c r="P60" s="847" t="s">
        <v>32</v>
      </c>
      <c r="Q60" s="834" t="s">
        <v>30</v>
      </c>
      <c r="R60" s="848">
        <v>46066</v>
      </c>
      <c r="S60" s="852" t="s">
        <v>3056</v>
      </c>
      <c r="T60" s="834" t="s">
        <v>32</v>
      </c>
      <c r="U60" s="834">
        <v>7</v>
      </c>
      <c r="V60" s="852" t="s">
        <v>3056</v>
      </c>
      <c r="W60" s="848">
        <v>46066</v>
      </c>
      <c r="X60" s="80" t="s">
        <v>30</v>
      </c>
      <c r="Y60" s="80" t="s">
        <v>30</v>
      </c>
      <c r="Z60" s="80" t="s">
        <v>30</v>
      </c>
      <c r="AA60" s="96" t="s">
        <v>30</v>
      </c>
      <c r="AB60" s="96" t="s">
        <v>30</v>
      </c>
      <c r="AC60" s="96" t="s">
        <v>30</v>
      </c>
      <c r="AD60" s="96" t="s">
        <v>30</v>
      </c>
      <c r="AE60" s="110" t="s">
        <v>32</v>
      </c>
      <c r="AF60" s="96" t="s">
        <v>30</v>
      </c>
      <c r="AG60" s="110" t="s">
        <v>32</v>
      </c>
      <c r="AH60" s="96" t="s">
        <v>30</v>
      </c>
      <c r="AI60" s="96" t="s">
        <v>30</v>
      </c>
      <c r="AJ60" s="96" t="s">
        <v>30</v>
      </c>
      <c r="AK60" s="96" t="s">
        <v>30</v>
      </c>
      <c r="AL60" s="96" t="s">
        <v>30</v>
      </c>
      <c r="AM60" s="91"/>
      <c r="AN60" s="840"/>
      <c r="AO60" s="832"/>
      <c r="AP60" s="832"/>
      <c r="AQ60" s="832"/>
      <c r="AR60" s="832"/>
      <c r="AS60"/>
      <c r="AT60"/>
      <c r="AU60"/>
      <c r="AV60"/>
      <c r="AW60"/>
      <c r="AX60"/>
      <c r="BB60">
        <f t="shared" si="0"/>
        <v>1</v>
      </c>
    </row>
    <row r="61" spans="1:54" ht="15.75" customHeight="1">
      <c r="A61" s="834" t="s">
        <v>24</v>
      </c>
      <c r="B61" s="834">
        <v>58</v>
      </c>
      <c r="C61" s="834" t="s">
        <v>3154</v>
      </c>
      <c r="D61" s="834" t="s">
        <v>34</v>
      </c>
      <c r="E61" s="852">
        <v>46046</v>
      </c>
      <c r="F61" s="834" t="s">
        <v>688</v>
      </c>
      <c r="G61" s="834">
        <v>17</v>
      </c>
      <c r="H61" s="834" t="s">
        <v>67</v>
      </c>
      <c r="I61" s="834" t="s">
        <v>47</v>
      </c>
      <c r="J61" s="255"/>
      <c r="K61" s="136" t="s">
        <v>3058</v>
      </c>
      <c r="L61" s="834" t="s">
        <v>2102</v>
      </c>
      <c r="M61" s="834" t="s">
        <v>3143</v>
      </c>
      <c r="N61" s="834" t="s">
        <v>3151</v>
      </c>
      <c r="O61" s="834" t="s">
        <v>3155</v>
      </c>
      <c r="P61" s="126" t="s">
        <v>31</v>
      </c>
      <c r="Q61" s="834" t="s">
        <v>30</v>
      </c>
      <c r="R61" s="848">
        <v>46077</v>
      </c>
      <c r="S61" s="852" t="s">
        <v>3056</v>
      </c>
      <c r="T61" s="834" t="s">
        <v>32</v>
      </c>
      <c r="U61" s="834">
        <v>12</v>
      </c>
      <c r="V61" s="852" t="s">
        <v>3056</v>
      </c>
      <c r="W61" s="848">
        <v>46077</v>
      </c>
      <c r="X61" s="80" t="s">
        <v>30</v>
      </c>
      <c r="Y61" s="96" t="s">
        <v>30</v>
      </c>
      <c r="Z61" s="80" t="s">
        <v>30</v>
      </c>
      <c r="AA61" s="80" t="s">
        <v>30</v>
      </c>
      <c r="AB61" s="80" t="s">
        <v>30</v>
      </c>
      <c r="AC61" s="80" t="s">
        <v>30</v>
      </c>
      <c r="AD61" s="80" t="s">
        <v>30</v>
      </c>
      <c r="AE61" s="80" t="s">
        <v>30</v>
      </c>
      <c r="AF61" s="80" t="s">
        <v>30</v>
      </c>
      <c r="AG61" s="80" t="s">
        <v>30</v>
      </c>
      <c r="AH61" s="80" t="s">
        <v>30</v>
      </c>
      <c r="AI61" s="96" t="s">
        <v>30</v>
      </c>
      <c r="AJ61" s="96" t="s">
        <v>30</v>
      </c>
      <c r="AK61" s="96" t="s">
        <v>30</v>
      </c>
      <c r="AL61" s="96" t="s">
        <v>30</v>
      </c>
      <c r="AM61" s="91"/>
      <c r="AN61" s="840"/>
      <c r="AO61" s="832"/>
      <c r="AP61" s="832"/>
      <c r="AQ61" s="832"/>
      <c r="AR61" s="832"/>
      <c r="AS61"/>
      <c r="AT61"/>
      <c r="AU61"/>
      <c r="AV61"/>
      <c r="AW61"/>
      <c r="AX61"/>
      <c r="BB61">
        <f t="shared" si="0"/>
        <v>1</v>
      </c>
    </row>
    <row r="62" spans="1:54" ht="15.75" customHeight="1">
      <c r="A62" s="834" t="s">
        <v>24</v>
      </c>
      <c r="B62" s="834">
        <v>59</v>
      </c>
      <c r="C62" s="834" t="s">
        <v>3156</v>
      </c>
      <c r="D62" s="834" t="s">
        <v>34</v>
      </c>
      <c r="E62" s="852">
        <v>46046</v>
      </c>
      <c r="F62" s="834" t="s">
        <v>398</v>
      </c>
      <c r="G62" s="834">
        <v>14</v>
      </c>
      <c r="H62" s="834" t="s">
        <v>67</v>
      </c>
      <c r="I62" s="834" t="s">
        <v>47</v>
      </c>
      <c r="J62" s="98" t="s">
        <v>2110</v>
      </c>
      <c r="K62" s="136" t="s">
        <v>3058</v>
      </c>
      <c r="L62" s="834" t="s">
        <v>2098</v>
      </c>
      <c r="M62" s="834" t="s">
        <v>3143</v>
      </c>
      <c r="N62" s="834" t="s">
        <v>3157</v>
      </c>
      <c r="O62" s="834" t="s">
        <v>2791</v>
      </c>
      <c r="P62" s="847" t="s">
        <v>32</v>
      </c>
      <c r="Q62" s="113"/>
      <c r="R62" s="848"/>
      <c r="S62" s="852" t="s">
        <v>47</v>
      </c>
      <c r="T62" s="834" t="s">
        <v>30</v>
      </c>
      <c r="U62" s="834">
        <v>15</v>
      </c>
      <c r="V62" s="852" t="s">
        <v>47</v>
      </c>
      <c r="W62" s="848">
        <v>46070</v>
      </c>
      <c r="X62" s="80" t="s">
        <v>30</v>
      </c>
      <c r="Y62" s="96" t="s">
        <v>30</v>
      </c>
      <c r="Z62" s="96" t="s">
        <v>30</v>
      </c>
      <c r="AA62" s="96" t="s">
        <v>30</v>
      </c>
      <c r="AB62" s="96" t="s">
        <v>30</v>
      </c>
      <c r="AC62" s="96" t="s">
        <v>30</v>
      </c>
      <c r="AD62" s="96" t="s">
        <v>30</v>
      </c>
      <c r="AE62" s="96" t="s">
        <v>30</v>
      </c>
      <c r="AF62" s="96" t="s">
        <v>30</v>
      </c>
      <c r="AG62" s="96" t="s">
        <v>30</v>
      </c>
      <c r="AH62" s="96" t="s">
        <v>30</v>
      </c>
      <c r="AI62" s="96" t="s">
        <v>30</v>
      </c>
      <c r="AJ62" s="96" t="s">
        <v>30</v>
      </c>
      <c r="AK62" s="96" t="s">
        <v>30</v>
      </c>
      <c r="AL62" s="96" t="s">
        <v>30</v>
      </c>
      <c r="AM62" s="91"/>
      <c r="AN62" s="840"/>
      <c r="AO62" s="832"/>
      <c r="AP62" s="832"/>
      <c r="AQ62" s="832"/>
      <c r="AR62" s="832"/>
      <c r="AS62"/>
      <c r="AT62"/>
      <c r="AU62"/>
      <c r="AV62"/>
      <c r="AW62"/>
      <c r="AX62"/>
      <c r="BB62">
        <f t="shared" si="0"/>
        <v>1</v>
      </c>
    </row>
    <row r="63" spans="1:54" ht="15.75" customHeight="1">
      <c r="A63" s="834" t="s">
        <v>24</v>
      </c>
      <c r="B63" s="834">
        <v>60</v>
      </c>
      <c r="C63" s="834" t="s">
        <v>3158</v>
      </c>
      <c r="D63" s="834" t="s">
        <v>34</v>
      </c>
      <c r="E63" s="852">
        <v>46046</v>
      </c>
      <c r="F63" s="834" t="s">
        <v>324</v>
      </c>
      <c r="G63" s="834">
        <v>7</v>
      </c>
      <c r="H63" s="834" t="s">
        <v>67</v>
      </c>
      <c r="I63" s="834" t="s">
        <v>47</v>
      </c>
      <c r="J63" s="834"/>
      <c r="K63" s="136" t="s">
        <v>3058</v>
      </c>
      <c r="L63" s="834" t="s">
        <v>2123</v>
      </c>
      <c r="M63" s="834" t="s">
        <v>3157</v>
      </c>
      <c r="N63" s="834" t="s">
        <v>3157</v>
      </c>
      <c r="O63" s="834" t="s">
        <v>2166</v>
      </c>
      <c r="P63" s="847" t="s">
        <v>32</v>
      </c>
      <c r="Q63" s="834" t="s">
        <v>30</v>
      </c>
      <c r="R63" s="848">
        <v>46070</v>
      </c>
      <c r="S63" s="852" t="s">
        <v>47</v>
      </c>
      <c r="T63" s="834" t="s">
        <v>32</v>
      </c>
      <c r="U63" s="834">
        <v>9</v>
      </c>
      <c r="V63" s="852" t="s">
        <v>47</v>
      </c>
      <c r="W63" s="848">
        <v>46070</v>
      </c>
      <c r="X63" s="80" t="s">
        <v>30</v>
      </c>
      <c r="Y63" s="96" t="s">
        <v>30</v>
      </c>
      <c r="Z63" s="96" t="s">
        <v>30</v>
      </c>
      <c r="AA63" s="96" t="s">
        <v>30</v>
      </c>
      <c r="AB63" s="96" t="s">
        <v>30</v>
      </c>
      <c r="AC63" s="96" t="s">
        <v>30</v>
      </c>
      <c r="AD63" s="96" t="s">
        <v>30</v>
      </c>
      <c r="AE63" s="96" t="s">
        <v>30</v>
      </c>
      <c r="AF63" s="96" t="s">
        <v>30</v>
      </c>
      <c r="AG63" s="96" t="s">
        <v>30</v>
      </c>
      <c r="AH63" s="96" t="s">
        <v>30</v>
      </c>
      <c r="AI63" s="96" t="s">
        <v>30</v>
      </c>
      <c r="AJ63" s="96" t="s">
        <v>30</v>
      </c>
      <c r="AK63" s="96" t="s">
        <v>30</v>
      </c>
      <c r="AL63" s="96" t="s">
        <v>30</v>
      </c>
      <c r="AM63" s="96" t="s">
        <v>30</v>
      </c>
      <c r="AN63" s="840"/>
      <c r="AO63" s="881"/>
      <c r="AP63" s="881"/>
      <c r="AQ63" s="832"/>
      <c r="AR63" s="832"/>
      <c r="AS63"/>
      <c r="AT63"/>
      <c r="AU63" s="71"/>
      <c r="BB63">
        <f t="shared" si="0"/>
        <v>1</v>
      </c>
    </row>
    <row r="64" spans="1:54" ht="15.75" customHeight="1">
      <c r="A64" s="834" t="s">
        <v>24</v>
      </c>
      <c r="B64" s="834">
        <v>61</v>
      </c>
      <c r="C64" s="834" t="s">
        <v>3159</v>
      </c>
      <c r="D64" s="834" t="s">
        <v>34</v>
      </c>
      <c r="E64" s="852">
        <v>46046</v>
      </c>
      <c r="F64" s="834" t="s">
        <v>401</v>
      </c>
      <c r="G64" s="834">
        <v>4</v>
      </c>
      <c r="H64" s="834" t="s">
        <v>67</v>
      </c>
      <c r="I64" s="834" t="s">
        <v>47</v>
      </c>
      <c r="J64" s="834"/>
      <c r="K64" s="136" t="s">
        <v>3058</v>
      </c>
      <c r="L64" s="834" t="s">
        <v>2123</v>
      </c>
      <c r="M64" s="834"/>
      <c r="N64" s="834"/>
      <c r="O64" s="834" t="s">
        <v>401</v>
      </c>
      <c r="P64" s="847" t="s">
        <v>32</v>
      </c>
      <c r="Q64" s="834" t="s">
        <v>30</v>
      </c>
      <c r="R64" s="848">
        <v>46069</v>
      </c>
      <c r="S64" s="852" t="s">
        <v>3056</v>
      </c>
      <c r="T64" s="834" t="s">
        <v>32</v>
      </c>
      <c r="U64" s="834">
        <v>7</v>
      </c>
      <c r="V64" s="852" t="s">
        <v>3056</v>
      </c>
      <c r="W64" s="848">
        <v>46069</v>
      </c>
      <c r="X64" s="80" t="s">
        <v>30</v>
      </c>
      <c r="Y64" s="80" t="s">
        <v>30</v>
      </c>
      <c r="Z64" s="80" t="s">
        <v>30</v>
      </c>
      <c r="AA64" s="80" t="s">
        <v>30</v>
      </c>
      <c r="AB64" s="80" t="s">
        <v>30</v>
      </c>
      <c r="AC64" s="80" t="s">
        <v>30</v>
      </c>
      <c r="AD64" s="80" t="s">
        <v>30</v>
      </c>
      <c r="AE64" s="80" t="s">
        <v>30</v>
      </c>
      <c r="AF64" s="80" t="s">
        <v>30</v>
      </c>
      <c r="AG64" s="80" t="s">
        <v>30</v>
      </c>
      <c r="AH64" s="80" t="s">
        <v>30</v>
      </c>
      <c r="AI64" s="96" t="s">
        <v>30</v>
      </c>
      <c r="AJ64" s="80" t="s">
        <v>30</v>
      </c>
      <c r="AK64" s="80" t="s">
        <v>30</v>
      </c>
      <c r="AL64" s="80" t="s">
        <v>30</v>
      </c>
      <c r="AM64" s="91"/>
      <c r="AN64" s="840"/>
      <c r="AO64" s="832"/>
      <c r="AP64" s="832"/>
      <c r="AQ64" s="832"/>
      <c r="AR64" s="832"/>
      <c r="AS64"/>
      <c r="AT64"/>
      <c r="AU64" s="71"/>
      <c r="BB64">
        <f t="shared" si="0"/>
        <v>1</v>
      </c>
    </row>
    <row r="65" spans="1:54" ht="15.75" customHeight="1">
      <c r="A65" s="834" t="s">
        <v>24</v>
      </c>
      <c r="B65" s="834">
        <v>62</v>
      </c>
      <c r="C65" s="834" t="s">
        <v>3160</v>
      </c>
      <c r="D65" s="834" t="s">
        <v>374</v>
      </c>
      <c r="E65" s="852">
        <v>46046</v>
      </c>
      <c r="F65" s="834" t="s">
        <v>1757</v>
      </c>
      <c r="G65" s="834">
        <v>13</v>
      </c>
      <c r="H65" s="834" t="s">
        <v>67</v>
      </c>
      <c r="I65" s="834" t="s">
        <v>47</v>
      </c>
      <c r="J65" s="834"/>
      <c r="K65" s="136" t="s">
        <v>3058</v>
      </c>
      <c r="L65" s="834" t="s">
        <v>2264</v>
      </c>
      <c r="M65" s="834" t="s">
        <v>3161</v>
      </c>
      <c r="N65" s="834" t="s">
        <v>3161</v>
      </c>
      <c r="O65" s="834" t="s">
        <v>2050</v>
      </c>
      <c r="P65" s="847" t="s">
        <v>32</v>
      </c>
      <c r="Q65" s="834" t="s">
        <v>30</v>
      </c>
      <c r="R65" s="848">
        <v>46068</v>
      </c>
      <c r="S65" s="852" t="s">
        <v>47</v>
      </c>
      <c r="T65" s="834" t="s">
        <v>32</v>
      </c>
      <c r="U65" s="834">
        <v>12</v>
      </c>
      <c r="V65" s="852" t="s">
        <v>47</v>
      </c>
      <c r="W65" s="848">
        <v>46068</v>
      </c>
      <c r="X65" s="80" t="s">
        <v>30</v>
      </c>
      <c r="Y65" s="80" t="s">
        <v>30</v>
      </c>
      <c r="Z65" s="80" t="s">
        <v>30</v>
      </c>
      <c r="AA65" s="96" t="s">
        <v>30</v>
      </c>
      <c r="AB65" s="96" t="s">
        <v>30</v>
      </c>
      <c r="AC65" s="96" t="s">
        <v>30</v>
      </c>
      <c r="AD65" s="96" t="s">
        <v>30</v>
      </c>
      <c r="AE65" s="96" t="s">
        <v>30</v>
      </c>
      <c r="AF65" s="96" t="s">
        <v>30</v>
      </c>
      <c r="AG65" s="96" t="s">
        <v>30</v>
      </c>
      <c r="AH65" s="96" t="s">
        <v>30</v>
      </c>
      <c r="AI65" s="96" t="s">
        <v>30</v>
      </c>
      <c r="AJ65" s="91" t="s">
        <v>32</v>
      </c>
      <c r="AK65" s="96" t="s">
        <v>30</v>
      </c>
      <c r="AL65" s="96" t="s">
        <v>30</v>
      </c>
      <c r="AM65" s="91"/>
      <c r="AN65" s="840" t="s">
        <v>3162</v>
      </c>
      <c r="AO65" s="881"/>
      <c r="AP65" s="881"/>
      <c r="AQ65" s="832"/>
      <c r="AR65" s="832"/>
      <c r="AS65"/>
      <c r="AT65"/>
      <c r="AU65" s="71"/>
      <c r="BB65">
        <f t="shared" si="0"/>
        <v>1</v>
      </c>
    </row>
    <row r="66" spans="1:54" ht="15.75" customHeight="1">
      <c r="A66" s="834" t="s">
        <v>24</v>
      </c>
      <c r="B66" s="834">
        <v>63</v>
      </c>
      <c r="C66" s="834" t="s">
        <v>3163</v>
      </c>
      <c r="D66" s="834" t="s">
        <v>64</v>
      </c>
      <c r="E66" s="852">
        <v>46046</v>
      </c>
      <c r="F66" s="834" t="s">
        <v>1621</v>
      </c>
      <c r="G66" s="834">
        <v>12</v>
      </c>
      <c r="H66" s="834" t="s">
        <v>127</v>
      </c>
      <c r="I66" s="834" t="s">
        <v>178</v>
      </c>
      <c r="J66" s="98" t="s">
        <v>2110</v>
      </c>
      <c r="K66" s="136" t="s">
        <v>3063</v>
      </c>
      <c r="L66" s="834" t="s">
        <v>2056</v>
      </c>
      <c r="M66" s="834" t="s">
        <v>3143</v>
      </c>
      <c r="N66" s="834" t="s">
        <v>3149</v>
      </c>
      <c r="O66" s="834" t="s">
        <v>3164</v>
      </c>
      <c r="P66" s="847" t="s">
        <v>32</v>
      </c>
      <c r="Q66" s="113"/>
      <c r="R66" s="848"/>
      <c r="S66" s="852" t="s">
        <v>28</v>
      </c>
      <c r="T66" s="834" t="s">
        <v>30</v>
      </c>
      <c r="U66" s="830">
        <v>14</v>
      </c>
      <c r="V66" s="852" t="s">
        <v>28</v>
      </c>
      <c r="W66" s="848">
        <v>46057</v>
      </c>
      <c r="X66" s="80" t="s">
        <v>30</v>
      </c>
      <c r="Y66" s="80" t="s">
        <v>30</v>
      </c>
      <c r="Z66" s="80" t="s">
        <v>30</v>
      </c>
      <c r="AA66" s="96" t="s">
        <v>30</v>
      </c>
      <c r="AB66" s="96" t="s">
        <v>30</v>
      </c>
      <c r="AC66" s="96" t="s">
        <v>30</v>
      </c>
      <c r="AD66" s="96" t="s">
        <v>30</v>
      </c>
      <c r="AE66" s="96" t="s">
        <v>30</v>
      </c>
      <c r="AF66" s="96" t="s">
        <v>30</v>
      </c>
      <c r="AG66" s="96" t="s">
        <v>30</v>
      </c>
      <c r="AH66" s="96" t="s">
        <v>30</v>
      </c>
      <c r="AI66" s="96" t="s">
        <v>30</v>
      </c>
      <c r="AJ66" s="107" t="s">
        <v>30</v>
      </c>
      <c r="AK66" s="107" t="s">
        <v>30</v>
      </c>
      <c r="AL66" s="96" t="s">
        <v>30</v>
      </c>
      <c r="AM66" s="91"/>
      <c r="AN66" s="840"/>
      <c r="AO66" s="832"/>
      <c r="AP66" s="832"/>
      <c r="AQ66" s="832"/>
      <c r="AR66" s="832"/>
      <c r="AS66"/>
      <c r="AT66"/>
      <c r="AU66" s="71"/>
      <c r="BB66">
        <f t="shared" si="0"/>
        <v>1</v>
      </c>
    </row>
    <row r="67" spans="1:54" ht="15.75" customHeight="1">
      <c r="A67" s="834" t="s">
        <v>24</v>
      </c>
      <c r="B67" s="834">
        <v>64</v>
      </c>
      <c r="C67" s="834" t="s">
        <v>3165</v>
      </c>
      <c r="D67" s="834" t="s">
        <v>34</v>
      </c>
      <c r="E67" s="852">
        <v>46046</v>
      </c>
      <c r="F67" s="834" t="s">
        <v>93</v>
      </c>
      <c r="G67" s="834">
        <v>7</v>
      </c>
      <c r="H67" s="847" t="s">
        <v>127</v>
      </c>
      <c r="I67" s="834" t="s">
        <v>178</v>
      </c>
      <c r="J67" s="834"/>
      <c r="K67" s="136" t="s">
        <v>3058</v>
      </c>
      <c r="L67" s="834" t="s">
        <v>2085</v>
      </c>
      <c r="M67" s="834" t="s">
        <v>3149</v>
      </c>
      <c r="N67" s="834" t="s">
        <v>3149</v>
      </c>
      <c r="O67" s="834" t="s">
        <v>2050</v>
      </c>
      <c r="P67" s="847" t="s">
        <v>32</v>
      </c>
      <c r="Q67" s="400" t="s">
        <v>30</v>
      </c>
      <c r="R67" s="848">
        <v>46065</v>
      </c>
      <c r="S67" s="852" t="s">
        <v>28</v>
      </c>
      <c r="T67" s="834" t="s">
        <v>1140</v>
      </c>
      <c r="U67" s="834">
        <v>6</v>
      </c>
      <c r="V67" s="852" t="s">
        <v>28</v>
      </c>
      <c r="W67" s="848">
        <v>46065</v>
      </c>
      <c r="X67" s="90" t="s">
        <v>30</v>
      </c>
      <c r="Y67" s="96" t="s">
        <v>30</v>
      </c>
      <c r="Z67" s="96" t="s">
        <v>30</v>
      </c>
      <c r="AA67" s="96" t="s">
        <v>30</v>
      </c>
      <c r="AB67" s="96" t="s">
        <v>30</v>
      </c>
      <c r="AC67" s="96" t="s">
        <v>30</v>
      </c>
      <c r="AD67" s="96" t="s">
        <v>30</v>
      </c>
      <c r="AE67" s="96" t="s">
        <v>30</v>
      </c>
      <c r="AF67" s="96" t="s">
        <v>30</v>
      </c>
      <c r="AG67" s="96" t="s">
        <v>30</v>
      </c>
      <c r="AH67" s="96" t="s">
        <v>30</v>
      </c>
      <c r="AI67" s="96" t="s">
        <v>30</v>
      </c>
      <c r="AJ67" s="96" t="s">
        <v>30</v>
      </c>
      <c r="AK67" s="96" t="s">
        <v>30</v>
      </c>
      <c r="AL67" s="96" t="s">
        <v>30</v>
      </c>
      <c r="AM67" s="91"/>
      <c r="AN67" s="840"/>
      <c r="AO67" s="832"/>
      <c r="AP67" s="832"/>
      <c r="AQ67" s="832"/>
      <c r="AR67" s="832"/>
      <c r="AS67"/>
      <c r="AT67"/>
      <c r="AU67"/>
      <c r="AV67"/>
      <c r="AW67"/>
      <c r="AX67"/>
      <c r="BB67">
        <f t="shared" si="0"/>
        <v>1</v>
      </c>
    </row>
    <row r="68" spans="1:54" ht="15.75" customHeight="1">
      <c r="A68" s="834" t="s">
        <v>24</v>
      </c>
      <c r="B68" s="834">
        <v>65</v>
      </c>
      <c r="C68" s="834" t="s">
        <v>3166</v>
      </c>
      <c r="D68" s="834" t="s">
        <v>34</v>
      </c>
      <c r="E68" s="852">
        <v>46046</v>
      </c>
      <c r="F68" s="834" t="s">
        <v>93</v>
      </c>
      <c r="G68" s="834">
        <v>5</v>
      </c>
      <c r="H68" s="834" t="s">
        <v>127</v>
      </c>
      <c r="I68" s="834" t="s">
        <v>178</v>
      </c>
      <c r="J68" s="834"/>
      <c r="K68" s="136" t="s">
        <v>3058</v>
      </c>
      <c r="L68" s="834" t="s">
        <v>2085</v>
      </c>
      <c r="M68" s="834"/>
      <c r="N68" s="834"/>
      <c r="O68" s="834" t="s">
        <v>401</v>
      </c>
      <c r="P68" s="847" t="s">
        <v>32</v>
      </c>
      <c r="Q68" s="834" t="s">
        <v>30</v>
      </c>
      <c r="R68" s="848">
        <v>46065</v>
      </c>
      <c r="S68" s="852" t="s">
        <v>28</v>
      </c>
      <c r="T68" s="834" t="s">
        <v>1140</v>
      </c>
      <c r="U68" s="834">
        <v>5</v>
      </c>
      <c r="V68" s="852" t="s">
        <v>28</v>
      </c>
      <c r="W68" s="848">
        <v>46065</v>
      </c>
      <c r="X68" s="96" t="s">
        <v>30</v>
      </c>
      <c r="Y68" s="96" t="s">
        <v>30</v>
      </c>
      <c r="Z68" s="96" t="s">
        <v>30</v>
      </c>
      <c r="AA68" s="96" t="s">
        <v>30</v>
      </c>
      <c r="AB68" s="96" t="s">
        <v>30</v>
      </c>
      <c r="AC68" s="96" t="s">
        <v>30</v>
      </c>
      <c r="AD68" s="96" t="s">
        <v>30</v>
      </c>
      <c r="AE68" s="96" t="s">
        <v>30</v>
      </c>
      <c r="AF68" s="96" t="s">
        <v>30</v>
      </c>
      <c r="AG68" s="96" t="s">
        <v>30</v>
      </c>
      <c r="AH68" s="96" t="s">
        <v>30</v>
      </c>
      <c r="AI68" s="110" t="s">
        <v>32</v>
      </c>
      <c r="AJ68" s="96" t="s">
        <v>30</v>
      </c>
      <c r="AK68" s="96" t="s">
        <v>30</v>
      </c>
      <c r="AL68" s="96" t="s">
        <v>30</v>
      </c>
      <c r="AM68" s="91"/>
      <c r="AN68" s="840"/>
      <c r="AO68" s="832"/>
      <c r="AP68" s="832"/>
      <c r="AQ68" s="832"/>
      <c r="AR68" s="832"/>
      <c r="AS68"/>
      <c r="AT68"/>
      <c r="AU68" s="71"/>
      <c r="BB68">
        <f t="shared" si="0"/>
        <v>1</v>
      </c>
    </row>
    <row r="69" spans="1:54" ht="15.75" customHeight="1">
      <c r="A69" s="834" t="s">
        <v>24</v>
      </c>
      <c r="B69" s="834">
        <v>66</v>
      </c>
      <c r="C69" s="834" t="s">
        <v>3167</v>
      </c>
      <c r="D69" s="834" t="s">
        <v>34</v>
      </c>
      <c r="E69" s="852">
        <v>46046</v>
      </c>
      <c r="F69" s="834" t="s">
        <v>202</v>
      </c>
      <c r="G69" s="834">
        <v>14</v>
      </c>
      <c r="H69" s="834" t="s">
        <v>127</v>
      </c>
      <c r="I69" s="834" t="s">
        <v>178</v>
      </c>
      <c r="J69" s="834"/>
      <c r="K69" s="136" t="s">
        <v>3058</v>
      </c>
      <c r="L69" s="834" t="s">
        <v>2092</v>
      </c>
      <c r="M69" s="834" t="s">
        <v>3143</v>
      </c>
      <c r="N69" s="834" t="s">
        <v>3151</v>
      </c>
      <c r="O69" s="834" t="s">
        <v>3168</v>
      </c>
      <c r="P69" s="847" t="s">
        <v>32</v>
      </c>
      <c r="Q69" s="400" t="s">
        <v>30</v>
      </c>
      <c r="R69" s="848">
        <v>46064</v>
      </c>
      <c r="S69" s="852" t="s">
        <v>28</v>
      </c>
      <c r="T69" s="834" t="s">
        <v>32</v>
      </c>
      <c r="U69" s="834">
        <v>11</v>
      </c>
      <c r="V69" s="852" t="s">
        <v>28</v>
      </c>
      <c r="W69" s="848">
        <v>46064</v>
      </c>
      <c r="X69" s="90" t="s">
        <v>30</v>
      </c>
      <c r="Y69" s="96" t="s">
        <v>30</v>
      </c>
      <c r="Z69" s="96" t="s">
        <v>30</v>
      </c>
      <c r="AA69" s="91" t="s">
        <v>32</v>
      </c>
      <c r="AB69" s="91" t="s">
        <v>32</v>
      </c>
      <c r="AC69" s="91" t="s">
        <v>32</v>
      </c>
      <c r="AD69" s="96" t="s">
        <v>30</v>
      </c>
      <c r="AE69" s="96" t="s">
        <v>30</v>
      </c>
      <c r="AF69" s="96" t="s">
        <v>30</v>
      </c>
      <c r="AG69" s="96" t="s">
        <v>30</v>
      </c>
      <c r="AH69" s="96" t="s">
        <v>30</v>
      </c>
      <c r="AI69" s="96" t="s">
        <v>30</v>
      </c>
      <c r="AJ69" s="90" t="s">
        <v>30</v>
      </c>
      <c r="AK69" s="90" t="s">
        <v>30</v>
      </c>
      <c r="AL69" s="96" t="s">
        <v>30</v>
      </c>
      <c r="AM69" s="91"/>
      <c r="AN69" s="840"/>
      <c r="AO69" s="832"/>
      <c r="AP69" s="832"/>
      <c r="AQ69" s="832"/>
      <c r="AR69" s="832"/>
      <c r="AS69"/>
      <c r="AT69"/>
      <c r="AU69"/>
      <c r="AV69"/>
      <c r="AW69"/>
      <c r="AX69"/>
      <c r="BB69">
        <f t="shared" ref="BB69:BB132" si="1">IF(E69&gt;1,1,"")</f>
        <v>1</v>
      </c>
    </row>
    <row r="70" spans="1:54" ht="15.75" customHeight="1">
      <c r="A70" s="834" t="s">
        <v>24</v>
      </c>
      <c r="B70" s="834">
        <v>67</v>
      </c>
      <c r="C70" s="834" t="s">
        <v>3169</v>
      </c>
      <c r="D70" s="834" t="s">
        <v>34</v>
      </c>
      <c r="E70" s="852">
        <v>46046</v>
      </c>
      <c r="F70" s="834" t="s">
        <v>202</v>
      </c>
      <c r="G70" s="834">
        <v>12</v>
      </c>
      <c r="H70" s="847" t="s">
        <v>127</v>
      </c>
      <c r="I70" s="834" t="s">
        <v>178</v>
      </c>
      <c r="J70" s="98" t="s">
        <v>3170</v>
      </c>
      <c r="K70" s="136" t="s">
        <v>3058</v>
      </c>
      <c r="L70" s="834" t="s">
        <v>2180</v>
      </c>
      <c r="M70" s="834" t="s">
        <v>3143</v>
      </c>
      <c r="N70" s="834" t="s">
        <v>3151</v>
      </c>
      <c r="O70" s="834" t="s">
        <v>2050</v>
      </c>
      <c r="P70" s="847" t="s">
        <v>32</v>
      </c>
      <c r="Q70" s="834" t="s">
        <v>30</v>
      </c>
      <c r="R70" s="848">
        <v>46065</v>
      </c>
      <c r="S70" s="852" t="s">
        <v>1721</v>
      </c>
      <c r="T70" s="834" t="s">
        <v>30</v>
      </c>
      <c r="U70" s="834">
        <v>11</v>
      </c>
      <c r="V70" s="852" t="s">
        <v>1721</v>
      </c>
      <c r="W70" s="848">
        <v>46065</v>
      </c>
      <c r="X70" s="90" t="s">
        <v>30</v>
      </c>
      <c r="Y70" s="80" t="s">
        <v>30</v>
      </c>
      <c r="Z70" s="90" t="s">
        <v>30</v>
      </c>
      <c r="AA70" s="91" t="s">
        <v>32</v>
      </c>
      <c r="AB70" s="91" t="s">
        <v>32</v>
      </c>
      <c r="AC70" s="91" t="s">
        <v>32</v>
      </c>
      <c r="AD70" s="96" t="s">
        <v>30</v>
      </c>
      <c r="AE70" s="96" t="s">
        <v>30</v>
      </c>
      <c r="AF70" s="96" t="s">
        <v>30</v>
      </c>
      <c r="AG70" s="96" t="s">
        <v>30</v>
      </c>
      <c r="AH70" s="96" t="s">
        <v>30</v>
      </c>
      <c r="AI70" s="96" t="s">
        <v>30</v>
      </c>
      <c r="AJ70" s="96" t="s">
        <v>30</v>
      </c>
      <c r="AK70" s="96" t="s">
        <v>30</v>
      </c>
      <c r="AL70" s="108" t="s">
        <v>30</v>
      </c>
      <c r="AM70" s="91"/>
      <c r="AN70" s="840"/>
      <c r="AO70" s="832"/>
      <c r="AP70" s="832"/>
      <c r="AQ70" s="832"/>
      <c r="AR70" s="832"/>
      <c r="AS70"/>
      <c r="AT70"/>
      <c r="AU70"/>
      <c r="AV70"/>
      <c r="AW70"/>
      <c r="AX70"/>
      <c r="BB70">
        <f t="shared" si="1"/>
        <v>1</v>
      </c>
    </row>
    <row r="71" spans="1:54" ht="15.75" customHeight="1">
      <c r="A71" s="834" t="s">
        <v>24</v>
      </c>
      <c r="B71" s="834">
        <v>68</v>
      </c>
      <c r="C71" s="834" t="s">
        <v>3171</v>
      </c>
      <c r="D71" s="834" t="s">
        <v>34</v>
      </c>
      <c r="E71" s="852">
        <v>46046</v>
      </c>
      <c r="F71" s="834" t="s">
        <v>202</v>
      </c>
      <c r="G71" s="834">
        <v>2</v>
      </c>
      <c r="H71" s="834" t="s">
        <v>1721</v>
      </c>
      <c r="I71" s="834" t="s">
        <v>1638</v>
      </c>
      <c r="J71" s="98"/>
      <c r="K71" s="136" t="s">
        <v>3058</v>
      </c>
      <c r="L71" s="834" t="s">
        <v>2180</v>
      </c>
      <c r="M71" s="834" t="s">
        <v>401</v>
      </c>
      <c r="N71" s="834" t="s">
        <v>401</v>
      </c>
      <c r="O71" s="834"/>
      <c r="P71" s="847" t="s">
        <v>32</v>
      </c>
      <c r="Q71" s="834"/>
      <c r="R71" s="848"/>
      <c r="S71" s="852" t="s">
        <v>1638</v>
      </c>
      <c r="T71" s="834"/>
      <c r="U71" s="834"/>
      <c r="V71" s="852"/>
      <c r="W71" s="848"/>
      <c r="X71" s="91" t="s">
        <v>32</v>
      </c>
      <c r="Y71" s="91" t="s">
        <v>32</v>
      </c>
      <c r="Z71" s="91" t="s">
        <v>32</v>
      </c>
      <c r="AA71" s="91" t="s">
        <v>32</v>
      </c>
      <c r="AB71" s="91" t="s">
        <v>32</v>
      </c>
      <c r="AC71" s="91" t="s">
        <v>32</v>
      </c>
      <c r="AD71" s="96" t="s">
        <v>30</v>
      </c>
      <c r="AE71" s="96" t="s">
        <v>30</v>
      </c>
      <c r="AF71" s="96" t="s">
        <v>30</v>
      </c>
      <c r="AG71" s="96" t="s">
        <v>30</v>
      </c>
      <c r="AH71" s="96" t="s">
        <v>30</v>
      </c>
      <c r="AI71" s="110"/>
      <c r="AJ71" s="91" t="s">
        <v>32</v>
      </c>
      <c r="AK71" s="96" t="s">
        <v>30</v>
      </c>
      <c r="AL71" s="91" t="s">
        <v>32</v>
      </c>
      <c r="AM71" s="91"/>
      <c r="AN71" s="840" t="s">
        <v>3074</v>
      </c>
      <c r="AO71" s="832"/>
      <c r="AP71" s="832"/>
      <c r="AQ71" s="832"/>
      <c r="AR71" s="832"/>
      <c r="AS71"/>
      <c r="AT71" s="84"/>
      <c r="AU71" s="71"/>
      <c r="AV71" s="71"/>
      <c r="AW71" s="71"/>
      <c r="AX71" s="71"/>
      <c r="BB71">
        <f t="shared" si="1"/>
        <v>1</v>
      </c>
    </row>
    <row r="72" spans="1:54" ht="15.75" customHeight="1">
      <c r="A72" s="834" t="s">
        <v>24</v>
      </c>
      <c r="B72" s="834">
        <v>69</v>
      </c>
      <c r="C72" s="834" t="s">
        <v>3172</v>
      </c>
      <c r="D72" s="834" t="s">
        <v>34</v>
      </c>
      <c r="E72" s="852">
        <v>46046</v>
      </c>
      <c r="F72" s="834" t="s">
        <v>97</v>
      </c>
      <c r="G72" s="834">
        <v>21</v>
      </c>
      <c r="H72" s="834" t="s">
        <v>127</v>
      </c>
      <c r="I72" s="834" t="s">
        <v>178</v>
      </c>
      <c r="J72" s="98" t="s">
        <v>2110</v>
      </c>
      <c r="K72" s="136" t="s">
        <v>3063</v>
      </c>
      <c r="L72" s="834" t="s">
        <v>2312</v>
      </c>
      <c r="M72" s="834" t="s">
        <v>3143</v>
      </c>
      <c r="N72" s="834" t="s">
        <v>3151</v>
      </c>
      <c r="O72" s="834" t="s">
        <v>2245</v>
      </c>
      <c r="P72" s="126" t="s">
        <v>31</v>
      </c>
      <c r="Q72" s="834"/>
      <c r="R72" s="848"/>
      <c r="S72" s="852" t="s">
        <v>28</v>
      </c>
      <c r="T72" s="834" t="s">
        <v>30</v>
      </c>
      <c r="U72" s="834">
        <v>18</v>
      </c>
      <c r="V72" s="852" t="s">
        <v>28</v>
      </c>
      <c r="W72" s="848">
        <v>46065</v>
      </c>
      <c r="X72" s="90" t="s">
        <v>30</v>
      </c>
      <c r="Y72" s="80" t="s">
        <v>30</v>
      </c>
      <c r="Z72" s="96" t="s">
        <v>30</v>
      </c>
      <c r="AA72" s="96" t="s">
        <v>30</v>
      </c>
      <c r="AB72" s="96" t="s">
        <v>30</v>
      </c>
      <c r="AC72" s="96" t="s">
        <v>30</v>
      </c>
      <c r="AD72" s="96" t="s">
        <v>30</v>
      </c>
      <c r="AE72" s="96" t="s">
        <v>30</v>
      </c>
      <c r="AF72" s="96" t="s">
        <v>30</v>
      </c>
      <c r="AG72" s="96" t="s">
        <v>30</v>
      </c>
      <c r="AH72" s="96" t="s">
        <v>30</v>
      </c>
      <c r="AI72" s="96" t="s">
        <v>30</v>
      </c>
      <c r="AJ72" s="96" t="s">
        <v>30</v>
      </c>
      <c r="AK72" s="96" t="s">
        <v>30</v>
      </c>
      <c r="AL72" s="96" t="s">
        <v>30</v>
      </c>
      <c r="AM72" s="91"/>
      <c r="AN72" s="840"/>
      <c r="AO72" s="832"/>
      <c r="AP72" s="832"/>
      <c r="AQ72" s="832"/>
      <c r="AR72" s="832"/>
      <c r="AS72"/>
      <c r="AT72"/>
      <c r="AU72"/>
      <c r="AV72"/>
      <c r="AW72"/>
      <c r="AX72"/>
      <c r="BB72">
        <f t="shared" si="1"/>
        <v>1</v>
      </c>
    </row>
    <row r="73" spans="1:54" ht="15.75" customHeight="1">
      <c r="A73" s="834" t="s">
        <v>24</v>
      </c>
      <c r="B73" s="834">
        <v>70</v>
      </c>
      <c r="C73" s="834" t="s">
        <v>3173</v>
      </c>
      <c r="D73" s="834" t="s">
        <v>34</v>
      </c>
      <c r="E73" s="852">
        <v>46046</v>
      </c>
      <c r="F73" s="834" t="s">
        <v>401</v>
      </c>
      <c r="G73" s="834">
        <v>7</v>
      </c>
      <c r="H73" s="834" t="s">
        <v>1721</v>
      </c>
      <c r="I73" s="834" t="s">
        <v>1638</v>
      </c>
      <c r="J73" s="834"/>
      <c r="K73" s="136" t="s">
        <v>3063</v>
      </c>
      <c r="L73" s="834" t="s">
        <v>2312</v>
      </c>
      <c r="M73" s="834" t="s">
        <v>401</v>
      </c>
      <c r="N73" s="834" t="s">
        <v>401</v>
      </c>
      <c r="O73" s="834" t="s">
        <v>401</v>
      </c>
      <c r="P73" s="847" t="s">
        <v>32</v>
      </c>
      <c r="Q73" s="834" t="s">
        <v>30</v>
      </c>
      <c r="R73" s="848">
        <v>46059</v>
      </c>
      <c r="S73" s="852" t="s">
        <v>1638</v>
      </c>
      <c r="T73" s="834" t="s">
        <v>32</v>
      </c>
      <c r="U73" s="834">
        <v>7</v>
      </c>
      <c r="V73" s="852" t="s">
        <v>1638</v>
      </c>
      <c r="W73" s="848">
        <v>46059</v>
      </c>
      <c r="X73" s="90" t="s">
        <v>30</v>
      </c>
      <c r="Y73" s="96" t="s">
        <v>30</v>
      </c>
      <c r="Z73" s="90" t="s">
        <v>30</v>
      </c>
      <c r="AA73" s="96" t="s">
        <v>30</v>
      </c>
      <c r="AB73" s="96" t="s">
        <v>30</v>
      </c>
      <c r="AC73" s="96" t="s">
        <v>30</v>
      </c>
      <c r="AD73" s="96" t="s">
        <v>30</v>
      </c>
      <c r="AE73" s="96" t="s">
        <v>30</v>
      </c>
      <c r="AF73" s="96" t="s">
        <v>30</v>
      </c>
      <c r="AG73" s="96" t="s">
        <v>30</v>
      </c>
      <c r="AH73" s="96" t="s">
        <v>30</v>
      </c>
      <c r="AI73" s="96" t="s">
        <v>30</v>
      </c>
      <c r="AJ73" s="96" t="s">
        <v>30</v>
      </c>
      <c r="AK73" s="96" t="s">
        <v>30</v>
      </c>
      <c r="AL73" s="91" t="s">
        <v>32</v>
      </c>
      <c r="AM73" s="91"/>
      <c r="AN73" s="840" t="s">
        <v>3108</v>
      </c>
      <c r="AO73" s="625"/>
      <c r="AP73" s="625"/>
      <c r="AQ73" s="626"/>
      <c r="AR73" s="626"/>
      <c r="AS73" s="509"/>
      <c r="AT73" s="509"/>
      <c r="AU73" s="134"/>
      <c r="AV73" s="135"/>
      <c r="AW73" s="509"/>
      <c r="AX73" s="135"/>
      <c r="AY73" s="135"/>
      <c r="BB73">
        <f t="shared" si="1"/>
        <v>1</v>
      </c>
    </row>
    <row r="74" spans="1:54" ht="15.75" customHeight="1">
      <c r="A74" s="834" t="s">
        <v>24</v>
      </c>
      <c r="B74" s="834">
        <v>71</v>
      </c>
      <c r="C74" s="834" t="s">
        <v>3174</v>
      </c>
      <c r="D74" s="834" t="s">
        <v>34</v>
      </c>
      <c r="E74" s="852">
        <v>46046</v>
      </c>
      <c r="F74" s="834" t="s">
        <v>202</v>
      </c>
      <c r="G74" s="834">
        <v>17</v>
      </c>
      <c r="H74" s="847" t="s">
        <v>127</v>
      </c>
      <c r="I74" s="834" t="s">
        <v>178</v>
      </c>
      <c r="J74" s="834"/>
      <c r="K74" s="136" t="s">
        <v>3058</v>
      </c>
      <c r="L74" s="834" t="s">
        <v>2316</v>
      </c>
      <c r="M74" s="834" t="s">
        <v>3143</v>
      </c>
      <c r="N74" s="834" t="s">
        <v>3157</v>
      </c>
      <c r="O74" s="834" t="s">
        <v>2050</v>
      </c>
      <c r="P74" s="126" t="s">
        <v>31</v>
      </c>
      <c r="Q74" s="834" t="s">
        <v>30</v>
      </c>
      <c r="R74" s="848">
        <v>46065</v>
      </c>
      <c r="S74" s="852" t="s">
        <v>28</v>
      </c>
      <c r="T74" s="834" t="s">
        <v>32</v>
      </c>
      <c r="U74" s="834">
        <v>15</v>
      </c>
      <c r="V74" s="852" t="s">
        <v>28</v>
      </c>
      <c r="W74" s="848">
        <v>46065</v>
      </c>
      <c r="X74" s="96" t="s">
        <v>30</v>
      </c>
      <c r="Y74" s="96" t="s">
        <v>30</v>
      </c>
      <c r="Z74" s="96" t="s">
        <v>30</v>
      </c>
      <c r="AA74" s="91" t="s">
        <v>32</v>
      </c>
      <c r="AB74" s="91" t="s">
        <v>32</v>
      </c>
      <c r="AC74" s="91" t="s">
        <v>32</v>
      </c>
      <c r="AD74" s="96" t="s">
        <v>30</v>
      </c>
      <c r="AE74" s="96" t="s">
        <v>30</v>
      </c>
      <c r="AF74" s="96" t="s">
        <v>30</v>
      </c>
      <c r="AG74" s="96" t="s">
        <v>30</v>
      </c>
      <c r="AH74" s="96" t="s">
        <v>30</v>
      </c>
      <c r="AI74" s="110"/>
      <c r="AJ74" s="107" t="s">
        <v>30</v>
      </c>
      <c r="AK74" s="107" t="s">
        <v>30</v>
      </c>
      <c r="AL74" s="96" t="s">
        <v>30</v>
      </c>
      <c r="AM74" s="110"/>
      <c r="AN74" s="840"/>
      <c r="AO74" s="832"/>
      <c r="AP74" s="875"/>
      <c r="AQ74" s="875"/>
      <c r="AR74" s="875"/>
      <c r="AS74" s="776"/>
      <c r="AT74" s="776"/>
      <c r="AU74"/>
      <c r="AV74"/>
      <c r="AW74"/>
      <c r="AX74"/>
      <c r="AY74" s="105"/>
      <c r="BB74">
        <f t="shared" si="1"/>
        <v>1</v>
      </c>
    </row>
    <row r="75" spans="1:54" ht="15.75" customHeight="1">
      <c r="A75" s="834" t="s">
        <v>24</v>
      </c>
      <c r="B75" s="834">
        <v>72</v>
      </c>
      <c r="C75" s="834" t="s">
        <v>3175</v>
      </c>
      <c r="D75" s="834" t="s">
        <v>34</v>
      </c>
      <c r="E75" s="852">
        <v>46046</v>
      </c>
      <c r="F75" s="834" t="s">
        <v>1105</v>
      </c>
      <c r="G75" s="834">
        <v>15</v>
      </c>
      <c r="H75" s="834" t="s">
        <v>1721</v>
      </c>
      <c r="I75" s="834" t="s">
        <v>1638</v>
      </c>
      <c r="J75" s="834"/>
      <c r="K75" s="136" t="s">
        <v>3058</v>
      </c>
      <c r="L75" s="834" t="s">
        <v>2130</v>
      </c>
      <c r="M75" s="834" t="s">
        <v>3143</v>
      </c>
      <c r="N75" s="834" t="s">
        <v>3157</v>
      </c>
      <c r="O75" s="834" t="s">
        <v>2083</v>
      </c>
      <c r="P75" s="126" t="s">
        <v>31</v>
      </c>
      <c r="Q75" s="834" t="s">
        <v>30</v>
      </c>
      <c r="R75" s="848">
        <v>46059</v>
      </c>
      <c r="S75" s="852" t="s">
        <v>1638</v>
      </c>
      <c r="T75" s="834" t="s">
        <v>32</v>
      </c>
      <c r="U75" s="834">
        <v>12</v>
      </c>
      <c r="V75" s="852" t="s">
        <v>1638</v>
      </c>
      <c r="W75" s="848">
        <v>46059</v>
      </c>
      <c r="X75" s="90" t="s">
        <v>30</v>
      </c>
      <c r="Y75" s="96" t="s">
        <v>30</v>
      </c>
      <c r="Z75" s="90" t="s">
        <v>30</v>
      </c>
      <c r="AA75" s="91" t="s">
        <v>32</v>
      </c>
      <c r="AB75" s="91" t="s">
        <v>32</v>
      </c>
      <c r="AC75" s="96" t="s">
        <v>30</v>
      </c>
      <c r="AD75" s="96" t="s">
        <v>30</v>
      </c>
      <c r="AE75" s="96" t="s">
        <v>30</v>
      </c>
      <c r="AF75" s="96" t="s">
        <v>30</v>
      </c>
      <c r="AG75" s="96" t="s">
        <v>30</v>
      </c>
      <c r="AH75" s="96" t="s">
        <v>30</v>
      </c>
      <c r="AI75" s="96" t="s">
        <v>30</v>
      </c>
      <c r="AJ75" s="96" t="s">
        <v>30</v>
      </c>
      <c r="AK75" s="96" t="s">
        <v>30</v>
      </c>
      <c r="AL75" s="96" t="s">
        <v>30</v>
      </c>
      <c r="AM75" s="96" t="s">
        <v>30</v>
      </c>
      <c r="AN75" s="840"/>
      <c r="AO75" s="832"/>
      <c r="AP75" s="875"/>
      <c r="AQ75" s="875"/>
      <c r="AR75" s="875"/>
      <c r="AS75" s="776"/>
      <c r="AT75" s="776"/>
      <c r="AU75"/>
      <c r="AV75"/>
      <c r="AW75"/>
      <c r="AX75"/>
      <c r="AY75" s="105"/>
      <c r="BB75">
        <f t="shared" si="1"/>
        <v>1</v>
      </c>
    </row>
    <row r="76" spans="1:54" ht="15.75" customHeight="1">
      <c r="A76" s="834" t="s">
        <v>24</v>
      </c>
      <c r="B76" s="834">
        <v>73</v>
      </c>
      <c r="C76" s="834" t="s">
        <v>3176</v>
      </c>
      <c r="D76" s="834" t="s">
        <v>34</v>
      </c>
      <c r="E76" s="852">
        <v>46048</v>
      </c>
      <c r="F76" s="834" t="s">
        <v>3177</v>
      </c>
      <c r="G76" s="834">
        <v>22</v>
      </c>
      <c r="H76" s="834" t="s">
        <v>1077</v>
      </c>
      <c r="I76" s="834" t="s">
        <v>1138</v>
      </c>
      <c r="J76" s="834"/>
      <c r="K76" s="136" t="s">
        <v>3058</v>
      </c>
      <c r="L76" s="834" t="s">
        <v>3178</v>
      </c>
      <c r="M76" s="834" t="s">
        <v>3149</v>
      </c>
      <c r="N76" s="834" t="s">
        <v>3149</v>
      </c>
      <c r="O76" s="834" t="s">
        <v>2058</v>
      </c>
      <c r="P76" s="125" t="s">
        <v>31</v>
      </c>
      <c r="Q76" s="400" t="s">
        <v>30</v>
      </c>
      <c r="R76" s="848">
        <v>46057</v>
      </c>
      <c r="S76" s="852" t="s">
        <v>1138</v>
      </c>
      <c r="T76" s="834" t="s">
        <v>32</v>
      </c>
      <c r="U76" s="834">
        <v>21</v>
      </c>
      <c r="V76" s="852" t="s">
        <v>1138</v>
      </c>
      <c r="W76" s="848">
        <v>46057</v>
      </c>
      <c r="X76" s="80" t="s">
        <v>30</v>
      </c>
      <c r="Y76" s="80" t="s">
        <v>30</v>
      </c>
      <c r="Z76" s="80" t="s">
        <v>30</v>
      </c>
      <c r="AA76" s="91" t="s">
        <v>32</v>
      </c>
      <c r="AB76" s="91" t="s">
        <v>32</v>
      </c>
      <c r="AC76" s="91" t="s">
        <v>32</v>
      </c>
      <c r="AD76" s="80" t="s">
        <v>30</v>
      </c>
      <c r="AE76" s="80" t="s">
        <v>30</v>
      </c>
      <c r="AF76" s="80" t="s">
        <v>30</v>
      </c>
      <c r="AG76" s="80" t="s">
        <v>30</v>
      </c>
      <c r="AH76" s="80" t="s">
        <v>30</v>
      </c>
      <c r="AI76" s="96" t="s">
        <v>30</v>
      </c>
      <c r="AJ76" s="107" t="s">
        <v>30</v>
      </c>
      <c r="AK76" s="107" t="s">
        <v>30</v>
      </c>
      <c r="AL76" s="107" t="s">
        <v>30</v>
      </c>
      <c r="AM76" s="110"/>
      <c r="AN76" s="840"/>
      <c r="AO76" s="832"/>
      <c r="AP76" s="832"/>
      <c r="AQ76" s="832"/>
      <c r="AR76" s="832"/>
      <c r="AS76"/>
      <c r="AT76"/>
      <c r="AU76" s="71"/>
      <c r="AY76" s="105"/>
      <c r="BB76">
        <f t="shared" si="1"/>
        <v>1</v>
      </c>
    </row>
    <row r="77" spans="1:54" ht="15.6" customHeight="1">
      <c r="A77" s="834" t="s">
        <v>24</v>
      </c>
      <c r="B77" s="834">
        <v>74</v>
      </c>
      <c r="C77" s="834" t="s">
        <v>3179</v>
      </c>
      <c r="D77" s="834" t="s">
        <v>446</v>
      </c>
      <c r="E77" s="852">
        <v>46048</v>
      </c>
      <c r="F77" s="834" t="s">
        <v>885</v>
      </c>
      <c r="G77" s="834">
        <v>31</v>
      </c>
      <c r="H77" s="847" t="s">
        <v>1721</v>
      </c>
      <c r="I77" s="834" t="s">
        <v>1638</v>
      </c>
      <c r="J77" s="98"/>
      <c r="K77" s="136" t="s">
        <v>3063</v>
      </c>
      <c r="L77" s="834" t="s">
        <v>2222</v>
      </c>
      <c r="M77" s="834" t="s">
        <v>3157</v>
      </c>
      <c r="N77" s="834" t="s">
        <v>3149</v>
      </c>
      <c r="O77" s="834" t="s">
        <v>2050</v>
      </c>
      <c r="P77" s="126" t="s">
        <v>31</v>
      </c>
      <c r="Q77" s="118" t="s">
        <v>30</v>
      </c>
      <c r="R77" s="848">
        <v>46077</v>
      </c>
      <c r="S77" s="852" t="s">
        <v>1638</v>
      </c>
      <c r="T77" s="834" t="s">
        <v>32</v>
      </c>
      <c r="U77" s="834">
        <v>30</v>
      </c>
      <c r="V77" s="852" t="s">
        <v>1638</v>
      </c>
      <c r="W77" s="848">
        <v>46077</v>
      </c>
      <c r="X77" s="96" t="s">
        <v>30</v>
      </c>
      <c r="Y77" s="80" t="s">
        <v>30</v>
      </c>
      <c r="Z77" s="96" t="s">
        <v>30</v>
      </c>
      <c r="AA77" s="96" t="s">
        <v>30</v>
      </c>
      <c r="AB77" s="96" t="s">
        <v>30</v>
      </c>
      <c r="AC77" s="96" t="s">
        <v>30</v>
      </c>
      <c r="AD77" s="96" t="s">
        <v>30</v>
      </c>
      <c r="AE77" s="96" t="s">
        <v>30</v>
      </c>
      <c r="AF77" s="96" t="s">
        <v>30</v>
      </c>
      <c r="AG77" s="91" t="s">
        <v>32</v>
      </c>
      <c r="AH77" s="96" t="s">
        <v>30</v>
      </c>
      <c r="AI77" s="96" t="s">
        <v>30</v>
      </c>
      <c r="AJ77" s="107" t="s">
        <v>30</v>
      </c>
      <c r="AK77" s="107" t="s">
        <v>30</v>
      </c>
      <c r="AL77" s="107" t="s">
        <v>30</v>
      </c>
      <c r="AM77" s="110"/>
      <c r="AN77" s="840" t="s">
        <v>3074</v>
      </c>
      <c r="AO77" s="832"/>
      <c r="AP77" s="875"/>
      <c r="AQ77" s="875"/>
      <c r="AR77" s="875"/>
      <c r="AS77" s="776"/>
      <c r="AT77" s="776"/>
      <c r="AU77"/>
      <c r="AV77"/>
      <c r="AW77"/>
      <c r="AX77"/>
      <c r="AY77" s="105"/>
      <c r="BB77">
        <f t="shared" si="1"/>
        <v>1</v>
      </c>
    </row>
    <row r="78" spans="1:54" ht="15.6" customHeight="1">
      <c r="A78" s="834" t="s">
        <v>24</v>
      </c>
      <c r="B78" s="834">
        <v>75</v>
      </c>
      <c r="C78" s="834" t="s">
        <v>3180</v>
      </c>
      <c r="D78" s="834" t="s">
        <v>43</v>
      </c>
      <c r="E78" s="852">
        <v>46048</v>
      </c>
      <c r="F78" s="834" t="s">
        <v>737</v>
      </c>
      <c r="G78" s="834">
        <v>17</v>
      </c>
      <c r="H78" s="847" t="s">
        <v>127</v>
      </c>
      <c r="I78" s="834" t="s">
        <v>178</v>
      </c>
      <c r="J78" s="98"/>
      <c r="K78" s="136" t="s">
        <v>3063</v>
      </c>
      <c r="L78" s="834" t="s">
        <v>2056</v>
      </c>
      <c r="M78" s="834" t="s">
        <v>3149</v>
      </c>
      <c r="N78" s="834" t="s">
        <v>3149</v>
      </c>
      <c r="O78" s="834" t="s">
        <v>2058</v>
      </c>
      <c r="P78" s="126" t="s">
        <v>31</v>
      </c>
      <c r="Q78" s="848" t="s">
        <v>30</v>
      </c>
      <c r="R78" s="848">
        <v>46080</v>
      </c>
      <c r="S78" s="852" t="s">
        <v>48</v>
      </c>
      <c r="T78" s="834" t="s">
        <v>32</v>
      </c>
      <c r="U78" s="834">
        <v>17</v>
      </c>
      <c r="V78" s="852" t="s">
        <v>48</v>
      </c>
      <c r="W78" s="848">
        <v>46078</v>
      </c>
      <c r="X78" s="80" t="s">
        <v>30</v>
      </c>
      <c r="Y78" s="80" t="s">
        <v>30</v>
      </c>
      <c r="Z78" s="80" t="s">
        <v>30</v>
      </c>
      <c r="AA78" s="96" t="s">
        <v>30</v>
      </c>
      <c r="AB78" s="96" t="s">
        <v>30</v>
      </c>
      <c r="AC78" s="96" t="s">
        <v>30</v>
      </c>
      <c r="AD78" s="96" t="s">
        <v>30</v>
      </c>
      <c r="AE78" s="96" t="s">
        <v>30</v>
      </c>
      <c r="AF78" s="96" t="s">
        <v>30</v>
      </c>
      <c r="AG78" s="96" t="s">
        <v>30</v>
      </c>
      <c r="AH78" s="96" t="s">
        <v>30</v>
      </c>
      <c r="AI78" s="96" t="s">
        <v>30</v>
      </c>
      <c r="AJ78" s="107" t="s">
        <v>30</v>
      </c>
      <c r="AK78" s="107" t="s">
        <v>30</v>
      </c>
      <c r="AL78" s="107" t="s">
        <v>30</v>
      </c>
      <c r="AM78" s="108" t="s">
        <v>30</v>
      </c>
      <c r="AN78" s="840"/>
      <c r="AO78" s="83"/>
      <c r="AP78" s="83"/>
      <c r="AQ78" s="83"/>
      <c r="AR78" s="83"/>
      <c r="AS78" s="6"/>
      <c r="AT78" s="6"/>
      <c r="AU78" s="104"/>
      <c r="AV78" s="105"/>
      <c r="AW78" s="105"/>
      <c r="AX78" s="105"/>
      <c r="AY78" s="105"/>
      <c r="BB78">
        <f t="shared" si="1"/>
        <v>1</v>
      </c>
    </row>
    <row r="79" spans="1:54" ht="15.6" customHeight="1">
      <c r="A79" s="834" t="s">
        <v>24</v>
      </c>
      <c r="B79" s="834">
        <v>76</v>
      </c>
      <c r="C79" s="834" t="s">
        <v>3110</v>
      </c>
      <c r="D79" s="834" t="s">
        <v>34</v>
      </c>
      <c r="E79" s="852">
        <v>46048</v>
      </c>
      <c r="F79" s="834" t="s">
        <v>3181</v>
      </c>
      <c r="G79" s="834">
        <v>9</v>
      </c>
      <c r="H79" s="847" t="s">
        <v>127</v>
      </c>
      <c r="I79" s="834" t="s">
        <v>178</v>
      </c>
      <c r="J79" s="834"/>
      <c r="K79" s="136" t="s">
        <v>3058</v>
      </c>
      <c r="L79" s="834" t="s">
        <v>2087</v>
      </c>
      <c r="M79" s="834" t="s">
        <v>3157</v>
      </c>
      <c r="N79" s="834" t="s">
        <v>3157</v>
      </c>
      <c r="O79" s="834" t="s">
        <v>2050</v>
      </c>
      <c r="P79" s="847" t="s">
        <v>32</v>
      </c>
      <c r="Q79" s="400" t="s">
        <v>30</v>
      </c>
      <c r="R79" s="848">
        <v>46062</v>
      </c>
      <c r="S79" s="852" t="s">
        <v>1138</v>
      </c>
      <c r="T79" s="834" t="s">
        <v>32</v>
      </c>
      <c r="U79" s="834">
        <v>16</v>
      </c>
      <c r="V79" s="852" t="s">
        <v>1138</v>
      </c>
      <c r="W79" s="848">
        <v>46062</v>
      </c>
      <c r="X79" s="90" t="s">
        <v>30</v>
      </c>
      <c r="Y79" s="96" t="s">
        <v>30</v>
      </c>
      <c r="Z79" s="80" t="s">
        <v>30</v>
      </c>
      <c r="AA79" s="91" t="s">
        <v>32</v>
      </c>
      <c r="AB79" s="91" t="s">
        <v>32</v>
      </c>
      <c r="AC79" s="91" t="s">
        <v>32</v>
      </c>
      <c r="AD79" s="96" t="s">
        <v>30</v>
      </c>
      <c r="AE79" s="96" t="s">
        <v>30</v>
      </c>
      <c r="AF79" s="96" t="s">
        <v>30</v>
      </c>
      <c r="AG79" s="96" t="s">
        <v>30</v>
      </c>
      <c r="AH79" s="96" t="s">
        <v>30</v>
      </c>
      <c r="AI79" s="96" t="s">
        <v>30</v>
      </c>
      <c r="AJ79" s="96" t="s">
        <v>30</v>
      </c>
      <c r="AK79" s="96" t="s">
        <v>30</v>
      </c>
      <c r="AL79" s="96" t="s">
        <v>30</v>
      </c>
      <c r="AM79" s="110"/>
      <c r="AN79" s="840"/>
      <c r="AO79" s="832"/>
      <c r="AP79" s="832"/>
      <c r="AQ79" s="832"/>
      <c r="AR79" s="832"/>
      <c r="AS79"/>
      <c r="AT79"/>
      <c r="AU79"/>
      <c r="AV79"/>
      <c r="AW79"/>
      <c r="AX79"/>
      <c r="AY79" s="105"/>
      <c r="BB79">
        <f t="shared" si="1"/>
        <v>1</v>
      </c>
    </row>
    <row r="80" spans="1:54" ht="15.6" customHeight="1">
      <c r="A80" s="834" t="s">
        <v>24</v>
      </c>
      <c r="B80" s="834">
        <v>77</v>
      </c>
      <c r="C80" s="834" t="s">
        <v>3182</v>
      </c>
      <c r="D80" s="834" t="s">
        <v>34</v>
      </c>
      <c r="E80" s="852">
        <v>46049</v>
      </c>
      <c r="F80" s="834" t="s">
        <v>272</v>
      </c>
      <c r="G80" s="834">
        <v>21</v>
      </c>
      <c r="H80" s="834" t="s">
        <v>67</v>
      </c>
      <c r="I80" s="834" t="s">
        <v>47</v>
      </c>
      <c r="J80" s="834"/>
      <c r="K80" s="136" t="s">
        <v>3058</v>
      </c>
      <c r="L80" s="834" t="s">
        <v>2119</v>
      </c>
      <c r="M80" s="834" t="s">
        <v>3183</v>
      </c>
      <c r="N80" s="834" t="s">
        <v>3183</v>
      </c>
      <c r="O80" s="834" t="s">
        <v>3184</v>
      </c>
      <c r="P80" s="126" t="s">
        <v>31</v>
      </c>
      <c r="Q80" s="834" t="s">
        <v>30</v>
      </c>
      <c r="R80" s="848">
        <v>46069</v>
      </c>
      <c r="S80" s="852" t="s">
        <v>1721</v>
      </c>
      <c r="T80" s="834" t="s">
        <v>32</v>
      </c>
      <c r="U80" s="834">
        <v>18</v>
      </c>
      <c r="V80" s="852" t="s">
        <v>1721</v>
      </c>
      <c r="W80" s="848">
        <v>46069</v>
      </c>
      <c r="X80" s="90" t="s">
        <v>30</v>
      </c>
      <c r="Y80" s="80" t="s">
        <v>30</v>
      </c>
      <c r="Z80" s="80" t="s">
        <v>30</v>
      </c>
      <c r="AA80" s="91" t="s">
        <v>32</v>
      </c>
      <c r="AB80" s="91" t="s">
        <v>32</v>
      </c>
      <c r="AC80" s="91" t="s">
        <v>32</v>
      </c>
      <c r="AD80" s="96" t="s">
        <v>30</v>
      </c>
      <c r="AE80" s="96" t="s">
        <v>30</v>
      </c>
      <c r="AF80" s="96" t="s">
        <v>30</v>
      </c>
      <c r="AG80" s="96" t="s">
        <v>30</v>
      </c>
      <c r="AH80" s="96" t="s">
        <v>30</v>
      </c>
      <c r="AI80" s="96" t="s">
        <v>30</v>
      </c>
      <c r="AJ80" s="107" t="s">
        <v>30</v>
      </c>
      <c r="AK80" s="107" t="s">
        <v>30</v>
      </c>
      <c r="AL80" s="107" t="s">
        <v>30</v>
      </c>
      <c r="AM80" s="110"/>
      <c r="AN80" s="840"/>
      <c r="AO80" s="625"/>
      <c r="AP80" s="625"/>
      <c r="AQ80" s="625"/>
      <c r="AR80" s="625"/>
      <c r="AS80" s="509"/>
      <c r="AT80" s="509"/>
      <c r="AU80" s="134"/>
      <c r="AV80" s="135"/>
      <c r="AW80" s="135"/>
      <c r="AX80" s="135"/>
      <c r="AY80" s="135"/>
      <c r="BB80">
        <f t="shared" si="1"/>
        <v>1</v>
      </c>
    </row>
    <row r="81" spans="1:54" ht="15.6" customHeight="1">
      <c r="A81" s="834" t="s">
        <v>24</v>
      </c>
      <c r="B81" s="834">
        <v>78</v>
      </c>
      <c r="C81" s="834" t="s">
        <v>3185</v>
      </c>
      <c r="D81" s="834" t="s">
        <v>57</v>
      </c>
      <c r="E81" s="852">
        <v>46050</v>
      </c>
      <c r="F81" s="834" t="s">
        <v>737</v>
      </c>
      <c r="G81" s="834">
        <v>15</v>
      </c>
      <c r="H81" s="834" t="s">
        <v>127</v>
      </c>
      <c r="I81" s="834" t="s">
        <v>178</v>
      </c>
      <c r="J81" s="834"/>
      <c r="K81" s="136" t="s">
        <v>3058</v>
      </c>
      <c r="L81" s="834" t="s">
        <v>2264</v>
      </c>
      <c r="M81" s="834" t="s">
        <v>3183</v>
      </c>
      <c r="N81" s="834" t="s">
        <v>3186</v>
      </c>
      <c r="O81" s="834" t="s">
        <v>2050</v>
      </c>
      <c r="P81" s="126" t="s">
        <v>31</v>
      </c>
      <c r="Q81" s="400" t="s">
        <v>30</v>
      </c>
      <c r="R81" s="848">
        <v>46073</v>
      </c>
      <c r="S81" s="852" t="s">
        <v>1138</v>
      </c>
      <c r="T81" s="834" t="s">
        <v>32</v>
      </c>
      <c r="U81" s="834">
        <v>16</v>
      </c>
      <c r="V81" s="852" t="s">
        <v>1138</v>
      </c>
      <c r="W81" s="848">
        <v>46073</v>
      </c>
      <c r="X81" s="90" t="s">
        <v>30</v>
      </c>
      <c r="Y81" s="80" t="s">
        <v>30</v>
      </c>
      <c r="Z81" s="80" t="s">
        <v>30</v>
      </c>
      <c r="AA81" s="96" t="s">
        <v>30</v>
      </c>
      <c r="AB81" s="96" t="s">
        <v>30</v>
      </c>
      <c r="AC81" s="96" t="s">
        <v>30</v>
      </c>
      <c r="AD81" s="96" t="s">
        <v>30</v>
      </c>
      <c r="AE81" s="96" t="s">
        <v>30</v>
      </c>
      <c r="AF81" s="96" t="s">
        <v>30</v>
      </c>
      <c r="AG81" s="96" t="s">
        <v>30</v>
      </c>
      <c r="AH81" s="96" t="s">
        <v>30</v>
      </c>
      <c r="AI81" s="96" t="s">
        <v>30</v>
      </c>
      <c r="AJ81" s="96" t="s">
        <v>30</v>
      </c>
      <c r="AK81" s="96" t="s">
        <v>30</v>
      </c>
      <c r="AL81" s="96" t="s">
        <v>30</v>
      </c>
      <c r="AM81" s="110"/>
      <c r="AN81" s="840"/>
      <c r="AO81" s="832"/>
      <c r="AP81" s="832"/>
      <c r="AQ81" s="832"/>
      <c r="AR81" s="832"/>
      <c r="AS81"/>
      <c r="AT81"/>
      <c r="AU81"/>
      <c r="AV81"/>
      <c r="AW81"/>
      <c r="AX81"/>
      <c r="AY81" s="105"/>
      <c r="BB81">
        <f t="shared" si="1"/>
        <v>1</v>
      </c>
    </row>
    <row r="82" spans="1:54" ht="15.75" customHeight="1">
      <c r="A82" s="834" t="s">
        <v>24</v>
      </c>
      <c r="B82" s="834">
        <v>79</v>
      </c>
      <c r="C82" s="834" t="s">
        <v>3187</v>
      </c>
      <c r="D82" s="834" t="s">
        <v>57</v>
      </c>
      <c r="E82" s="852">
        <v>46050</v>
      </c>
      <c r="F82" s="834" t="s">
        <v>737</v>
      </c>
      <c r="G82" s="834">
        <v>13</v>
      </c>
      <c r="H82" s="834" t="s">
        <v>127</v>
      </c>
      <c r="I82" s="834" t="s">
        <v>178</v>
      </c>
      <c r="J82" s="834"/>
      <c r="K82" s="136" t="s">
        <v>3058</v>
      </c>
      <c r="L82" s="834" t="s">
        <v>2264</v>
      </c>
      <c r="M82" s="834" t="s">
        <v>3183</v>
      </c>
      <c r="N82" s="834" t="s">
        <v>3186</v>
      </c>
      <c r="O82" s="834" t="s">
        <v>401</v>
      </c>
      <c r="P82" s="847" t="s">
        <v>32</v>
      </c>
      <c r="Q82" s="848" t="s">
        <v>30</v>
      </c>
      <c r="R82" s="848">
        <v>46080</v>
      </c>
      <c r="S82" s="852" t="s">
        <v>48</v>
      </c>
      <c r="T82" s="834" t="s">
        <v>32</v>
      </c>
      <c r="U82" s="834">
        <v>12</v>
      </c>
      <c r="V82" s="852" t="s">
        <v>48</v>
      </c>
      <c r="W82" s="848">
        <v>46080</v>
      </c>
      <c r="X82" s="80" t="s">
        <v>30</v>
      </c>
      <c r="Y82" s="80" t="s">
        <v>30</v>
      </c>
      <c r="Z82" s="80" t="s">
        <v>30</v>
      </c>
      <c r="AA82" s="96" t="s">
        <v>30</v>
      </c>
      <c r="AB82" s="96" t="s">
        <v>30</v>
      </c>
      <c r="AC82" s="96" t="s">
        <v>30</v>
      </c>
      <c r="AD82" s="96" t="s">
        <v>30</v>
      </c>
      <c r="AE82" s="96" t="s">
        <v>30</v>
      </c>
      <c r="AF82" s="96" t="s">
        <v>30</v>
      </c>
      <c r="AG82" s="96" t="s">
        <v>30</v>
      </c>
      <c r="AH82" s="96" t="s">
        <v>30</v>
      </c>
      <c r="AI82" s="96" t="s">
        <v>30</v>
      </c>
      <c r="AJ82" s="96" t="s">
        <v>30</v>
      </c>
      <c r="AK82" s="96" t="s">
        <v>30</v>
      </c>
      <c r="AL82" s="96" t="s">
        <v>30</v>
      </c>
      <c r="AM82" s="110"/>
      <c r="AN82" s="840" t="s">
        <v>3162</v>
      </c>
      <c r="AO82" s="832"/>
      <c r="AP82" s="832"/>
      <c r="AQ82" s="832"/>
      <c r="AR82" s="832"/>
      <c r="AS82"/>
      <c r="AT82"/>
      <c r="AU82"/>
      <c r="AV82"/>
      <c r="AW82"/>
      <c r="AX82"/>
      <c r="AY82" s="105"/>
      <c r="BB82">
        <f t="shared" si="1"/>
        <v>1</v>
      </c>
    </row>
    <row r="83" spans="1:54" ht="15.75" customHeight="1">
      <c r="A83" s="834" t="s">
        <v>24</v>
      </c>
      <c r="B83" s="834">
        <v>80</v>
      </c>
      <c r="C83" s="834" t="s">
        <v>1145</v>
      </c>
      <c r="D83" s="834" t="s">
        <v>64</v>
      </c>
      <c r="E83" s="852">
        <v>46051</v>
      </c>
      <c r="F83" s="834" t="s">
        <v>885</v>
      </c>
      <c r="G83" s="834">
        <v>8</v>
      </c>
      <c r="H83" s="834" t="s">
        <v>1721</v>
      </c>
      <c r="I83" s="834" t="s">
        <v>1638</v>
      </c>
      <c r="J83" s="834"/>
      <c r="K83" s="136" t="s">
        <v>3063</v>
      </c>
      <c r="L83" s="834" t="s">
        <v>2056</v>
      </c>
      <c r="M83" s="834" t="s">
        <v>3183</v>
      </c>
      <c r="N83" s="834" t="s">
        <v>3183</v>
      </c>
      <c r="O83" s="834" t="s">
        <v>2058</v>
      </c>
      <c r="P83" s="847" t="s">
        <v>32</v>
      </c>
      <c r="Q83" s="834" t="s">
        <v>30</v>
      </c>
      <c r="R83" s="848">
        <v>46066</v>
      </c>
      <c r="S83" s="852" t="s">
        <v>1638</v>
      </c>
      <c r="T83" s="834" t="s">
        <v>32</v>
      </c>
      <c r="U83" s="834">
        <v>8</v>
      </c>
      <c r="V83" s="852" t="s">
        <v>1638</v>
      </c>
      <c r="W83" s="848">
        <v>46066</v>
      </c>
      <c r="X83" s="80" t="s">
        <v>30</v>
      </c>
      <c r="Y83" s="80" t="s">
        <v>30</v>
      </c>
      <c r="Z83" s="80" t="s">
        <v>30</v>
      </c>
      <c r="AA83" s="96" t="s">
        <v>30</v>
      </c>
      <c r="AB83" s="96" t="s">
        <v>30</v>
      </c>
      <c r="AC83" s="96" t="s">
        <v>30</v>
      </c>
      <c r="AD83" s="96" t="s">
        <v>30</v>
      </c>
      <c r="AE83" s="96" t="s">
        <v>30</v>
      </c>
      <c r="AF83" s="96" t="s">
        <v>30</v>
      </c>
      <c r="AG83" s="96" t="s">
        <v>30</v>
      </c>
      <c r="AH83" s="96" t="s">
        <v>30</v>
      </c>
      <c r="AI83" s="96" t="s">
        <v>30</v>
      </c>
      <c r="AJ83" s="107" t="s">
        <v>30</v>
      </c>
      <c r="AK83" s="107" t="s">
        <v>30</v>
      </c>
      <c r="AL83" s="107" t="s">
        <v>30</v>
      </c>
      <c r="AM83" s="110"/>
      <c r="AN83" s="840"/>
      <c r="AO83" s="881"/>
      <c r="AP83" s="881"/>
      <c r="AQ83" s="832"/>
      <c r="AR83" s="832"/>
      <c r="AS83"/>
      <c r="AT83"/>
      <c r="AU83" s="71"/>
      <c r="AY83" s="105"/>
      <c r="BB83">
        <f t="shared" si="1"/>
        <v>1</v>
      </c>
    </row>
    <row r="84" spans="1:54" ht="15.75" customHeight="1">
      <c r="A84" s="834" t="s">
        <v>24</v>
      </c>
      <c r="B84" s="834">
        <v>81</v>
      </c>
      <c r="C84" s="834" t="s">
        <v>3188</v>
      </c>
      <c r="D84" s="834" t="s">
        <v>3189</v>
      </c>
      <c r="E84" s="852">
        <v>46052</v>
      </c>
      <c r="F84" s="834" t="s">
        <v>385</v>
      </c>
      <c r="G84" s="834">
        <v>28</v>
      </c>
      <c r="H84" s="834" t="s">
        <v>1077</v>
      </c>
      <c r="I84" s="834" t="s">
        <v>1138</v>
      </c>
      <c r="J84" s="834"/>
      <c r="K84" s="136" t="s">
        <v>3063</v>
      </c>
      <c r="L84" s="834" t="s">
        <v>2076</v>
      </c>
      <c r="M84" s="834" t="s">
        <v>3190</v>
      </c>
      <c r="N84" s="834" t="s">
        <v>3190</v>
      </c>
      <c r="O84" s="834" t="s">
        <v>2050</v>
      </c>
      <c r="P84" s="125" t="s">
        <v>31</v>
      </c>
      <c r="Q84" s="834"/>
      <c r="R84" s="848">
        <v>46062</v>
      </c>
      <c r="S84" s="852" t="s">
        <v>1138</v>
      </c>
      <c r="T84" s="834" t="s">
        <v>30</v>
      </c>
      <c r="U84" s="834">
        <v>25</v>
      </c>
      <c r="V84" s="852" t="s">
        <v>1138</v>
      </c>
      <c r="W84" s="848">
        <v>46062</v>
      </c>
      <c r="X84" s="90" t="s">
        <v>30</v>
      </c>
      <c r="Y84" s="96" t="s">
        <v>30</v>
      </c>
      <c r="Z84" s="96" t="s">
        <v>30</v>
      </c>
      <c r="AA84" s="96" t="s">
        <v>30</v>
      </c>
      <c r="AB84" s="96" t="s">
        <v>30</v>
      </c>
      <c r="AC84" s="96" t="s">
        <v>30</v>
      </c>
      <c r="AD84" s="96" t="s">
        <v>30</v>
      </c>
      <c r="AE84" s="96" t="s">
        <v>30</v>
      </c>
      <c r="AF84" s="96" t="s">
        <v>30</v>
      </c>
      <c r="AG84" s="96" t="s">
        <v>30</v>
      </c>
      <c r="AH84" s="96" t="s">
        <v>30</v>
      </c>
      <c r="AI84" s="96" t="s">
        <v>30</v>
      </c>
      <c r="AJ84" s="107" t="s">
        <v>30</v>
      </c>
      <c r="AK84" s="107" t="s">
        <v>30</v>
      </c>
      <c r="AL84" s="107" t="s">
        <v>30</v>
      </c>
      <c r="AM84" s="110"/>
      <c r="AN84" s="840"/>
      <c r="AO84" s="881"/>
      <c r="AP84" s="881"/>
      <c r="AQ84" s="832"/>
      <c r="AR84" s="832"/>
      <c r="AS84"/>
      <c r="AT84"/>
      <c r="AU84" s="71"/>
      <c r="AY84" s="105"/>
      <c r="BB84">
        <f t="shared" si="1"/>
        <v>1</v>
      </c>
    </row>
    <row r="85" spans="1:54" ht="15.75" customHeight="1">
      <c r="A85" s="834" t="s">
        <v>24</v>
      </c>
      <c r="B85" s="834">
        <v>82</v>
      </c>
      <c r="C85" s="834" t="s">
        <v>3191</v>
      </c>
      <c r="D85" s="834" t="s">
        <v>102</v>
      </c>
      <c r="E85" s="852">
        <v>46052</v>
      </c>
      <c r="F85" s="834" t="s">
        <v>3192</v>
      </c>
      <c r="G85" s="834">
        <v>10</v>
      </c>
      <c r="H85" s="834" t="s">
        <v>1077</v>
      </c>
      <c r="I85" s="834" t="s">
        <v>1138</v>
      </c>
      <c r="J85" s="834"/>
      <c r="K85" s="136" t="s">
        <v>3063</v>
      </c>
      <c r="L85" s="834" t="s">
        <v>3193</v>
      </c>
      <c r="M85" s="834" t="s">
        <v>3190</v>
      </c>
      <c r="N85" s="834" t="s">
        <v>3190</v>
      </c>
      <c r="O85" s="834" t="s">
        <v>2050</v>
      </c>
      <c r="P85" s="847" t="s">
        <v>32</v>
      </c>
      <c r="Q85" s="400" t="s">
        <v>30</v>
      </c>
      <c r="R85" s="848">
        <v>46059</v>
      </c>
      <c r="S85" s="852" t="s">
        <v>1138</v>
      </c>
      <c r="T85" s="834" t="s">
        <v>32</v>
      </c>
      <c r="U85" s="834">
        <v>11</v>
      </c>
      <c r="V85" s="852" t="s">
        <v>1138</v>
      </c>
      <c r="W85" s="848">
        <v>46059</v>
      </c>
      <c r="X85" s="96" t="s">
        <v>30</v>
      </c>
      <c r="Y85" s="96" t="s">
        <v>30</v>
      </c>
      <c r="Z85" s="96" t="s">
        <v>30</v>
      </c>
      <c r="AA85" s="96" t="s">
        <v>30</v>
      </c>
      <c r="AB85" s="96" t="s">
        <v>30</v>
      </c>
      <c r="AC85" s="96" t="s">
        <v>30</v>
      </c>
      <c r="AD85" s="96" t="s">
        <v>30</v>
      </c>
      <c r="AE85" s="96" t="s">
        <v>30</v>
      </c>
      <c r="AF85" s="96" t="s">
        <v>30</v>
      </c>
      <c r="AG85" s="110" t="s">
        <v>32</v>
      </c>
      <c r="AH85" s="96" t="s">
        <v>30</v>
      </c>
      <c r="AI85" s="96" t="s">
        <v>30</v>
      </c>
      <c r="AJ85" s="107" t="s">
        <v>30</v>
      </c>
      <c r="AK85" s="107" t="s">
        <v>30</v>
      </c>
      <c r="AL85" s="107" t="s">
        <v>30</v>
      </c>
      <c r="AM85" s="110"/>
      <c r="AN85" s="840" t="s">
        <v>3074</v>
      </c>
      <c r="AO85" s="832"/>
      <c r="AP85" s="832"/>
      <c r="AQ85" s="832"/>
      <c r="AR85" s="832"/>
      <c r="AS85"/>
      <c r="AT85"/>
      <c r="AU85"/>
      <c r="AV85"/>
      <c r="AW85"/>
      <c r="AX85"/>
      <c r="AY85" s="105"/>
      <c r="BB85">
        <f t="shared" si="1"/>
        <v>1</v>
      </c>
    </row>
    <row r="86" spans="1:54" ht="15.75" customHeight="1">
      <c r="A86" s="834" t="s">
        <v>24</v>
      </c>
      <c r="B86" s="834">
        <v>83</v>
      </c>
      <c r="C86" s="834" t="s">
        <v>3194</v>
      </c>
      <c r="D86" s="834" t="s">
        <v>3195</v>
      </c>
      <c r="E86" s="852">
        <v>46052</v>
      </c>
      <c r="F86" s="834" t="s">
        <v>2159</v>
      </c>
      <c r="G86" s="834">
        <v>9</v>
      </c>
      <c r="H86" s="834" t="s">
        <v>1077</v>
      </c>
      <c r="I86" s="834" t="s">
        <v>1138</v>
      </c>
      <c r="J86" s="834"/>
      <c r="K86" s="136" t="s">
        <v>3063</v>
      </c>
      <c r="L86" s="834" t="s">
        <v>2056</v>
      </c>
      <c r="M86" s="834" t="s">
        <v>3190</v>
      </c>
      <c r="N86" s="834" t="s">
        <v>3190</v>
      </c>
      <c r="O86" s="834" t="s">
        <v>2050</v>
      </c>
      <c r="P86" s="847" t="s">
        <v>32</v>
      </c>
      <c r="Q86" s="400" t="s">
        <v>30</v>
      </c>
      <c r="R86" s="848">
        <v>46066</v>
      </c>
      <c r="S86" s="852" t="s">
        <v>1138</v>
      </c>
      <c r="T86" s="834" t="s">
        <v>32</v>
      </c>
      <c r="U86" s="834">
        <v>9</v>
      </c>
      <c r="V86" s="852" t="s">
        <v>1138</v>
      </c>
      <c r="W86" s="848">
        <v>46066</v>
      </c>
      <c r="X86" s="80" t="s">
        <v>30</v>
      </c>
      <c r="Y86" s="80" t="s">
        <v>30</v>
      </c>
      <c r="Z86" s="91" t="s">
        <v>32</v>
      </c>
      <c r="AA86" s="96" t="s">
        <v>30</v>
      </c>
      <c r="AB86" s="96" t="s">
        <v>30</v>
      </c>
      <c r="AC86" s="96" t="s">
        <v>30</v>
      </c>
      <c r="AD86" s="96" t="s">
        <v>30</v>
      </c>
      <c r="AE86" s="96" t="s">
        <v>30</v>
      </c>
      <c r="AF86" s="96" t="s">
        <v>30</v>
      </c>
      <c r="AG86" s="91" t="s">
        <v>32</v>
      </c>
      <c r="AH86" s="96" t="s">
        <v>30</v>
      </c>
      <c r="AI86" s="110"/>
      <c r="AJ86" s="107" t="s">
        <v>30</v>
      </c>
      <c r="AK86" s="107" t="s">
        <v>30</v>
      </c>
      <c r="AL86" s="107" t="s">
        <v>30</v>
      </c>
      <c r="AM86" s="110"/>
      <c r="AN86" s="840"/>
      <c r="AO86" s="832"/>
      <c r="AP86" s="832"/>
      <c r="AQ86" s="832"/>
      <c r="AR86" s="832"/>
      <c r="AS86"/>
      <c r="AT86" s="84"/>
      <c r="AU86" s="71"/>
      <c r="AV86" s="71"/>
      <c r="AW86" s="71"/>
      <c r="AX86" s="71"/>
      <c r="AY86" s="105"/>
      <c r="BB86">
        <f t="shared" si="1"/>
        <v>1</v>
      </c>
    </row>
    <row r="87" spans="1:54" ht="15.75" customHeight="1">
      <c r="A87" s="834" t="s">
        <v>24</v>
      </c>
      <c r="B87" s="834">
        <v>84</v>
      </c>
      <c r="C87" s="834" t="s">
        <v>3196</v>
      </c>
      <c r="D87" s="834" t="s">
        <v>923</v>
      </c>
      <c r="E87" s="852">
        <v>46052</v>
      </c>
      <c r="F87" s="834" t="s">
        <v>412</v>
      </c>
      <c r="G87" s="834">
        <v>8</v>
      </c>
      <c r="H87" s="834" t="s">
        <v>1721</v>
      </c>
      <c r="I87" s="834" t="s">
        <v>1638</v>
      </c>
      <c r="J87" s="834"/>
      <c r="K87" s="136" t="s">
        <v>3058</v>
      </c>
      <c r="L87" s="834" t="s">
        <v>2098</v>
      </c>
      <c r="M87" s="834" t="s">
        <v>3197</v>
      </c>
      <c r="N87" s="834" t="s">
        <v>3197</v>
      </c>
      <c r="O87" s="834" t="s">
        <v>2050</v>
      </c>
      <c r="P87" s="847" t="s">
        <v>32</v>
      </c>
      <c r="Q87" s="848" t="s">
        <v>30</v>
      </c>
      <c r="R87" s="400">
        <v>46062</v>
      </c>
      <c r="S87" s="852" t="s">
        <v>1638</v>
      </c>
      <c r="T87" s="834" t="s">
        <v>32</v>
      </c>
      <c r="U87" s="834">
        <v>7</v>
      </c>
      <c r="V87" s="852" t="s">
        <v>1638</v>
      </c>
      <c r="W87" s="400">
        <v>46062</v>
      </c>
      <c r="X87" s="80" t="s">
        <v>30</v>
      </c>
      <c r="Y87" s="96" t="s">
        <v>30</v>
      </c>
      <c r="Z87" s="96" t="s">
        <v>30</v>
      </c>
      <c r="AA87" s="96" t="s">
        <v>30</v>
      </c>
      <c r="AB87" s="96" t="s">
        <v>30</v>
      </c>
      <c r="AC87" s="96" t="s">
        <v>30</v>
      </c>
      <c r="AD87" s="96" t="s">
        <v>30</v>
      </c>
      <c r="AE87" s="96" t="s">
        <v>30</v>
      </c>
      <c r="AF87" s="96" t="s">
        <v>30</v>
      </c>
      <c r="AG87" s="91" t="s">
        <v>32</v>
      </c>
      <c r="AH87" s="96" t="s">
        <v>30</v>
      </c>
      <c r="AI87" s="96" t="s">
        <v>30</v>
      </c>
      <c r="AJ87" s="96" t="s">
        <v>30</v>
      </c>
      <c r="AK87" s="96" t="s">
        <v>30</v>
      </c>
      <c r="AL87" s="96" t="s">
        <v>30</v>
      </c>
      <c r="AM87" s="110"/>
      <c r="AN87" s="840"/>
      <c r="AO87" s="832"/>
      <c r="AP87" s="832"/>
      <c r="AQ87" s="832"/>
      <c r="AR87" s="832"/>
      <c r="AS87"/>
      <c r="AT87"/>
      <c r="AU87"/>
      <c r="AV87"/>
      <c r="AW87"/>
      <c r="AX87"/>
      <c r="AY87" s="105"/>
      <c r="BB87">
        <f t="shared" si="1"/>
        <v>1</v>
      </c>
    </row>
    <row r="88" spans="1:54" ht="15.75" customHeight="1">
      <c r="A88" s="834" t="s">
        <v>24</v>
      </c>
      <c r="B88" s="834">
        <v>85</v>
      </c>
      <c r="C88" s="834" t="s">
        <v>501</v>
      </c>
      <c r="D88" s="834" t="s">
        <v>34</v>
      </c>
      <c r="E88" s="852">
        <v>46052</v>
      </c>
      <c r="F88" s="834" t="s">
        <v>3198</v>
      </c>
      <c r="G88" s="834">
        <v>15</v>
      </c>
      <c r="H88" s="834" t="s">
        <v>1077</v>
      </c>
      <c r="I88" s="834" t="s">
        <v>1138</v>
      </c>
      <c r="J88" s="98" t="s">
        <v>3135</v>
      </c>
      <c r="K88" s="136" t="s">
        <v>3058</v>
      </c>
      <c r="L88" s="834" t="s">
        <v>2052</v>
      </c>
      <c r="M88" s="834" t="s">
        <v>3197</v>
      </c>
      <c r="N88" s="834" t="s">
        <v>3197</v>
      </c>
      <c r="O88" s="834" t="s">
        <v>2050</v>
      </c>
      <c r="P88" s="125" t="s">
        <v>31</v>
      </c>
      <c r="Q88" s="113"/>
      <c r="R88" s="848">
        <v>46058</v>
      </c>
      <c r="S88" s="852" t="s">
        <v>1138</v>
      </c>
      <c r="T88" s="834" t="s">
        <v>32</v>
      </c>
      <c r="U88" s="834">
        <v>14</v>
      </c>
      <c r="V88" s="852" t="s">
        <v>1138</v>
      </c>
      <c r="W88" s="848"/>
      <c r="X88" s="80" t="s">
        <v>30</v>
      </c>
      <c r="Y88" s="80" t="s">
        <v>30</v>
      </c>
      <c r="Z88" s="80" t="s">
        <v>30</v>
      </c>
      <c r="AA88" s="96" t="s">
        <v>30</v>
      </c>
      <c r="AB88" s="96" t="s">
        <v>30</v>
      </c>
      <c r="AC88" s="96" t="s">
        <v>30</v>
      </c>
      <c r="AD88" s="96" t="s">
        <v>30</v>
      </c>
      <c r="AE88" s="96" t="s">
        <v>30</v>
      </c>
      <c r="AF88" s="96" t="s">
        <v>30</v>
      </c>
      <c r="AG88" s="96" t="s">
        <v>30</v>
      </c>
      <c r="AH88" s="96" t="s">
        <v>30</v>
      </c>
      <c r="AI88" s="96" t="s">
        <v>30</v>
      </c>
      <c r="AJ88" s="107" t="s">
        <v>30</v>
      </c>
      <c r="AK88" s="107" t="s">
        <v>30</v>
      </c>
      <c r="AL88" s="107" t="s">
        <v>30</v>
      </c>
      <c r="AM88" s="110"/>
      <c r="AN88" s="840"/>
      <c r="AO88" s="832"/>
      <c r="AP88" s="832"/>
      <c r="AQ88" s="832"/>
      <c r="AR88" s="832"/>
      <c r="AS88"/>
      <c r="AT88"/>
      <c r="AU88"/>
      <c r="AV88"/>
      <c r="AW88"/>
      <c r="AX88"/>
      <c r="AY88" s="105"/>
      <c r="BB88">
        <f t="shared" si="1"/>
        <v>1</v>
      </c>
    </row>
    <row r="89" spans="1:54" ht="15.75" customHeight="1">
      <c r="A89" s="834" t="s">
        <v>24</v>
      </c>
      <c r="B89" s="834">
        <v>86</v>
      </c>
      <c r="C89" s="834" t="s">
        <v>3199</v>
      </c>
      <c r="D89" s="834" t="s">
        <v>64</v>
      </c>
      <c r="E89" s="852">
        <v>46053</v>
      </c>
      <c r="F89" s="834" t="s">
        <v>97</v>
      </c>
      <c r="G89" s="834">
        <v>16</v>
      </c>
      <c r="H89" s="834" t="s">
        <v>127</v>
      </c>
      <c r="I89" s="834" t="s">
        <v>178</v>
      </c>
      <c r="J89" s="834"/>
      <c r="K89" s="136" t="s">
        <v>3058</v>
      </c>
      <c r="L89" s="834" t="s">
        <v>2142</v>
      </c>
      <c r="M89" s="834" t="s">
        <v>3190</v>
      </c>
      <c r="N89" s="834" t="s">
        <v>3190</v>
      </c>
      <c r="O89" s="834" t="s">
        <v>2245</v>
      </c>
      <c r="P89" s="126" t="s">
        <v>31</v>
      </c>
      <c r="Q89" s="400" t="s">
        <v>30</v>
      </c>
      <c r="R89" s="848">
        <v>46080</v>
      </c>
      <c r="S89" s="852" t="s">
        <v>1721</v>
      </c>
      <c r="T89" s="834" t="s">
        <v>32</v>
      </c>
      <c r="U89" s="834">
        <v>19</v>
      </c>
      <c r="V89" s="852" t="s">
        <v>1721</v>
      </c>
      <c r="W89" s="848">
        <v>46080</v>
      </c>
      <c r="X89" s="80" t="s">
        <v>30</v>
      </c>
      <c r="Y89" s="96" t="s">
        <v>30</v>
      </c>
      <c r="Z89" s="96" t="s">
        <v>30</v>
      </c>
      <c r="AA89" s="110" t="s">
        <v>32</v>
      </c>
      <c r="AB89" s="110" t="s">
        <v>32</v>
      </c>
      <c r="AC89" s="90" t="s">
        <v>30</v>
      </c>
      <c r="AD89" s="90" t="s">
        <v>30</v>
      </c>
      <c r="AE89" s="90" t="s">
        <v>30</v>
      </c>
      <c r="AF89" s="90" t="s">
        <v>30</v>
      </c>
      <c r="AG89" s="90" t="s">
        <v>30</v>
      </c>
      <c r="AH89" s="90" t="s">
        <v>30</v>
      </c>
      <c r="AI89" s="90" t="s">
        <v>30</v>
      </c>
      <c r="AJ89" s="110" t="s">
        <v>32</v>
      </c>
      <c r="AK89" s="110" t="s">
        <v>32</v>
      </c>
      <c r="AL89" s="96" t="s">
        <v>30</v>
      </c>
      <c r="AM89" s="110"/>
      <c r="AN89" s="840" t="s">
        <v>3200</v>
      </c>
      <c r="AO89" s="625"/>
      <c r="AP89" s="625"/>
      <c r="AQ89" s="625"/>
      <c r="AR89" s="625"/>
      <c r="AS89" s="509"/>
      <c r="AT89" s="509"/>
      <c r="AU89" s="134"/>
      <c r="AV89" s="135"/>
      <c r="AW89" s="135"/>
      <c r="AX89" s="135"/>
      <c r="AY89" s="135"/>
      <c r="BB89">
        <f t="shared" si="1"/>
        <v>1</v>
      </c>
    </row>
    <row r="90" spans="1:54" ht="15.75" customHeight="1">
      <c r="A90" s="834" t="s">
        <v>24</v>
      </c>
      <c r="B90" s="834">
        <v>87</v>
      </c>
      <c r="C90" s="834" t="s">
        <v>3201</v>
      </c>
      <c r="D90" s="834" t="s">
        <v>34</v>
      </c>
      <c r="E90" s="852">
        <v>46053</v>
      </c>
      <c r="F90" s="834" t="s">
        <v>202</v>
      </c>
      <c r="G90" s="834">
        <v>10</v>
      </c>
      <c r="H90" s="834" t="s">
        <v>127</v>
      </c>
      <c r="I90" s="834" t="s">
        <v>178</v>
      </c>
      <c r="J90" s="98"/>
      <c r="K90" s="136" t="s">
        <v>3058</v>
      </c>
      <c r="L90" s="834" t="s">
        <v>2119</v>
      </c>
      <c r="M90" s="834" t="s">
        <v>3190</v>
      </c>
      <c r="N90" s="834" t="s">
        <v>3202</v>
      </c>
      <c r="O90" s="834" t="s">
        <v>2050</v>
      </c>
      <c r="P90" s="847" t="s">
        <v>32</v>
      </c>
      <c r="Q90" s="848" t="s">
        <v>30</v>
      </c>
      <c r="R90" s="848">
        <v>46080</v>
      </c>
      <c r="S90" s="852" t="s">
        <v>48</v>
      </c>
      <c r="T90" s="834" t="s">
        <v>32</v>
      </c>
      <c r="U90" s="834">
        <v>10</v>
      </c>
      <c r="V90" s="852" t="s">
        <v>48</v>
      </c>
      <c r="W90" s="848">
        <v>46079</v>
      </c>
      <c r="X90" s="80" t="s">
        <v>30</v>
      </c>
      <c r="Y90" s="118" t="s">
        <v>30</v>
      </c>
      <c r="Z90" s="118" t="s">
        <v>30</v>
      </c>
      <c r="AA90" s="91" t="s">
        <v>32</v>
      </c>
      <c r="AB90" s="91" t="s">
        <v>32</v>
      </c>
      <c r="AC90" s="91" t="s">
        <v>32</v>
      </c>
      <c r="AD90" s="96" t="s">
        <v>30</v>
      </c>
      <c r="AE90" s="96" t="s">
        <v>30</v>
      </c>
      <c r="AF90" s="96" t="s">
        <v>30</v>
      </c>
      <c r="AG90" s="96" t="s">
        <v>30</v>
      </c>
      <c r="AH90" s="90" t="s">
        <v>30</v>
      </c>
      <c r="AI90" s="90" t="s">
        <v>30</v>
      </c>
      <c r="AJ90" s="107" t="s">
        <v>30</v>
      </c>
      <c r="AK90" s="107" t="s">
        <v>30</v>
      </c>
      <c r="AL90" s="107" t="s">
        <v>30</v>
      </c>
      <c r="AM90" s="110"/>
      <c r="AN90" s="840"/>
      <c r="AO90" s="832"/>
      <c r="AP90" s="875"/>
      <c r="AQ90" s="875"/>
      <c r="AR90" s="875"/>
      <c r="AS90" s="776"/>
      <c r="AT90" s="776"/>
      <c r="AU90"/>
      <c r="AV90"/>
      <c r="AW90"/>
      <c r="AX90"/>
      <c r="AY90" s="105"/>
      <c r="BB90">
        <f t="shared" si="1"/>
        <v>1</v>
      </c>
    </row>
    <row r="91" spans="1:54" ht="15.75" customHeight="1">
      <c r="A91" s="834" t="s">
        <v>24</v>
      </c>
      <c r="B91" s="834">
        <v>88</v>
      </c>
      <c r="C91" s="834" t="s">
        <v>3203</v>
      </c>
      <c r="D91" s="834" t="s">
        <v>34</v>
      </c>
      <c r="E91" s="852">
        <v>46053</v>
      </c>
      <c r="F91" s="834" t="s">
        <v>439</v>
      </c>
      <c r="G91" s="834">
        <v>12</v>
      </c>
      <c r="H91" s="834" t="s">
        <v>127</v>
      </c>
      <c r="I91" s="834" t="s">
        <v>178</v>
      </c>
      <c r="J91" s="98"/>
      <c r="K91" s="136" t="s">
        <v>3058</v>
      </c>
      <c r="L91" s="834" t="s">
        <v>2316</v>
      </c>
      <c r="M91" s="834" t="s">
        <v>3190</v>
      </c>
      <c r="N91" s="834" t="s">
        <v>3197</v>
      </c>
      <c r="O91" s="834" t="s">
        <v>2050</v>
      </c>
      <c r="P91" s="847" t="s">
        <v>32</v>
      </c>
      <c r="Q91" s="848" t="s">
        <v>30</v>
      </c>
      <c r="R91" s="848">
        <v>46079</v>
      </c>
      <c r="S91" s="852" t="s">
        <v>48</v>
      </c>
      <c r="T91" s="834" t="s">
        <v>32</v>
      </c>
      <c r="U91" s="834">
        <v>12</v>
      </c>
      <c r="V91" s="852" t="s">
        <v>48</v>
      </c>
      <c r="W91" s="848">
        <v>46079</v>
      </c>
      <c r="X91" s="96" t="s">
        <v>30</v>
      </c>
      <c r="Y91" s="96" t="s">
        <v>30</v>
      </c>
      <c r="Z91" s="96" t="s">
        <v>30</v>
      </c>
      <c r="AA91" s="91" t="s">
        <v>32</v>
      </c>
      <c r="AB91" s="91" t="s">
        <v>32</v>
      </c>
      <c r="AC91" s="91" t="s">
        <v>32</v>
      </c>
      <c r="AD91" s="96" t="s">
        <v>30</v>
      </c>
      <c r="AE91" s="96" t="s">
        <v>30</v>
      </c>
      <c r="AF91" s="96" t="s">
        <v>30</v>
      </c>
      <c r="AG91" s="96" t="s">
        <v>30</v>
      </c>
      <c r="AH91" s="96" t="s">
        <v>30</v>
      </c>
      <c r="AI91" s="110"/>
      <c r="AJ91" s="107" t="s">
        <v>30</v>
      </c>
      <c r="AK91" s="107" t="s">
        <v>30</v>
      </c>
      <c r="AL91" s="96" t="s">
        <v>30</v>
      </c>
      <c r="AM91" s="110"/>
      <c r="AN91" s="840" t="s">
        <v>3074</v>
      </c>
      <c r="AO91" s="832"/>
      <c r="AP91" s="832"/>
      <c r="AQ91" s="832"/>
      <c r="AR91" s="832"/>
      <c r="AS91"/>
      <c r="AT91"/>
      <c r="AU91" s="71"/>
      <c r="AY91" s="105"/>
      <c r="BB91">
        <f t="shared" si="1"/>
        <v>1</v>
      </c>
    </row>
    <row r="92" spans="1:54" ht="15.6" customHeight="1">
      <c r="A92" s="834" t="s">
        <v>24</v>
      </c>
      <c r="B92" s="834">
        <v>89</v>
      </c>
      <c r="C92" s="834" t="s">
        <v>3204</v>
      </c>
      <c r="D92" s="834" t="s">
        <v>234</v>
      </c>
      <c r="E92" s="852">
        <v>46053</v>
      </c>
      <c r="F92" s="834" t="s">
        <v>2179</v>
      </c>
      <c r="G92" s="834">
        <v>12</v>
      </c>
      <c r="H92" s="834" t="s">
        <v>127</v>
      </c>
      <c r="I92" s="834" t="s">
        <v>178</v>
      </c>
      <c r="J92" s="98"/>
      <c r="K92" s="136" t="s">
        <v>3058</v>
      </c>
      <c r="L92" s="834" t="s">
        <v>2085</v>
      </c>
      <c r="M92" s="834" t="s">
        <v>3190</v>
      </c>
      <c r="N92" s="834" t="s">
        <v>3190</v>
      </c>
      <c r="O92" s="834" t="s">
        <v>2050</v>
      </c>
      <c r="P92" s="847" t="s">
        <v>32</v>
      </c>
      <c r="Q92" s="848" t="s">
        <v>30</v>
      </c>
      <c r="R92" s="848">
        <v>46080</v>
      </c>
      <c r="S92" s="852" t="s">
        <v>48</v>
      </c>
      <c r="T92" s="834" t="s">
        <v>32</v>
      </c>
      <c r="U92" s="834">
        <v>12</v>
      </c>
      <c r="V92" s="852" t="s">
        <v>48</v>
      </c>
      <c r="W92" s="848">
        <v>46080</v>
      </c>
      <c r="X92" s="80" t="s">
        <v>30</v>
      </c>
      <c r="Y92" s="96" t="s">
        <v>30</v>
      </c>
      <c r="Z92" s="96" t="s">
        <v>30</v>
      </c>
      <c r="AA92" s="96" t="s">
        <v>30</v>
      </c>
      <c r="AB92" s="96" t="s">
        <v>30</v>
      </c>
      <c r="AC92" s="96" t="s">
        <v>30</v>
      </c>
      <c r="AD92" s="96" t="s">
        <v>30</v>
      </c>
      <c r="AE92" s="96" t="s">
        <v>30</v>
      </c>
      <c r="AF92" s="96" t="s">
        <v>30</v>
      </c>
      <c r="AG92" s="91" t="s">
        <v>32</v>
      </c>
      <c r="AH92" s="96" t="s">
        <v>30</v>
      </c>
      <c r="AI92" s="96" t="s">
        <v>30</v>
      </c>
      <c r="AJ92" s="96" t="s">
        <v>30</v>
      </c>
      <c r="AK92" s="96" t="s">
        <v>30</v>
      </c>
      <c r="AL92" s="96" t="s">
        <v>30</v>
      </c>
      <c r="AM92" s="110"/>
      <c r="AN92" s="840" t="s">
        <v>3061</v>
      </c>
      <c r="AO92" s="625"/>
      <c r="AP92" s="625"/>
      <c r="AQ92" s="625"/>
      <c r="AR92" s="625"/>
      <c r="AS92" s="509"/>
      <c r="AT92" s="509"/>
      <c r="AU92" s="134"/>
      <c r="AV92" s="135"/>
      <c r="AW92" s="135"/>
      <c r="AX92" s="135"/>
      <c r="AY92" s="135"/>
      <c r="BB92">
        <f t="shared" si="1"/>
        <v>1</v>
      </c>
    </row>
    <row r="93" spans="1:54" ht="15.6" customHeight="1">
      <c r="A93" s="834" t="s">
        <v>24</v>
      </c>
      <c r="B93" s="834">
        <v>90</v>
      </c>
      <c r="C93" s="834" t="s">
        <v>3205</v>
      </c>
      <c r="D93" s="834" t="s">
        <v>34</v>
      </c>
      <c r="E93" s="852">
        <v>46053</v>
      </c>
      <c r="F93" s="834" t="s">
        <v>439</v>
      </c>
      <c r="G93" s="834">
        <v>8</v>
      </c>
      <c r="H93" s="847" t="s">
        <v>127</v>
      </c>
      <c r="I93" s="834" t="s">
        <v>178</v>
      </c>
      <c r="J93" s="98"/>
      <c r="K93" s="136" t="s">
        <v>3058</v>
      </c>
      <c r="L93" s="834" t="s">
        <v>2180</v>
      </c>
      <c r="M93" s="834" t="s">
        <v>3190</v>
      </c>
      <c r="N93" s="834" t="s">
        <v>3197</v>
      </c>
      <c r="O93" s="834" t="s">
        <v>2804</v>
      </c>
      <c r="P93" s="847" t="s">
        <v>32</v>
      </c>
      <c r="Q93" s="848" t="s">
        <v>30</v>
      </c>
      <c r="R93" s="848">
        <v>46080</v>
      </c>
      <c r="S93" s="852" t="s">
        <v>48</v>
      </c>
      <c r="T93" s="834" t="s">
        <v>32</v>
      </c>
      <c r="U93" s="834">
        <v>8</v>
      </c>
      <c r="V93" s="852" t="s">
        <v>48</v>
      </c>
      <c r="W93" s="848">
        <v>46080</v>
      </c>
      <c r="X93" s="80" t="s">
        <v>30</v>
      </c>
      <c r="Y93" s="80" t="s">
        <v>30</v>
      </c>
      <c r="Z93" s="80" t="s">
        <v>30</v>
      </c>
      <c r="AA93" s="91" t="s">
        <v>32</v>
      </c>
      <c r="AB93" s="91" t="s">
        <v>32</v>
      </c>
      <c r="AC93" s="91" t="s">
        <v>32</v>
      </c>
      <c r="AD93" s="96" t="s">
        <v>30</v>
      </c>
      <c r="AE93" s="96" t="s">
        <v>30</v>
      </c>
      <c r="AF93" s="96" t="s">
        <v>30</v>
      </c>
      <c r="AG93" s="96" t="s">
        <v>30</v>
      </c>
      <c r="AH93" s="96" t="s">
        <v>30</v>
      </c>
      <c r="AI93" s="96" t="s">
        <v>30</v>
      </c>
      <c r="AJ93" s="96" t="s">
        <v>30</v>
      </c>
      <c r="AK93" s="96" t="s">
        <v>30</v>
      </c>
      <c r="AL93" s="107" t="s">
        <v>30</v>
      </c>
      <c r="AM93" s="110"/>
      <c r="AN93" s="840"/>
      <c r="AO93" s="832"/>
      <c r="AP93" s="875"/>
      <c r="AQ93" s="875"/>
      <c r="AR93" s="875"/>
      <c r="AS93" s="776"/>
      <c r="AT93" s="776"/>
      <c r="AU93"/>
      <c r="AV93"/>
      <c r="AW93"/>
      <c r="AX93"/>
      <c r="AY93" s="105"/>
      <c r="BB93">
        <f t="shared" si="1"/>
        <v>1</v>
      </c>
    </row>
    <row r="94" spans="1:54" ht="15.6" customHeight="1">
      <c r="A94" s="834" t="s">
        <v>24</v>
      </c>
      <c r="B94" s="834">
        <v>91</v>
      </c>
      <c r="C94" s="834" t="s">
        <v>3206</v>
      </c>
      <c r="D94" s="834" t="s">
        <v>34</v>
      </c>
      <c r="E94" s="852">
        <v>46053</v>
      </c>
      <c r="F94" s="834" t="s">
        <v>401</v>
      </c>
      <c r="G94" s="834">
        <v>9</v>
      </c>
      <c r="H94" s="847" t="s">
        <v>127</v>
      </c>
      <c r="I94" s="834" t="s">
        <v>178</v>
      </c>
      <c r="J94" s="98"/>
      <c r="K94" s="136" t="s">
        <v>3058</v>
      </c>
      <c r="L94" s="834" t="s">
        <v>2180</v>
      </c>
      <c r="M94" s="834" t="s">
        <v>401</v>
      </c>
      <c r="N94" s="834" t="s">
        <v>401</v>
      </c>
      <c r="O94" s="834" t="s">
        <v>401</v>
      </c>
      <c r="P94" s="847" t="s">
        <v>32</v>
      </c>
      <c r="Q94" s="848" t="s">
        <v>30</v>
      </c>
      <c r="R94" s="848">
        <v>46080</v>
      </c>
      <c r="S94" s="852" t="s">
        <v>48</v>
      </c>
      <c r="T94" s="834" t="s">
        <v>32</v>
      </c>
      <c r="U94" s="834">
        <v>9</v>
      </c>
      <c r="V94" s="852" t="s">
        <v>48</v>
      </c>
      <c r="W94" s="848">
        <v>46080</v>
      </c>
      <c r="X94" s="80" t="s">
        <v>30</v>
      </c>
      <c r="Y94" s="80" t="s">
        <v>30</v>
      </c>
      <c r="Z94" s="80" t="s">
        <v>30</v>
      </c>
      <c r="AA94" s="91" t="s">
        <v>32</v>
      </c>
      <c r="AB94" s="91" t="s">
        <v>32</v>
      </c>
      <c r="AC94" s="91" t="s">
        <v>32</v>
      </c>
      <c r="AD94" s="96" t="s">
        <v>30</v>
      </c>
      <c r="AE94" s="96" t="s">
        <v>30</v>
      </c>
      <c r="AF94" s="96" t="s">
        <v>30</v>
      </c>
      <c r="AG94" s="96" t="s">
        <v>30</v>
      </c>
      <c r="AH94" s="96" t="s">
        <v>30</v>
      </c>
      <c r="AI94" s="96" t="s">
        <v>30</v>
      </c>
      <c r="AJ94" s="96" t="s">
        <v>30</v>
      </c>
      <c r="AK94" s="96" t="s">
        <v>30</v>
      </c>
      <c r="AL94" s="107" t="s">
        <v>30</v>
      </c>
      <c r="AM94" s="110"/>
      <c r="AN94" s="840"/>
      <c r="AO94" s="83"/>
      <c r="AP94" s="83"/>
      <c r="AQ94" s="83"/>
      <c r="AR94" s="83"/>
      <c r="AS94" s="6"/>
      <c r="AT94" s="6"/>
      <c r="AU94" s="104"/>
      <c r="AV94" s="105"/>
      <c r="AW94" s="105"/>
      <c r="AX94" s="105"/>
      <c r="AY94" s="105"/>
      <c r="BB94">
        <f t="shared" si="1"/>
        <v>1</v>
      </c>
    </row>
    <row r="95" spans="1:54" ht="15.6" customHeight="1">
      <c r="A95" s="834" t="s">
        <v>24</v>
      </c>
      <c r="B95" s="834">
        <v>92</v>
      </c>
      <c r="C95" s="834" t="s">
        <v>3207</v>
      </c>
      <c r="D95" s="834" t="s">
        <v>259</v>
      </c>
      <c r="E95" s="852">
        <v>46053</v>
      </c>
      <c r="F95" s="834" t="s">
        <v>117</v>
      </c>
      <c r="G95" s="834">
        <v>12</v>
      </c>
      <c r="H95" s="847" t="s">
        <v>1721</v>
      </c>
      <c r="I95" s="834" t="s">
        <v>1638</v>
      </c>
      <c r="J95" s="98" t="s">
        <v>3095</v>
      </c>
      <c r="K95" s="136" t="s">
        <v>3058</v>
      </c>
      <c r="L95" s="834" t="s">
        <v>2123</v>
      </c>
      <c r="M95" s="834" t="s">
        <v>3190</v>
      </c>
      <c r="N95" s="834" t="s">
        <v>3190</v>
      </c>
      <c r="O95" s="834" t="s">
        <v>2050</v>
      </c>
      <c r="P95" s="847" t="s">
        <v>32</v>
      </c>
      <c r="Q95" s="113"/>
      <c r="R95" s="848"/>
      <c r="S95" s="852" t="s">
        <v>1138</v>
      </c>
      <c r="T95" s="834" t="s">
        <v>30</v>
      </c>
      <c r="U95" s="834">
        <v>12</v>
      </c>
      <c r="V95" s="852" t="s">
        <v>1138</v>
      </c>
      <c r="W95" s="848"/>
      <c r="X95" s="80" t="s">
        <v>30</v>
      </c>
      <c r="Y95" s="80" t="s">
        <v>30</v>
      </c>
      <c r="Z95" s="80" t="s">
        <v>30</v>
      </c>
      <c r="AA95" s="80" t="s">
        <v>30</v>
      </c>
      <c r="AB95" s="80" t="s">
        <v>30</v>
      </c>
      <c r="AC95" s="80" t="s">
        <v>30</v>
      </c>
      <c r="AD95" s="80" t="s">
        <v>30</v>
      </c>
      <c r="AE95" s="91" t="s">
        <v>32</v>
      </c>
      <c r="AF95" s="80" t="s">
        <v>30</v>
      </c>
      <c r="AG95" s="91" t="s">
        <v>32</v>
      </c>
      <c r="AH95" s="91" t="s">
        <v>32</v>
      </c>
      <c r="AI95" s="96" t="s">
        <v>30</v>
      </c>
      <c r="AJ95" s="80" t="s">
        <v>30</v>
      </c>
      <c r="AK95" s="80" t="s">
        <v>30</v>
      </c>
      <c r="AL95" s="80" t="s">
        <v>30</v>
      </c>
      <c r="AM95" s="110"/>
      <c r="AN95" s="840" t="s">
        <v>3074</v>
      </c>
      <c r="AO95" s="83"/>
      <c r="AP95" s="83"/>
      <c r="AQ95" s="83"/>
      <c r="AR95" s="83"/>
      <c r="AS95" s="6"/>
      <c r="AT95" s="6"/>
      <c r="AU95" s="104"/>
      <c r="AV95" s="105"/>
      <c r="AW95" s="105"/>
      <c r="AX95" s="105"/>
      <c r="AY95" s="105"/>
      <c r="BB95">
        <f t="shared" si="1"/>
        <v>1</v>
      </c>
    </row>
    <row r="96" spans="1:54" ht="15.6" customHeight="1">
      <c r="A96" s="834" t="s">
        <v>24</v>
      </c>
      <c r="B96" s="834">
        <v>93</v>
      </c>
      <c r="C96" s="834" t="s">
        <v>3208</v>
      </c>
      <c r="D96" s="834" t="s">
        <v>102</v>
      </c>
      <c r="E96" s="852">
        <v>46053</v>
      </c>
      <c r="F96" s="834" t="s">
        <v>35</v>
      </c>
      <c r="G96" s="834">
        <v>15</v>
      </c>
      <c r="H96" s="847" t="s">
        <v>1721</v>
      </c>
      <c r="I96" s="834" t="s">
        <v>1638</v>
      </c>
      <c r="J96" s="98"/>
      <c r="K96" s="136" t="s">
        <v>3058</v>
      </c>
      <c r="L96" s="834" t="s">
        <v>2102</v>
      </c>
      <c r="M96" s="834" t="s">
        <v>3190</v>
      </c>
      <c r="N96" s="834" t="s">
        <v>3197</v>
      </c>
      <c r="O96" s="834" t="s">
        <v>2083</v>
      </c>
      <c r="P96" s="126" t="s">
        <v>31</v>
      </c>
      <c r="Q96" s="400" t="s">
        <v>30</v>
      </c>
      <c r="R96" s="848">
        <v>46080</v>
      </c>
      <c r="S96" s="852" t="s">
        <v>1721</v>
      </c>
      <c r="T96" s="834" t="s">
        <v>32</v>
      </c>
      <c r="U96" s="834">
        <v>15</v>
      </c>
      <c r="V96" s="852" t="s">
        <v>1721</v>
      </c>
      <c r="W96" s="848">
        <v>46080</v>
      </c>
      <c r="X96" s="80" t="s">
        <v>30</v>
      </c>
      <c r="Y96" s="80" t="s">
        <v>30</v>
      </c>
      <c r="Z96" s="80" t="s">
        <v>30</v>
      </c>
      <c r="AA96" s="80" t="s">
        <v>30</v>
      </c>
      <c r="AB96" s="80" t="s">
        <v>30</v>
      </c>
      <c r="AC96" s="80" t="s">
        <v>30</v>
      </c>
      <c r="AD96" s="80" t="s">
        <v>30</v>
      </c>
      <c r="AE96" s="80" t="s">
        <v>30</v>
      </c>
      <c r="AF96" s="80" t="s">
        <v>30</v>
      </c>
      <c r="AG96" s="91" t="s">
        <v>32</v>
      </c>
      <c r="AH96" s="80" t="s">
        <v>30</v>
      </c>
      <c r="AI96" s="80" t="s">
        <v>30</v>
      </c>
      <c r="AJ96" s="91" t="s">
        <v>32</v>
      </c>
      <c r="AK96" s="91" t="s">
        <v>32</v>
      </c>
      <c r="AL96" s="107" t="s">
        <v>30</v>
      </c>
      <c r="AM96" s="110"/>
      <c r="AN96" s="840" t="s">
        <v>3061</v>
      </c>
      <c r="AO96" s="832"/>
      <c r="AP96" s="832"/>
      <c r="AQ96" s="832"/>
      <c r="AR96" s="832"/>
      <c r="AS96"/>
      <c r="AT96"/>
      <c r="AU96"/>
      <c r="AV96"/>
      <c r="AW96"/>
      <c r="AX96"/>
      <c r="AY96" s="105"/>
      <c r="BB96">
        <f t="shared" si="1"/>
        <v>1</v>
      </c>
    </row>
    <row r="97" spans="1:54" ht="15.6" customHeight="1">
      <c r="A97" s="834" t="s">
        <v>24</v>
      </c>
      <c r="B97" s="834">
        <v>94</v>
      </c>
      <c r="C97" s="834" t="s">
        <v>3209</v>
      </c>
      <c r="D97" s="834" t="s">
        <v>34</v>
      </c>
      <c r="E97" s="852">
        <v>46053</v>
      </c>
      <c r="F97" s="834" t="s">
        <v>698</v>
      </c>
      <c r="G97" s="834">
        <v>12</v>
      </c>
      <c r="H97" s="847" t="s">
        <v>67</v>
      </c>
      <c r="I97" s="834" t="s">
        <v>47</v>
      </c>
      <c r="J97" s="834"/>
      <c r="K97" s="136" t="s">
        <v>3058</v>
      </c>
      <c r="L97" s="834" t="s">
        <v>2126</v>
      </c>
      <c r="M97" s="834" t="s">
        <v>3190</v>
      </c>
      <c r="N97" s="834" t="s">
        <v>3197</v>
      </c>
      <c r="O97" s="834" t="s">
        <v>3106</v>
      </c>
      <c r="P97" s="847" t="s">
        <v>32</v>
      </c>
      <c r="Q97" s="848" t="s">
        <v>30</v>
      </c>
      <c r="R97" s="124">
        <v>46077</v>
      </c>
      <c r="S97" s="852" t="s">
        <v>1721</v>
      </c>
      <c r="T97" s="834" t="s">
        <v>32</v>
      </c>
      <c r="U97" s="834">
        <v>17</v>
      </c>
      <c r="V97" s="852" t="s">
        <v>1721</v>
      </c>
      <c r="W97" s="124">
        <v>46077</v>
      </c>
      <c r="X97" s="80" t="s">
        <v>30</v>
      </c>
      <c r="Y97" s="96" t="s">
        <v>30</v>
      </c>
      <c r="Z97" s="96" t="s">
        <v>30</v>
      </c>
      <c r="AA97" s="96" t="s">
        <v>30</v>
      </c>
      <c r="AB97" s="96" t="s">
        <v>30</v>
      </c>
      <c r="AC97" s="96" t="s">
        <v>30</v>
      </c>
      <c r="AD97" s="96" t="s">
        <v>30</v>
      </c>
      <c r="AE97" s="96" t="s">
        <v>30</v>
      </c>
      <c r="AF97" s="96" t="s">
        <v>30</v>
      </c>
      <c r="AG97" s="96" t="s">
        <v>30</v>
      </c>
      <c r="AH97" s="96" t="s">
        <v>30</v>
      </c>
      <c r="AI97" s="96" t="s">
        <v>30</v>
      </c>
      <c r="AJ97" s="96" t="s">
        <v>30</v>
      </c>
      <c r="AK97" s="96" t="s">
        <v>30</v>
      </c>
      <c r="AL97" s="96" t="s">
        <v>30</v>
      </c>
      <c r="AM97" s="110"/>
      <c r="AN97" s="840"/>
      <c r="AO97" s="881"/>
      <c r="AP97" s="881"/>
      <c r="AQ97" s="832"/>
      <c r="AR97" s="832"/>
      <c r="AS97"/>
      <c r="AT97"/>
      <c r="AU97" s="71"/>
      <c r="AY97" s="105"/>
      <c r="BB97">
        <f t="shared" si="1"/>
        <v>1</v>
      </c>
    </row>
    <row r="98" spans="1:54" ht="15.75" customHeight="1">
      <c r="A98" s="834" t="s">
        <v>24</v>
      </c>
      <c r="B98" s="834">
        <v>95</v>
      </c>
      <c r="C98" s="834" t="s">
        <v>3210</v>
      </c>
      <c r="D98" s="834" t="s">
        <v>34</v>
      </c>
      <c r="E98" s="852">
        <v>46053</v>
      </c>
      <c r="F98" s="834" t="s">
        <v>401</v>
      </c>
      <c r="G98" s="834">
        <v>13</v>
      </c>
      <c r="H98" s="847" t="s">
        <v>67</v>
      </c>
      <c r="I98" s="834" t="s">
        <v>47</v>
      </c>
      <c r="J98" s="98" t="s">
        <v>2110</v>
      </c>
      <c r="K98" s="136" t="s">
        <v>3058</v>
      </c>
      <c r="L98" s="834" t="s">
        <v>2126</v>
      </c>
      <c r="M98" s="834" t="s">
        <v>401</v>
      </c>
      <c r="N98" s="834" t="s">
        <v>401</v>
      </c>
      <c r="O98" s="834" t="s">
        <v>401</v>
      </c>
      <c r="P98" s="847" t="s">
        <v>32</v>
      </c>
      <c r="Q98" s="113"/>
      <c r="R98" s="124">
        <v>46080</v>
      </c>
      <c r="S98" s="124" t="s">
        <v>1638</v>
      </c>
      <c r="T98" s="136" t="s">
        <v>30</v>
      </c>
      <c r="U98" s="136">
        <v>8</v>
      </c>
      <c r="V98" s="124" t="s">
        <v>1638</v>
      </c>
      <c r="W98" s="124">
        <v>46080</v>
      </c>
      <c r="X98" s="80" t="s">
        <v>30</v>
      </c>
      <c r="Y98" s="80" t="s">
        <v>30</v>
      </c>
      <c r="Z98" s="96" t="s">
        <v>30</v>
      </c>
      <c r="AA98" s="96" t="s">
        <v>30</v>
      </c>
      <c r="AB98" s="96" t="s">
        <v>30</v>
      </c>
      <c r="AC98" s="96" t="s">
        <v>30</v>
      </c>
      <c r="AD98" s="96" t="s">
        <v>30</v>
      </c>
      <c r="AE98" s="96" t="s">
        <v>30</v>
      </c>
      <c r="AF98" s="96" t="s">
        <v>30</v>
      </c>
      <c r="AG98" s="96" t="s">
        <v>30</v>
      </c>
      <c r="AH98" s="96" t="s">
        <v>30</v>
      </c>
      <c r="AI98" s="96" t="s">
        <v>30</v>
      </c>
      <c r="AJ98" s="107" t="s">
        <v>30</v>
      </c>
      <c r="AK98" s="107" t="s">
        <v>30</v>
      </c>
      <c r="AL98" s="107" t="s">
        <v>30</v>
      </c>
      <c r="AM98" s="110"/>
      <c r="AN98" s="840"/>
      <c r="AO98" s="832"/>
      <c r="AP98" s="832"/>
      <c r="AQ98" s="832"/>
      <c r="AR98" s="832"/>
      <c r="AS98"/>
      <c r="AT98"/>
      <c r="AU98" s="71"/>
      <c r="AY98" s="105"/>
      <c r="BB98">
        <f t="shared" si="1"/>
        <v>1</v>
      </c>
    </row>
    <row r="99" spans="1:54" ht="15.75" customHeight="1">
      <c r="A99" s="834" t="s">
        <v>24</v>
      </c>
      <c r="B99" s="834">
        <v>96</v>
      </c>
      <c r="C99" s="834" t="s">
        <v>3211</v>
      </c>
      <c r="D99" s="834" t="s">
        <v>1754</v>
      </c>
      <c r="E99" s="852">
        <v>46053</v>
      </c>
      <c r="F99" s="834" t="s">
        <v>110</v>
      </c>
      <c r="G99" s="834">
        <v>12</v>
      </c>
      <c r="H99" s="847" t="s">
        <v>1334</v>
      </c>
      <c r="I99" s="834"/>
      <c r="J99" s="834"/>
      <c r="K99" s="136" t="s">
        <v>3063</v>
      </c>
      <c r="L99" s="834" t="s">
        <v>3212</v>
      </c>
      <c r="M99" s="834" t="s">
        <v>3202</v>
      </c>
      <c r="N99" s="834" t="s">
        <v>3202</v>
      </c>
      <c r="O99" s="834" t="s">
        <v>110</v>
      </c>
      <c r="P99" s="847" t="s">
        <v>32</v>
      </c>
      <c r="Q99" s="848" t="s">
        <v>30</v>
      </c>
      <c r="R99" s="848">
        <v>46076</v>
      </c>
      <c r="S99" s="852" t="s">
        <v>48</v>
      </c>
      <c r="T99" s="834" t="s">
        <v>32</v>
      </c>
      <c r="U99" s="834">
        <v>12</v>
      </c>
      <c r="V99" s="852" t="s">
        <v>48</v>
      </c>
      <c r="W99" s="848">
        <v>46076</v>
      </c>
      <c r="X99" s="96" t="s">
        <v>113</v>
      </c>
      <c r="Y99" s="80" t="s">
        <v>30</v>
      </c>
      <c r="Z99" s="91"/>
      <c r="AA99" s="91" t="s">
        <v>32</v>
      </c>
      <c r="AB99" s="91" t="s">
        <v>32</v>
      </c>
      <c r="AC99" s="91" t="s">
        <v>32</v>
      </c>
      <c r="AD99" s="96" t="s">
        <v>30</v>
      </c>
      <c r="AE99" s="96" t="s">
        <v>30</v>
      </c>
      <c r="AF99" s="91" t="s">
        <v>32</v>
      </c>
      <c r="AG99" s="91" t="s">
        <v>32</v>
      </c>
      <c r="AH99" s="91" t="s">
        <v>32</v>
      </c>
      <c r="AI99" s="91" t="s">
        <v>32</v>
      </c>
      <c r="AJ99" s="91" t="s">
        <v>32</v>
      </c>
      <c r="AK99" s="91" t="s">
        <v>32</v>
      </c>
      <c r="AL99" s="91" t="s">
        <v>32</v>
      </c>
      <c r="AM99" s="110"/>
      <c r="AN99" s="840"/>
      <c r="AO99" s="881"/>
      <c r="AP99" s="881"/>
      <c r="AQ99" s="832"/>
      <c r="AR99" s="832"/>
      <c r="AS99"/>
      <c r="AT99"/>
      <c r="AU99" s="71"/>
      <c r="AY99" s="105"/>
      <c r="BB99">
        <f t="shared" si="1"/>
        <v>1</v>
      </c>
    </row>
    <row r="100" spans="1:54" ht="15.75" customHeight="1">
      <c r="A100" s="834" t="s">
        <v>24</v>
      </c>
      <c r="B100" s="834">
        <v>97</v>
      </c>
      <c r="C100" s="834" t="s">
        <v>3213</v>
      </c>
      <c r="D100" s="834" t="s">
        <v>99</v>
      </c>
      <c r="E100" s="852">
        <v>46053</v>
      </c>
      <c r="F100" s="834" t="s">
        <v>646</v>
      </c>
      <c r="G100" s="834">
        <v>16</v>
      </c>
      <c r="H100" s="834" t="s">
        <v>1077</v>
      </c>
      <c r="I100" s="834" t="s">
        <v>1138</v>
      </c>
      <c r="J100" s="834"/>
      <c r="K100" s="136" t="s">
        <v>3058</v>
      </c>
      <c r="L100" s="834" t="s">
        <v>2115</v>
      </c>
      <c r="M100" s="834" t="s">
        <v>3202</v>
      </c>
      <c r="N100" s="834" t="s">
        <v>3202</v>
      </c>
      <c r="O100" s="834" t="s">
        <v>2050</v>
      </c>
      <c r="P100" s="125" t="s">
        <v>31</v>
      </c>
      <c r="Q100" s="400" t="s">
        <v>30</v>
      </c>
      <c r="R100" s="400">
        <v>46058</v>
      </c>
      <c r="S100" s="852" t="s">
        <v>1138</v>
      </c>
      <c r="T100" s="834" t="s">
        <v>32</v>
      </c>
      <c r="U100" s="830">
        <v>13</v>
      </c>
      <c r="V100" s="852" t="s">
        <v>1138</v>
      </c>
      <c r="W100" s="400">
        <v>46058</v>
      </c>
      <c r="X100" s="90" t="s">
        <v>30</v>
      </c>
      <c r="Y100" s="96" t="s">
        <v>30</v>
      </c>
      <c r="Z100" s="96" t="s">
        <v>30</v>
      </c>
      <c r="AA100" s="91" t="s">
        <v>32</v>
      </c>
      <c r="AB100" s="91" t="s">
        <v>32</v>
      </c>
      <c r="AC100" s="91" t="s">
        <v>32</v>
      </c>
      <c r="AD100" s="96" t="s">
        <v>30</v>
      </c>
      <c r="AE100" s="96" t="s">
        <v>30</v>
      </c>
      <c r="AF100" s="96" t="s">
        <v>30</v>
      </c>
      <c r="AG100" s="96" t="s">
        <v>30</v>
      </c>
      <c r="AH100" s="96" t="s">
        <v>30</v>
      </c>
      <c r="AI100" s="96" t="s">
        <v>30</v>
      </c>
      <c r="AJ100" s="96" t="s">
        <v>30</v>
      </c>
      <c r="AK100" s="96" t="s">
        <v>30</v>
      </c>
      <c r="AL100" s="96" t="s">
        <v>30</v>
      </c>
      <c r="AM100" s="110"/>
      <c r="AN100" s="840"/>
      <c r="AO100" s="881"/>
      <c r="AP100" s="881"/>
      <c r="AQ100" s="832"/>
      <c r="AR100" s="832"/>
      <c r="AS100"/>
      <c r="AT100"/>
      <c r="AU100" s="71"/>
      <c r="AY100" s="105"/>
      <c r="BB100">
        <f t="shared" si="1"/>
        <v>1</v>
      </c>
    </row>
    <row r="101" spans="1:54" ht="15.75" customHeight="1">
      <c r="A101" s="834" t="s">
        <v>24</v>
      </c>
      <c r="B101" s="834">
        <v>98</v>
      </c>
      <c r="C101" s="834" t="s">
        <v>3214</v>
      </c>
      <c r="D101" s="834" t="s">
        <v>34</v>
      </c>
      <c r="E101" s="852">
        <v>46053</v>
      </c>
      <c r="F101" s="834" t="s">
        <v>65</v>
      </c>
      <c r="G101" s="834">
        <v>12</v>
      </c>
      <c r="H101" s="834" t="s">
        <v>1077</v>
      </c>
      <c r="I101" s="834" t="s">
        <v>1138</v>
      </c>
      <c r="J101" s="834"/>
      <c r="K101" s="136" t="s">
        <v>3058</v>
      </c>
      <c r="L101" s="834" t="s">
        <v>2052</v>
      </c>
      <c r="M101" s="834" t="s">
        <v>3197</v>
      </c>
      <c r="N101" s="834" t="s">
        <v>3197</v>
      </c>
      <c r="O101" s="834" t="s">
        <v>2166</v>
      </c>
      <c r="P101" s="847" t="s">
        <v>32</v>
      </c>
      <c r="Q101" s="834" t="s">
        <v>30</v>
      </c>
      <c r="R101" s="848">
        <v>46065</v>
      </c>
      <c r="S101" s="852" t="s">
        <v>1138</v>
      </c>
      <c r="T101" s="834" t="s">
        <v>32</v>
      </c>
      <c r="U101" s="834">
        <v>3</v>
      </c>
      <c r="V101" s="852" t="s">
        <v>1138</v>
      </c>
      <c r="W101" s="848">
        <v>46065</v>
      </c>
      <c r="X101" s="90" t="s">
        <v>30</v>
      </c>
      <c r="Y101" s="90" t="s">
        <v>30</v>
      </c>
      <c r="Z101" s="90" t="s">
        <v>30</v>
      </c>
      <c r="AA101" s="90" t="s">
        <v>30</v>
      </c>
      <c r="AB101" s="90" t="s">
        <v>30</v>
      </c>
      <c r="AC101" s="90" t="s">
        <v>30</v>
      </c>
      <c r="AD101" s="90" t="s">
        <v>30</v>
      </c>
      <c r="AE101" s="90" t="s">
        <v>30</v>
      </c>
      <c r="AF101" s="90" t="s">
        <v>30</v>
      </c>
      <c r="AG101" s="90" t="s">
        <v>30</v>
      </c>
      <c r="AH101" s="90" t="s">
        <v>30</v>
      </c>
      <c r="AI101" s="96" t="s">
        <v>30</v>
      </c>
      <c r="AJ101" s="107" t="s">
        <v>30</v>
      </c>
      <c r="AK101" s="107" t="s">
        <v>30</v>
      </c>
      <c r="AL101" s="107" t="s">
        <v>30</v>
      </c>
      <c r="AM101" s="110"/>
      <c r="AN101" s="840"/>
      <c r="AO101" s="83"/>
      <c r="AP101" s="83"/>
      <c r="AQ101" s="83"/>
      <c r="AR101" s="83"/>
      <c r="AS101" s="6"/>
      <c r="AT101" s="6"/>
      <c r="AU101" s="104"/>
      <c r="AV101" s="105"/>
      <c r="AW101" s="105"/>
      <c r="AX101" s="105"/>
      <c r="AY101" s="105"/>
      <c r="BB101">
        <f t="shared" si="1"/>
        <v>1</v>
      </c>
    </row>
    <row r="102" spans="1:54" ht="15.75" customHeight="1">
      <c r="A102" s="834" t="s">
        <v>24</v>
      </c>
      <c r="B102" s="834">
        <v>99</v>
      </c>
      <c r="C102" s="834" t="s">
        <v>3215</v>
      </c>
      <c r="D102" s="834" t="s">
        <v>34</v>
      </c>
      <c r="E102" s="852">
        <v>46053</v>
      </c>
      <c r="F102" s="834" t="s">
        <v>401</v>
      </c>
      <c r="G102" s="834">
        <v>2</v>
      </c>
      <c r="H102" s="834" t="s">
        <v>1077</v>
      </c>
      <c r="I102" s="834" t="s">
        <v>1138</v>
      </c>
      <c r="J102" s="834"/>
      <c r="K102" s="136" t="s">
        <v>3058</v>
      </c>
      <c r="L102" s="834" t="s">
        <v>2052</v>
      </c>
      <c r="M102" s="834" t="s">
        <v>401</v>
      </c>
      <c r="N102" s="834" t="s">
        <v>401</v>
      </c>
      <c r="O102" s="834" t="s">
        <v>401</v>
      </c>
      <c r="P102" s="847" t="s">
        <v>32</v>
      </c>
      <c r="Q102" s="848" t="s">
        <v>30</v>
      </c>
      <c r="R102" s="848">
        <v>46057</v>
      </c>
      <c r="S102" s="852" t="s">
        <v>1138</v>
      </c>
      <c r="T102" s="834" t="s">
        <v>32</v>
      </c>
      <c r="U102" s="834">
        <v>11</v>
      </c>
      <c r="V102" s="852" t="s">
        <v>1138</v>
      </c>
      <c r="W102" s="848">
        <v>46057</v>
      </c>
      <c r="X102" s="96" t="s">
        <v>30</v>
      </c>
      <c r="Y102" s="96" t="s">
        <v>30</v>
      </c>
      <c r="Z102" s="96" t="s">
        <v>30</v>
      </c>
      <c r="AA102" s="96" t="s">
        <v>30</v>
      </c>
      <c r="AB102" s="96" t="s">
        <v>30</v>
      </c>
      <c r="AC102" s="96" t="s">
        <v>30</v>
      </c>
      <c r="AD102" s="96" t="s">
        <v>30</v>
      </c>
      <c r="AE102" s="96" t="s">
        <v>30</v>
      </c>
      <c r="AF102" s="96" t="s">
        <v>30</v>
      </c>
      <c r="AG102" s="96" t="s">
        <v>30</v>
      </c>
      <c r="AH102" s="96" t="s">
        <v>30</v>
      </c>
      <c r="AI102" s="96" t="s">
        <v>30</v>
      </c>
      <c r="AJ102" s="107" t="s">
        <v>30</v>
      </c>
      <c r="AK102" s="107" t="s">
        <v>30</v>
      </c>
      <c r="AL102" s="107" t="s">
        <v>30</v>
      </c>
      <c r="AM102" s="110"/>
      <c r="AN102" s="840"/>
      <c r="AO102" s="832"/>
      <c r="AP102" s="832"/>
      <c r="AQ102" s="832"/>
      <c r="AR102" s="832"/>
      <c r="AS102"/>
      <c r="AT102"/>
      <c r="AU102"/>
      <c r="AV102"/>
      <c r="AW102"/>
      <c r="AX102"/>
      <c r="AY102" s="105"/>
      <c r="BB102">
        <f t="shared" si="1"/>
        <v>1</v>
      </c>
    </row>
    <row r="103" spans="1:54" ht="15.75" customHeight="1">
      <c r="A103" s="834" t="s">
        <v>2342</v>
      </c>
      <c r="B103" s="834">
        <v>100</v>
      </c>
      <c r="C103" s="834" t="s">
        <v>3216</v>
      </c>
      <c r="D103" s="834" t="s">
        <v>829</v>
      </c>
      <c r="E103" s="852">
        <v>46027.375</v>
      </c>
      <c r="F103" s="834" t="s">
        <v>140</v>
      </c>
      <c r="G103" s="834">
        <v>30</v>
      </c>
      <c r="H103" s="834" t="s">
        <v>2934</v>
      </c>
      <c r="I103" s="834"/>
      <c r="J103" s="98"/>
      <c r="K103" s="136" t="s">
        <v>3217</v>
      </c>
      <c r="L103" s="834"/>
      <c r="M103" s="834"/>
      <c r="N103" s="834"/>
      <c r="O103" s="834"/>
      <c r="P103" s="834" t="s">
        <v>113</v>
      </c>
      <c r="Q103" s="400" t="s">
        <v>30</v>
      </c>
      <c r="R103" s="848">
        <v>46082</v>
      </c>
      <c r="S103" s="852" t="s">
        <v>67</v>
      </c>
      <c r="T103" s="834" t="s">
        <v>32</v>
      </c>
      <c r="U103" s="834">
        <v>30</v>
      </c>
      <c r="V103" s="852" t="s">
        <v>67</v>
      </c>
      <c r="W103" s="848">
        <v>46082</v>
      </c>
      <c r="X103" s="96" t="s">
        <v>113</v>
      </c>
      <c r="Y103" s="91"/>
      <c r="Z103" s="103"/>
      <c r="AA103" s="96"/>
      <c r="AB103" s="91"/>
      <c r="AC103" s="96"/>
      <c r="AD103" s="96"/>
      <c r="AE103" s="96"/>
      <c r="AF103" s="96"/>
      <c r="AG103" s="96"/>
      <c r="AH103" s="96"/>
      <c r="AI103" s="110"/>
      <c r="AJ103" s="110"/>
      <c r="AK103" s="110"/>
      <c r="AL103" s="110"/>
      <c r="AM103" s="110"/>
      <c r="AN103" s="840"/>
      <c r="AO103" s="625"/>
      <c r="AP103" s="625"/>
      <c r="AQ103" s="625"/>
      <c r="AR103" s="625"/>
      <c r="AS103" s="509"/>
      <c r="AT103" s="509"/>
      <c r="AU103" s="134"/>
      <c r="AV103" s="135"/>
      <c r="AW103" s="135"/>
      <c r="AX103" s="135"/>
      <c r="AY103" s="135"/>
      <c r="BB103">
        <f t="shared" si="1"/>
        <v>1</v>
      </c>
    </row>
    <row r="104" spans="1:54" ht="15.75" customHeight="1">
      <c r="A104" s="834" t="s">
        <v>2342</v>
      </c>
      <c r="B104" s="834">
        <v>101</v>
      </c>
      <c r="C104" s="834" t="s">
        <v>3218</v>
      </c>
      <c r="D104" s="834" t="s">
        <v>1230</v>
      </c>
      <c r="E104" s="852">
        <v>46027</v>
      </c>
      <c r="F104" s="834" t="s">
        <v>140</v>
      </c>
      <c r="G104" s="834">
        <v>1</v>
      </c>
      <c r="H104" s="834" t="s">
        <v>1721</v>
      </c>
      <c r="I104" s="834"/>
      <c r="J104" s="834"/>
      <c r="K104" s="136" t="s">
        <v>3217</v>
      </c>
      <c r="L104" s="834"/>
      <c r="M104" s="834"/>
      <c r="N104" s="834"/>
      <c r="O104" s="834"/>
      <c r="P104" s="834" t="s">
        <v>113</v>
      </c>
      <c r="Q104" s="400" t="s">
        <v>30</v>
      </c>
      <c r="R104" s="848">
        <v>46063</v>
      </c>
      <c r="S104" s="852" t="s">
        <v>67</v>
      </c>
      <c r="T104" s="834" t="s">
        <v>32</v>
      </c>
      <c r="U104" s="834">
        <v>1</v>
      </c>
      <c r="V104" s="852" t="s">
        <v>67</v>
      </c>
      <c r="W104" s="848">
        <v>46063</v>
      </c>
      <c r="X104" s="96" t="s">
        <v>113</v>
      </c>
      <c r="Y104" s="91"/>
      <c r="Z104" s="91"/>
      <c r="AA104" s="96"/>
      <c r="AB104" s="96"/>
      <c r="AC104" s="96"/>
      <c r="AD104" s="96"/>
      <c r="AE104" s="96"/>
      <c r="AF104" s="96"/>
      <c r="AG104" s="96"/>
      <c r="AH104" s="96"/>
      <c r="AI104" s="110"/>
      <c r="AJ104" s="110"/>
      <c r="AK104" s="107"/>
      <c r="AL104" s="107"/>
      <c r="AM104" s="110"/>
      <c r="AN104" s="840"/>
      <c r="AO104" s="83"/>
      <c r="AP104" s="83"/>
      <c r="AQ104" s="83"/>
      <c r="AR104" s="83"/>
      <c r="AS104" s="6"/>
      <c r="AT104" s="6"/>
      <c r="AU104" s="104"/>
      <c r="AV104" s="105"/>
      <c r="AW104" s="105"/>
      <c r="AX104" s="105"/>
      <c r="AY104" s="105"/>
      <c r="BB104">
        <f t="shared" si="1"/>
        <v>1</v>
      </c>
    </row>
    <row r="105" spans="1:54" ht="15.75" customHeight="1">
      <c r="A105" s="834" t="s">
        <v>2342</v>
      </c>
      <c r="B105" s="834">
        <v>102</v>
      </c>
      <c r="C105" s="834" t="s">
        <v>3219</v>
      </c>
      <c r="D105" s="834" t="s">
        <v>2896</v>
      </c>
      <c r="E105" s="852">
        <v>46027.083333333336</v>
      </c>
      <c r="F105" s="834" t="s">
        <v>140</v>
      </c>
      <c r="G105" s="834">
        <v>4</v>
      </c>
      <c r="H105" s="834" t="s">
        <v>1077</v>
      </c>
      <c r="I105" s="834"/>
      <c r="J105" s="834"/>
      <c r="K105" s="136" t="s">
        <v>3217</v>
      </c>
      <c r="L105" s="834"/>
      <c r="M105" s="834"/>
      <c r="N105" s="834"/>
      <c r="O105" s="834"/>
      <c r="P105" s="834" t="s">
        <v>113</v>
      </c>
      <c r="Q105" s="400" t="s">
        <v>30</v>
      </c>
      <c r="R105" s="848">
        <v>46063</v>
      </c>
      <c r="S105" s="852" t="s">
        <v>67</v>
      </c>
      <c r="T105" s="834" t="s">
        <v>32</v>
      </c>
      <c r="U105" s="834">
        <v>4</v>
      </c>
      <c r="V105" s="852" t="s">
        <v>67</v>
      </c>
      <c r="W105" s="848">
        <v>46063</v>
      </c>
      <c r="X105" s="96" t="s">
        <v>113</v>
      </c>
      <c r="Y105" s="96"/>
      <c r="Z105" s="91"/>
      <c r="AA105" s="96"/>
      <c r="AB105" s="91"/>
      <c r="AC105" s="96"/>
      <c r="AD105" s="96"/>
      <c r="AE105" s="96"/>
      <c r="AF105" s="96"/>
      <c r="AG105" s="96"/>
      <c r="AH105" s="96"/>
      <c r="AI105" s="110"/>
      <c r="AJ105" s="110"/>
      <c r="AK105" s="110"/>
      <c r="AL105" s="107"/>
      <c r="AM105" s="110"/>
      <c r="AN105" s="840"/>
      <c r="AO105" s="83"/>
      <c r="AP105" s="83"/>
      <c r="AQ105" s="83"/>
      <c r="AR105" s="83"/>
      <c r="AS105" s="6"/>
      <c r="AT105" s="6"/>
      <c r="AU105" s="104"/>
      <c r="AV105" s="105"/>
      <c r="AW105" s="105"/>
      <c r="AX105" s="105"/>
      <c r="AY105" s="105"/>
      <c r="BB105">
        <f t="shared" si="1"/>
        <v>1</v>
      </c>
    </row>
    <row r="106" spans="1:54" ht="15.75" customHeight="1">
      <c r="A106" s="834" t="s">
        <v>2342</v>
      </c>
      <c r="B106" s="834">
        <v>103</v>
      </c>
      <c r="C106" s="834" t="s">
        <v>3220</v>
      </c>
      <c r="D106" s="834" t="s">
        <v>1198</v>
      </c>
      <c r="E106" s="852">
        <v>46027</v>
      </c>
      <c r="F106" s="834" t="s">
        <v>140</v>
      </c>
      <c r="G106" s="834">
        <v>22</v>
      </c>
      <c r="H106" s="834" t="s">
        <v>1853</v>
      </c>
      <c r="I106" s="834"/>
      <c r="J106" s="834"/>
      <c r="K106" s="136" t="s">
        <v>3217</v>
      </c>
      <c r="L106" s="834"/>
      <c r="M106" s="834"/>
      <c r="N106" s="834"/>
      <c r="O106" s="834"/>
      <c r="P106" s="834" t="s">
        <v>113</v>
      </c>
      <c r="Q106" s="400" t="s">
        <v>30</v>
      </c>
      <c r="R106" s="848">
        <v>46063</v>
      </c>
      <c r="S106" s="852" t="s">
        <v>67</v>
      </c>
      <c r="T106" s="834" t="s">
        <v>32</v>
      </c>
      <c r="U106" s="834">
        <v>23</v>
      </c>
      <c r="V106" s="852" t="s">
        <v>67</v>
      </c>
      <c r="W106" s="848">
        <v>46063</v>
      </c>
      <c r="X106" s="96" t="s">
        <v>113</v>
      </c>
      <c r="Y106" s="96"/>
      <c r="Z106" s="91"/>
      <c r="AA106" s="96"/>
      <c r="AB106" s="96"/>
      <c r="AC106" s="96"/>
      <c r="AD106" s="96"/>
      <c r="AE106" s="96"/>
      <c r="AF106" s="96"/>
      <c r="AG106" s="96"/>
      <c r="AH106" s="96"/>
      <c r="AI106" s="110"/>
      <c r="AJ106" s="110"/>
      <c r="AK106" s="110"/>
      <c r="AL106" s="107"/>
      <c r="AM106" s="110"/>
      <c r="AN106" s="840"/>
      <c r="AO106" s="832"/>
      <c r="AP106" s="832"/>
      <c r="AQ106" s="832"/>
      <c r="AR106" s="832"/>
      <c r="AS106"/>
      <c r="AT106"/>
      <c r="AU106"/>
      <c r="AV106"/>
      <c r="AW106"/>
      <c r="AX106"/>
      <c r="AY106" s="105"/>
      <c r="BB106">
        <f t="shared" si="1"/>
        <v>1</v>
      </c>
    </row>
    <row r="107" spans="1:54" ht="15.75" customHeight="1">
      <c r="A107" s="834" t="s">
        <v>2342</v>
      </c>
      <c r="B107" s="834">
        <v>104</v>
      </c>
      <c r="C107" s="834" t="s">
        <v>3221</v>
      </c>
      <c r="D107" s="834" t="s">
        <v>3222</v>
      </c>
      <c r="E107" s="852">
        <v>46027.375</v>
      </c>
      <c r="F107" s="834" t="s">
        <v>140</v>
      </c>
      <c r="G107" s="834">
        <v>15</v>
      </c>
      <c r="H107" s="834" t="s">
        <v>3223</v>
      </c>
      <c r="I107" s="834"/>
      <c r="J107" s="834"/>
      <c r="K107" s="136" t="s">
        <v>3217</v>
      </c>
      <c r="L107" s="834"/>
      <c r="M107" s="834"/>
      <c r="N107" s="834"/>
      <c r="O107" s="834"/>
      <c r="P107" s="834" t="s">
        <v>113</v>
      </c>
      <c r="Q107" s="400" t="s">
        <v>30</v>
      </c>
      <c r="R107" s="848">
        <v>46077</v>
      </c>
      <c r="S107" s="852" t="s">
        <v>67</v>
      </c>
      <c r="T107" s="834" t="s">
        <v>32</v>
      </c>
      <c r="U107" s="834">
        <v>14</v>
      </c>
      <c r="V107" s="852" t="s">
        <v>67</v>
      </c>
      <c r="W107" s="848">
        <v>46077</v>
      </c>
      <c r="X107" s="96" t="s">
        <v>113</v>
      </c>
      <c r="Y107" s="91"/>
      <c r="Z107" s="103"/>
      <c r="AA107" s="96"/>
      <c r="AB107" s="96"/>
      <c r="AC107" s="96"/>
      <c r="AD107" s="96"/>
      <c r="AE107" s="96"/>
      <c r="AF107" s="96"/>
      <c r="AG107" s="96"/>
      <c r="AH107" s="96"/>
      <c r="AI107" s="110"/>
      <c r="AJ107" s="110"/>
      <c r="AK107" s="110"/>
      <c r="AL107" s="107"/>
      <c r="AM107" s="110"/>
      <c r="AN107" s="840"/>
      <c r="AO107" s="832"/>
      <c r="AP107" s="832"/>
      <c r="AQ107" s="832"/>
      <c r="AR107" s="832"/>
      <c r="AS107"/>
      <c r="AT107" s="84"/>
      <c r="AU107" s="71"/>
      <c r="AV107" s="71"/>
      <c r="AW107" s="71"/>
      <c r="AX107" s="71"/>
      <c r="AY107" s="105"/>
      <c r="BB107">
        <f t="shared" si="1"/>
        <v>1</v>
      </c>
    </row>
    <row r="108" spans="1:54" ht="15.75" customHeight="1">
      <c r="A108" s="834" t="s">
        <v>2342</v>
      </c>
      <c r="B108" s="834">
        <v>105</v>
      </c>
      <c r="C108" s="834" t="s">
        <v>3224</v>
      </c>
      <c r="D108" s="834" t="s">
        <v>1184</v>
      </c>
      <c r="E108" s="852">
        <v>46027.041666666664</v>
      </c>
      <c r="F108" s="834" t="s">
        <v>140</v>
      </c>
      <c r="G108" s="834">
        <v>1</v>
      </c>
      <c r="H108" s="834" t="s">
        <v>127</v>
      </c>
      <c r="I108" s="834"/>
      <c r="J108" s="834"/>
      <c r="K108" s="136" t="s">
        <v>3217</v>
      </c>
      <c r="L108" s="834"/>
      <c r="M108" s="834"/>
      <c r="N108" s="834"/>
      <c r="O108" s="834"/>
      <c r="P108" s="834" t="s">
        <v>113</v>
      </c>
      <c r="Q108" s="400" t="s">
        <v>30</v>
      </c>
      <c r="R108" s="848">
        <v>46077</v>
      </c>
      <c r="S108" s="852" t="s">
        <v>67</v>
      </c>
      <c r="T108" s="834" t="s">
        <v>32</v>
      </c>
      <c r="U108" s="834">
        <v>1</v>
      </c>
      <c r="V108" s="852" t="s">
        <v>67</v>
      </c>
      <c r="W108" s="848">
        <v>46077</v>
      </c>
      <c r="X108" s="96" t="s">
        <v>113</v>
      </c>
      <c r="Y108" s="96"/>
      <c r="Z108" s="91"/>
      <c r="AA108" s="91"/>
      <c r="AB108" s="91"/>
      <c r="AC108" s="91"/>
      <c r="AD108" s="96"/>
      <c r="AE108" s="96"/>
      <c r="AF108" s="96"/>
      <c r="AG108" s="96"/>
      <c r="AH108" s="96"/>
      <c r="AI108" s="110"/>
      <c r="AJ108" s="96"/>
      <c r="AK108" s="96"/>
      <c r="AL108" s="96"/>
      <c r="AM108" s="110"/>
      <c r="AN108" s="840"/>
      <c r="AO108" s="832"/>
      <c r="AP108" s="832"/>
      <c r="AQ108" s="832"/>
      <c r="AR108" s="832"/>
      <c r="AS108"/>
      <c r="AT108"/>
      <c r="AU108" s="71"/>
      <c r="AY108" s="105"/>
      <c r="BB108">
        <f t="shared" si="1"/>
        <v>1</v>
      </c>
    </row>
    <row r="109" spans="1:54" ht="15.75" customHeight="1">
      <c r="A109" s="834" t="s">
        <v>2342</v>
      </c>
      <c r="B109" s="834">
        <v>106</v>
      </c>
      <c r="C109" s="834" t="s">
        <v>3225</v>
      </c>
      <c r="D109" s="834" t="s">
        <v>779</v>
      </c>
      <c r="E109" s="852">
        <v>46027.083333333336</v>
      </c>
      <c r="F109" s="834" t="s">
        <v>140</v>
      </c>
      <c r="G109" s="834">
        <v>6</v>
      </c>
      <c r="H109" s="834" t="s">
        <v>3226</v>
      </c>
      <c r="I109" s="834"/>
      <c r="J109" s="98"/>
      <c r="K109" s="136" t="s">
        <v>3217</v>
      </c>
      <c r="L109" s="834"/>
      <c r="M109" s="834"/>
      <c r="N109" s="834"/>
      <c r="O109" s="834"/>
      <c r="P109" s="834" t="s">
        <v>113</v>
      </c>
      <c r="Q109" s="400" t="s">
        <v>30</v>
      </c>
      <c r="R109" s="848">
        <v>46082</v>
      </c>
      <c r="S109" s="852" t="s">
        <v>67</v>
      </c>
      <c r="T109" s="834" t="s">
        <v>32</v>
      </c>
      <c r="U109" s="834">
        <v>7</v>
      </c>
      <c r="V109" s="852" t="s">
        <v>67</v>
      </c>
      <c r="W109" s="848">
        <v>46082</v>
      </c>
      <c r="X109" s="96" t="s">
        <v>113</v>
      </c>
      <c r="Y109" s="91"/>
      <c r="Z109" s="91"/>
      <c r="AA109" s="96"/>
      <c r="AB109" s="96"/>
      <c r="AC109" s="96"/>
      <c r="AD109" s="96"/>
      <c r="AE109" s="96"/>
      <c r="AF109" s="96"/>
      <c r="AG109" s="96"/>
      <c r="AH109" s="96"/>
      <c r="AI109" s="110"/>
      <c r="AJ109" s="107"/>
      <c r="AK109" s="107"/>
      <c r="AL109" s="107"/>
      <c r="AM109" s="110"/>
      <c r="AN109" s="840"/>
      <c r="AO109" s="832"/>
      <c r="AP109" s="832"/>
      <c r="AQ109" s="832"/>
      <c r="AR109" s="832"/>
      <c r="AS109"/>
      <c r="AT109"/>
      <c r="AU109"/>
      <c r="AV109"/>
      <c r="AW109"/>
      <c r="AX109"/>
      <c r="AY109" s="105"/>
      <c r="BB109">
        <f t="shared" si="1"/>
        <v>1</v>
      </c>
    </row>
    <row r="110" spans="1:54" ht="15.75" customHeight="1">
      <c r="A110" s="834" t="s">
        <v>2342</v>
      </c>
      <c r="B110" s="834">
        <v>107</v>
      </c>
      <c r="C110" s="834" t="s">
        <v>3227</v>
      </c>
      <c r="D110" s="834" t="s">
        <v>1565</v>
      </c>
      <c r="E110" s="852">
        <v>46027</v>
      </c>
      <c r="F110" s="834" t="s">
        <v>140</v>
      </c>
      <c r="G110" s="834">
        <v>3</v>
      </c>
      <c r="H110" s="847" t="s">
        <v>1077</v>
      </c>
      <c r="I110" s="834"/>
      <c r="J110" s="98"/>
      <c r="K110" s="136" t="s">
        <v>3217</v>
      </c>
      <c r="L110" s="834"/>
      <c r="M110" s="834"/>
      <c r="N110" s="834"/>
      <c r="O110" s="834"/>
      <c r="P110" s="834" t="s">
        <v>113</v>
      </c>
      <c r="Q110" s="400" t="s">
        <v>30</v>
      </c>
      <c r="R110" s="848">
        <v>46078</v>
      </c>
      <c r="S110" s="852" t="s">
        <v>67</v>
      </c>
      <c r="T110" s="834" t="s">
        <v>32</v>
      </c>
      <c r="U110" s="834">
        <v>3</v>
      </c>
      <c r="V110" s="852" t="s">
        <v>67</v>
      </c>
      <c r="W110" s="848">
        <v>46078</v>
      </c>
      <c r="X110" s="96" t="s">
        <v>113</v>
      </c>
      <c r="Y110" s="91"/>
      <c r="Z110" s="91"/>
      <c r="AA110" s="96"/>
      <c r="AB110" s="96"/>
      <c r="AC110" s="96"/>
      <c r="AD110" s="96"/>
      <c r="AE110" s="96"/>
      <c r="AF110" s="96"/>
      <c r="AG110" s="96"/>
      <c r="AH110" s="96"/>
      <c r="AI110" s="110"/>
      <c r="AJ110" s="110"/>
      <c r="AK110" s="110"/>
      <c r="AL110" s="110"/>
      <c r="AM110" s="110"/>
      <c r="AN110" s="840"/>
      <c r="AO110" s="832"/>
      <c r="AP110" s="832"/>
      <c r="AQ110" s="832"/>
      <c r="AR110" s="832"/>
      <c r="AS110"/>
      <c r="AT110"/>
      <c r="AU110"/>
      <c r="AV110"/>
      <c r="AW110"/>
      <c r="AX110"/>
      <c r="AY110" s="105"/>
      <c r="BB110">
        <f t="shared" si="1"/>
        <v>1</v>
      </c>
    </row>
    <row r="111" spans="1:54" ht="15.75" customHeight="1">
      <c r="A111" s="834" t="s">
        <v>2342</v>
      </c>
      <c r="B111" s="834">
        <v>108</v>
      </c>
      <c r="C111" s="834" t="s">
        <v>3228</v>
      </c>
      <c r="D111" s="834" t="s">
        <v>3229</v>
      </c>
      <c r="E111" s="852">
        <v>46027.041666666664</v>
      </c>
      <c r="F111" s="834" t="s">
        <v>140</v>
      </c>
      <c r="G111" s="834">
        <v>12</v>
      </c>
      <c r="H111" s="834" t="s">
        <v>127</v>
      </c>
      <c r="I111" s="834"/>
      <c r="J111" s="98"/>
      <c r="K111" s="136" t="s">
        <v>3217</v>
      </c>
      <c r="L111" s="834"/>
      <c r="M111" s="834"/>
      <c r="N111" s="834"/>
      <c r="O111" s="834"/>
      <c r="P111" s="834" t="s">
        <v>113</v>
      </c>
      <c r="Q111" s="400" t="s">
        <v>30</v>
      </c>
      <c r="R111" s="848">
        <v>46077</v>
      </c>
      <c r="S111" s="852" t="s">
        <v>67</v>
      </c>
      <c r="T111" s="834" t="s">
        <v>32</v>
      </c>
      <c r="U111" s="834">
        <v>5</v>
      </c>
      <c r="V111" s="852" t="s">
        <v>67</v>
      </c>
      <c r="W111" s="848">
        <v>46077</v>
      </c>
      <c r="X111" s="96" t="s">
        <v>113</v>
      </c>
      <c r="Y111" s="96"/>
      <c r="Z111" s="103"/>
      <c r="AA111" s="96"/>
      <c r="AB111" s="96"/>
      <c r="AC111" s="96"/>
      <c r="AD111" s="96"/>
      <c r="AE111" s="96"/>
      <c r="AF111" s="96"/>
      <c r="AG111" s="96"/>
      <c r="AH111" s="96"/>
      <c r="AI111" s="110"/>
      <c r="AJ111" s="96"/>
      <c r="AK111" s="96"/>
      <c r="AL111" s="96"/>
      <c r="AM111" s="110"/>
      <c r="AN111" s="840"/>
      <c r="AO111" s="832"/>
      <c r="AP111" s="875"/>
      <c r="AQ111" s="875"/>
      <c r="AR111" s="875"/>
      <c r="AS111" s="776"/>
      <c r="AT111" s="776"/>
      <c r="AU111"/>
      <c r="AV111"/>
      <c r="AW111"/>
      <c r="AX111"/>
      <c r="AY111" s="105"/>
      <c r="BB111">
        <f t="shared" si="1"/>
        <v>1</v>
      </c>
    </row>
    <row r="112" spans="1:54" ht="15.6" customHeight="1">
      <c r="A112" s="834" t="s">
        <v>2342</v>
      </c>
      <c r="B112" s="834">
        <v>109</v>
      </c>
      <c r="C112" s="834" t="s">
        <v>3230</v>
      </c>
      <c r="D112" s="834" t="s">
        <v>798</v>
      </c>
      <c r="E112" s="852">
        <v>46027.208333333336</v>
      </c>
      <c r="F112" s="834" t="s">
        <v>140</v>
      </c>
      <c r="G112" s="834">
        <v>4</v>
      </c>
      <c r="H112" s="847" t="s">
        <v>1721</v>
      </c>
      <c r="I112" s="834"/>
      <c r="J112" s="98"/>
      <c r="K112" s="136" t="s">
        <v>3217</v>
      </c>
      <c r="L112" s="834"/>
      <c r="M112" s="834"/>
      <c r="N112" s="834"/>
      <c r="O112" s="834"/>
      <c r="P112" s="834" t="s">
        <v>113</v>
      </c>
      <c r="Q112" s="400" t="s">
        <v>30</v>
      </c>
      <c r="R112" s="848">
        <v>46082</v>
      </c>
      <c r="S112" s="852" t="s">
        <v>67</v>
      </c>
      <c r="T112" s="834" t="s">
        <v>32</v>
      </c>
      <c r="U112" s="834">
        <v>4</v>
      </c>
      <c r="V112" s="852" t="s">
        <v>67</v>
      </c>
      <c r="W112" s="848">
        <v>46082</v>
      </c>
      <c r="X112" s="96" t="s">
        <v>113</v>
      </c>
      <c r="Y112" s="91"/>
      <c r="Z112" s="91"/>
      <c r="AA112" s="96"/>
      <c r="AB112" s="96"/>
      <c r="AC112" s="96"/>
      <c r="AD112" s="96"/>
      <c r="AE112" s="96"/>
      <c r="AF112" s="96"/>
      <c r="AG112" s="96"/>
      <c r="AH112" s="96"/>
      <c r="AI112" s="110"/>
      <c r="AJ112" s="107"/>
      <c r="AK112" s="107"/>
      <c r="AL112" s="107"/>
      <c r="AM112" s="110"/>
      <c r="AN112" s="840"/>
      <c r="AO112" s="832"/>
      <c r="AP112" s="832"/>
      <c r="AQ112" s="832"/>
      <c r="AR112" s="832"/>
      <c r="AS112"/>
      <c r="AT112"/>
      <c r="AU112" s="71"/>
      <c r="AY112" s="105"/>
      <c r="BB112">
        <f t="shared" si="1"/>
        <v>1</v>
      </c>
    </row>
    <row r="113" spans="1:54" ht="15.6" customHeight="1">
      <c r="A113" s="834" t="s">
        <v>2342</v>
      </c>
      <c r="B113" s="834">
        <v>110</v>
      </c>
      <c r="C113" s="136" t="s">
        <v>3231</v>
      </c>
      <c r="D113" s="834" t="s">
        <v>2963</v>
      </c>
      <c r="E113" s="852">
        <v>46027</v>
      </c>
      <c r="F113" s="834" t="s">
        <v>140</v>
      </c>
      <c r="G113" s="834">
        <v>1</v>
      </c>
      <c r="H113" s="847" t="s">
        <v>1721</v>
      </c>
      <c r="I113" s="834"/>
      <c r="J113" s="98"/>
      <c r="K113" s="136" t="s">
        <v>3217</v>
      </c>
      <c r="L113" s="834"/>
      <c r="M113" s="834"/>
      <c r="N113" s="834"/>
      <c r="O113" s="834"/>
      <c r="P113" s="834" t="s">
        <v>113</v>
      </c>
      <c r="Q113" s="400" t="s">
        <v>30</v>
      </c>
      <c r="R113" s="848">
        <v>46082</v>
      </c>
      <c r="S113" s="852" t="s">
        <v>67</v>
      </c>
      <c r="T113" s="834" t="s">
        <v>32</v>
      </c>
      <c r="U113" s="834">
        <v>1</v>
      </c>
      <c r="V113" s="852" t="s">
        <v>67</v>
      </c>
      <c r="W113" s="848">
        <v>46082</v>
      </c>
      <c r="X113" s="96" t="s">
        <v>113</v>
      </c>
      <c r="Y113" s="91"/>
      <c r="Z113" s="91"/>
      <c r="AA113" s="96"/>
      <c r="AB113" s="96"/>
      <c r="AC113" s="96"/>
      <c r="AD113" s="96"/>
      <c r="AE113" s="96"/>
      <c r="AF113" s="96"/>
      <c r="AG113" s="96"/>
      <c r="AH113" s="96"/>
      <c r="AI113" s="110"/>
      <c r="AJ113" s="110"/>
      <c r="AK113" s="110"/>
      <c r="AL113" s="110"/>
      <c r="AM113" s="110"/>
      <c r="AN113" s="840"/>
      <c r="AO113" s="832"/>
      <c r="AP113" s="875"/>
      <c r="AQ113" s="875"/>
      <c r="AR113" s="875"/>
      <c r="AS113" s="776"/>
      <c r="AT113" s="776"/>
      <c r="AU113"/>
      <c r="AV113"/>
      <c r="AW113"/>
      <c r="AX113"/>
      <c r="AY113" s="105"/>
      <c r="BB113">
        <f t="shared" si="1"/>
        <v>1</v>
      </c>
    </row>
    <row r="114" spans="1:54" ht="15.6" customHeight="1">
      <c r="A114" s="834" t="s">
        <v>2342</v>
      </c>
      <c r="B114" s="834">
        <v>111</v>
      </c>
      <c r="C114" s="834" t="s">
        <v>3232</v>
      </c>
      <c r="D114" s="834" t="s">
        <v>846</v>
      </c>
      <c r="E114" s="852">
        <v>46027.041666666664</v>
      </c>
      <c r="F114" s="834" t="s">
        <v>140</v>
      </c>
      <c r="G114" s="834">
        <v>2</v>
      </c>
      <c r="H114" s="847" t="s">
        <v>1721</v>
      </c>
      <c r="I114" s="834"/>
      <c r="J114" s="98"/>
      <c r="K114" s="136" t="s">
        <v>3217</v>
      </c>
      <c r="L114" s="834"/>
      <c r="M114" s="834"/>
      <c r="N114" s="834"/>
      <c r="O114" s="834"/>
      <c r="P114" s="834" t="s">
        <v>113</v>
      </c>
      <c r="Q114" s="400" t="s">
        <v>30</v>
      </c>
      <c r="R114" s="848">
        <v>46078</v>
      </c>
      <c r="S114" s="852" t="s">
        <v>67</v>
      </c>
      <c r="T114" s="834" t="s">
        <v>32</v>
      </c>
      <c r="U114" s="834">
        <v>2</v>
      </c>
      <c r="V114" s="852" t="s">
        <v>67</v>
      </c>
      <c r="W114" s="848">
        <v>46078</v>
      </c>
      <c r="X114" s="96" t="s">
        <v>113</v>
      </c>
      <c r="Y114" s="91"/>
      <c r="Z114" s="91"/>
      <c r="AA114" s="96"/>
      <c r="AB114" s="96"/>
      <c r="AC114" s="96"/>
      <c r="AD114" s="96"/>
      <c r="AE114" s="96"/>
      <c r="AF114" s="96"/>
      <c r="AG114" s="96"/>
      <c r="AH114" s="96"/>
      <c r="AI114" s="110"/>
      <c r="AJ114" s="96"/>
      <c r="AK114" s="96"/>
      <c r="AL114" s="96"/>
      <c r="AM114" s="110"/>
      <c r="AN114" s="840"/>
      <c r="AO114" s="832"/>
      <c r="AP114" s="875"/>
      <c r="AQ114" s="875"/>
      <c r="AR114" s="875"/>
      <c r="AS114" s="776"/>
      <c r="AT114" s="776"/>
      <c r="AU114"/>
      <c r="AV114"/>
      <c r="AW114"/>
      <c r="AX114"/>
      <c r="AY114" s="105"/>
      <c r="BB114">
        <f t="shared" si="1"/>
        <v>1</v>
      </c>
    </row>
    <row r="115" spans="1:54" ht="15.6" customHeight="1">
      <c r="A115" s="834" t="s">
        <v>2342</v>
      </c>
      <c r="B115" s="834">
        <v>112</v>
      </c>
      <c r="C115" s="834" t="s">
        <v>3233</v>
      </c>
      <c r="D115" s="834" t="s">
        <v>1212</v>
      </c>
      <c r="E115" s="852">
        <v>46034</v>
      </c>
      <c r="F115" s="834" t="s">
        <v>140</v>
      </c>
      <c r="G115" s="834">
        <v>2</v>
      </c>
      <c r="H115" s="847" t="s">
        <v>1721</v>
      </c>
      <c r="I115" s="834"/>
      <c r="J115" s="98"/>
      <c r="K115" s="136" t="s">
        <v>3217</v>
      </c>
      <c r="L115" s="834"/>
      <c r="M115" s="834"/>
      <c r="N115" s="834"/>
      <c r="O115" s="834"/>
      <c r="P115" s="834" t="s">
        <v>113</v>
      </c>
      <c r="Q115" s="400" t="s">
        <v>30</v>
      </c>
      <c r="R115" s="848">
        <v>46048</v>
      </c>
      <c r="S115" s="852" t="s">
        <v>67</v>
      </c>
      <c r="T115" s="834" t="s">
        <v>32</v>
      </c>
      <c r="U115" s="834">
        <v>2</v>
      </c>
      <c r="V115" s="852" t="s">
        <v>67</v>
      </c>
      <c r="W115" s="848">
        <v>46048</v>
      </c>
      <c r="X115" s="96" t="s">
        <v>113</v>
      </c>
      <c r="Y115" s="91"/>
      <c r="Z115" s="103"/>
      <c r="AA115" s="96"/>
      <c r="AB115" s="96"/>
      <c r="AC115" s="96"/>
      <c r="AD115" s="96"/>
      <c r="AE115" s="96"/>
      <c r="AF115" s="96"/>
      <c r="AG115" s="96"/>
      <c r="AH115" s="96"/>
      <c r="AI115" s="110"/>
      <c r="AJ115" s="110"/>
      <c r="AK115" s="110"/>
      <c r="AL115" s="110"/>
      <c r="AM115" s="110"/>
      <c r="AN115" s="840"/>
      <c r="AO115" s="832"/>
      <c r="AP115" s="832"/>
      <c r="AQ115" s="832"/>
      <c r="AR115" s="832"/>
      <c r="AS115"/>
      <c r="AT115"/>
      <c r="AU115"/>
      <c r="AV115"/>
      <c r="AW115"/>
      <c r="AX115"/>
      <c r="AY115" s="105"/>
      <c r="BB115">
        <f t="shared" si="1"/>
        <v>1</v>
      </c>
    </row>
    <row r="116" spans="1:54" ht="15.75" customHeight="1">
      <c r="A116" s="834" t="s">
        <v>2342</v>
      </c>
      <c r="B116" s="834">
        <v>113</v>
      </c>
      <c r="C116" s="834" t="s">
        <v>3234</v>
      </c>
      <c r="D116" s="834" t="s">
        <v>3235</v>
      </c>
      <c r="E116" s="852">
        <v>46048.375</v>
      </c>
      <c r="F116" s="834" t="s">
        <v>140</v>
      </c>
      <c r="G116" s="834">
        <v>2</v>
      </c>
      <c r="H116" s="847" t="s">
        <v>2835</v>
      </c>
      <c r="I116" s="834"/>
      <c r="J116" s="98"/>
      <c r="K116" s="136" t="s">
        <v>3217</v>
      </c>
      <c r="L116" s="834"/>
      <c r="M116" s="834"/>
      <c r="N116" s="834"/>
      <c r="O116" s="834"/>
      <c r="P116" s="834" t="s">
        <v>113</v>
      </c>
      <c r="Q116" s="400" t="s">
        <v>30</v>
      </c>
      <c r="R116" s="848">
        <v>46082</v>
      </c>
      <c r="S116" s="852" t="s">
        <v>67</v>
      </c>
      <c r="T116" s="834" t="s">
        <v>32</v>
      </c>
      <c r="U116" s="834">
        <v>2</v>
      </c>
      <c r="V116" s="852" t="s">
        <v>67</v>
      </c>
      <c r="W116" s="848">
        <v>46078</v>
      </c>
      <c r="X116" s="96" t="s">
        <v>113</v>
      </c>
      <c r="Y116" s="91"/>
      <c r="Z116" s="103"/>
      <c r="AA116" s="96"/>
      <c r="AB116" s="96"/>
      <c r="AC116" s="96"/>
      <c r="AD116" s="96"/>
      <c r="AE116" s="96"/>
      <c r="AF116" s="96"/>
      <c r="AG116" s="96"/>
      <c r="AH116" s="96"/>
      <c r="AI116" s="110"/>
      <c r="AJ116" s="110"/>
      <c r="AK116" s="110"/>
      <c r="AL116" s="110"/>
      <c r="AM116" s="110"/>
      <c r="AN116" s="840"/>
      <c r="AO116" s="832"/>
      <c r="AP116" s="832"/>
      <c r="AQ116" s="832"/>
      <c r="AR116" s="832"/>
      <c r="AS116"/>
      <c r="AT116"/>
      <c r="AU116"/>
      <c r="AV116"/>
      <c r="AW116"/>
      <c r="AX116"/>
      <c r="AY116" s="105"/>
      <c r="BB116">
        <f t="shared" si="1"/>
        <v>1</v>
      </c>
    </row>
    <row r="117" spans="1:54" ht="15.75" customHeight="1">
      <c r="A117" s="834" t="s">
        <v>2342</v>
      </c>
      <c r="B117" s="834">
        <v>114</v>
      </c>
      <c r="C117" s="834" t="s">
        <v>3236</v>
      </c>
      <c r="D117" s="834" t="s">
        <v>1198</v>
      </c>
      <c r="E117" s="852">
        <v>46034.125</v>
      </c>
      <c r="F117" s="834" t="s">
        <v>140</v>
      </c>
      <c r="G117" s="834">
        <v>5</v>
      </c>
      <c r="H117" s="847" t="s">
        <v>1790</v>
      </c>
      <c r="I117" s="834"/>
      <c r="J117" s="98"/>
      <c r="K117" s="136" t="s">
        <v>3217</v>
      </c>
      <c r="L117" s="834"/>
      <c r="M117" s="834"/>
      <c r="N117" s="834"/>
      <c r="O117" s="834"/>
      <c r="P117" s="834" t="s">
        <v>113</v>
      </c>
      <c r="Q117" s="400" t="s">
        <v>30</v>
      </c>
      <c r="R117" s="848">
        <v>46082</v>
      </c>
      <c r="S117" s="852" t="s">
        <v>67</v>
      </c>
      <c r="T117" s="834" t="s">
        <v>32</v>
      </c>
      <c r="U117" s="834">
        <v>6</v>
      </c>
      <c r="V117" s="852" t="s">
        <v>67</v>
      </c>
      <c r="W117" s="848">
        <v>46078</v>
      </c>
      <c r="X117" s="96" t="s">
        <v>113</v>
      </c>
      <c r="Y117" s="96"/>
      <c r="Z117" s="103"/>
      <c r="AA117" s="96"/>
      <c r="AB117" s="96"/>
      <c r="AC117" s="96"/>
      <c r="AD117" s="96"/>
      <c r="AE117" s="96"/>
      <c r="AF117" s="96"/>
      <c r="AG117" s="96"/>
      <c r="AH117" s="96"/>
      <c r="AI117" s="110"/>
      <c r="AJ117" s="107"/>
      <c r="AK117" s="107"/>
      <c r="AL117" s="107"/>
      <c r="AM117" s="110"/>
      <c r="AN117" s="840"/>
      <c r="AO117" s="83"/>
      <c r="AP117" s="83"/>
      <c r="AQ117" s="83"/>
      <c r="AR117" s="83"/>
      <c r="AS117" s="6"/>
      <c r="AT117" s="6"/>
      <c r="AU117" s="104"/>
      <c r="AV117" s="105"/>
      <c r="AW117" s="105"/>
      <c r="AX117" s="105"/>
      <c r="AY117" s="105"/>
      <c r="BB117">
        <f t="shared" si="1"/>
        <v>1</v>
      </c>
    </row>
    <row r="118" spans="1:54" ht="15.75" customHeight="1">
      <c r="A118" s="834" t="s">
        <v>2342</v>
      </c>
      <c r="B118" s="834">
        <v>115</v>
      </c>
      <c r="C118" s="834" t="s">
        <v>3237</v>
      </c>
      <c r="D118" s="834" t="s">
        <v>937</v>
      </c>
      <c r="E118" s="852">
        <v>46034.041666666664</v>
      </c>
      <c r="F118" s="834" t="s">
        <v>140</v>
      </c>
      <c r="G118" s="834">
        <v>19</v>
      </c>
      <c r="H118" s="847" t="s">
        <v>3223</v>
      </c>
      <c r="I118" s="834"/>
      <c r="J118" s="98"/>
      <c r="K118" s="136" t="s">
        <v>3217</v>
      </c>
      <c r="L118" s="834"/>
      <c r="M118" s="834"/>
      <c r="N118" s="834"/>
      <c r="O118" s="834"/>
      <c r="P118" s="834" t="s">
        <v>113</v>
      </c>
      <c r="Q118" s="400" t="s">
        <v>30</v>
      </c>
      <c r="R118" s="848">
        <v>46082</v>
      </c>
      <c r="S118" s="852" t="s">
        <v>67</v>
      </c>
      <c r="T118" s="834" t="s">
        <v>32</v>
      </c>
      <c r="U118" s="834">
        <v>20</v>
      </c>
      <c r="V118" s="852" t="s">
        <v>67</v>
      </c>
      <c r="W118" s="848">
        <v>46078</v>
      </c>
      <c r="X118" s="96" t="s">
        <v>113</v>
      </c>
      <c r="Y118" s="96"/>
      <c r="Z118" s="103"/>
      <c r="AA118" s="96"/>
      <c r="AB118" s="96"/>
      <c r="AC118" s="96"/>
      <c r="AD118" s="96"/>
      <c r="AE118" s="96"/>
      <c r="AF118" s="96"/>
      <c r="AG118" s="96"/>
      <c r="AH118" s="96"/>
      <c r="AI118" s="110"/>
      <c r="AJ118" s="107"/>
      <c r="AK118" s="107"/>
      <c r="AL118" s="107"/>
      <c r="AM118" s="110"/>
      <c r="AN118" s="840"/>
      <c r="AO118" s="832"/>
      <c r="AP118" s="832"/>
      <c r="AQ118" s="832"/>
      <c r="AR118" s="832"/>
      <c r="AS118"/>
      <c r="AT118"/>
      <c r="AU118"/>
      <c r="AV118"/>
      <c r="AW118"/>
      <c r="AX118"/>
      <c r="AY118" s="105"/>
      <c r="BB118">
        <f t="shared" si="1"/>
        <v>1</v>
      </c>
    </row>
    <row r="119" spans="1:54" ht="15.75" customHeight="1">
      <c r="A119" s="834" t="s">
        <v>2342</v>
      </c>
      <c r="B119" s="834">
        <v>116</v>
      </c>
      <c r="C119" s="834" t="s">
        <v>3238</v>
      </c>
      <c r="D119" s="834" t="s">
        <v>829</v>
      </c>
      <c r="E119" s="852">
        <v>46034.041666666664</v>
      </c>
      <c r="F119" s="834" t="s">
        <v>140</v>
      </c>
      <c r="G119" s="834">
        <v>8</v>
      </c>
      <c r="H119" s="834" t="s">
        <v>1790</v>
      </c>
      <c r="I119" s="834"/>
      <c r="J119" s="98"/>
      <c r="K119" s="136" t="s">
        <v>3217</v>
      </c>
      <c r="L119" s="834"/>
      <c r="M119" s="834"/>
      <c r="N119" s="834"/>
      <c r="O119" s="834"/>
      <c r="P119" s="834" t="s">
        <v>113</v>
      </c>
      <c r="Q119" s="400" t="s">
        <v>30</v>
      </c>
      <c r="R119" s="848">
        <v>46082</v>
      </c>
      <c r="S119" s="852" t="s">
        <v>67</v>
      </c>
      <c r="T119" s="834" t="s">
        <v>32</v>
      </c>
      <c r="U119" s="834">
        <v>8</v>
      </c>
      <c r="V119" s="852" t="s">
        <v>67</v>
      </c>
      <c r="W119" s="848">
        <v>46078</v>
      </c>
      <c r="X119" s="96" t="s">
        <v>113</v>
      </c>
      <c r="Y119" s="118"/>
      <c r="Z119" s="103"/>
      <c r="AA119" s="96"/>
      <c r="AB119" s="91"/>
      <c r="AC119" s="96"/>
      <c r="AD119" s="96"/>
      <c r="AE119" s="96"/>
      <c r="AF119" s="96"/>
      <c r="AG119" s="96"/>
      <c r="AH119" s="96"/>
      <c r="AI119" s="110"/>
      <c r="AJ119" s="107"/>
      <c r="AK119" s="107"/>
      <c r="AL119" s="107"/>
      <c r="AM119" s="110"/>
      <c r="AN119" s="840"/>
      <c r="AO119" s="881"/>
      <c r="AP119" s="881"/>
      <c r="AQ119" s="832"/>
      <c r="AR119" s="832"/>
      <c r="AS119"/>
      <c r="AT119"/>
      <c r="AU119" s="71"/>
      <c r="AY119" s="105"/>
      <c r="BB119">
        <f t="shared" si="1"/>
        <v>1</v>
      </c>
    </row>
    <row r="120" spans="1:54" ht="15.75" customHeight="1">
      <c r="A120" s="834" t="s">
        <v>2342</v>
      </c>
      <c r="B120" s="834">
        <v>117</v>
      </c>
      <c r="C120" s="834" t="s">
        <v>3239</v>
      </c>
      <c r="D120" s="834" t="s">
        <v>1839</v>
      </c>
      <c r="E120" s="852">
        <v>46034</v>
      </c>
      <c r="F120" s="834" t="s">
        <v>140</v>
      </c>
      <c r="G120" s="834">
        <v>3</v>
      </c>
      <c r="H120" s="834" t="s">
        <v>1721</v>
      </c>
      <c r="I120" s="834"/>
      <c r="J120" s="98"/>
      <c r="K120" s="136" t="s">
        <v>3217</v>
      </c>
      <c r="L120" s="834"/>
      <c r="M120" s="834"/>
      <c r="N120" s="848"/>
      <c r="O120" s="834"/>
      <c r="P120" s="834" t="s">
        <v>113</v>
      </c>
      <c r="Q120" s="400" t="s">
        <v>30</v>
      </c>
      <c r="R120" s="848">
        <v>46082</v>
      </c>
      <c r="S120" s="852" t="s">
        <v>67</v>
      </c>
      <c r="T120" s="834" t="s">
        <v>32</v>
      </c>
      <c r="U120" s="834">
        <v>3</v>
      </c>
      <c r="V120" s="852" t="s">
        <v>67</v>
      </c>
      <c r="W120" s="848">
        <v>46082</v>
      </c>
      <c r="X120" s="96" t="s">
        <v>113</v>
      </c>
      <c r="Y120" s="91"/>
      <c r="Z120" s="91"/>
      <c r="AA120" s="96"/>
      <c r="AB120" s="96"/>
      <c r="AC120" s="96"/>
      <c r="AD120" s="96"/>
      <c r="AE120" s="96"/>
      <c r="AF120" s="96"/>
      <c r="AG120" s="96"/>
      <c r="AH120" s="96"/>
      <c r="AI120" s="110"/>
      <c r="AJ120" s="96"/>
      <c r="AK120" s="96"/>
      <c r="AL120" s="96"/>
      <c r="AM120" s="110"/>
      <c r="AN120" s="840"/>
      <c r="AO120" s="832"/>
      <c r="AP120" s="832"/>
      <c r="AQ120" s="832"/>
      <c r="AR120" s="832"/>
      <c r="AS120"/>
      <c r="AT120"/>
      <c r="AU120" s="71"/>
      <c r="AY120" s="105"/>
      <c r="BB120">
        <f t="shared" si="1"/>
        <v>1</v>
      </c>
    </row>
    <row r="121" spans="1:54" ht="15.75" customHeight="1">
      <c r="A121" s="834" t="s">
        <v>2342</v>
      </c>
      <c r="B121" s="834">
        <v>118</v>
      </c>
      <c r="C121" s="834" t="s">
        <v>3240</v>
      </c>
      <c r="D121" s="834" t="s">
        <v>3241</v>
      </c>
      <c r="E121" s="852">
        <v>46034.041666666664</v>
      </c>
      <c r="F121" s="834" t="s">
        <v>140</v>
      </c>
      <c r="G121" s="834">
        <v>3</v>
      </c>
      <c r="H121" s="834" t="s">
        <v>127</v>
      </c>
      <c r="I121" s="834"/>
      <c r="J121" s="834"/>
      <c r="K121" s="136" t="s">
        <v>3217</v>
      </c>
      <c r="L121" s="834"/>
      <c r="M121" s="834"/>
      <c r="N121" s="848"/>
      <c r="O121" s="834"/>
      <c r="P121" s="834" t="s">
        <v>113</v>
      </c>
      <c r="Q121" s="400" t="s">
        <v>30</v>
      </c>
      <c r="R121" s="848">
        <v>46078</v>
      </c>
      <c r="S121" s="852" t="s">
        <v>67</v>
      </c>
      <c r="T121" s="834" t="s">
        <v>32</v>
      </c>
      <c r="U121" s="830">
        <v>3</v>
      </c>
      <c r="V121" s="852" t="s">
        <v>67</v>
      </c>
      <c r="W121" s="848">
        <v>46078</v>
      </c>
      <c r="X121" s="96" t="s">
        <v>113</v>
      </c>
      <c r="Y121" s="91"/>
      <c r="Z121" s="91"/>
      <c r="AA121" s="96"/>
      <c r="AB121" s="96"/>
      <c r="AC121" s="96"/>
      <c r="AD121" s="96"/>
      <c r="AE121" s="96"/>
      <c r="AF121" s="96"/>
      <c r="AG121" s="96"/>
      <c r="AH121" s="96"/>
      <c r="AI121" s="110"/>
      <c r="AJ121" s="110"/>
      <c r="AK121" s="110"/>
      <c r="AL121" s="107"/>
      <c r="AM121" s="110"/>
      <c r="AN121" s="840"/>
      <c r="AO121" s="881"/>
      <c r="AP121" s="881"/>
      <c r="AQ121" s="832"/>
      <c r="AR121" s="832"/>
      <c r="AS121"/>
      <c r="AT121"/>
      <c r="AU121" s="71"/>
      <c r="AY121" s="105"/>
      <c r="BB121">
        <f t="shared" si="1"/>
        <v>1</v>
      </c>
    </row>
    <row r="122" spans="1:54" ht="15.75" customHeight="1">
      <c r="A122" s="834" t="s">
        <v>2342</v>
      </c>
      <c r="B122" s="834">
        <v>119</v>
      </c>
      <c r="C122" s="834" t="s">
        <v>3242</v>
      </c>
      <c r="D122" s="834" t="s">
        <v>798</v>
      </c>
      <c r="E122" s="852">
        <v>46034.166666666664</v>
      </c>
      <c r="F122" s="834" t="s">
        <v>140</v>
      </c>
      <c r="G122" s="834">
        <v>5</v>
      </c>
      <c r="H122" s="834" t="s">
        <v>2897</v>
      </c>
      <c r="I122" s="834"/>
      <c r="J122" s="834"/>
      <c r="K122" s="136" t="s">
        <v>3217</v>
      </c>
      <c r="L122" s="834"/>
      <c r="M122" s="834"/>
      <c r="N122" s="834"/>
      <c r="O122" s="834"/>
      <c r="P122" s="834" t="s">
        <v>113</v>
      </c>
      <c r="Q122" s="400" t="s">
        <v>30</v>
      </c>
      <c r="R122" s="848">
        <v>46038</v>
      </c>
      <c r="S122" s="852" t="s">
        <v>67</v>
      </c>
      <c r="T122" s="834" t="s">
        <v>32</v>
      </c>
      <c r="U122" s="834">
        <v>4</v>
      </c>
      <c r="V122" s="852" t="s">
        <v>67</v>
      </c>
      <c r="W122" s="848">
        <v>46038</v>
      </c>
      <c r="X122" s="96" t="s">
        <v>113</v>
      </c>
      <c r="Y122" s="96"/>
      <c r="Z122" s="103"/>
      <c r="AA122" s="96"/>
      <c r="AB122" s="91"/>
      <c r="AC122" s="96"/>
      <c r="AD122" s="96"/>
      <c r="AE122" s="96"/>
      <c r="AF122" s="96"/>
      <c r="AG122" s="96"/>
      <c r="AH122" s="96"/>
      <c r="AI122" s="110"/>
      <c r="AJ122" s="96"/>
      <c r="AK122" s="96"/>
      <c r="AL122" s="96"/>
      <c r="AM122" s="110"/>
      <c r="AN122" s="840"/>
      <c r="AO122" s="625"/>
      <c r="AP122" s="625"/>
      <c r="AQ122" s="625"/>
      <c r="AR122" s="625"/>
      <c r="AS122" s="509"/>
      <c r="AT122" s="509"/>
      <c r="AU122" s="134"/>
      <c r="AV122" s="135"/>
      <c r="AW122" s="135"/>
      <c r="AX122" s="135"/>
      <c r="AY122" s="135"/>
      <c r="BB122">
        <f t="shared" si="1"/>
        <v>1</v>
      </c>
    </row>
    <row r="123" spans="1:54" ht="15.75" customHeight="1">
      <c r="A123" s="834" t="s">
        <v>2342</v>
      </c>
      <c r="B123" s="834">
        <v>120</v>
      </c>
      <c r="C123" s="834" t="s">
        <v>3243</v>
      </c>
      <c r="D123" s="834" t="s">
        <v>3244</v>
      </c>
      <c r="E123" s="852">
        <v>46034</v>
      </c>
      <c r="F123" s="834" t="s">
        <v>140</v>
      </c>
      <c r="G123" s="834">
        <v>2</v>
      </c>
      <c r="H123" s="834" t="s">
        <v>1721</v>
      </c>
      <c r="I123" s="834"/>
      <c r="J123" s="834"/>
      <c r="K123" s="136" t="s">
        <v>3217</v>
      </c>
      <c r="L123" s="834"/>
      <c r="M123" s="834"/>
      <c r="N123" s="834"/>
      <c r="O123" s="834"/>
      <c r="P123" s="834" t="s">
        <v>113</v>
      </c>
      <c r="Q123" s="400" t="s">
        <v>30</v>
      </c>
      <c r="R123" s="848">
        <v>46079</v>
      </c>
      <c r="S123" s="852" t="s">
        <v>67</v>
      </c>
      <c r="T123" s="834" t="s">
        <v>32</v>
      </c>
      <c r="U123" s="834">
        <v>2</v>
      </c>
      <c r="V123" s="852" t="s">
        <v>67</v>
      </c>
      <c r="W123" s="848">
        <v>46079</v>
      </c>
      <c r="X123" s="96" t="s">
        <v>113</v>
      </c>
      <c r="Y123" s="91"/>
      <c r="Z123" s="103"/>
      <c r="AA123" s="96"/>
      <c r="AB123" s="96"/>
      <c r="AC123" s="96"/>
      <c r="AD123" s="96"/>
      <c r="AE123" s="96"/>
      <c r="AF123" s="96"/>
      <c r="AG123" s="96"/>
      <c r="AH123" s="96"/>
      <c r="AI123" s="110"/>
      <c r="AJ123" s="107"/>
      <c r="AK123" s="107"/>
      <c r="AL123" s="107"/>
      <c r="AM123" s="110"/>
      <c r="AN123" s="840"/>
      <c r="AO123" s="832"/>
      <c r="AP123" s="832"/>
      <c r="AQ123" s="832"/>
      <c r="AR123" s="832"/>
      <c r="AS123"/>
      <c r="AT123"/>
      <c r="AU123"/>
      <c r="AV123"/>
      <c r="AW123"/>
      <c r="AX123"/>
      <c r="AY123" s="105"/>
      <c r="BB123">
        <f t="shared" si="1"/>
        <v>1</v>
      </c>
    </row>
    <row r="124" spans="1:54" ht="15.75" customHeight="1">
      <c r="A124" s="834" t="s">
        <v>2342</v>
      </c>
      <c r="B124" s="834">
        <v>121</v>
      </c>
      <c r="C124" s="136" t="s">
        <v>3245</v>
      </c>
      <c r="D124" s="834" t="s">
        <v>1230</v>
      </c>
      <c r="E124" s="852">
        <v>46034</v>
      </c>
      <c r="F124" s="834" t="s">
        <v>140</v>
      </c>
      <c r="G124" s="834">
        <v>1</v>
      </c>
      <c r="H124" s="834" t="s">
        <v>1077</v>
      </c>
      <c r="I124" s="834"/>
      <c r="J124" s="834"/>
      <c r="K124" s="136" t="s">
        <v>3217</v>
      </c>
      <c r="L124" s="834"/>
      <c r="M124" s="834"/>
      <c r="N124" s="834"/>
      <c r="O124" s="834"/>
      <c r="P124" s="834" t="s">
        <v>113</v>
      </c>
      <c r="Q124" s="400" t="s">
        <v>30</v>
      </c>
      <c r="R124" s="848">
        <v>46082</v>
      </c>
      <c r="S124" s="852" t="s">
        <v>67</v>
      </c>
      <c r="T124" s="834" t="s">
        <v>32</v>
      </c>
      <c r="U124" s="834">
        <v>1</v>
      </c>
      <c r="V124" s="852" t="s">
        <v>67</v>
      </c>
      <c r="W124" s="848">
        <v>46082</v>
      </c>
      <c r="X124" s="96" t="s">
        <v>113</v>
      </c>
      <c r="Y124" s="118"/>
      <c r="Z124" s="103"/>
      <c r="AA124" s="96"/>
      <c r="AB124" s="96"/>
      <c r="AC124" s="96"/>
      <c r="AD124" s="96"/>
      <c r="AE124" s="96"/>
      <c r="AF124" s="96"/>
      <c r="AG124" s="96"/>
      <c r="AH124" s="96"/>
      <c r="AI124" s="110"/>
      <c r="AJ124" s="118"/>
      <c r="AK124" s="118"/>
      <c r="AL124" s="118"/>
      <c r="AM124" s="110"/>
      <c r="AN124" s="840"/>
      <c r="AO124" s="832"/>
      <c r="AP124" s="832"/>
      <c r="AQ124" s="832"/>
      <c r="AR124" s="832"/>
      <c r="AS124"/>
      <c r="AT124"/>
      <c r="AU124" s="71"/>
      <c r="AY124" s="105"/>
      <c r="BB124">
        <f t="shared" si="1"/>
        <v>1</v>
      </c>
    </row>
    <row r="125" spans="1:54" ht="15.75" customHeight="1">
      <c r="A125" s="834" t="s">
        <v>2342</v>
      </c>
      <c r="B125" s="834">
        <v>122</v>
      </c>
      <c r="C125" s="136" t="s">
        <v>3246</v>
      </c>
      <c r="D125" s="834" t="s">
        <v>1565</v>
      </c>
      <c r="E125" s="852">
        <v>46034.375</v>
      </c>
      <c r="F125" s="834" t="s">
        <v>140</v>
      </c>
      <c r="G125" s="834">
        <v>2</v>
      </c>
      <c r="H125" s="847" t="s">
        <v>1077</v>
      </c>
      <c r="I125" s="834"/>
      <c r="J125" s="834"/>
      <c r="K125" s="136" t="s">
        <v>3217</v>
      </c>
      <c r="L125" s="834"/>
      <c r="M125" s="834"/>
      <c r="N125" s="834"/>
      <c r="O125" s="834"/>
      <c r="P125" s="834" t="s">
        <v>113</v>
      </c>
      <c r="Q125" s="400" t="s">
        <v>30</v>
      </c>
      <c r="R125" s="848">
        <v>46082</v>
      </c>
      <c r="S125" s="852" t="s">
        <v>67</v>
      </c>
      <c r="T125" s="834" t="s">
        <v>32</v>
      </c>
      <c r="U125" s="834">
        <v>2</v>
      </c>
      <c r="V125" s="852" t="s">
        <v>67</v>
      </c>
      <c r="W125" s="848">
        <v>46082</v>
      </c>
      <c r="X125" s="96" t="s">
        <v>113</v>
      </c>
      <c r="Y125" s="118"/>
      <c r="Z125" s="103"/>
      <c r="AA125" s="96"/>
      <c r="AB125" s="91"/>
      <c r="AC125" s="96"/>
      <c r="AD125" s="96"/>
      <c r="AE125" s="96"/>
      <c r="AF125" s="96"/>
      <c r="AG125" s="96"/>
      <c r="AH125" s="96"/>
      <c r="AI125" s="110"/>
      <c r="AJ125" s="118"/>
      <c r="AK125" s="118"/>
      <c r="AL125" s="118"/>
      <c r="AM125" s="110"/>
      <c r="AN125" s="840"/>
      <c r="AO125" s="832"/>
      <c r="AP125" s="832"/>
      <c r="AQ125" s="832"/>
      <c r="AR125" s="832"/>
      <c r="AS125"/>
      <c r="AT125"/>
      <c r="AU125" s="71"/>
      <c r="AY125" s="105"/>
      <c r="BB125">
        <f t="shared" si="1"/>
        <v>1</v>
      </c>
    </row>
    <row r="126" spans="1:54" ht="15.75" customHeight="1">
      <c r="A126" s="834" t="s">
        <v>2342</v>
      </c>
      <c r="B126" s="834">
        <v>123</v>
      </c>
      <c r="C126" s="136" t="s">
        <v>3247</v>
      </c>
      <c r="D126" s="834" t="s">
        <v>1184</v>
      </c>
      <c r="E126" s="852">
        <v>46034</v>
      </c>
      <c r="F126" s="834" t="s">
        <v>140</v>
      </c>
      <c r="G126" s="834">
        <v>3</v>
      </c>
      <c r="H126" s="847" t="s">
        <v>1790</v>
      </c>
      <c r="I126" s="834"/>
      <c r="J126" s="834"/>
      <c r="K126" s="136" t="s">
        <v>3217</v>
      </c>
      <c r="L126" s="834"/>
      <c r="M126" s="834"/>
      <c r="N126" s="834"/>
      <c r="O126" s="834"/>
      <c r="P126" s="834" t="s">
        <v>113</v>
      </c>
      <c r="Q126" s="400" t="s">
        <v>30</v>
      </c>
      <c r="R126" s="848">
        <v>46084</v>
      </c>
      <c r="S126" s="852" t="s">
        <v>67</v>
      </c>
      <c r="T126" s="834" t="s">
        <v>32</v>
      </c>
      <c r="U126" s="834">
        <v>3</v>
      </c>
      <c r="V126" s="852" t="s">
        <v>67</v>
      </c>
      <c r="W126" s="848">
        <v>46084</v>
      </c>
      <c r="X126" s="96" t="s">
        <v>113</v>
      </c>
      <c r="Y126" s="91"/>
      <c r="Z126" s="103"/>
      <c r="AA126" s="103"/>
      <c r="AB126" s="103"/>
      <c r="AC126" s="103"/>
      <c r="AD126" s="96"/>
      <c r="AE126" s="96"/>
      <c r="AF126" s="96"/>
      <c r="AG126" s="96"/>
      <c r="AH126" s="96"/>
      <c r="AI126" s="110"/>
      <c r="AJ126" s="107"/>
      <c r="AK126" s="107"/>
      <c r="AL126" s="107"/>
      <c r="AM126" s="110"/>
      <c r="AN126" s="840"/>
      <c r="AO126" s="832"/>
      <c r="AP126" s="832"/>
      <c r="AQ126" s="832"/>
      <c r="AR126" s="832"/>
      <c r="AS126"/>
      <c r="AT126"/>
      <c r="AU126" s="71"/>
      <c r="AY126" s="105"/>
      <c r="BB126">
        <f t="shared" si="1"/>
        <v>1</v>
      </c>
    </row>
    <row r="127" spans="1:54" ht="15.75" customHeight="1">
      <c r="A127" s="834" t="s">
        <v>2342</v>
      </c>
      <c r="B127" s="834">
        <v>124</v>
      </c>
      <c r="C127" s="834" t="s">
        <v>3248</v>
      </c>
      <c r="D127" s="834" t="s">
        <v>1184</v>
      </c>
      <c r="E127" s="852">
        <v>46041.041666666664</v>
      </c>
      <c r="F127" s="834" t="s">
        <v>140</v>
      </c>
      <c r="G127" s="834">
        <v>13</v>
      </c>
      <c r="H127" s="847" t="s">
        <v>3249</v>
      </c>
      <c r="I127" s="834"/>
      <c r="J127" s="98"/>
      <c r="K127" s="136" t="s">
        <v>3217</v>
      </c>
      <c r="L127" s="834"/>
      <c r="M127" s="834"/>
      <c r="N127" s="834"/>
      <c r="O127" s="834"/>
      <c r="P127" s="834" t="s">
        <v>113</v>
      </c>
      <c r="Q127" s="848" t="s">
        <v>30</v>
      </c>
      <c r="R127" s="848">
        <v>46082</v>
      </c>
      <c r="S127" s="852" t="s">
        <v>67</v>
      </c>
      <c r="T127" s="834" t="s">
        <v>32</v>
      </c>
      <c r="U127" s="834">
        <v>13</v>
      </c>
      <c r="V127" s="852" t="s">
        <v>67</v>
      </c>
      <c r="W127" s="848">
        <v>46082</v>
      </c>
      <c r="X127" s="96" t="s">
        <v>113</v>
      </c>
      <c r="Y127" s="91"/>
      <c r="Z127" s="103"/>
      <c r="AA127" s="96"/>
      <c r="AB127" s="96"/>
      <c r="AC127" s="96"/>
      <c r="AD127" s="96"/>
      <c r="AE127" s="96"/>
      <c r="AF127" s="96"/>
      <c r="AG127" s="96"/>
      <c r="AH127" s="96"/>
      <c r="AI127" s="110"/>
      <c r="AJ127" s="110"/>
      <c r="AK127" s="110"/>
      <c r="AL127" s="110"/>
      <c r="AM127" s="110"/>
      <c r="AN127" s="840"/>
      <c r="AO127" s="83"/>
      <c r="AP127" s="83"/>
      <c r="AQ127" s="83"/>
      <c r="AR127" s="83"/>
      <c r="AS127" s="6"/>
      <c r="AT127" s="6"/>
      <c r="AU127" s="104"/>
      <c r="AV127" s="105"/>
      <c r="AW127" s="105"/>
      <c r="AX127" s="105"/>
      <c r="AY127" s="105"/>
      <c r="BB127">
        <f t="shared" si="1"/>
        <v>1</v>
      </c>
    </row>
    <row r="128" spans="1:54" ht="15.75" customHeight="1">
      <c r="A128" s="834" t="s">
        <v>2342</v>
      </c>
      <c r="B128" s="834">
        <v>125</v>
      </c>
      <c r="C128" s="834" t="s">
        <v>3250</v>
      </c>
      <c r="D128" s="834" t="s">
        <v>1250</v>
      </c>
      <c r="E128" s="852">
        <v>46041.041666666664</v>
      </c>
      <c r="F128" s="834" t="s">
        <v>140</v>
      </c>
      <c r="G128" s="834">
        <v>17</v>
      </c>
      <c r="H128" s="847" t="s">
        <v>127</v>
      </c>
      <c r="I128" s="834"/>
      <c r="J128" s="834"/>
      <c r="K128" s="136" t="s">
        <v>3217</v>
      </c>
      <c r="L128" s="834"/>
      <c r="M128" s="834"/>
      <c r="N128" s="834"/>
      <c r="O128" s="834"/>
      <c r="P128" s="834" t="s">
        <v>113</v>
      </c>
      <c r="Q128" s="848" t="s">
        <v>30</v>
      </c>
      <c r="R128" s="848">
        <v>46078</v>
      </c>
      <c r="S128" s="852" t="s">
        <v>67</v>
      </c>
      <c r="T128" s="834" t="s">
        <v>32</v>
      </c>
      <c r="U128" s="834">
        <v>16</v>
      </c>
      <c r="V128" s="852" t="s">
        <v>67</v>
      </c>
      <c r="W128" s="848">
        <v>46078</v>
      </c>
      <c r="X128" s="96" t="s">
        <v>113</v>
      </c>
      <c r="Y128" s="91"/>
      <c r="Z128" s="103"/>
      <c r="AA128" s="96"/>
      <c r="AB128" s="96"/>
      <c r="AC128" s="96"/>
      <c r="AD128" s="96"/>
      <c r="AE128" s="96"/>
      <c r="AF128" s="96"/>
      <c r="AG128" s="96"/>
      <c r="AH128" s="96"/>
      <c r="AI128" s="110"/>
      <c r="AJ128" s="96"/>
      <c r="AK128" s="96"/>
      <c r="AL128" s="96"/>
      <c r="AM128" s="110"/>
      <c r="AN128" s="840"/>
      <c r="AO128" s="832"/>
      <c r="AP128" s="832"/>
      <c r="AQ128" s="832"/>
      <c r="AR128" s="832"/>
      <c r="AS128"/>
      <c r="AT128"/>
      <c r="AY128" s="105"/>
      <c r="BB128">
        <f t="shared" si="1"/>
        <v>1</v>
      </c>
    </row>
    <row r="129" spans="1:54" ht="15.75" customHeight="1">
      <c r="A129" s="834" t="s">
        <v>2342</v>
      </c>
      <c r="B129" s="834">
        <v>126</v>
      </c>
      <c r="C129" s="136" t="s">
        <v>3251</v>
      </c>
      <c r="D129" s="834" t="s">
        <v>1406</v>
      </c>
      <c r="E129" s="852">
        <v>46041</v>
      </c>
      <c r="F129" s="834" t="s">
        <v>140</v>
      </c>
      <c r="G129" s="834">
        <v>2</v>
      </c>
      <c r="H129" s="847" t="s">
        <v>1077</v>
      </c>
      <c r="I129" s="834"/>
      <c r="J129" s="834"/>
      <c r="K129" s="136" t="s">
        <v>3217</v>
      </c>
      <c r="L129" s="834"/>
      <c r="M129" s="834"/>
      <c r="N129" s="834"/>
      <c r="O129" s="834"/>
      <c r="P129" s="834" t="s">
        <v>113</v>
      </c>
      <c r="Q129" s="400" t="s">
        <v>30</v>
      </c>
      <c r="R129" s="848">
        <v>46082</v>
      </c>
      <c r="S129" s="852" t="s">
        <v>67</v>
      </c>
      <c r="T129" s="834" t="s">
        <v>32</v>
      </c>
      <c r="U129" s="834">
        <v>2</v>
      </c>
      <c r="V129" s="852" t="s">
        <v>67</v>
      </c>
      <c r="W129" s="848">
        <v>46082</v>
      </c>
      <c r="X129" s="96" t="s">
        <v>113</v>
      </c>
      <c r="Y129" s="91"/>
      <c r="Z129" s="103"/>
      <c r="AA129" s="96"/>
      <c r="AB129" s="103"/>
      <c r="AC129" s="96"/>
      <c r="AD129" s="96"/>
      <c r="AE129" s="96"/>
      <c r="AF129" s="96"/>
      <c r="AG129" s="96"/>
      <c r="AH129" s="96"/>
      <c r="AI129" s="110"/>
      <c r="AJ129" s="107"/>
      <c r="AK129" s="107"/>
      <c r="AL129" s="107"/>
      <c r="AM129" s="110"/>
      <c r="AN129" s="840"/>
      <c r="AO129" s="832"/>
      <c r="AP129" s="882"/>
      <c r="AQ129" s="882"/>
      <c r="AR129" s="882"/>
      <c r="AS129" s="85"/>
      <c r="AT129" s="84"/>
      <c r="AY129" s="105"/>
      <c r="BB129">
        <f t="shared" si="1"/>
        <v>1</v>
      </c>
    </row>
    <row r="130" spans="1:54" ht="15.75" customHeight="1">
      <c r="A130" s="834" t="s">
        <v>2342</v>
      </c>
      <c r="B130" s="834">
        <v>127</v>
      </c>
      <c r="C130" s="136" t="s">
        <v>3252</v>
      </c>
      <c r="D130" s="834" t="s">
        <v>2415</v>
      </c>
      <c r="E130" s="852">
        <v>46041</v>
      </c>
      <c r="F130" s="834" t="s">
        <v>140</v>
      </c>
      <c r="G130" s="834">
        <v>3</v>
      </c>
      <c r="H130" s="847" t="s">
        <v>1077</v>
      </c>
      <c r="I130" s="834"/>
      <c r="J130" s="834"/>
      <c r="K130" s="136" t="s">
        <v>3217</v>
      </c>
      <c r="L130" s="834"/>
      <c r="M130" s="834"/>
      <c r="N130" s="834"/>
      <c r="O130" s="834"/>
      <c r="P130" s="834" t="s">
        <v>113</v>
      </c>
      <c r="Q130" s="400" t="s">
        <v>30</v>
      </c>
      <c r="R130" s="848">
        <v>46082</v>
      </c>
      <c r="S130" s="852" t="s">
        <v>67</v>
      </c>
      <c r="T130" s="834" t="s">
        <v>32</v>
      </c>
      <c r="U130" s="834">
        <v>3</v>
      </c>
      <c r="V130" s="852" t="s">
        <v>67</v>
      </c>
      <c r="W130" s="848">
        <v>46082</v>
      </c>
      <c r="X130" s="96" t="s">
        <v>113</v>
      </c>
      <c r="Y130" s="91"/>
      <c r="Z130" s="103"/>
      <c r="AA130" s="96"/>
      <c r="AB130" s="96"/>
      <c r="AC130" s="96"/>
      <c r="AD130" s="96"/>
      <c r="AE130" s="96"/>
      <c r="AF130" s="96"/>
      <c r="AG130" s="96"/>
      <c r="AH130" s="96"/>
      <c r="AI130" s="110"/>
      <c r="AJ130" s="110"/>
      <c r="AK130" s="110"/>
      <c r="AL130" s="110"/>
      <c r="AM130" s="110"/>
      <c r="AN130" s="840"/>
      <c r="AO130" s="83"/>
      <c r="AP130" s="83"/>
      <c r="AQ130" s="83"/>
      <c r="AR130" s="83"/>
      <c r="AS130" s="6"/>
      <c r="AT130" s="6"/>
      <c r="AU130" s="104"/>
      <c r="AV130" s="105"/>
      <c r="AW130" s="105"/>
      <c r="AX130" s="105"/>
      <c r="AY130" s="105"/>
      <c r="BB130">
        <f t="shared" si="1"/>
        <v>1</v>
      </c>
    </row>
    <row r="131" spans="1:54" ht="15.75" customHeight="1">
      <c r="A131" s="834" t="s">
        <v>2342</v>
      </c>
      <c r="B131" s="834">
        <v>128</v>
      </c>
      <c r="C131" s="834" t="s">
        <v>3253</v>
      </c>
      <c r="D131" s="834" t="s">
        <v>937</v>
      </c>
      <c r="E131" s="852">
        <v>46041</v>
      </c>
      <c r="F131" s="834" t="s">
        <v>140</v>
      </c>
      <c r="G131" s="834">
        <v>27</v>
      </c>
      <c r="H131" s="847" t="s">
        <v>2934</v>
      </c>
      <c r="I131" s="834"/>
      <c r="J131" s="98"/>
      <c r="K131" s="136" t="s">
        <v>3217</v>
      </c>
      <c r="L131" s="834"/>
      <c r="M131" s="834"/>
      <c r="N131" s="834"/>
      <c r="O131" s="834"/>
      <c r="P131" s="834" t="s">
        <v>113</v>
      </c>
      <c r="Q131" s="400" t="s">
        <v>30</v>
      </c>
      <c r="R131" s="848">
        <v>46078</v>
      </c>
      <c r="S131" s="852" t="s">
        <v>67</v>
      </c>
      <c r="T131" s="834" t="s">
        <v>32</v>
      </c>
      <c r="U131" s="834">
        <v>31</v>
      </c>
      <c r="V131" s="852" t="s">
        <v>67</v>
      </c>
      <c r="W131" s="848">
        <v>46078</v>
      </c>
      <c r="X131" s="96" t="s">
        <v>113</v>
      </c>
      <c r="Y131" s="91"/>
      <c r="Z131" s="103"/>
      <c r="AA131" s="96"/>
      <c r="AB131" s="96"/>
      <c r="AC131" s="96"/>
      <c r="AD131" s="96"/>
      <c r="AE131" s="96"/>
      <c r="AF131" s="96"/>
      <c r="AG131" s="96"/>
      <c r="AH131" s="96"/>
      <c r="AI131" s="110"/>
      <c r="AJ131" s="110"/>
      <c r="AK131" s="110"/>
      <c r="AL131" s="110"/>
      <c r="AM131" s="110"/>
      <c r="AN131" s="840"/>
      <c r="AO131" s="832"/>
      <c r="AP131" s="875"/>
      <c r="AQ131" s="875"/>
      <c r="AR131" s="875"/>
      <c r="AS131" s="776"/>
      <c r="AT131" s="776"/>
      <c r="AU131"/>
      <c r="AV131"/>
      <c r="AW131"/>
      <c r="AX131"/>
      <c r="AY131" s="105"/>
      <c r="BB131">
        <f t="shared" si="1"/>
        <v>1</v>
      </c>
    </row>
    <row r="132" spans="1:54" ht="15.6" customHeight="1">
      <c r="A132" s="834" t="s">
        <v>2342</v>
      </c>
      <c r="B132" s="834">
        <v>129</v>
      </c>
      <c r="C132" s="136" t="s">
        <v>3254</v>
      </c>
      <c r="D132" s="834" t="s">
        <v>3255</v>
      </c>
      <c r="E132" s="852">
        <v>46041</v>
      </c>
      <c r="F132" s="834" t="s">
        <v>140</v>
      </c>
      <c r="G132" s="834">
        <v>3</v>
      </c>
      <c r="H132" s="847" t="s">
        <v>2966</v>
      </c>
      <c r="I132" s="834"/>
      <c r="J132" s="834"/>
      <c r="K132" s="136" t="s">
        <v>3217</v>
      </c>
      <c r="L132" s="834"/>
      <c r="M132" s="834"/>
      <c r="N132" s="834"/>
      <c r="O132" s="834"/>
      <c r="P132" s="834" t="s">
        <v>113</v>
      </c>
      <c r="Q132" s="400" t="s">
        <v>30</v>
      </c>
      <c r="R132" s="848">
        <v>46084</v>
      </c>
      <c r="S132" s="852" t="s">
        <v>67</v>
      </c>
      <c r="T132" s="834" t="s">
        <v>32</v>
      </c>
      <c r="U132" s="834">
        <v>3</v>
      </c>
      <c r="V132" s="852" t="s">
        <v>67</v>
      </c>
      <c r="W132" s="848">
        <v>46084</v>
      </c>
      <c r="X132" s="96" t="s">
        <v>113</v>
      </c>
      <c r="Y132" s="96"/>
      <c r="Z132" s="103"/>
      <c r="AA132" s="96"/>
      <c r="AB132" s="96"/>
      <c r="AC132" s="96"/>
      <c r="AD132" s="96"/>
      <c r="AE132" s="96"/>
      <c r="AF132" s="96"/>
      <c r="AG132" s="96"/>
      <c r="AH132" s="96"/>
      <c r="AI132" s="110"/>
      <c r="AJ132" s="96"/>
      <c r="AK132" s="96"/>
      <c r="AL132" s="96"/>
      <c r="AM132" s="110"/>
      <c r="AN132" s="840"/>
      <c r="AO132" s="832"/>
      <c r="AP132" s="832"/>
      <c r="AQ132" s="832"/>
      <c r="AR132" s="832"/>
      <c r="AS132"/>
      <c r="AT132"/>
      <c r="AU132" s="71"/>
      <c r="AY132" s="105"/>
      <c r="BB132">
        <f t="shared" si="1"/>
        <v>1</v>
      </c>
    </row>
    <row r="133" spans="1:54" ht="15.6" customHeight="1">
      <c r="A133" s="834" t="s">
        <v>2342</v>
      </c>
      <c r="B133" s="834">
        <v>130</v>
      </c>
      <c r="C133" s="136" t="s">
        <v>3256</v>
      </c>
      <c r="D133" s="834" t="s">
        <v>865</v>
      </c>
      <c r="E133" s="852">
        <v>46041.083333333336</v>
      </c>
      <c r="F133" s="834" t="s">
        <v>140</v>
      </c>
      <c r="G133" s="834">
        <v>6</v>
      </c>
      <c r="H133" s="834" t="s">
        <v>1077</v>
      </c>
      <c r="I133" s="834"/>
      <c r="J133" s="834"/>
      <c r="K133" s="136" t="s">
        <v>3217</v>
      </c>
      <c r="L133" s="834"/>
      <c r="M133" s="834"/>
      <c r="N133" s="834"/>
      <c r="O133" s="834"/>
      <c r="P133" s="834" t="s">
        <v>113</v>
      </c>
      <c r="Q133" s="400" t="s">
        <v>30</v>
      </c>
      <c r="R133" s="848">
        <v>46084</v>
      </c>
      <c r="S133" s="852" t="s">
        <v>67</v>
      </c>
      <c r="T133" s="834" t="s">
        <v>32</v>
      </c>
      <c r="U133" s="834">
        <v>6</v>
      </c>
      <c r="V133" s="852" t="s">
        <v>67</v>
      </c>
      <c r="W133" s="848">
        <v>46084</v>
      </c>
      <c r="X133" s="96" t="s">
        <v>113</v>
      </c>
      <c r="Y133" s="118"/>
      <c r="Z133" s="103"/>
      <c r="AA133" s="103"/>
      <c r="AB133" s="103"/>
      <c r="AC133" s="103"/>
      <c r="AD133" s="96"/>
      <c r="AE133" s="96"/>
      <c r="AF133" s="96"/>
      <c r="AG133" s="96"/>
      <c r="AH133" s="96"/>
      <c r="AI133" s="110"/>
      <c r="AJ133" s="118"/>
      <c r="AK133" s="118"/>
      <c r="AL133" s="118"/>
      <c r="AM133" s="110"/>
      <c r="AN133" s="840"/>
      <c r="AO133" s="832"/>
      <c r="AP133" s="875"/>
      <c r="AQ133" s="875"/>
      <c r="AR133" s="875"/>
      <c r="AS133" s="776"/>
      <c r="AT133" s="776"/>
      <c r="AU133"/>
      <c r="AV133"/>
      <c r="AW133"/>
      <c r="AX133"/>
      <c r="AY133" s="105"/>
      <c r="BB133">
        <f t="shared" ref="BB133:BB196" si="2">IF(E133&gt;1,1,"")</f>
        <v>1</v>
      </c>
    </row>
    <row r="134" spans="1:54" ht="15.6" customHeight="1">
      <c r="A134" s="834" t="s">
        <v>2342</v>
      </c>
      <c r="B134" s="834">
        <v>131</v>
      </c>
      <c r="C134" s="136" t="s">
        <v>3257</v>
      </c>
      <c r="D134" s="834" t="s">
        <v>1424</v>
      </c>
      <c r="E134" s="852">
        <v>46041</v>
      </c>
      <c r="F134" s="834" t="s">
        <v>140</v>
      </c>
      <c r="G134" s="834">
        <v>1</v>
      </c>
      <c r="H134" s="834" t="s">
        <v>1077</v>
      </c>
      <c r="I134" s="834"/>
      <c r="J134" s="834"/>
      <c r="K134" s="136" t="s">
        <v>3217</v>
      </c>
      <c r="L134" s="834"/>
      <c r="M134" s="834"/>
      <c r="N134" s="834"/>
      <c r="O134" s="834"/>
      <c r="P134" s="834" t="s">
        <v>113</v>
      </c>
      <c r="Q134" s="400" t="s">
        <v>30</v>
      </c>
      <c r="R134" s="848">
        <v>46084</v>
      </c>
      <c r="S134" s="852" t="s">
        <v>67</v>
      </c>
      <c r="T134" s="834" t="s">
        <v>32</v>
      </c>
      <c r="U134" s="834">
        <v>1</v>
      </c>
      <c r="V134" s="852" t="s">
        <v>67</v>
      </c>
      <c r="W134" s="848">
        <v>46084</v>
      </c>
      <c r="X134" s="96" t="s">
        <v>113</v>
      </c>
      <c r="Y134" s="91"/>
      <c r="Z134" s="103"/>
      <c r="AA134" s="96"/>
      <c r="AB134" s="96"/>
      <c r="AC134" s="96"/>
      <c r="AD134" s="96"/>
      <c r="AE134" s="96"/>
      <c r="AF134" s="96"/>
      <c r="AG134" s="96"/>
      <c r="AH134" s="96"/>
      <c r="AI134" s="110"/>
      <c r="AJ134" s="96"/>
      <c r="AK134" s="96"/>
      <c r="AL134" s="96"/>
      <c r="AM134" s="110"/>
      <c r="AN134" s="840"/>
      <c r="AO134" s="832"/>
      <c r="AP134" s="875"/>
      <c r="AQ134" s="875"/>
      <c r="AR134" s="875"/>
      <c r="AS134" s="776"/>
      <c r="AT134" s="776"/>
      <c r="AU134"/>
      <c r="AV134"/>
      <c r="AW134"/>
      <c r="AX134"/>
      <c r="AY134" s="105"/>
      <c r="BB134">
        <f t="shared" si="2"/>
        <v>1</v>
      </c>
    </row>
    <row r="135" spans="1:54" ht="15.6" customHeight="1">
      <c r="A135" s="834" t="s">
        <v>2342</v>
      </c>
      <c r="B135" s="834">
        <v>132</v>
      </c>
      <c r="C135" s="136" t="s">
        <v>3258</v>
      </c>
      <c r="D135" s="834" t="s">
        <v>1366</v>
      </c>
      <c r="E135" s="852">
        <v>46041</v>
      </c>
      <c r="F135" s="834" t="s">
        <v>140</v>
      </c>
      <c r="G135" s="834">
        <v>1</v>
      </c>
      <c r="H135" s="834" t="s">
        <v>1077</v>
      </c>
      <c r="I135" s="834"/>
      <c r="J135" s="834"/>
      <c r="K135" s="136" t="s">
        <v>3217</v>
      </c>
      <c r="L135" s="834"/>
      <c r="M135" s="834"/>
      <c r="N135" s="834"/>
      <c r="O135" s="834"/>
      <c r="P135" s="834" t="s">
        <v>113</v>
      </c>
      <c r="Q135" s="400" t="s">
        <v>30</v>
      </c>
      <c r="R135" s="848">
        <v>46084</v>
      </c>
      <c r="S135" s="852" t="s">
        <v>67</v>
      </c>
      <c r="T135" s="834" t="s">
        <v>32</v>
      </c>
      <c r="U135" s="834">
        <v>1</v>
      </c>
      <c r="V135" s="852" t="s">
        <v>67</v>
      </c>
      <c r="W135" s="848">
        <v>46084</v>
      </c>
      <c r="X135" s="96" t="s">
        <v>113</v>
      </c>
      <c r="Y135" s="118"/>
      <c r="Z135" s="103"/>
      <c r="AA135" s="96"/>
      <c r="AB135" s="96"/>
      <c r="AC135" s="96"/>
      <c r="AD135" s="96"/>
      <c r="AE135" s="96"/>
      <c r="AF135" s="96"/>
      <c r="AG135" s="96"/>
      <c r="AH135" s="96"/>
      <c r="AI135" s="110"/>
      <c r="AJ135" s="110"/>
      <c r="AK135" s="110"/>
      <c r="AL135" s="107"/>
      <c r="AM135" s="110"/>
      <c r="AN135" s="840"/>
      <c r="AO135" s="832"/>
      <c r="AP135" s="832"/>
      <c r="AQ135" s="832"/>
      <c r="AR135" s="832"/>
      <c r="AS135"/>
      <c r="AT135"/>
      <c r="AU135"/>
      <c r="AV135"/>
      <c r="AW135"/>
      <c r="AX135"/>
      <c r="AY135" s="105"/>
      <c r="BB135">
        <f t="shared" si="2"/>
        <v>1</v>
      </c>
    </row>
    <row r="136" spans="1:54" ht="15.75" customHeight="1">
      <c r="A136" s="834" t="s">
        <v>2342</v>
      </c>
      <c r="B136" s="834">
        <v>133</v>
      </c>
      <c r="C136" s="136" t="s">
        <v>3259</v>
      </c>
      <c r="D136" s="834" t="s">
        <v>3260</v>
      </c>
      <c r="E136" s="852">
        <v>46041</v>
      </c>
      <c r="F136" s="834" t="s">
        <v>140</v>
      </c>
      <c r="G136" s="834">
        <v>1</v>
      </c>
      <c r="H136" s="834" t="s">
        <v>1077</v>
      </c>
      <c r="I136" s="834"/>
      <c r="J136" s="834"/>
      <c r="K136" s="136" t="s">
        <v>3217</v>
      </c>
      <c r="L136" s="834"/>
      <c r="M136" s="834"/>
      <c r="N136" s="834"/>
      <c r="O136" s="834"/>
      <c r="P136" s="834" t="s">
        <v>113</v>
      </c>
      <c r="Q136" s="400" t="s">
        <v>30</v>
      </c>
      <c r="R136" s="848">
        <v>46084</v>
      </c>
      <c r="S136" s="852" t="s">
        <v>67</v>
      </c>
      <c r="T136" s="834" t="s">
        <v>32</v>
      </c>
      <c r="U136" s="834">
        <v>1</v>
      </c>
      <c r="V136" s="852" t="s">
        <v>67</v>
      </c>
      <c r="W136" s="848">
        <v>46084</v>
      </c>
      <c r="X136" s="96" t="s">
        <v>113</v>
      </c>
      <c r="Y136" s="118"/>
      <c r="Z136" s="103"/>
      <c r="AA136" s="91"/>
      <c r="AB136" s="91"/>
      <c r="AC136" s="91"/>
      <c r="AD136" s="96"/>
      <c r="AE136" s="96"/>
      <c r="AF136" s="96"/>
      <c r="AG136" s="96"/>
      <c r="AH136" s="96"/>
      <c r="AI136" s="110"/>
      <c r="AJ136" s="96"/>
      <c r="AK136" s="96"/>
      <c r="AL136" s="96"/>
      <c r="AM136" s="110"/>
      <c r="AN136" s="840"/>
      <c r="AO136" s="832"/>
      <c r="AP136" s="832"/>
      <c r="AQ136" s="832"/>
      <c r="AR136" s="832"/>
      <c r="AS136"/>
      <c r="AT136"/>
      <c r="AU136"/>
      <c r="AV136"/>
      <c r="AW136"/>
      <c r="AX136"/>
      <c r="AY136" s="105"/>
      <c r="BB136">
        <f t="shared" si="2"/>
        <v>1</v>
      </c>
    </row>
    <row r="137" spans="1:54" ht="15.75" customHeight="1">
      <c r="A137" s="834" t="s">
        <v>2342</v>
      </c>
      <c r="B137" s="834">
        <v>134</v>
      </c>
      <c r="C137" s="136" t="s">
        <v>3261</v>
      </c>
      <c r="D137" s="834" t="s">
        <v>992</v>
      </c>
      <c r="E137" s="852">
        <v>46041.375</v>
      </c>
      <c r="F137" s="834" t="s">
        <v>140</v>
      </c>
      <c r="G137" s="834">
        <v>3</v>
      </c>
      <c r="H137" s="834" t="s">
        <v>1077</v>
      </c>
      <c r="I137" s="834"/>
      <c r="J137" s="834"/>
      <c r="K137" s="136" t="s">
        <v>3217</v>
      </c>
      <c r="L137" s="834"/>
      <c r="M137" s="834"/>
      <c r="N137" s="834"/>
      <c r="O137" s="834"/>
      <c r="P137" s="834" t="s">
        <v>113</v>
      </c>
      <c r="Q137" s="400" t="s">
        <v>30</v>
      </c>
      <c r="R137" s="848">
        <v>46084</v>
      </c>
      <c r="S137" s="852" t="s">
        <v>67</v>
      </c>
      <c r="T137" s="834" t="s">
        <v>32</v>
      </c>
      <c r="U137" s="834">
        <v>3</v>
      </c>
      <c r="V137" s="852" t="s">
        <v>67</v>
      </c>
      <c r="W137" s="848">
        <v>46084</v>
      </c>
      <c r="X137" s="96" t="s">
        <v>113</v>
      </c>
      <c r="Y137" s="96"/>
      <c r="Z137" s="103"/>
      <c r="AA137" s="96"/>
      <c r="AB137" s="96"/>
      <c r="AC137" s="96"/>
      <c r="AD137" s="96"/>
      <c r="AE137" s="96"/>
      <c r="AF137" s="96"/>
      <c r="AG137" s="96"/>
      <c r="AH137" s="96"/>
      <c r="AI137" s="110"/>
      <c r="AJ137" s="96"/>
      <c r="AK137" s="96"/>
      <c r="AL137" s="96"/>
      <c r="AM137" s="110"/>
      <c r="AN137" s="840"/>
      <c r="AO137" s="625"/>
      <c r="AP137" s="625"/>
      <c r="AQ137" s="625"/>
      <c r="AR137" s="625"/>
      <c r="AS137" s="509"/>
      <c r="AT137" s="509"/>
      <c r="AU137" s="134"/>
      <c r="AV137" s="135"/>
      <c r="AW137" s="135"/>
      <c r="AX137" s="135"/>
      <c r="AY137" s="135"/>
      <c r="BB137">
        <f t="shared" si="2"/>
        <v>1</v>
      </c>
    </row>
    <row r="138" spans="1:54" ht="15.75" customHeight="1">
      <c r="A138" s="834" t="s">
        <v>2342</v>
      </c>
      <c r="B138" s="834">
        <v>135</v>
      </c>
      <c r="C138" s="136" t="s">
        <v>3262</v>
      </c>
      <c r="D138" s="834" t="s">
        <v>3263</v>
      </c>
      <c r="E138" s="852">
        <v>46041.375</v>
      </c>
      <c r="F138" s="834" t="s">
        <v>140</v>
      </c>
      <c r="G138" s="834">
        <v>28</v>
      </c>
      <c r="H138" s="834" t="s">
        <v>1811</v>
      </c>
      <c r="I138" s="834"/>
      <c r="J138" s="98"/>
      <c r="K138" s="136" t="s">
        <v>3217</v>
      </c>
      <c r="L138" s="834"/>
      <c r="M138" s="834"/>
      <c r="N138" s="834"/>
      <c r="O138" s="834"/>
      <c r="P138" s="834" t="s">
        <v>113</v>
      </c>
      <c r="Q138" s="400" t="s">
        <v>30</v>
      </c>
      <c r="R138" s="848">
        <v>46078</v>
      </c>
      <c r="S138" s="852" t="s">
        <v>67</v>
      </c>
      <c r="T138" s="834" t="s">
        <v>32</v>
      </c>
      <c r="U138" s="834">
        <v>32</v>
      </c>
      <c r="V138" s="852" t="s">
        <v>67</v>
      </c>
      <c r="W138" s="848">
        <v>46078</v>
      </c>
      <c r="X138" s="96" t="s">
        <v>113</v>
      </c>
      <c r="Y138" s="91"/>
      <c r="Z138" s="103"/>
      <c r="AA138" s="96"/>
      <c r="AB138" s="96"/>
      <c r="AC138" s="96"/>
      <c r="AD138" s="96"/>
      <c r="AE138" s="96"/>
      <c r="AF138" s="96"/>
      <c r="AG138" s="96"/>
      <c r="AH138" s="96"/>
      <c r="AI138" s="110"/>
      <c r="AJ138" s="96"/>
      <c r="AK138" s="96"/>
      <c r="AL138" s="96"/>
      <c r="AM138" s="110"/>
      <c r="AN138" s="840"/>
      <c r="AO138" s="625"/>
      <c r="AP138" s="625"/>
      <c r="AQ138" s="625"/>
      <c r="AR138" s="625"/>
      <c r="AS138" s="509"/>
      <c r="AT138" s="509"/>
      <c r="AU138" s="134"/>
      <c r="AV138" s="135"/>
      <c r="AW138" s="135"/>
      <c r="AX138" s="135"/>
      <c r="AY138" s="135"/>
      <c r="BB138">
        <f t="shared" si="2"/>
        <v>1</v>
      </c>
    </row>
    <row r="139" spans="1:54" ht="15.75" customHeight="1">
      <c r="A139" s="834" t="s">
        <v>2342</v>
      </c>
      <c r="B139" s="834">
        <v>136</v>
      </c>
      <c r="C139" s="136" t="s">
        <v>3264</v>
      </c>
      <c r="D139" s="834" t="s">
        <v>1565</v>
      </c>
      <c r="E139" s="852">
        <v>46041</v>
      </c>
      <c r="F139" s="834" t="s">
        <v>140</v>
      </c>
      <c r="G139" s="834">
        <v>1</v>
      </c>
      <c r="H139" s="847" t="s">
        <v>1077</v>
      </c>
      <c r="I139" s="834"/>
      <c r="J139" s="834"/>
      <c r="K139" s="136" t="s">
        <v>3217</v>
      </c>
      <c r="L139" s="834"/>
      <c r="M139" s="834"/>
      <c r="N139" s="834"/>
      <c r="O139" s="834"/>
      <c r="P139" s="834" t="s">
        <v>113</v>
      </c>
      <c r="Q139" s="400" t="s">
        <v>30</v>
      </c>
      <c r="R139" s="848">
        <v>46084</v>
      </c>
      <c r="S139" s="852" t="s">
        <v>67</v>
      </c>
      <c r="T139" s="834" t="s">
        <v>32</v>
      </c>
      <c r="U139" s="834">
        <v>1</v>
      </c>
      <c r="V139" s="852" t="s">
        <v>67</v>
      </c>
      <c r="W139" s="848">
        <v>46084</v>
      </c>
      <c r="X139" s="96" t="s">
        <v>113</v>
      </c>
      <c r="Y139" s="96"/>
      <c r="Z139" s="103"/>
      <c r="AA139" s="96"/>
      <c r="AB139" s="96"/>
      <c r="AC139" s="96"/>
      <c r="AD139" s="96"/>
      <c r="AE139" s="96"/>
      <c r="AF139" s="96"/>
      <c r="AG139" s="96"/>
      <c r="AH139" s="96"/>
      <c r="AI139" s="110"/>
      <c r="AJ139" s="96"/>
      <c r="AK139" s="96"/>
      <c r="AL139" s="96"/>
      <c r="AM139" s="110"/>
      <c r="AN139" s="840"/>
      <c r="AO139" s="625"/>
      <c r="AP139" s="625"/>
      <c r="AQ139" s="625"/>
      <c r="AR139" s="625"/>
      <c r="AS139" s="509"/>
      <c r="AT139" s="509"/>
      <c r="AU139" s="134"/>
      <c r="AV139" s="135"/>
      <c r="AW139" s="135"/>
      <c r="AX139" s="135"/>
      <c r="AY139" s="135"/>
      <c r="BB139">
        <f t="shared" si="2"/>
        <v>1</v>
      </c>
    </row>
    <row r="140" spans="1:54" ht="15.75" customHeight="1">
      <c r="A140" s="834" t="s">
        <v>2342</v>
      </c>
      <c r="B140" s="834">
        <v>137</v>
      </c>
      <c r="C140" s="834" t="s">
        <v>3265</v>
      </c>
      <c r="D140" s="834" t="s">
        <v>829</v>
      </c>
      <c r="E140" s="852">
        <v>46041</v>
      </c>
      <c r="F140" s="834" t="s">
        <v>140</v>
      </c>
      <c r="G140" s="834">
        <v>32</v>
      </c>
      <c r="H140" s="847" t="s">
        <v>1790</v>
      </c>
      <c r="I140" s="834"/>
      <c r="J140" s="834"/>
      <c r="K140" s="136" t="s">
        <v>3217</v>
      </c>
      <c r="L140" s="834"/>
      <c r="M140" s="834"/>
      <c r="N140" s="834"/>
      <c r="O140" s="848"/>
      <c r="P140" s="834" t="s">
        <v>113</v>
      </c>
      <c r="Q140" s="400" t="s">
        <v>30</v>
      </c>
      <c r="R140" s="848">
        <v>46084</v>
      </c>
      <c r="S140" s="852" t="s">
        <v>67</v>
      </c>
      <c r="T140" s="834" t="s">
        <v>32</v>
      </c>
      <c r="U140" s="834">
        <v>1</v>
      </c>
      <c r="V140" s="852" t="s">
        <v>67</v>
      </c>
      <c r="W140" s="848">
        <v>46084</v>
      </c>
      <c r="X140" s="96" t="s">
        <v>113</v>
      </c>
      <c r="Y140" s="91"/>
      <c r="Z140" s="103"/>
      <c r="AA140" s="96"/>
      <c r="AB140" s="96"/>
      <c r="AC140" s="96"/>
      <c r="AD140" s="96"/>
      <c r="AE140" s="96"/>
      <c r="AF140" s="96"/>
      <c r="AG140" s="96"/>
      <c r="AH140" s="96"/>
      <c r="AI140" s="110"/>
      <c r="AJ140" s="96"/>
      <c r="AK140" s="96"/>
      <c r="AL140" s="96"/>
      <c r="AM140" s="110"/>
      <c r="AN140" s="840"/>
      <c r="AO140" s="832"/>
      <c r="AP140" s="832"/>
      <c r="AQ140" s="832"/>
      <c r="AR140" s="832"/>
      <c r="AS140"/>
      <c r="AT140"/>
      <c r="AU140" s="71"/>
      <c r="AY140" s="105"/>
      <c r="BB140">
        <f t="shared" si="2"/>
        <v>1</v>
      </c>
    </row>
    <row r="141" spans="1:54" ht="15.75" customHeight="1">
      <c r="A141" s="834" t="s">
        <v>2342</v>
      </c>
      <c r="B141" s="834">
        <v>138</v>
      </c>
      <c r="C141" s="834" t="s">
        <v>3266</v>
      </c>
      <c r="D141" s="834" t="s">
        <v>2462</v>
      </c>
      <c r="E141" s="852">
        <v>46041.041666666664</v>
      </c>
      <c r="F141" s="834" t="s">
        <v>140</v>
      </c>
      <c r="G141" s="834">
        <v>1</v>
      </c>
      <c r="H141" s="847" t="s">
        <v>127</v>
      </c>
      <c r="I141" s="834"/>
      <c r="J141" s="834"/>
      <c r="K141" s="136" t="s">
        <v>3217</v>
      </c>
      <c r="L141" s="834"/>
      <c r="M141" s="834"/>
      <c r="N141" s="834"/>
      <c r="O141" s="848"/>
      <c r="P141" s="834" t="s">
        <v>113</v>
      </c>
      <c r="Q141" s="400" t="s">
        <v>30</v>
      </c>
      <c r="R141" s="848">
        <v>46078</v>
      </c>
      <c r="S141" s="852" t="s">
        <v>67</v>
      </c>
      <c r="T141" s="834" t="s">
        <v>32</v>
      </c>
      <c r="U141" s="830">
        <v>1</v>
      </c>
      <c r="V141" s="852" t="s">
        <v>67</v>
      </c>
      <c r="W141" s="848">
        <v>46078</v>
      </c>
      <c r="X141" s="96" t="s">
        <v>113</v>
      </c>
      <c r="Y141" s="91"/>
      <c r="Z141" s="103"/>
      <c r="AA141" s="96"/>
      <c r="AB141" s="96"/>
      <c r="AC141" s="96"/>
      <c r="AD141" s="96"/>
      <c r="AE141" s="96"/>
      <c r="AF141" s="96"/>
      <c r="AG141" s="96"/>
      <c r="AH141" s="96"/>
      <c r="AI141" s="110"/>
      <c r="AJ141" s="96"/>
      <c r="AK141" s="96"/>
      <c r="AL141" s="96"/>
      <c r="AM141" s="110"/>
      <c r="AN141" s="840"/>
      <c r="AO141" s="881"/>
      <c r="AP141" s="881"/>
      <c r="AQ141" s="832"/>
      <c r="AR141" s="832"/>
      <c r="AS141"/>
      <c r="AT141"/>
      <c r="AU141" s="71"/>
      <c r="AY141" s="105"/>
      <c r="BB141">
        <f t="shared" si="2"/>
        <v>1</v>
      </c>
    </row>
    <row r="142" spans="1:54" ht="15.75" customHeight="1">
      <c r="A142" s="834" t="s">
        <v>2342</v>
      </c>
      <c r="B142" s="834">
        <v>139</v>
      </c>
      <c r="C142" s="834" t="s">
        <v>3267</v>
      </c>
      <c r="D142" s="834" t="s">
        <v>1567</v>
      </c>
      <c r="E142" s="852">
        <v>46041.041666666664</v>
      </c>
      <c r="F142" s="834" t="s">
        <v>140</v>
      </c>
      <c r="G142" s="834">
        <v>1</v>
      </c>
      <c r="H142" s="847" t="s">
        <v>127</v>
      </c>
      <c r="I142" s="834"/>
      <c r="J142" s="834"/>
      <c r="K142" s="136" t="s">
        <v>3217</v>
      </c>
      <c r="L142" s="834"/>
      <c r="M142" s="834"/>
      <c r="N142" s="834"/>
      <c r="O142" s="834"/>
      <c r="P142" s="834" t="s">
        <v>113</v>
      </c>
      <c r="Q142" s="400" t="s">
        <v>30</v>
      </c>
      <c r="R142" s="848">
        <v>46078</v>
      </c>
      <c r="S142" s="852" t="s">
        <v>67</v>
      </c>
      <c r="T142" s="834" t="s">
        <v>32</v>
      </c>
      <c r="U142" s="834">
        <v>1</v>
      </c>
      <c r="V142" s="852" t="s">
        <v>67</v>
      </c>
      <c r="W142" s="848">
        <v>46078</v>
      </c>
      <c r="X142" s="96" t="s">
        <v>113</v>
      </c>
      <c r="Y142" s="96"/>
      <c r="Z142" s="103"/>
      <c r="AA142" s="96"/>
      <c r="AB142" s="96"/>
      <c r="AC142" s="96"/>
      <c r="AD142" s="96"/>
      <c r="AE142" s="96"/>
      <c r="AF142" s="96"/>
      <c r="AG142" s="96"/>
      <c r="AH142" s="96"/>
      <c r="AI142" s="110"/>
      <c r="AJ142" s="96"/>
      <c r="AK142" s="96"/>
      <c r="AL142" s="96"/>
      <c r="AM142" s="110"/>
      <c r="AN142" s="840"/>
      <c r="AO142" s="832"/>
      <c r="AP142" s="832"/>
      <c r="AQ142" s="832"/>
      <c r="AR142" s="832"/>
      <c r="AS142"/>
      <c r="AT142"/>
      <c r="AU142" s="71"/>
      <c r="AY142" s="105"/>
      <c r="BB142">
        <f t="shared" si="2"/>
        <v>1</v>
      </c>
    </row>
    <row r="143" spans="1:54" ht="15.75" customHeight="1">
      <c r="A143" s="834" t="s">
        <v>2342</v>
      </c>
      <c r="B143" s="834">
        <v>140</v>
      </c>
      <c r="C143" s="834" t="s">
        <v>3268</v>
      </c>
      <c r="D143" s="834" t="s">
        <v>1208</v>
      </c>
      <c r="E143" s="852">
        <v>46041.041666666664</v>
      </c>
      <c r="F143" s="834" t="s">
        <v>140</v>
      </c>
      <c r="G143" s="834">
        <v>7</v>
      </c>
      <c r="H143" s="847" t="s">
        <v>127</v>
      </c>
      <c r="I143" s="834"/>
      <c r="J143" s="98" t="s">
        <v>3269</v>
      </c>
      <c r="K143" s="136" t="s">
        <v>3217</v>
      </c>
      <c r="L143" s="834"/>
      <c r="M143" s="834"/>
      <c r="N143" s="834"/>
      <c r="O143" s="834"/>
      <c r="P143" s="834" t="s">
        <v>113</v>
      </c>
      <c r="Q143" s="400" t="s">
        <v>30</v>
      </c>
      <c r="R143" s="848">
        <v>46079</v>
      </c>
      <c r="S143" s="852" t="s">
        <v>67</v>
      </c>
      <c r="T143" s="834" t="s">
        <v>32</v>
      </c>
      <c r="U143" s="834">
        <v>7</v>
      </c>
      <c r="V143" s="852" t="s">
        <v>67</v>
      </c>
      <c r="W143" s="848">
        <v>46079</v>
      </c>
      <c r="X143" s="96" t="s">
        <v>113</v>
      </c>
      <c r="Y143" s="91"/>
      <c r="Z143" s="103"/>
      <c r="AA143" s="96"/>
      <c r="AB143" s="96"/>
      <c r="AC143" s="96"/>
      <c r="AD143" s="96"/>
      <c r="AE143" s="96"/>
      <c r="AF143" s="96"/>
      <c r="AG143" s="96"/>
      <c r="AH143" s="96"/>
      <c r="AI143" s="110"/>
      <c r="AJ143" s="96"/>
      <c r="AK143" s="96"/>
      <c r="AL143" s="96"/>
      <c r="AM143" s="110"/>
      <c r="AN143" s="840"/>
      <c r="AO143" s="832"/>
      <c r="AP143" s="832"/>
      <c r="AQ143" s="832"/>
      <c r="AR143" s="832"/>
      <c r="AS143"/>
      <c r="AT143"/>
      <c r="AU143"/>
      <c r="AV143"/>
      <c r="AW143"/>
      <c r="AX143"/>
      <c r="AY143" s="105"/>
      <c r="BB143">
        <f t="shared" si="2"/>
        <v>1</v>
      </c>
    </row>
    <row r="144" spans="1:54" ht="15.75" customHeight="1">
      <c r="A144" s="834" t="s">
        <v>2342</v>
      </c>
      <c r="B144" s="834">
        <v>141</v>
      </c>
      <c r="C144" s="834" t="s">
        <v>3270</v>
      </c>
      <c r="D144" s="834" t="s">
        <v>989</v>
      </c>
      <c r="E144" s="852">
        <v>46041.041666666664</v>
      </c>
      <c r="F144" s="834" t="s">
        <v>140</v>
      </c>
      <c r="G144" s="834">
        <v>1</v>
      </c>
      <c r="H144" s="847" t="s">
        <v>127</v>
      </c>
      <c r="I144" s="834"/>
      <c r="J144" s="834"/>
      <c r="K144" s="136" t="s">
        <v>3217</v>
      </c>
      <c r="L144" s="834"/>
      <c r="M144" s="834"/>
      <c r="N144" s="834"/>
      <c r="O144" s="834"/>
      <c r="P144" s="834" t="s">
        <v>113</v>
      </c>
      <c r="Q144" s="400" t="s">
        <v>30</v>
      </c>
      <c r="R144" s="848">
        <v>46078</v>
      </c>
      <c r="S144" s="852" t="s">
        <v>67</v>
      </c>
      <c r="T144" s="834" t="s">
        <v>32</v>
      </c>
      <c r="U144" s="834">
        <v>1</v>
      </c>
      <c r="V144" s="852" t="s">
        <v>67</v>
      </c>
      <c r="W144" s="848">
        <v>46078</v>
      </c>
      <c r="X144" s="96" t="s">
        <v>113</v>
      </c>
      <c r="Y144" s="118"/>
      <c r="Z144" s="103"/>
      <c r="AA144" s="91"/>
      <c r="AB144" s="91"/>
      <c r="AC144" s="96"/>
      <c r="AD144" s="96"/>
      <c r="AE144" s="96"/>
      <c r="AF144" s="96"/>
      <c r="AG144" s="96"/>
      <c r="AH144" s="96"/>
      <c r="AI144" s="110"/>
      <c r="AJ144" s="110"/>
      <c r="AK144" s="110"/>
      <c r="AL144" s="110"/>
      <c r="AM144" s="110"/>
      <c r="AN144" s="840"/>
      <c r="AO144" s="832"/>
      <c r="AP144" s="832"/>
      <c r="AQ144" s="832"/>
      <c r="AR144" s="832"/>
      <c r="AS144"/>
      <c r="AT144"/>
      <c r="AU144" s="71"/>
      <c r="AY144" s="105"/>
      <c r="BB144">
        <f t="shared" si="2"/>
        <v>1</v>
      </c>
    </row>
    <row r="145" spans="1:54" ht="15.75" customHeight="1">
      <c r="A145" s="834" t="s">
        <v>2342</v>
      </c>
      <c r="B145" s="834">
        <v>142</v>
      </c>
      <c r="C145" s="834" t="s">
        <v>3271</v>
      </c>
      <c r="D145" s="834" t="s">
        <v>1212</v>
      </c>
      <c r="E145" s="852">
        <v>46041.041666666664</v>
      </c>
      <c r="F145" s="834" t="s">
        <v>140</v>
      </c>
      <c r="G145" s="834">
        <v>8</v>
      </c>
      <c r="H145" s="834" t="s">
        <v>127</v>
      </c>
      <c r="I145" s="834"/>
      <c r="J145" s="834"/>
      <c r="K145" s="136" t="s">
        <v>3217</v>
      </c>
      <c r="L145" s="834"/>
      <c r="M145" s="834"/>
      <c r="N145" s="834"/>
      <c r="O145" s="834"/>
      <c r="P145" s="834" t="s">
        <v>113</v>
      </c>
      <c r="Q145" s="400" t="s">
        <v>30</v>
      </c>
      <c r="R145" s="848">
        <v>46079</v>
      </c>
      <c r="S145" s="852" t="s">
        <v>67</v>
      </c>
      <c r="T145" s="834" t="s">
        <v>32</v>
      </c>
      <c r="U145" s="834">
        <v>9</v>
      </c>
      <c r="V145" s="852" t="s">
        <v>67</v>
      </c>
      <c r="W145" s="848">
        <v>46079</v>
      </c>
      <c r="X145" s="96" t="s">
        <v>113</v>
      </c>
      <c r="Y145" s="96"/>
      <c r="Z145" s="103"/>
      <c r="AA145" s="91"/>
      <c r="AB145" s="91"/>
      <c r="AC145" s="91"/>
      <c r="AD145" s="96"/>
      <c r="AE145" s="96"/>
      <c r="AF145" s="96"/>
      <c r="AG145" s="96"/>
      <c r="AH145" s="96"/>
      <c r="AI145" s="110"/>
      <c r="AJ145" s="96"/>
      <c r="AK145" s="96"/>
      <c r="AL145" s="96"/>
      <c r="AM145" s="110"/>
      <c r="AN145" s="840"/>
      <c r="AO145" s="832"/>
      <c r="AP145" s="832"/>
      <c r="AQ145" s="832"/>
      <c r="AR145" s="832"/>
      <c r="AS145"/>
      <c r="AT145"/>
      <c r="AU145" s="71"/>
      <c r="AY145" s="105"/>
      <c r="BB145">
        <f t="shared" si="2"/>
        <v>1</v>
      </c>
    </row>
    <row r="146" spans="1:54" ht="15.75" customHeight="1">
      <c r="A146" s="834" t="s">
        <v>2342</v>
      </c>
      <c r="B146" s="834">
        <v>143</v>
      </c>
      <c r="C146" s="834" t="s">
        <v>3272</v>
      </c>
      <c r="D146" s="834" t="s">
        <v>2397</v>
      </c>
      <c r="E146" s="852">
        <v>46041.041666666664</v>
      </c>
      <c r="F146" s="834" t="s">
        <v>140</v>
      </c>
      <c r="G146" s="834">
        <v>1</v>
      </c>
      <c r="H146" s="834" t="s">
        <v>127</v>
      </c>
      <c r="I146" s="834"/>
      <c r="J146" s="834"/>
      <c r="K146" s="136" t="s">
        <v>3217</v>
      </c>
      <c r="L146" s="834"/>
      <c r="M146" s="834"/>
      <c r="N146" s="834"/>
      <c r="O146" s="834"/>
      <c r="P146" s="834" t="s">
        <v>113</v>
      </c>
      <c r="Q146" s="400" t="s">
        <v>30</v>
      </c>
      <c r="R146" s="848">
        <v>46078</v>
      </c>
      <c r="S146" s="852" t="s">
        <v>67</v>
      </c>
      <c r="T146" s="834" t="s">
        <v>32</v>
      </c>
      <c r="U146" s="834">
        <v>1</v>
      </c>
      <c r="V146" s="852" t="s">
        <v>67</v>
      </c>
      <c r="W146" s="848">
        <v>46078</v>
      </c>
      <c r="X146" s="96" t="s">
        <v>113</v>
      </c>
      <c r="Y146" s="91"/>
      <c r="Z146" s="103"/>
      <c r="AA146" s="96"/>
      <c r="AB146" s="96"/>
      <c r="AC146" s="96"/>
      <c r="AD146" s="96"/>
      <c r="AE146" s="96"/>
      <c r="AF146" s="96"/>
      <c r="AG146" s="96"/>
      <c r="AH146" s="96"/>
      <c r="AI146" s="110"/>
      <c r="AJ146" s="110"/>
      <c r="AK146" s="110"/>
      <c r="AL146" s="110"/>
      <c r="AM146" s="110"/>
      <c r="AN146" s="840"/>
      <c r="AO146" s="832"/>
      <c r="AP146" s="832"/>
      <c r="AQ146" s="832"/>
      <c r="AR146" s="832"/>
      <c r="AS146"/>
      <c r="AT146"/>
      <c r="AU146" s="71"/>
      <c r="AY146" s="105"/>
      <c r="BB146">
        <f t="shared" si="2"/>
        <v>1</v>
      </c>
    </row>
    <row r="147" spans="1:54" ht="15.75" customHeight="1">
      <c r="A147" s="834" t="s">
        <v>2342</v>
      </c>
      <c r="B147" s="834">
        <v>144</v>
      </c>
      <c r="C147" s="136" t="s">
        <v>3273</v>
      </c>
      <c r="D147" s="834" t="s">
        <v>1426</v>
      </c>
      <c r="E147" s="852">
        <v>46041.041666666664</v>
      </c>
      <c r="F147" s="834" t="s">
        <v>140</v>
      </c>
      <c r="G147" s="834">
        <v>3</v>
      </c>
      <c r="H147" s="834" t="s">
        <v>127</v>
      </c>
      <c r="I147" s="834"/>
      <c r="J147" s="834"/>
      <c r="K147" s="136" t="s">
        <v>3217</v>
      </c>
      <c r="L147" s="834"/>
      <c r="M147" s="834"/>
      <c r="N147" s="834"/>
      <c r="O147" s="834"/>
      <c r="P147" s="834" t="s">
        <v>113</v>
      </c>
      <c r="Q147" s="400" t="s">
        <v>30</v>
      </c>
      <c r="R147" s="848">
        <v>46084</v>
      </c>
      <c r="S147" s="852" t="s">
        <v>67</v>
      </c>
      <c r="T147" s="834" t="s">
        <v>32</v>
      </c>
      <c r="U147" s="834">
        <v>3</v>
      </c>
      <c r="V147" s="852" t="s">
        <v>67</v>
      </c>
      <c r="W147" s="848">
        <v>46084</v>
      </c>
      <c r="X147" s="96" t="s">
        <v>113</v>
      </c>
      <c r="Y147" s="96"/>
      <c r="Z147" s="103"/>
      <c r="AA147" s="96"/>
      <c r="AB147" s="96"/>
      <c r="AC147" s="96"/>
      <c r="AD147" s="96"/>
      <c r="AE147" s="96"/>
      <c r="AF147" s="96"/>
      <c r="AG147" s="96"/>
      <c r="AH147" s="96"/>
      <c r="AI147" s="110"/>
      <c r="AJ147" s="96"/>
      <c r="AK147" s="96"/>
      <c r="AL147" s="96"/>
      <c r="AM147" s="110"/>
      <c r="AN147" s="840"/>
      <c r="AO147" s="832"/>
      <c r="AP147" s="832"/>
      <c r="AQ147" s="832"/>
      <c r="AR147" s="832"/>
      <c r="AS147"/>
      <c r="AT147"/>
      <c r="AY147" s="105"/>
      <c r="BB147">
        <f t="shared" si="2"/>
        <v>1</v>
      </c>
    </row>
    <row r="148" spans="1:54" ht="15.75" customHeight="1">
      <c r="A148" s="834" t="s">
        <v>2342</v>
      </c>
      <c r="B148" s="834">
        <v>145</v>
      </c>
      <c r="C148" s="834" t="s">
        <v>3274</v>
      </c>
      <c r="D148" s="834" t="s">
        <v>818</v>
      </c>
      <c r="E148" s="852">
        <v>46041.041666666664</v>
      </c>
      <c r="F148" s="834" t="s">
        <v>140</v>
      </c>
      <c r="G148" s="834">
        <v>6</v>
      </c>
      <c r="H148" s="834" t="s">
        <v>127</v>
      </c>
      <c r="I148" s="834"/>
      <c r="J148" s="834"/>
      <c r="K148" s="136" t="s">
        <v>3217</v>
      </c>
      <c r="L148" s="834"/>
      <c r="M148" s="834"/>
      <c r="N148" s="834"/>
      <c r="O148" s="834"/>
      <c r="P148" s="834" t="s">
        <v>113</v>
      </c>
      <c r="Q148" s="400" t="s">
        <v>30</v>
      </c>
      <c r="R148" s="848">
        <v>46079</v>
      </c>
      <c r="S148" s="852" t="s">
        <v>67</v>
      </c>
      <c r="T148" s="834" t="s">
        <v>32</v>
      </c>
      <c r="U148" s="834">
        <v>6</v>
      </c>
      <c r="V148" s="852" t="s">
        <v>67</v>
      </c>
      <c r="W148" s="848">
        <v>46079</v>
      </c>
      <c r="X148" s="96" t="s">
        <v>113</v>
      </c>
      <c r="Y148" s="96"/>
      <c r="Z148" s="103"/>
      <c r="AA148" s="96"/>
      <c r="AB148" s="96"/>
      <c r="AC148" s="96"/>
      <c r="AD148" s="96"/>
      <c r="AE148" s="96"/>
      <c r="AF148" s="96"/>
      <c r="AG148" s="96"/>
      <c r="AH148" s="96"/>
      <c r="AI148" s="110"/>
      <c r="AJ148" s="110"/>
      <c r="AK148" s="110"/>
      <c r="AL148" s="107"/>
      <c r="AM148" s="110"/>
      <c r="AN148" s="840"/>
      <c r="AO148" s="832"/>
      <c r="AP148" s="832"/>
      <c r="AQ148" s="832"/>
      <c r="AR148" s="832"/>
      <c r="AS148"/>
      <c r="AT148"/>
      <c r="AY148" s="105"/>
      <c r="BB148">
        <f t="shared" si="2"/>
        <v>1</v>
      </c>
    </row>
    <row r="149" spans="1:54" ht="15.75" customHeight="1">
      <c r="A149" s="834" t="s">
        <v>2342</v>
      </c>
      <c r="B149" s="834">
        <v>146</v>
      </c>
      <c r="C149" s="834" t="s">
        <v>3275</v>
      </c>
      <c r="D149" s="834" t="s">
        <v>779</v>
      </c>
      <c r="E149" s="852">
        <v>46041.041666666664</v>
      </c>
      <c r="F149" s="834" t="s">
        <v>140</v>
      </c>
      <c r="G149" s="834">
        <v>7</v>
      </c>
      <c r="H149" s="834" t="s">
        <v>1799</v>
      </c>
      <c r="I149" s="834"/>
      <c r="J149" s="834"/>
      <c r="K149" s="136" t="s">
        <v>3217</v>
      </c>
      <c r="L149" s="834"/>
      <c r="M149" s="834"/>
      <c r="N149" s="834"/>
      <c r="O149" s="834"/>
      <c r="P149" s="834" t="s">
        <v>113</v>
      </c>
      <c r="Q149" s="400" t="s">
        <v>30</v>
      </c>
      <c r="R149" s="848">
        <v>46079</v>
      </c>
      <c r="S149" s="852" t="s">
        <v>67</v>
      </c>
      <c r="T149" s="834" t="s">
        <v>32</v>
      </c>
      <c r="U149" s="834">
        <v>7</v>
      </c>
      <c r="V149" s="852" t="s">
        <v>67</v>
      </c>
      <c r="W149" s="848">
        <v>46079</v>
      </c>
      <c r="X149" s="96" t="s">
        <v>113</v>
      </c>
      <c r="Y149" s="96"/>
      <c r="Z149" s="103"/>
      <c r="AA149" s="96"/>
      <c r="AB149" s="96"/>
      <c r="AC149" s="96"/>
      <c r="AD149" s="96"/>
      <c r="AE149" s="96"/>
      <c r="AF149" s="96"/>
      <c r="AG149" s="96"/>
      <c r="AH149" s="96"/>
      <c r="AI149" s="110"/>
      <c r="AJ149" s="96"/>
      <c r="AK149" s="96"/>
      <c r="AL149" s="96"/>
      <c r="AM149" s="110"/>
      <c r="AN149" s="840"/>
      <c r="AO149" s="83"/>
      <c r="AP149" s="83"/>
      <c r="AQ149" s="83"/>
      <c r="AR149" s="83"/>
      <c r="AS149" s="6"/>
      <c r="AT149" s="6"/>
      <c r="AU149" s="104"/>
      <c r="AV149" s="105"/>
      <c r="AW149" s="105"/>
      <c r="AX149" s="105"/>
      <c r="AY149" s="105"/>
      <c r="BB149">
        <f t="shared" si="2"/>
        <v>1</v>
      </c>
    </row>
    <row r="150" spans="1:54" ht="15.75" customHeight="1">
      <c r="A150" s="834" t="s">
        <v>2342</v>
      </c>
      <c r="B150" s="834">
        <v>147</v>
      </c>
      <c r="C150" s="109" t="s">
        <v>3276</v>
      </c>
      <c r="D150" s="847" t="s">
        <v>1245</v>
      </c>
      <c r="E150" s="880">
        <v>46041</v>
      </c>
      <c r="F150" s="834" t="s">
        <v>140</v>
      </c>
      <c r="G150" s="847">
        <v>1</v>
      </c>
      <c r="H150" s="847" t="s">
        <v>1077</v>
      </c>
      <c r="I150" s="847"/>
      <c r="J150" s="834"/>
      <c r="K150" s="136" t="s">
        <v>3217</v>
      </c>
      <c r="L150" s="834"/>
      <c r="M150" s="847"/>
      <c r="N150" s="847"/>
      <c r="O150" s="847"/>
      <c r="P150" s="834" t="s">
        <v>113</v>
      </c>
      <c r="Q150" s="400" t="s">
        <v>30</v>
      </c>
      <c r="R150" s="848">
        <v>46084</v>
      </c>
      <c r="S150" s="852" t="s">
        <v>67</v>
      </c>
      <c r="T150" s="834" t="s">
        <v>32</v>
      </c>
      <c r="U150" s="834">
        <v>1</v>
      </c>
      <c r="V150" s="852" t="s">
        <v>67</v>
      </c>
      <c r="W150" s="848">
        <v>46084</v>
      </c>
      <c r="X150" s="96" t="s">
        <v>113</v>
      </c>
      <c r="Y150" s="96"/>
      <c r="Z150" s="91"/>
      <c r="AA150" s="96"/>
      <c r="AB150" s="96"/>
      <c r="AC150" s="96"/>
      <c r="AD150" s="96"/>
      <c r="AE150" s="96"/>
      <c r="AF150" s="96"/>
      <c r="AG150" s="96"/>
      <c r="AH150" s="96"/>
      <c r="AI150" s="110"/>
      <c r="AJ150" s="96"/>
      <c r="AK150" s="96"/>
      <c r="AL150" s="96"/>
      <c r="AM150" s="91"/>
      <c r="AN150" s="840"/>
      <c r="AO150" s="832"/>
      <c r="AP150" s="875"/>
      <c r="AQ150" s="875"/>
      <c r="AR150" s="875"/>
      <c r="AS150" s="776"/>
      <c r="AT150" s="776"/>
      <c r="AU150"/>
      <c r="AV150"/>
      <c r="AW150"/>
      <c r="AX150"/>
      <c r="BB150">
        <f t="shared" si="2"/>
        <v>1</v>
      </c>
    </row>
    <row r="151" spans="1:54" ht="15.75" customHeight="1">
      <c r="A151" s="834" t="s">
        <v>2342</v>
      </c>
      <c r="B151" s="834">
        <v>148</v>
      </c>
      <c r="C151" s="109" t="s">
        <v>3277</v>
      </c>
      <c r="D151" s="847" t="s">
        <v>1887</v>
      </c>
      <c r="E151" s="880">
        <v>46041.041666666664</v>
      </c>
      <c r="F151" s="834" t="s">
        <v>140</v>
      </c>
      <c r="G151" s="847">
        <v>3</v>
      </c>
      <c r="H151" s="847" t="s">
        <v>127</v>
      </c>
      <c r="I151" s="847"/>
      <c r="J151" s="834"/>
      <c r="K151" s="136" t="s">
        <v>3217</v>
      </c>
      <c r="L151" s="834"/>
      <c r="M151" s="847"/>
      <c r="N151" s="847"/>
      <c r="O151" s="847"/>
      <c r="P151" s="834" t="s">
        <v>113</v>
      </c>
      <c r="Q151" s="400" t="s">
        <v>30</v>
      </c>
      <c r="R151" s="848">
        <v>46084</v>
      </c>
      <c r="S151" s="852" t="s">
        <v>67</v>
      </c>
      <c r="T151" s="834" t="s">
        <v>32</v>
      </c>
      <c r="U151" s="834">
        <v>3</v>
      </c>
      <c r="V151" s="852" t="s">
        <v>67</v>
      </c>
      <c r="W151" s="848">
        <v>46084</v>
      </c>
      <c r="X151" s="96" t="s">
        <v>113</v>
      </c>
      <c r="Y151" s="96"/>
      <c r="Z151" s="91"/>
      <c r="AA151" s="96"/>
      <c r="AB151" s="96"/>
      <c r="AC151" s="96"/>
      <c r="AD151" s="91"/>
      <c r="AE151" s="96"/>
      <c r="AF151" s="96"/>
      <c r="AG151" s="96"/>
      <c r="AH151" s="96"/>
      <c r="AI151" s="110"/>
      <c r="AJ151" s="107"/>
      <c r="AK151" s="107"/>
      <c r="AL151" s="107"/>
      <c r="AM151" s="91"/>
      <c r="AN151" s="840"/>
      <c r="AO151" s="832"/>
      <c r="AP151" s="875"/>
      <c r="AQ151" s="875"/>
      <c r="AR151" s="875"/>
      <c r="AS151" s="776"/>
      <c r="AT151" s="776"/>
      <c r="AU151"/>
      <c r="AV151"/>
      <c r="AW151"/>
      <c r="AX151"/>
      <c r="BB151">
        <f t="shared" si="2"/>
        <v>1</v>
      </c>
    </row>
    <row r="152" spans="1:54" ht="15.75" customHeight="1">
      <c r="A152" s="834" t="s">
        <v>2342</v>
      </c>
      <c r="B152" s="834">
        <v>149</v>
      </c>
      <c r="C152" s="847" t="s">
        <v>3278</v>
      </c>
      <c r="D152" s="847" t="s">
        <v>1008</v>
      </c>
      <c r="E152" s="880">
        <v>46041.041666666664</v>
      </c>
      <c r="F152" s="834" t="s">
        <v>140</v>
      </c>
      <c r="G152" s="847">
        <v>3</v>
      </c>
      <c r="H152" s="847" t="s">
        <v>127</v>
      </c>
      <c r="I152" s="847"/>
      <c r="J152" s="834"/>
      <c r="K152" s="136" t="s">
        <v>3217</v>
      </c>
      <c r="L152" s="834"/>
      <c r="M152" s="847"/>
      <c r="N152" s="847"/>
      <c r="O152" s="847"/>
      <c r="P152" s="834" t="s">
        <v>113</v>
      </c>
      <c r="Q152" s="400" t="s">
        <v>30</v>
      </c>
      <c r="R152" s="848">
        <v>46079</v>
      </c>
      <c r="S152" s="852" t="s">
        <v>67</v>
      </c>
      <c r="T152" s="834" t="s">
        <v>32</v>
      </c>
      <c r="U152" s="834">
        <v>3</v>
      </c>
      <c r="V152" s="852" t="s">
        <v>67</v>
      </c>
      <c r="W152" s="848">
        <v>46079</v>
      </c>
      <c r="X152" s="96" t="s">
        <v>113</v>
      </c>
      <c r="Y152" s="96"/>
      <c r="Z152" s="91"/>
      <c r="AA152" s="96"/>
      <c r="AB152" s="96"/>
      <c r="AC152" s="96"/>
      <c r="AD152" s="96"/>
      <c r="AE152" s="96"/>
      <c r="AF152" s="96"/>
      <c r="AG152" s="96"/>
      <c r="AH152" s="96"/>
      <c r="AI152" s="110"/>
      <c r="AJ152" s="110"/>
      <c r="AK152" s="110"/>
      <c r="AL152" s="96"/>
      <c r="AM152" s="91"/>
      <c r="AN152" s="840"/>
      <c r="AO152" s="83"/>
      <c r="AP152" s="83"/>
      <c r="AQ152" s="83"/>
      <c r="AR152" s="83"/>
      <c r="AS152" s="6"/>
      <c r="AT152" s="6"/>
      <c r="AU152" s="104"/>
      <c r="AV152" s="105"/>
      <c r="AW152" s="105"/>
      <c r="AX152" s="105"/>
      <c r="AY152" s="105"/>
      <c r="BB152">
        <f t="shared" si="2"/>
        <v>1</v>
      </c>
    </row>
    <row r="153" spans="1:54" ht="15.6" customHeight="1">
      <c r="A153" s="834" t="s">
        <v>2342</v>
      </c>
      <c r="B153" s="834">
        <v>150</v>
      </c>
      <c r="C153" s="109" t="s">
        <v>3279</v>
      </c>
      <c r="D153" s="847" t="s">
        <v>1565</v>
      </c>
      <c r="E153" s="880">
        <v>46048.041666666664</v>
      </c>
      <c r="F153" s="834" t="s">
        <v>140</v>
      </c>
      <c r="G153" s="847">
        <v>16</v>
      </c>
      <c r="H153" s="847" t="s">
        <v>1799</v>
      </c>
      <c r="I153" s="847"/>
      <c r="J153" s="98"/>
      <c r="K153" s="136" t="s">
        <v>3217</v>
      </c>
      <c r="L153" s="834"/>
      <c r="M153" s="847"/>
      <c r="N153" s="847"/>
      <c r="O153" s="847"/>
      <c r="P153" s="834" t="s">
        <v>113</v>
      </c>
      <c r="Q153" s="400" t="s">
        <v>30</v>
      </c>
      <c r="R153" s="848">
        <v>46084</v>
      </c>
      <c r="S153" s="852" t="s">
        <v>67</v>
      </c>
      <c r="T153" s="834" t="s">
        <v>32</v>
      </c>
      <c r="U153" s="834">
        <v>19</v>
      </c>
      <c r="V153" s="852" t="s">
        <v>67</v>
      </c>
      <c r="W153" s="848">
        <v>46084</v>
      </c>
      <c r="X153" s="96" t="s">
        <v>113</v>
      </c>
      <c r="Y153" s="90"/>
      <c r="Z153" s="91"/>
      <c r="AA153" s="96"/>
      <c r="AB153" s="96"/>
      <c r="AC153" s="96"/>
      <c r="AD153" s="96"/>
      <c r="AE153" s="96"/>
      <c r="AF153" s="96"/>
      <c r="AG153" s="96"/>
      <c r="AH153" s="96"/>
      <c r="AI153" s="110"/>
      <c r="AJ153" s="90"/>
      <c r="AK153" s="90"/>
      <c r="AL153" s="90"/>
      <c r="AM153" s="91"/>
      <c r="AN153" s="840"/>
      <c r="AO153" s="83"/>
      <c r="AP153" s="83"/>
      <c r="AQ153" s="83"/>
      <c r="AR153" s="83"/>
      <c r="AS153" s="6"/>
      <c r="AT153" s="6"/>
      <c r="AU153" s="104"/>
      <c r="AV153" s="105"/>
      <c r="AW153" s="105"/>
      <c r="AX153" s="105"/>
      <c r="AY153" s="105"/>
      <c r="BB153">
        <f t="shared" si="2"/>
        <v>1</v>
      </c>
    </row>
    <row r="154" spans="1:54" ht="15.75" customHeight="1">
      <c r="A154" s="834" t="s">
        <v>2342</v>
      </c>
      <c r="B154" s="834">
        <v>151</v>
      </c>
      <c r="C154" s="129" t="s">
        <v>3280</v>
      </c>
      <c r="D154" s="847" t="s">
        <v>960</v>
      </c>
      <c r="E154" s="880">
        <v>46048.041666666664</v>
      </c>
      <c r="F154" s="834" t="s">
        <v>140</v>
      </c>
      <c r="G154" s="847">
        <v>12</v>
      </c>
      <c r="H154" s="847" t="s">
        <v>127</v>
      </c>
      <c r="I154" s="847"/>
      <c r="J154" s="834"/>
      <c r="K154" s="136" t="s">
        <v>3217</v>
      </c>
      <c r="L154" s="834"/>
      <c r="M154" s="847"/>
      <c r="N154" s="847"/>
      <c r="O154" s="847"/>
      <c r="P154" s="834" t="s">
        <v>113</v>
      </c>
      <c r="Q154" s="848"/>
      <c r="R154" s="848"/>
      <c r="S154" s="852" t="s">
        <v>67</v>
      </c>
      <c r="T154" s="834"/>
      <c r="U154" s="834">
        <v>15</v>
      </c>
      <c r="V154" s="852" t="s">
        <v>67</v>
      </c>
      <c r="W154" s="848"/>
      <c r="X154" s="96" t="s">
        <v>113</v>
      </c>
      <c r="Y154" s="90"/>
      <c r="Z154" s="91"/>
      <c r="AA154" s="96"/>
      <c r="AB154" s="96"/>
      <c r="AC154" s="96"/>
      <c r="AD154" s="96"/>
      <c r="AE154" s="96"/>
      <c r="AF154" s="96"/>
      <c r="AG154" s="96"/>
      <c r="AH154" s="96"/>
      <c r="AI154" s="110"/>
      <c r="AJ154" s="90"/>
      <c r="AK154" s="90"/>
      <c r="AL154" s="90"/>
      <c r="AM154" s="91"/>
      <c r="AN154" s="840"/>
      <c r="AO154" s="83"/>
      <c r="AP154" s="83"/>
      <c r="AQ154" s="83"/>
      <c r="AR154" s="83"/>
      <c r="AS154" s="6"/>
      <c r="AT154" s="6"/>
      <c r="AU154" s="104"/>
      <c r="AV154" s="105"/>
      <c r="AW154" s="105"/>
      <c r="AX154" s="105"/>
      <c r="AY154" s="105"/>
      <c r="BB154">
        <f t="shared" si="2"/>
        <v>1</v>
      </c>
    </row>
    <row r="155" spans="1:54" ht="15.6" customHeight="1">
      <c r="A155" s="834" t="s">
        <v>2342</v>
      </c>
      <c r="B155" s="834">
        <v>152</v>
      </c>
      <c r="C155" s="847" t="s">
        <v>3281</v>
      </c>
      <c r="D155" s="847" t="s">
        <v>937</v>
      </c>
      <c r="E155" s="880">
        <v>46048.041666666664</v>
      </c>
      <c r="F155" s="834" t="s">
        <v>140</v>
      </c>
      <c r="G155" s="847">
        <v>28</v>
      </c>
      <c r="H155" s="847" t="s">
        <v>1799</v>
      </c>
      <c r="I155" s="847"/>
      <c r="J155" s="98" t="s">
        <v>3282</v>
      </c>
      <c r="K155" s="136" t="s">
        <v>3217</v>
      </c>
      <c r="L155" s="834"/>
      <c r="M155" s="847"/>
      <c r="N155" s="847"/>
      <c r="O155" s="847"/>
      <c r="P155" s="834" t="s">
        <v>113</v>
      </c>
      <c r="Q155" s="400" t="s">
        <v>30</v>
      </c>
      <c r="R155" s="848">
        <v>46079</v>
      </c>
      <c r="S155" s="852" t="s">
        <v>67</v>
      </c>
      <c r="T155" s="834" t="s">
        <v>32</v>
      </c>
      <c r="U155" s="834">
        <v>27</v>
      </c>
      <c r="V155" s="852" t="s">
        <v>67</v>
      </c>
      <c r="W155" s="848">
        <v>46079</v>
      </c>
      <c r="X155" s="96" t="s">
        <v>113</v>
      </c>
      <c r="Y155" s="91"/>
      <c r="Z155" s="91"/>
      <c r="AA155" s="96"/>
      <c r="AB155" s="91"/>
      <c r="AC155" s="96"/>
      <c r="AD155" s="96"/>
      <c r="AE155" s="96"/>
      <c r="AF155" s="96"/>
      <c r="AG155" s="96"/>
      <c r="AH155" s="96"/>
      <c r="AI155" s="110"/>
      <c r="AJ155" s="110"/>
      <c r="AK155" s="110"/>
      <c r="AL155" s="107"/>
      <c r="AM155" s="91"/>
      <c r="AN155" s="840"/>
      <c r="AO155" s="832"/>
      <c r="AP155" s="875"/>
      <c r="AQ155" s="875"/>
      <c r="AR155" s="875"/>
      <c r="AS155" s="776"/>
      <c r="AT155" s="776"/>
      <c r="AU155"/>
      <c r="AV155"/>
      <c r="AW155"/>
      <c r="AX155"/>
      <c r="BB155">
        <f t="shared" si="2"/>
        <v>1</v>
      </c>
    </row>
    <row r="156" spans="1:54" ht="15.75" customHeight="1">
      <c r="A156" s="834" t="s">
        <v>2342</v>
      </c>
      <c r="B156" s="834">
        <v>153</v>
      </c>
      <c r="C156" s="129" t="s">
        <v>3283</v>
      </c>
      <c r="D156" s="847" t="s">
        <v>1401</v>
      </c>
      <c r="E156" s="880">
        <v>46048</v>
      </c>
      <c r="F156" s="834" t="s">
        <v>140</v>
      </c>
      <c r="G156" s="847">
        <v>9</v>
      </c>
      <c r="H156" s="847" t="s">
        <v>67</v>
      </c>
      <c r="I156" s="847"/>
      <c r="J156" s="834"/>
      <c r="K156" s="136" t="s">
        <v>3217</v>
      </c>
      <c r="L156" s="834"/>
      <c r="M156" s="847"/>
      <c r="N156" s="847"/>
      <c r="O156" s="847"/>
      <c r="P156" s="834" t="s">
        <v>113</v>
      </c>
      <c r="Q156" s="848"/>
      <c r="R156" s="848"/>
      <c r="S156" s="852" t="s">
        <v>67</v>
      </c>
      <c r="T156" s="834"/>
      <c r="U156" s="834">
        <v>9</v>
      </c>
      <c r="V156" s="852" t="s">
        <v>67</v>
      </c>
      <c r="W156" s="848"/>
      <c r="X156" s="96" t="s">
        <v>113</v>
      </c>
      <c r="Y156" s="96"/>
      <c r="Z156" s="91"/>
      <c r="AA156" s="96"/>
      <c r="AB156" s="96"/>
      <c r="AC156" s="96"/>
      <c r="AD156" s="96"/>
      <c r="AE156" s="96"/>
      <c r="AF156" s="96"/>
      <c r="AG156" s="96"/>
      <c r="AH156" s="96"/>
      <c r="AI156" s="110"/>
      <c r="AJ156" s="110"/>
      <c r="AK156" s="96"/>
      <c r="AL156" s="96"/>
      <c r="AM156" s="91"/>
      <c r="AN156" s="840"/>
      <c r="AO156" s="832"/>
      <c r="AP156" s="875"/>
      <c r="AQ156" s="875"/>
      <c r="AR156" s="875"/>
      <c r="AS156" s="776"/>
      <c r="AT156" s="776"/>
      <c r="AU156"/>
      <c r="AV156"/>
      <c r="AW156"/>
      <c r="AX156"/>
      <c r="BB156">
        <f t="shared" si="2"/>
        <v>1</v>
      </c>
    </row>
    <row r="157" spans="1:54" ht="15.75" customHeight="1">
      <c r="A157" s="834" t="s">
        <v>2342</v>
      </c>
      <c r="B157" s="834">
        <v>154</v>
      </c>
      <c r="C157" s="129" t="s">
        <v>3284</v>
      </c>
      <c r="D157" s="847" t="s">
        <v>1567</v>
      </c>
      <c r="E157" s="880">
        <v>46048</v>
      </c>
      <c r="F157" s="834" t="s">
        <v>140</v>
      </c>
      <c r="G157" s="847">
        <v>1</v>
      </c>
      <c r="H157" s="847" t="s">
        <v>1077</v>
      </c>
      <c r="I157" s="847"/>
      <c r="J157" s="834"/>
      <c r="K157" s="136" t="s">
        <v>3217</v>
      </c>
      <c r="L157" s="834"/>
      <c r="M157" s="847"/>
      <c r="N157" s="847"/>
      <c r="O157" s="847"/>
      <c r="P157" s="834" t="s">
        <v>113</v>
      </c>
      <c r="Q157" s="848"/>
      <c r="R157" s="848"/>
      <c r="S157" s="852" t="s">
        <v>67</v>
      </c>
      <c r="T157" s="834"/>
      <c r="U157" s="834">
        <v>1</v>
      </c>
      <c r="V157" s="852" t="s">
        <v>67</v>
      </c>
      <c r="W157" s="848"/>
      <c r="X157" s="96" t="s">
        <v>113</v>
      </c>
      <c r="Y157" s="96"/>
      <c r="Z157" s="91"/>
      <c r="AA157" s="96"/>
      <c r="AB157" s="96"/>
      <c r="AC157" s="96"/>
      <c r="AD157" s="96"/>
      <c r="AE157" s="96"/>
      <c r="AF157" s="96"/>
      <c r="AG157" s="96"/>
      <c r="AH157" s="96"/>
      <c r="AI157" s="110"/>
      <c r="AJ157" s="107"/>
      <c r="AK157" s="107"/>
      <c r="AL157" s="107"/>
      <c r="AM157" s="91"/>
      <c r="AN157" s="840"/>
      <c r="AO157" s="832"/>
      <c r="AP157" s="875"/>
      <c r="AQ157" s="875"/>
      <c r="AR157" s="875"/>
      <c r="AS157" s="776"/>
      <c r="AT157" s="776"/>
      <c r="AU157"/>
      <c r="AV157"/>
      <c r="AW157"/>
      <c r="AX157"/>
      <c r="BB157">
        <f t="shared" si="2"/>
        <v>1</v>
      </c>
    </row>
    <row r="158" spans="1:54" ht="15.75" customHeight="1">
      <c r="A158" s="834" t="s">
        <v>2342</v>
      </c>
      <c r="B158" s="834">
        <v>155</v>
      </c>
      <c r="C158" s="847" t="s">
        <v>3285</v>
      </c>
      <c r="D158" s="847" t="s">
        <v>1250</v>
      </c>
      <c r="E158" s="880">
        <v>46048.041666666664</v>
      </c>
      <c r="F158" s="834" t="s">
        <v>140</v>
      </c>
      <c r="G158" s="847">
        <v>4</v>
      </c>
      <c r="H158" s="847" t="s">
        <v>127</v>
      </c>
      <c r="I158" s="847"/>
      <c r="J158" s="834"/>
      <c r="K158" s="136" t="s">
        <v>3217</v>
      </c>
      <c r="L158" s="834"/>
      <c r="M158" s="847"/>
      <c r="N158" s="847"/>
      <c r="O158" s="847"/>
      <c r="P158" s="834" t="s">
        <v>113</v>
      </c>
      <c r="Q158" s="400" t="s">
        <v>30</v>
      </c>
      <c r="R158" s="848">
        <v>46079</v>
      </c>
      <c r="S158" s="852" t="s">
        <v>67</v>
      </c>
      <c r="T158" s="834" t="s">
        <v>32</v>
      </c>
      <c r="U158" s="834">
        <v>4</v>
      </c>
      <c r="V158" s="852" t="s">
        <v>67</v>
      </c>
      <c r="W158" s="848">
        <v>46079</v>
      </c>
      <c r="X158" s="96" t="s">
        <v>113</v>
      </c>
      <c r="Y158" s="96"/>
      <c r="Z158" s="91"/>
      <c r="AA158" s="96"/>
      <c r="AB158" s="96"/>
      <c r="AC158" s="96"/>
      <c r="AD158" s="96"/>
      <c r="AE158" s="96"/>
      <c r="AF158" s="96"/>
      <c r="AG158" s="96"/>
      <c r="AH158" s="96"/>
      <c r="AI158" s="110"/>
      <c r="AJ158" s="96"/>
      <c r="AK158" s="96"/>
      <c r="AL158" s="96"/>
      <c r="AM158" s="91"/>
      <c r="AN158" s="840"/>
      <c r="AO158" s="832"/>
      <c r="AP158" s="875"/>
      <c r="AQ158" s="875"/>
      <c r="AR158" s="875"/>
      <c r="AS158" s="776"/>
      <c r="AT158" s="776"/>
      <c r="AU158"/>
      <c r="AV158"/>
      <c r="AW158"/>
      <c r="AX158"/>
      <c r="BB158">
        <f t="shared" si="2"/>
        <v>1</v>
      </c>
    </row>
    <row r="159" spans="1:54" ht="15.75" customHeight="1">
      <c r="A159" s="834" t="s">
        <v>2342</v>
      </c>
      <c r="B159" s="834">
        <v>156</v>
      </c>
      <c r="C159" s="847" t="s">
        <v>3286</v>
      </c>
      <c r="D159" s="847" t="s">
        <v>1403</v>
      </c>
      <c r="E159" s="880">
        <v>46048.375</v>
      </c>
      <c r="F159" s="834" t="s">
        <v>140</v>
      </c>
      <c r="G159" s="847">
        <v>55</v>
      </c>
      <c r="H159" s="847" t="s">
        <v>3287</v>
      </c>
      <c r="I159" s="847"/>
      <c r="J159" s="98" t="s">
        <v>3288</v>
      </c>
      <c r="K159" s="136" t="s">
        <v>3217</v>
      </c>
      <c r="L159" s="834"/>
      <c r="M159" s="847"/>
      <c r="N159" s="847"/>
      <c r="O159" s="847"/>
      <c r="P159" s="834" t="s">
        <v>113</v>
      </c>
      <c r="Q159" s="400" t="s">
        <v>30</v>
      </c>
      <c r="R159" s="848">
        <v>46079</v>
      </c>
      <c r="S159" s="852" t="s">
        <v>67</v>
      </c>
      <c r="T159" s="834" t="s">
        <v>32</v>
      </c>
      <c r="U159" s="834">
        <v>27</v>
      </c>
      <c r="V159" s="852" t="s">
        <v>67</v>
      </c>
      <c r="W159" s="848">
        <v>46079</v>
      </c>
      <c r="X159" s="96" t="s">
        <v>113</v>
      </c>
      <c r="Y159" s="96"/>
      <c r="Z159" s="91"/>
      <c r="AA159" s="96"/>
      <c r="AB159" s="91"/>
      <c r="AC159" s="96"/>
      <c r="AD159" s="96"/>
      <c r="AE159" s="96"/>
      <c r="AF159" s="96"/>
      <c r="AG159" s="96"/>
      <c r="AH159" s="96"/>
      <c r="AI159" s="110"/>
      <c r="AJ159" s="110"/>
      <c r="AK159" s="110"/>
      <c r="AL159" s="110"/>
      <c r="AM159" s="91"/>
      <c r="AN159" s="840"/>
      <c r="AO159" s="832"/>
      <c r="AP159" s="875"/>
      <c r="AQ159" s="875"/>
      <c r="AR159" s="875"/>
      <c r="AS159" s="776"/>
      <c r="AT159" s="776"/>
      <c r="AU159"/>
      <c r="AV159"/>
      <c r="AW159"/>
      <c r="AX159"/>
      <c r="BB159">
        <f t="shared" si="2"/>
        <v>1</v>
      </c>
    </row>
    <row r="160" spans="1:54" ht="15.75" customHeight="1">
      <c r="A160" s="834" t="s">
        <v>2342</v>
      </c>
      <c r="B160" s="834">
        <v>157</v>
      </c>
      <c r="C160" s="847" t="s">
        <v>3289</v>
      </c>
      <c r="D160" s="847" t="s">
        <v>779</v>
      </c>
      <c r="E160" s="880">
        <v>46048.041666666664</v>
      </c>
      <c r="F160" s="834" t="s">
        <v>140</v>
      </c>
      <c r="G160" s="847">
        <v>1</v>
      </c>
      <c r="H160" s="847" t="s">
        <v>127</v>
      </c>
      <c r="I160" s="847"/>
      <c r="J160" s="834"/>
      <c r="K160" s="136" t="s">
        <v>3217</v>
      </c>
      <c r="L160" s="834"/>
      <c r="M160" s="847"/>
      <c r="N160" s="847"/>
      <c r="O160" s="847"/>
      <c r="P160" s="834" t="s">
        <v>113</v>
      </c>
      <c r="Q160" s="400" t="s">
        <v>30</v>
      </c>
      <c r="R160" s="848">
        <v>46078</v>
      </c>
      <c r="S160" s="852" t="s">
        <v>67</v>
      </c>
      <c r="T160" s="834" t="s">
        <v>32</v>
      </c>
      <c r="U160" s="834">
        <v>1</v>
      </c>
      <c r="V160" s="852" t="s">
        <v>67</v>
      </c>
      <c r="W160" s="848">
        <v>46078</v>
      </c>
      <c r="X160" s="96" t="s">
        <v>113</v>
      </c>
      <c r="Y160" s="96"/>
      <c r="Z160" s="91"/>
      <c r="AA160" s="96"/>
      <c r="AB160" s="91"/>
      <c r="AC160" s="96"/>
      <c r="AD160" s="91"/>
      <c r="AE160" s="96"/>
      <c r="AF160" s="96"/>
      <c r="AG160" s="96"/>
      <c r="AH160" s="96"/>
      <c r="AI160" s="110"/>
      <c r="AJ160" s="107"/>
      <c r="AK160" s="107"/>
      <c r="AL160" s="107"/>
      <c r="AM160" s="91"/>
      <c r="AN160" s="840"/>
      <c r="AO160" s="832"/>
      <c r="AP160" s="875"/>
      <c r="AQ160" s="875"/>
      <c r="AR160" s="875"/>
      <c r="AS160" s="776"/>
      <c r="AT160" s="776"/>
      <c r="AU160"/>
      <c r="AV160"/>
      <c r="AW160"/>
      <c r="AX160"/>
      <c r="BB160">
        <f t="shared" si="2"/>
        <v>1</v>
      </c>
    </row>
    <row r="161" spans="1:54" ht="15.75" customHeight="1">
      <c r="A161" s="834" t="s">
        <v>2342</v>
      </c>
      <c r="B161" s="834">
        <v>158</v>
      </c>
      <c r="C161" s="847" t="s">
        <v>3290</v>
      </c>
      <c r="D161" s="847" t="s">
        <v>798</v>
      </c>
      <c r="E161" s="880">
        <v>46048.041666666664</v>
      </c>
      <c r="F161" s="834" t="s">
        <v>140</v>
      </c>
      <c r="G161" s="847">
        <v>7</v>
      </c>
      <c r="H161" s="847" t="s">
        <v>127</v>
      </c>
      <c r="I161" s="847"/>
      <c r="J161" s="834"/>
      <c r="K161" s="136" t="s">
        <v>3217</v>
      </c>
      <c r="L161" s="834"/>
      <c r="M161" s="847"/>
      <c r="N161" s="847"/>
      <c r="O161" s="847"/>
      <c r="P161" s="834" t="s">
        <v>113</v>
      </c>
      <c r="Q161" s="400" t="s">
        <v>30</v>
      </c>
      <c r="R161" s="848">
        <v>46079</v>
      </c>
      <c r="S161" s="852" t="s">
        <v>67</v>
      </c>
      <c r="T161" s="834" t="s">
        <v>32</v>
      </c>
      <c r="U161" s="834">
        <v>7</v>
      </c>
      <c r="V161" s="852" t="s">
        <v>67</v>
      </c>
      <c r="W161" s="848">
        <v>46079</v>
      </c>
      <c r="X161" s="96" t="s">
        <v>113</v>
      </c>
      <c r="Y161" s="96"/>
      <c r="Z161" s="91"/>
      <c r="AA161" s="96"/>
      <c r="AB161" s="96"/>
      <c r="AC161" s="96"/>
      <c r="AD161" s="96"/>
      <c r="AE161" s="96"/>
      <c r="AF161" s="96"/>
      <c r="AG161" s="91"/>
      <c r="AH161" s="91"/>
      <c r="AI161" s="110"/>
      <c r="AJ161" s="110"/>
      <c r="AK161" s="110"/>
      <c r="AL161" s="107"/>
      <c r="AM161" s="91"/>
      <c r="AN161" s="840"/>
      <c r="AO161" s="83"/>
      <c r="AP161" s="83"/>
      <c r="AQ161" s="83"/>
      <c r="AR161" s="83"/>
      <c r="AS161" s="6"/>
      <c r="AT161" s="6"/>
      <c r="AU161" s="104"/>
      <c r="AV161" s="105"/>
      <c r="AW161" s="105"/>
      <c r="AX161" s="105"/>
      <c r="AY161" s="105"/>
      <c r="BB161">
        <f t="shared" si="2"/>
        <v>1</v>
      </c>
    </row>
    <row r="162" spans="1:54" ht="15.75" customHeight="1">
      <c r="A162" s="834" t="s">
        <v>2342</v>
      </c>
      <c r="B162" s="834">
        <v>159</v>
      </c>
      <c r="C162" s="847" t="s">
        <v>3291</v>
      </c>
      <c r="D162" s="847" t="s">
        <v>1184</v>
      </c>
      <c r="E162" s="880">
        <v>46048</v>
      </c>
      <c r="F162" s="834" t="s">
        <v>140</v>
      </c>
      <c r="G162" s="847">
        <v>7</v>
      </c>
      <c r="H162" s="847" t="s">
        <v>2894</v>
      </c>
      <c r="I162" s="847"/>
      <c r="J162" s="834"/>
      <c r="K162" s="136" t="s">
        <v>3217</v>
      </c>
      <c r="L162" s="834"/>
      <c r="M162" s="847"/>
      <c r="N162" s="847"/>
      <c r="O162" s="847"/>
      <c r="P162" s="834" t="s">
        <v>113</v>
      </c>
      <c r="Q162" s="400" t="s">
        <v>30</v>
      </c>
      <c r="R162" s="848">
        <v>46078</v>
      </c>
      <c r="S162" s="852" t="s">
        <v>67</v>
      </c>
      <c r="T162" s="834" t="s">
        <v>32</v>
      </c>
      <c r="U162" s="834">
        <v>7</v>
      </c>
      <c r="V162" s="852" t="s">
        <v>67</v>
      </c>
      <c r="W162" s="848">
        <v>46078</v>
      </c>
      <c r="X162" s="96" t="s">
        <v>113</v>
      </c>
      <c r="Y162" s="91"/>
      <c r="Z162" s="91"/>
      <c r="AA162" s="96"/>
      <c r="AB162" s="96"/>
      <c r="AC162" s="96"/>
      <c r="AD162" s="96"/>
      <c r="AE162" s="96"/>
      <c r="AF162" s="96"/>
      <c r="AG162" s="96"/>
      <c r="AH162" s="96"/>
      <c r="AI162" s="110"/>
      <c r="AJ162" s="96"/>
      <c r="AK162" s="96"/>
      <c r="AL162" s="96"/>
      <c r="AM162" s="91"/>
      <c r="AN162" s="840"/>
      <c r="AO162" s="832"/>
      <c r="AP162" s="883"/>
      <c r="AQ162" s="883"/>
      <c r="AR162" s="883"/>
      <c r="AS162" s="86"/>
      <c r="AT162" s="776"/>
      <c r="AU162" s="93"/>
      <c r="AV162" s="93"/>
      <c r="AW162" s="93"/>
      <c r="AX162" s="93"/>
      <c r="AY162" s="7"/>
      <c r="BB162">
        <f t="shared" si="2"/>
        <v>1</v>
      </c>
    </row>
    <row r="163" spans="1:54" ht="15.75" customHeight="1">
      <c r="A163" s="834" t="s">
        <v>2342</v>
      </c>
      <c r="B163" s="834">
        <v>160</v>
      </c>
      <c r="C163" s="847" t="s">
        <v>3292</v>
      </c>
      <c r="D163" s="847" t="s">
        <v>1198</v>
      </c>
      <c r="E163" s="880">
        <v>46048</v>
      </c>
      <c r="F163" s="834" t="s">
        <v>140</v>
      </c>
      <c r="G163" s="847">
        <v>9</v>
      </c>
      <c r="H163" s="847" t="s">
        <v>2977</v>
      </c>
      <c r="I163" s="847"/>
      <c r="J163" s="98" t="s">
        <v>3293</v>
      </c>
      <c r="K163" s="136" t="s">
        <v>3217</v>
      </c>
      <c r="L163" s="834"/>
      <c r="M163" s="847"/>
      <c r="N163" s="847"/>
      <c r="O163" s="847"/>
      <c r="P163" s="834" t="s">
        <v>113</v>
      </c>
      <c r="Q163" s="400" t="s">
        <v>30</v>
      </c>
      <c r="R163" s="848">
        <v>46079</v>
      </c>
      <c r="S163" s="852" t="s">
        <v>67</v>
      </c>
      <c r="T163" s="834" t="s">
        <v>32</v>
      </c>
      <c r="U163" s="834">
        <v>9</v>
      </c>
      <c r="V163" s="852" t="s">
        <v>67</v>
      </c>
      <c r="W163" s="848">
        <v>46079</v>
      </c>
      <c r="X163" s="96" t="s">
        <v>113</v>
      </c>
      <c r="Y163" s="91"/>
      <c r="Z163" s="91"/>
      <c r="AA163" s="91"/>
      <c r="AB163" s="91"/>
      <c r="AC163" s="91"/>
      <c r="AD163" s="96"/>
      <c r="AE163" s="96"/>
      <c r="AF163" s="96"/>
      <c r="AG163" s="96"/>
      <c r="AH163" s="96"/>
      <c r="AI163" s="110"/>
      <c r="AJ163" s="96"/>
      <c r="AK163" s="96"/>
      <c r="AL163" s="96"/>
      <c r="AM163" s="91"/>
      <c r="AN163" s="840"/>
      <c r="AO163" s="832"/>
      <c r="AP163" s="875"/>
      <c r="AQ163" s="875"/>
      <c r="AR163" s="875"/>
      <c r="AS163" s="776"/>
      <c r="AT163" s="776"/>
      <c r="AU163" s="94"/>
      <c r="AV163" s="94"/>
      <c r="AW163" s="94"/>
      <c r="AX163" s="94"/>
      <c r="AY163" s="77"/>
      <c r="BB163">
        <f t="shared" si="2"/>
        <v>1</v>
      </c>
    </row>
    <row r="164" spans="1:54" ht="15.75" customHeight="1">
      <c r="A164" s="834" t="s">
        <v>2342</v>
      </c>
      <c r="B164" s="834">
        <v>161</v>
      </c>
      <c r="C164" s="129" t="s">
        <v>3294</v>
      </c>
      <c r="D164" s="847" t="s">
        <v>992</v>
      </c>
      <c r="E164" s="880">
        <v>46048.375</v>
      </c>
      <c r="F164" s="834" t="s">
        <v>140</v>
      </c>
      <c r="G164" s="847">
        <v>2</v>
      </c>
      <c r="H164" s="847" t="s">
        <v>1721</v>
      </c>
      <c r="I164" s="847"/>
      <c r="J164" s="834"/>
      <c r="K164" s="136" t="s">
        <v>3217</v>
      </c>
      <c r="L164" s="834"/>
      <c r="M164" s="847"/>
      <c r="N164" s="847"/>
      <c r="O164" s="847"/>
      <c r="P164" s="834" t="s">
        <v>113</v>
      </c>
      <c r="Q164" s="848"/>
      <c r="R164" s="848"/>
      <c r="S164" s="852" t="s">
        <v>67</v>
      </c>
      <c r="T164" s="834"/>
      <c r="U164" s="834">
        <v>2</v>
      </c>
      <c r="V164" s="852" t="s">
        <v>67</v>
      </c>
      <c r="W164" s="848"/>
      <c r="X164" s="96" t="s">
        <v>113</v>
      </c>
      <c r="Y164" s="91"/>
      <c r="Z164" s="91"/>
      <c r="AA164" s="91"/>
      <c r="AB164" s="91"/>
      <c r="AC164" s="91"/>
      <c r="AD164" s="96"/>
      <c r="AE164" s="96"/>
      <c r="AF164" s="96"/>
      <c r="AG164" s="96"/>
      <c r="AH164" s="96"/>
      <c r="AI164" s="110"/>
      <c r="AJ164" s="96"/>
      <c r="AK164" s="96"/>
      <c r="AL164" s="96"/>
      <c r="AM164" s="91"/>
      <c r="AN164" s="840"/>
      <c r="AO164" s="627"/>
      <c r="AP164" s="875"/>
      <c r="AQ164" s="875"/>
      <c r="AR164" s="875"/>
      <c r="AS164" s="776"/>
      <c r="AT164" s="776"/>
      <c r="AU164" s="94"/>
      <c r="AV164" s="94"/>
      <c r="AW164" s="94"/>
      <c r="AX164" s="94"/>
      <c r="AY164" s="77"/>
      <c r="BB164">
        <f t="shared" si="2"/>
        <v>1</v>
      </c>
    </row>
    <row r="165" spans="1:54" ht="15" customHeight="1">
      <c r="A165" s="834" t="s">
        <v>2342</v>
      </c>
      <c r="B165" s="834">
        <v>162</v>
      </c>
      <c r="C165" s="129" t="s">
        <v>3295</v>
      </c>
      <c r="D165" s="847" t="s">
        <v>1008</v>
      </c>
      <c r="E165" s="880">
        <v>46048.125</v>
      </c>
      <c r="F165" s="834" t="s">
        <v>140</v>
      </c>
      <c r="G165" s="847">
        <v>10</v>
      </c>
      <c r="H165" s="847" t="s">
        <v>1077</v>
      </c>
      <c r="I165" s="847"/>
      <c r="J165" s="834"/>
      <c r="K165" s="136" t="s">
        <v>3217</v>
      </c>
      <c r="L165" s="834"/>
      <c r="M165" s="847"/>
      <c r="N165" s="847"/>
      <c r="O165" s="847"/>
      <c r="P165" s="834" t="s">
        <v>113</v>
      </c>
      <c r="Q165" s="848"/>
      <c r="R165" s="848"/>
      <c r="S165" s="852" t="s">
        <v>67</v>
      </c>
      <c r="T165" s="834"/>
      <c r="U165" s="834">
        <v>10</v>
      </c>
      <c r="V165" s="852" t="s">
        <v>67</v>
      </c>
      <c r="W165" s="848"/>
      <c r="X165" s="96" t="s">
        <v>113</v>
      </c>
      <c r="Y165" s="91"/>
      <c r="Z165" s="91"/>
      <c r="AA165" s="91"/>
      <c r="AB165" s="91"/>
      <c r="AC165" s="91"/>
      <c r="AD165" s="96"/>
      <c r="AE165" s="96"/>
      <c r="AF165" s="96"/>
      <c r="AG165" s="96"/>
      <c r="AH165" s="96"/>
      <c r="AI165" s="110"/>
      <c r="AJ165" s="107"/>
      <c r="AK165" s="107"/>
      <c r="AL165" s="107"/>
      <c r="AM165" s="91"/>
      <c r="AN165" s="840"/>
      <c r="AO165" s="832"/>
      <c r="AP165" s="875"/>
      <c r="AQ165" s="875"/>
      <c r="AR165" s="875"/>
      <c r="AS165" s="776"/>
      <c r="AT165" s="776"/>
      <c r="AU165" s="93"/>
      <c r="AV165" s="93"/>
      <c r="AW165" s="93"/>
      <c r="AX165" s="93"/>
      <c r="AY165" s="7"/>
      <c r="BB165">
        <f t="shared" si="2"/>
        <v>1</v>
      </c>
    </row>
    <row r="166" spans="1:54" ht="15.75" customHeight="1">
      <c r="A166" s="834" t="s">
        <v>2342</v>
      </c>
      <c r="B166" s="834">
        <v>163</v>
      </c>
      <c r="C166" s="847" t="s">
        <v>3296</v>
      </c>
      <c r="D166" s="847" t="s">
        <v>969</v>
      </c>
      <c r="E166" s="880">
        <v>46048.041666666664</v>
      </c>
      <c r="F166" s="834" t="s">
        <v>140</v>
      </c>
      <c r="G166" s="847">
        <v>7</v>
      </c>
      <c r="H166" s="847" t="s">
        <v>127</v>
      </c>
      <c r="I166" s="847"/>
      <c r="J166" s="834"/>
      <c r="K166" s="136" t="s">
        <v>3217</v>
      </c>
      <c r="L166" s="834"/>
      <c r="M166" s="847"/>
      <c r="N166" s="847"/>
      <c r="O166" s="847"/>
      <c r="P166" s="834" t="s">
        <v>113</v>
      </c>
      <c r="Q166" s="400" t="s">
        <v>30</v>
      </c>
      <c r="R166" s="848">
        <v>46079</v>
      </c>
      <c r="S166" s="852" t="s">
        <v>67</v>
      </c>
      <c r="T166" s="834" t="s">
        <v>32</v>
      </c>
      <c r="U166" s="834">
        <v>7</v>
      </c>
      <c r="V166" s="852" t="s">
        <v>67</v>
      </c>
      <c r="W166" s="848">
        <v>46079</v>
      </c>
      <c r="X166" s="96" t="s">
        <v>113</v>
      </c>
      <c r="Y166" s="96"/>
      <c r="Z166" s="91"/>
      <c r="AA166" s="91"/>
      <c r="AB166" s="91"/>
      <c r="AC166" s="91"/>
      <c r="AD166" s="96"/>
      <c r="AE166" s="96"/>
      <c r="AF166" s="96"/>
      <c r="AG166" s="96"/>
      <c r="AH166" s="96"/>
      <c r="AI166" s="110"/>
      <c r="AJ166" s="96"/>
      <c r="AK166" s="96"/>
      <c r="AL166" s="96"/>
      <c r="AM166" s="91"/>
      <c r="AN166" s="840"/>
      <c r="AO166" s="832"/>
      <c r="AP166" s="875"/>
      <c r="AQ166" s="875"/>
      <c r="AR166" s="875"/>
      <c r="AS166" s="776"/>
      <c r="AT166" s="776"/>
      <c r="AU166" s="93"/>
      <c r="AV166" s="93"/>
      <c r="AW166" s="93"/>
      <c r="AX166" s="93"/>
      <c r="AY166" s="7"/>
      <c r="BB166">
        <f t="shared" si="2"/>
        <v>1</v>
      </c>
    </row>
    <row r="167" spans="1:54" ht="15.75" customHeight="1">
      <c r="A167" s="834" t="s">
        <v>2342</v>
      </c>
      <c r="B167" s="834">
        <v>164</v>
      </c>
      <c r="C167" s="129" t="s">
        <v>3297</v>
      </c>
      <c r="D167" s="847" t="s">
        <v>846</v>
      </c>
      <c r="E167" s="880">
        <v>46048</v>
      </c>
      <c r="F167" s="834" t="s">
        <v>140</v>
      </c>
      <c r="G167" s="847">
        <v>1</v>
      </c>
      <c r="H167" s="847" t="s">
        <v>67</v>
      </c>
      <c r="I167" s="847"/>
      <c r="J167" s="834"/>
      <c r="K167" s="136" t="s">
        <v>3217</v>
      </c>
      <c r="L167" s="834"/>
      <c r="M167" s="847"/>
      <c r="N167" s="847"/>
      <c r="O167" s="847"/>
      <c r="P167" s="834" t="s">
        <v>113</v>
      </c>
      <c r="Q167" s="848"/>
      <c r="R167" s="848"/>
      <c r="S167" s="852" t="s">
        <v>67</v>
      </c>
      <c r="T167" s="834"/>
      <c r="U167" s="834">
        <v>1</v>
      </c>
      <c r="V167" s="852" t="s">
        <v>67</v>
      </c>
      <c r="W167" s="848"/>
      <c r="X167" s="96" t="s">
        <v>113</v>
      </c>
      <c r="Y167" s="96"/>
      <c r="Z167" s="91"/>
      <c r="AA167" s="96"/>
      <c r="AB167" s="96"/>
      <c r="AC167" s="96"/>
      <c r="AD167" s="96"/>
      <c r="AE167" s="96"/>
      <c r="AF167" s="96"/>
      <c r="AG167" s="80"/>
      <c r="AH167" s="96"/>
      <c r="AI167" s="110"/>
      <c r="AJ167" s="96"/>
      <c r="AK167" s="96"/>
      <c r="AL167" s="96"/>
      <c r="AM167" s="91"/>
      <c r="AN167" s="840"/>
      <c r="AO167" s="832"/>
      <c r="AP167" s="875"/>
      <c r="AQ167" s="875"/>
      <c r="AR167" s="875"/>
      <c r="AS167" s="776"/>
      <c r="AT167" s="776"/>
      <c r="AU167" s="93"/>
      <c r="AV167" s="93"/>
      <c r="AW167" s="93"/>
      <c r="AX167" s="93"/>
      <c r="AY167" s="7"/>
      <c r="BB167">
        <f t="shared" si="2"/>
        <v>1</v>
      </c>
    </row>
    <row r="168" spans="1:54" ht="15.75" customHeight="1">
      <c r="A168" s="834" t="s">
        <v>2342</v>
      </c>
      <c r="B168" s="834">
        <v>165</v>
      </c>
      <c r="C168" s="129" t="s">
        <v>3298</v>
      </c>
      <c r="D168" s="847" t="s">
        <v>1042</v>
      </c>
      <c r="E168" s="880">
        <v>46048</v>
      </c>
      <c r="F168" s="834" t="s">
        <v>140</v>
      </c>
      <c r="G168" s="847">
        <v>4</v>
      </c>
      <c r="H168" s="847" t="s">
        <v>2840</v>
      </c>
      <c r="I168" s="847"/>
      <c r="J168" s="834"/>
      <c r="K168" s="136" t="s">
        <v>3217</v>
      </c>
      <c r="L168" s="834"/>
      <c r="M168" s="847"/>
      <c r="N168" s="847"/>
      <c r="O168" s="847"/>
      <c r="P168" s="834" t="s">
        <v>113</v>
      </c>
      <c r="Q168" s="848"/>
      <c r="R168" s="848"/>
      <c r="S168" s="852" t="s">
        <v>67</v>
      </c>
      <c r="T168" s="834"/>
      <c r="U168" s="834">
        <v>3</v>
      </c>
      <c r="V168" s="852" t="s">
        <v>67</v>
      </c>
      <c r="W168" s="848"/>
      <c r="X168" s="96" t="s">
        <v>113</v>
      </c>
      <c r="Y168" s="96"/>
      <c r="Z168" s="91"/>
      <c r="AA168" s="96"/>
      <c r="AB168" s="96"/>
      <c r="AC168" s="96"/>
      <c r="AD168" s="96"/>
      <c r="AE168" s="96"/>
      <c r="AF168" s="96"/>
      <c r="AG168" s="91"/>
      <c r="AH168" s="96"/>
      <c r="AI168" s="110"/>
      <c r="AJ168" s="96"/>
      <c r="AK168" s="96"/>
      <c r="AL168" s="96"/>
      <c r="AM168" s="91"/>
      <c r="AN168" s="840"/>
      <c r="AO168" s="832"/>
      <c r="AP168" s="875"/>
      <c r="AQ168" s="875"/>
      <c r="AR168" s="875"/>
      <c r="AS168" s="776"/>
      <c r="AT168" s="776"/>
      <c r="AU168" s="93"/>
      <c r="AV168" s="93"/>
      <c r="AW168" s="93"/>
      <c r="AX168" s="93"/>
      <c r="AY168" s="7"/>
      <c r="BB168">
        <f t="shared" si="2"/>
        <v>1</v>
      </c>
    </row>
    <row r="169" spans="1:54" ht="15.75" customHeight="1">
      <c r="A169" s="834" t="s">
        <v>2342</v>
      </c>
      <c r="B169" s="834">
        <v>166</v>
      </c>
      <c r="C169" s="847" t="s">
        <v>3299</v>
      </c>
      <c r="D169" s="847" t="s">
        <v>1257</v>
      </c>
      <c r="E169" s="880">
        <v>46048</v>
      </c>
      <c r="F169" s="834" t="s">
        <v>140</v>
      </c>
      <c r="G169" s="834">
        <v>1</v>
      </c>
      <c r="H169" s="847" t="s">
        <v>1077</v>
      </c>
      <c r="I169" s="847"/>
      <c r="J169" s="834"/>
      <c r="K169" s="136" t="s">
        <v>3217</v>
      </c>
      <c r="L169" s="834"/>
      <c r="M169" s="847"/>
      <c r="N169" s="847"/>
      <c r="O169" s="847"/>
      <c r="P169" s="834" t="s">
        <v>113</v>
      </c>
      <c r="Q169" s="400" t="s">
        <v>30</v>
      </c>
      <c r="R169" s="848">
        <v>46078</v>
      </c>
      <c r="S169" s="852" t="s">
        <v>67</v>
      </c>
      <c r="T169" s="834" t="s">
        <v>32</v>
      </c>
      <c r="U169" s="834">
        <v>1</v>
      </c>
      <c r="V169" s="852" t="s">
        <v>67</v>
      </c>
      <c r="W169" s="848">
        <v>46078</v>
      </c>
      <c r="X169" s="96" t="s">
        <v>113</v>
      </c>
      <c r="Y169" s="91"/>
      <c r="Z169" s="91"/>
      <c r="AA169" s="96"/>
      <c r="AB169" s="96"/>
      <c r="AC169" s="96"/>
      <c r="AD169" s="96"/>
      <c r="AE169" s="96"/>
      <c r="AF169" s="96"/>
      <c r="AG169" s="96"/>
      <c r="AH169" s="96"/>
      <c r="AI169" s="110"/>
      <c r="AJ169" s="110"/>
      <c r="AK169" s="110"/>
      <c r="AL169" s="110"/>
      <c r="AM169" s="91"/>
      <c r="AN169" s="840"/>
      <c r="AO169" s="832"/>
      <c r="AP169" s="875"/>
      <c r="AQ169" s="875"/>
      <c r="AR169" s="875"/>
      <c r="AS169" s="776"/>
      <c r="AT169" s="776"/>
      <c r="AU169" s="93"/>
      <c r="AV169" s="93"/>
      <c r="AW169" s="93"/>
      <c r="AX169" s="93"/>
      <c r="AY169" s="7"/>
      <c r="BB169">
        <f t="shared" si="2"/>
        <v>1</v>
      </c>
    </row>
    <row r="170" spans="1:54" ht="15.75" customHeight="1">
      <c r="A170" s="834" t="s">
        <v>2342</v>
      </c>
      <c r="B170" s="834">
        <v>167</v>
      </c>
      <c r="C170" s="129" t="s">
        <v>3300</v>
      </c>
      <c r="D170" s="847" t="s">
        <v>3301</v>
      </c>
      <c r="E170" s="880">
        <v>46048.041666666664</v>
      </c>
      <c r="F170" s="834" t="s">
        <v>140</v>
      </c>
      <c r="G170" s="834">
        <v>1</v>
      </c>
      <c r="H170" s="847" t="s">
        <v>127</v>
      </c>
      <c r="I170" s="847"/>
      <c r="J170" s="834"/>
      <c r="K170" s="136" t="s">
        <v>3217</v>
      </c>
      <c r="L170" s="834"/>
      <c r="M170" s="847"/>
      <c r="N170" s="847"/>
      <c r="O170" s="847"/>
      <c r="P170" s="834" t="s">
        <v>113</v>
      </c>
      <c r="Q170" s="848"/>
      <c r="R170" s="848"/>
      <c r="S170" s="852" t="s">
        <v>67</v>
      </c>
      <c r="T170" s="834"/>
      <c r="U170" s="834"/>
      <c r="V170" s="852" t="s">
        <v>67</v>
      </c>
      <c r="W170" s="848"/>
      <c r="X170" s="96" t="s">
        <v>113</v>
      </c>
      <c r="Y170" s="96"/>
      <c r="Z170" s="91"/>
      <c r="AA170" s="96"/>
      <c r="AB170" s="96"/>
      <c r="AC170" s="96"/>
      <c r="AD170" s="96"/>
      <c r="AE170" s="96"/>
      <c r="AF170" s="96"/>
      <c r="AG170" s="96"/>
      <c r="AH170" s="96"/>
      <c r="AI170" s="110"/>
      <c r="AJ170" s="96"/>
      <c r="AK170" s="96"/>
      <c r="AL170" s="96"/>
      <c r="AM170" s="91"/>
      <c r="AN170" s="840"/>
      <c r="AO170" s="832"/>
      <c r="AP170" s="875"/>
      <c r="AQ170" s="875"/>
      <c r="AR170" s="875"/>
      <c r="AS170" s="776"/>
      <c r="AT170" s="776"/>
      <c r="AU170" s="93"/>
      <c r="AV170" s="93"/>
      <c r="AW170" s="93"/>
      <c r="AX170" s="93"/>
      <c r="AY170" s="7"/>
      <c r="BB170">
        <f t="shared" si="2"/>
        <v>1</v>
      </c>
    </row>
    <row r="171" spans="1:54" ht="15.75" customHeight="1">
      <c r="A171" s="834" t="s">
        <v>2342</v>
      </c>
      <c r="B171" s="834">
        <v>168</v>
      </c>
      <c r="C171" s="847" t="s">
        <v>3302</v>
      </c>
      <c r="D171" s="847" t="s">
        <v>798</v>
      </c>
      <c r="E171" s="880">
        <v>46048</v>
      </c>
      <c r="F171" s="834" t="s">
        <v>140</v>
      </c>
      <c r="G171" s="834">
        <v>2</v>
      </c>
      <c r="H171" s="847" t="s">
        <v>127</v>
      </c>
      <c r="I171" s="847"/>
      <c r="J171" s="834"/>
      <c r="K171" s="136" t="s">
        <v>3217</v>
      </c>
      <c r="L171" s="834"/>
      <c r="M171" s="847"/>
      <c r="N171" s="847"/>
      <c r="O171" s="847"/>
      <c r="P171" s="834" t="s">
        <v>113</v>
      </c>
      <c r="Q171" s="400" t="s">
        <v>30</v>
      </c>
      <c r="R171" s="848">
        <v>46052</v>
      </c>
      <c r="S171" s="852" t="s">
        <v>67</v>
      </c>
      <c r="T171" s="834" t="s">
        <v>32</v>
      </c>
      <c r="U171" s="834">
        <v>2</v>
      </c>
      <c r="V171" s="852" t="s">
        <v>67</v>
      </c>
      <c r="W171" s="848">
        <v>46052</v>
      </c>
      <c r="X171" s="96" t="s">
        <v>113</v>
      </c>
      <c r="Y171" s="91"/>
      <c r="Z171" s="91"/>
      <c r="AA171" s="96"/>
      <c r="AB171" s="96"/>
      <c r="AC171" s="96"/>
      <c r="AD171" s="96"/>
      <c r="AE171" s="96"/>
      <c r="AF171" s="96"/>
      <c r="AG171" s="96"/>
      <c r="AH171" s="96"/>
      <c r="AI171" s="110"/>
      <c r="AJ171" s="110"/>
      <c r="AK171" s="110"/>
      <c r="AL171" s="107"/>
      <c r="AM171" s="91"/>
      <c r="AN171" s="840"/>
      <c r="AO171" s="832"/>
      <c r="AP171" s="875"/>
      <c r="AQ171" s="875"/>
      <c r="AR171" s="875"/>
      <c r="AS171" s="776"/>
      <c r="AT171" s="776"/>
      <c r="AU171" s="93"/>
      <c r="AV171" s="93"/>
      <c r="AW171" s="93"/>
      <c r="AX171" s="93"/>
      <c r="AY171" s="7"/>
      <c r="BB171">
        <f t="shared" si="2"/>
        <v>1</v>
      </c>
    </row>
    <row r="172" spans="1:54" ht="15.75" customHeight="1">
      <c r="A172" s="834" t="s">
        <v>2342</v>
      </c>
      <c r="B172" s="834">
        <v>169</v>
      </c>
      <c r="C172" s="847" t="s">
        <v>3303</v>
      </c>
      <c r="D172" s="847" t="s">
        <v>818</v>
      </c>
      <c r="E172" s="880">
        <v>46048.166666666664</v>
      </c>
      <c r="F172" s="834" t="s">
        <v>140</v>
      </c>
      <c r="G172" s="847">
        <v>5</v>
      </c>
      <c r="H172" s="847" t="s">
        <v>2840</v>
      </c>
      <c r="I172" s="847"/>
      <c r="J172" s="98"/>
      <c r="K172" s="136" t="s">
        <v>3217</v>
      </c>
      <c r="L172" s="834"/>
      <c r="M172" s="847"/>
      <c r="N172" s="847"/>
      <c r="O172" s="847"/>
      <c r="P172" s="834" t="s">
        <v>113</v>
      </c>
      <c r="Q172" s="400" t="s">
        <v>30</v>
      </c>
      <c r="R172" s="848">
        <v>46079</v>
      </c>
      <c r="S172" s="852" t="s">
        <v>67</v>
      </c>
      <c r="T172" s="834" t="s">
        <v>32</v>
      </c>
      <c r="U172" s="834">
        <v>5</v>
      </c>
      <c r="V172" s="852" t="s">
        <v>67</v>
      </c>
      <c r="W172" s="848">
        <v>46079</v>
      </c>
      <c r="X172" s="96" t="s">
        <v>113</v>
      </c>
      <c r="Y172" s="96"/>
      <c r="Z172" s="91"/>
      <c r="AA172" s="96"/>
      <c r="AB172" s="96"/>
      <c r="AC172" s="96"/>
      <c r="AD172" s="96"/>
      <c r="AE172" s="96"/>
      <c r="AF172" s="96"/>
      <c r="AG172" s="96"/>
      <c r="AH172" s="96"/>
      <c r="AI172" s="110"/>
      <c r="AJ172" s="96"/>
      <c r="AK172" s="96"/>
      <c r="AL172" s="96"/>
      <c r="AM172" s="91"/>
      <c r="AN172" s="840"/>
      <c r="AO172" s="832"/>
      <c r="AP172" s="875"/>
      <c r="AQ172" s="875"/>
      <c r="AR172" s="875"/>
      <c r="AS172" s="776"/>
      <c r="AT172" s="776"/>
      <c r="AU172" s="7"/>
      <c r="AV172" s="7"/>
      <c r="AW172" s="7"/>
      <c r="AX172" s="7"/>
      <c r="AY172" s="7"/>
      <c r="BB172">
        <f t="shared" si="2"/>
        <v>1</v>
      </c>
    </row>
    <row r="173" spans="1:54" ht="15.75" customHeight="1">
      <c r="A173" s="834" t="s">
        <v>2342</v>
      </c>
      <c r="B173" s="834">
        <v>170</v>
      </c>
      <c r="C173" s="847" t="s">
        <v>3304</v>
      </c>
      <c r="D173" s="847" t="s">
        <v>1042</v>
      </c>
      <c r="E173" s="880">
        <v>46027</v>
      </c>
      <c r="F173" s="834" t="s">
        <v>140</v>
      </c>
      <c r="G173" s="847">
        <v>5</v>
      </c>
      <c r="H173" s="847" t="s">
        <v>67</v>
      </c>
      <c r="I173" s="847"/>
      <c r="J173" s="834"/>
      <c r="K173" s="136" t="s">
        <v>3217</v>
      </c>
      <c r="L173" s="834"/>
      <c r="M173" s="847"/>
      <c r="N173" s="847"/>
      <c r="O173" s="847"/>
      <c r="P173" s="834" t="s">
        <v>113</v>
      </c>
      <c r="Q173" s="848"/>
      <c r="R173" s="848"/>
      <c r="S173" s="852" t="s">
        <v>67</v>
      </c>
      <c r="T173" s="834"/>
      <c r="U173" s="834"/>
      <c r="V173" s="852" t="s">
        <v>67</v>
      </c>
      <c r="W173" s="848"/>
      <c r="X173" s="96" t="s">
        <v>113</v>
      </c>
      <c r="Y173" s="96"/>
      <c r="Z173" s="91"/>
      <c r="AA173" s="96"/>
      <c r="AB173" s="91"/>
      <c r="AC173" s="96"/>
      <c r="AD173" s="96"/>
      <c r="AE173" s="96"/>
      <c r="AF173" s="96"/>
      <c r="AG173" s="96"/>
      <c r="AH173" s="96"/>
      <c r="AI173" s="110"/>
      <c r="AJ173" s="107"/>
      <c r="AK173" s="107"/>
      <c r="AL173" s="107"/>
      <c r="AM173" s="91"/>
      <c r="AN173" s="840"/>
      <c r="AO173" s="832"/>
      <c r="AP173" s="875"/>
      <c r="AQ173" s="875"/>
      <c r="AR173" s="875"/>
      <c r="AS173" s="776"/>
      <c r="AT173" s="776"/>
      <c r="AU173" s="93"/>
      <c r="AV173" s="93"/>
      <c r="AW173" s="93"/>
      <c r="AX173" s="93"/>
      <c r="AY173" s="7"/>
      <c r="BB173">
        <f t="shared" si="2"/>
        <v>1</v>
      </c>
    </row>
    <row r="174" spans="1:54" ht="15.75" customHeight="1">
      <c r="A174" s="834" t="s">
        <v>2342</v>
      </c>
      <c r="B174" s="834">
        <v>171</v>
      </c>
      <c r="C174" s="847" t="s">
        <v>3305</v>
      </c>
      <c r="D174" s="847" t="s">
        <v>1184</v>
      </c>
      <c r="E174" s="880">
        <v>46027</v>
      </c>
      <c r="F174" s="834" t="s">
        <v>140</v>
      </c>
      <c r="G174" s="847">
        <v>3</v>
      </c>
      <c r="H174" s="847" t="s">
        <v>1721</v>
      </c>
      <c r="I174" s="847"/>
      <c r="J174" s="834"/>
      <c r="K174" s="136" t="s">
        <v>3217</v>
      </c>
      <c r="L174" s="834"/>
      <c r="M174" s="834"/>
      <c r="N174" s="847"/>
      <c r="O174" s="847"/>
      <c r="P174" s="834" t="s">
        <v>113</v>
      </c>
      <c r="Q174" s="834" t="s">
        <v>30</v>
      </c>
      <c r="R174" s="848">
        <v>46082</v>
      </c>
      <c r="S174" s="852" t="s">
        <v>67</v>
      </c>
      <c r="T174" s="834" t="s">
        <v>32</v>
      </c>
      <c r="U174" s="834">
        <v>5</v>
      </c>
      <c r="V174" s="852" t="s">
        <v>67</v>
      </c>
      <c r="W174" s="848">
        <v>46082</v>
      </c>
      <c r="X174" s="96" t="s">
        <v>113</v>
      </c>
      <c r="Y174" s="91"/>
      <c r="Z174" s="91"/>
      <c r="AA174" s="91"/>
      <c r="AB174" s="91"/>
      <c r="AC174" s="91"/>
      <c r="AD174" s="96"/>
      <c r="AE174" s="96"/>
      <c r="AF174" s="96"/>
      <c r="AG174" s="96"/>
      <c r="AH174" s="96"/>
      <c r="AI174" s="110"/>
      <c r="AJ174" s="107"/>
      <c r="AK174" s="107"/>
      <c r="AL174" s="107"/>
      <c r="AM174" s="91"/>
      <c r="AN174" s="840"/>
      <c r="AO174" s="832"/>
      <c r="AP174" s="875"/>
      <c r="AQ174" s="875"/>
      <c r="AR174" s="875"/>
      <c r="AS174" s="776"/>
      <c r="AT174" s="776"/>
      <c r="AU174" s="93"/>
      <c r="AV174" s="93"/>
      <c r="AW174" s="93"/>
      <c r="AX174" s="93"/>
      <c r="AY174" s="7"/>
      <c r="BB174">
        <f t="shared" si="2"/>
        <v>1</v>
      </c>
    </row>
    <row r="175" spans="1:54" ht="15.75" customHeight="1">
      <c r="A175" s="834" t="s">
        <v>2342</v>
      </c>
      <c r="B175" s="834">
        <v>172</v>
      </c>
      <c r="C175" s="847" t="s">
        <v>3306</v>
      </c>
      <c r="D175" s="847" t="s">
        <v>2874</v>
      </c>
      <c r="E175" s="880">
        <v>46027.375</v>
      </c>
      <c r="F175" s="834" t="s">
        <v>140</v>
      </c>
      <c r="G175" s="847">
        <v>1</v>
      </c>
      <c r="H175" s="847" t="s">
        <v>1077</v>
      </c>
      <c r="I175" s="847"/>
      <c r="J175" s="834"/>
      <c r="K175" s="136" t="s">
        <v>3217</v>
      </c>
      <c r="L175" s="834"/>
      <c r="M175" s="834"/>
      <c r="N175" s="847"/>
      <c r="O175" s="847"/>
      <c r="P175" s="834" t="s">
        <v>113</v>
      </c>
      <c r="Q175" s="834" t="s">
        <v>30</v>
      </c>
      <c r="R175" s="848">
        <v>46080</v>
      </c>
      <c r="S175" s="852" t="s">
        <v>67</v>
      </c>
      <c r="T175" s="834" t="s">
        <v>32</v>
      </c>
      <c r="U175" s="834">
        <v>3</v>
      </c>
      <c r="V175" s="852" t="s">
        <v>67</v>
      </c>
      <c r="W175" s="848">
        <v>46080</v>
      </c>
      <c r="X175" s="96" t="s">
        <v>113</v>
      </c>
      <c r="Y175" s="96"/>
      <c r="Z175" s="91"/>
      <c r="AA175" s="91"/>
      <c r="AB175" s="91"/>
      <c r="AC175" s="91"/>
      <c r="AD175" s="96"/>
      <c r="AE175" s="96"/>
      <c r="AF175" s="96"/>
      <c r="AG175" s="96"/>
      <c r="AH175" s="96"/>
      <c r="AI175" s="110"/>
      <c r="AJ175" s="96"/>
      <c r="AK175" s="96"/>
      <c r="AL175" s="96"/>
      <c r="AM175" s="91"/>
      <c r="AN175" s="840"/>
      <c r="AO175" s="832"/>
      <c r="AP175" s="875"/>
      <c r="AQ175" s="875"/>
      <c r="AR175" s="875"/>
      <c r="AS175" s="776"/>
      <c r="AT175" s="776"/>
      <c r="AU175" s="93"/>
      <c r="AV175" s="93"/>
      <c r="AW175" s="93"/>
      <c r="AX175" s="93"/>
      <c r="AY175" s="7"/>
      <c r="BB175">
        <f t="shared" si="2"/>
        <v>1</v>
      </c>
    </row>
    <row r="176" spans="1:54" ht="15.75" customHeight="1">
      <c r="A176" s="834" t="s">
        <v>2342</v>
      </c>
      <c r="B176" s="834">
        <v>173</v>
      </c>
      <c r="C176" s="847" t="s">
        <v>3307</v>
      </c>
      <c r="D176" s="847" t="s">
        <v>1839</v>
      </c>
      <c r="E176" s="880">
        <v>46027.375</v>
      </c>
      <c r="F176" s="834" t="s">
        <v>140</v>
      </c>
      <c r="G176" s="847">
        <v>1</v>
      </c>
      <c r="H176" s="847" t="s">
        <v>1077</v>
      </c>
      <c r="I176" s="847"/>
      <c r="J176" s="834"/>
      <c r="K176" s="136" t="s">
        <v>3217</v>
      </c>
      <c r="L176" s="834"/>
      <c r="M176" s="834"/>
      <c r="N176" s="847"/>
      <c r="O176" s="847"/>
      <c r="P176" s="834" t="s">
        <v>113</v>
      </c>
      <c r="Q176" s="834" t="s">
        <v>30</v>
      </c>
      <c r="R176" s="848">
        <v>46082</v>
      </c>
      <c r="S176" s="852" t="s">
        <v>67</v>
      </c>
      <c r="T176" s="834" t="s">
        <v>32</v>
      </c>
      <c r="U176" s="834">
        <v>1</v>
      </c>
      <c r="V176" s="852" t="s">
        <v>67</v>
      </c>
      <c r="W176" s="848">
        <v>46082</v>
      </c>
      <c r="X176" s="96" t="s">
        <v>113</v>
      </c>
      <c r="Y176" s="96"/>
      <c r="Z176" s="91"/>
      <c r="AA176" s="91"/>
      <c r="AB176" s="91"/>
      <c r="AC176" s="91"/>
      <c r="AD176" s="96"/>
      <c r="AE176" s="96"/>
      <c r="AF176" s="96"/>
      <c r="AG176" s="96"/>
      <c r="AH176" s="96"/>
      <c r="AI176" s="110"/>
      <c r="AJ176" s="96"/>
      <c r="AK176" s="96"/>
      <c r="AL176" s="96"/>
      <c r="AM176" s="91"/>
      <c r="AN176" s="840"/>
      <c r="AO176" s="832"/>
      <c r="AP176" s="875"/>
      <c r="AQ176" s="875"/>
      <c r="AR176" s="875"/>
      <c r="AS176" s="776"/>
      <c r="AT176" s="776"/>
      <c r="AU176" s="93"/>
      <c r="AV176" s="93"/>
      <c r="AW176" s="93"/>
      <c r="AX176" s="93"/>
      <c r="AY176" s="7"/>
      <c r="BB176">
        <f t="shared" si="2"/>
        <v>1</v>
      </c>
    </row>
    <row r="177" spans="1:54" ht="15.75" customHeight="1">
      <c r="A177" s="834" t="s">
        <v>2342</v>
      </c>
      <c r="B177" s="834">
        <v>174</v>
      </c>
      <c r="C177" s="847" t="s">
        <v>3308</v>
      </c>
      <c r="D177" s="847" t="s">
        <v>989</v>
      </c>
      <c r="E177" s="880">
        <v>46027</v>
      </c>
      <c r="F177" s="834" t="s">
        <v>140</v>
      </c>
      <c r="G177" s="847">
        <v>1</v>
      </c>
      <c r="H177" s="847" t="s">
        <v>67</v>
      </c>
      <c r="I177" s="847"/>
      <c r="J177" s="834"/>
      <c r="K177" s="136" t="s">
        <v>3217</v>
      </c>
      <c r="L177" s="834"/>
      <c r="M177" s="834"/>
      <c r="N177" s="847"/>
      <c r="O177" s="847"/>
      <c r="P177" s="834" t="s">
        <v>113</v>
      </c>
      <c r="Q177" s="834" t="s">
        <v>30</v>
      </c>
      <c r="R177" s="848">
        <v>46082</v>
      </c>
      <c r="S177" s="852" t="s">
        <v>67</v>
      </c>
      <c r="T177" s="834" t="s">
        <v>32</v>
      </c>
      <c r="U177" s="834">
        <v>1</v>
      </c>
      <c r="V177" s="852" t="s">
        <v>67</v>
      </c>
      <c r="W177" s="848">
        <v>46082</v>
      </c>
      <c r="X177" s="96" t="s">
        <v>113</v>
      </c>
      <c r="Y177" s="96"/>
      <c r="Z177" s="91"/>
      <c r="AA177" s="96"/>
      <c r="AB177" s="96"/>
      <c r="AC177" s="96"/>
      <c r="AD177" s="96"/>
      <c r="AE177" s="96"/>
      <c r="AF177" s="96"/>
      <c r="AG177" s="96"/>
      <c r="AH177" s="96"/>
      <c r="AI177" s="110"/>
      <c r="AJ177" s="96"/>
      <c r="AK177" s="96"/>
      <c r="AL177" s="96"/>
      <c r="AM177" s="91"/>
      <c r="AN177" s="840"/>
      <c r="AO177" s="832"/>
      <c r="AP177" s="875"/>
      <c r="AQ177" s="875"/>
      <c r="AR177" s="875"/>
      <c r="AS177" s="776"/>
      <c r="AT177" s="776"/>
      <c r="AU177" s="876"/>
      <c r="AV177" s="876"/>
      <c r="AW177" s="876"/>
      <c r="AX177" s="876"/>
      <c r="AY177" s="832"/>
      <c r="BB177">
        <f t="shared" si="2"/>
        <v>1</v>
      </c>
    </row>
    <row r="178" spans="1:54" ht="15.75" customHeight="1">
      <c r="A178" s="834" t="s">
        <v>2342</v>
      </c>
      <c r="B178" s="834">
        <v>175</v>
      </c>
      <c r="C178" s="847" t="s">
        <v>3309</v>
      </c>
      <c r="D178" s="847" t="s">
        <v>1184</v>
      </c>
      <c r="E178" s="880">
        <v>46034</v>
      </c>
      <c r="F178" s="834" t="s">
        <v>140</v>
      </c>
      <c r="G178" s="847">
        <v>14</v>
      </c>
      <c r="H178" s="847" t="s">
        <v>67</v>
      </c>
      <c r="I178" s="847"/>
      <c r="J178" s="834"/>
      <c r="K178" s="136" t="s">
        <v>3217</v>
      </c>
      <c r="L178" s="834"/>
      <c r="M178" s="834"/>
      <c r="N178" s="847"/>
      <c r="O178" s="847"/>
      <c r="P178" s="834" t="s">
        <v>113</v>
      </c>
      <c r="Q178" s="834" t="s">
        <v>30</v>
      </c>
      <c r="R178" s="848">
        <v>46082</v>
      </c>
      <c r="S178" s="852" t="s">
        <v>67</v>
      </c>
      <c r="T178" s="834" t="s">
        <v>32</v>
      </c>
      <c r="U178" s="834">
        <v>14</v>
      </c>
      <c r="V178" s="852" t="s">
        <v>67</v>
      </c>
      <c r="W178" s="848">
        <v>46082</v>
      </c>
      <c r="X178" s="96" t="s">
        <v>113</v>
      </c>
      <c r="Y178" s="96"/>
      <c r="Z178" s="91"/>
      <c r="AA178" s="90"/>
      <c r="AB178" s="90"/>
      <c r="AC178" s="96"/>
      <c r="AD178" s="96"/>
      <c r="AE178" s="96"/>
      <c r="AF178" s="96"/>
      <c r="AG178" s="96"/>
      <c r="AH178" s="96"/>
      <c r="AI178" s="110"/>
      <c r="AJ178" s="96"/>
      <c r="AK178" s="96"/>
      <c r="AL178" s="96"/>
      <c r="AM178" s="91"/>
      <c r="AN178" s="840"/>
      <c r="AO178" s="832"/>
      <c r="AP178" s="875"/>
      <c r="AQ178" s="875"/>
      <c r="AR178" s="875"/>
      <c r="AS178" s="776"/>
      <c r="AT178" s="776"/>
      <c r="AU178" s="93"/>
      <c r="AV178" s="93"/>
      <c r="AW178" s="93"/>
      <c r="AX178" s="93"/>
      <c r="AY178" s="7"/>
      <c r="BB178">
        <f t="shared" si="2"/>
        <v>1</v>
      </c>
    </row>
    <row r="179" spans="1:54" ht="15.75" customHeight="1">
      <c r="A179" s="834" t="s">
        <v>2342</v>
      </c>
      <c r="B179" s="834">
        <v>176</v>
      </c>
      <c r="C179" s="847" t="s">
        <v>3310</v>
      </c>
      <c r="D179" s="847" t="s">
        <v>3311</v>
      </c>
      <c r="E179" s="880">
        <v>46034</v>
      </c>
      <c r="F179" s="834" t="s">
        <v>140</v>
      </c>
      <c r="G179" s="847">
        <v>3</v>
      </c>
      <c r="H179" s="847" t="s">
        <v>1721</v>
      </c>
      <c r="I179" s="847"/>
      <c r="J179" s="834"/>
      <c r="K179" s="136" t="s">
        <v>3217</v>
      </c>
      <c r="L179" s="834"/>
      <c r="M179" s="834"/>
      <c r="N179" s="847"/>
      <c r="O179" s="847"/>
      <c r="P179" s="834" t="s">
        <v>113</v>
      </c>
      <c r="Q179" s="834" t="s">
        <v>30</v>
      </c>
      <c r="R179" s="848">
        <v>46082</v>
      </c>
      <c r="S179" s="852" t="s">
        <v>67</v>
      </c>
      <c r="T179" s="834" t="s">
        <v>32</v>
      </c>
      <c r="U179" s="834">
        <v>3</v>
      </c>
      <c r="V179" s="852" t="s">
        <v>67</v>
      </c>
      <c r="W179" s="848">
        <v>46082</v>
      </c>
      <c r="X179" s="96" t="s">
        <v>113</v>
      </c>
      <c r="Y179" s="96"/>
      <c r="Z179" s="91"/>
      <c r="AA179" s="90"/>
      <c r="AB179" s="90"/>
      <c r="AC179" s="96"/>
      <c r="AD179" s="96"/>
      <c r="AE179" s="96"/>
      <c r="AF179" s="96"/>
      <c r="AG179" s="96"/>
      <c r="AH179" s="96"/>
      <c r="AI179" s="110"/>
      <c r="AJ179" s="107"/>
      <c r="AK179" s="107"/>
      <c r="AL179" s="107"/>
      <c r="AM179" s="91"/>
      <c r="AN179" s="840"/>
      <c r="AO179" s="832"/>
      <c r="AP179" s="875"/>
      <c r="AQ179" s="875"/>
      <c r="AR179" s="875"/>
      <c r="AS179" s="776"/>
      <c r="AT179" s="776"/>
      <c r="AU179" s="93"/>
      <c r="AV179" s="93"/>
      <c r="AW179" s="93"/>
      <c r="AX179" s="93"/>
      <c r="AY179" s="7"/>
      <c r="BB179">
        <f t="shared" si="2"/>
        <v>1</v>
      </c>
    </row>
    <row r="180" spans="1:54" ht="15.75" customHeight="1">
      <c r="A180" s="834" t="s">
        <v>2342</v>
      </c>
      <c r="B180" s="834">
        <v>177</v>
      </c>
      <c r="C180" s="847" t="s">
        <v>3312</v>
      </c>
      <c r="D180" s="847" t="s">
        <v>829</v>
      </c>
      <c r="E180" s="880">
        <v>46034</v>
      </c>
      <c r="F180" s="834" t="s">
        <v>140</v>
      </c>
      <c r="G180" s="847">
        <v>2</v>
      </c>
      <c r="H180" s="847" t="s">
        <v>67</v>
      </c>
      <c r="I180" s="847"/>
      <c r="J180" s="834"/>
      <c r="K180" s="136" t="s">
        <v>3217</v>
      </c>
      <c r="L180" s="834"/>
      <c r="M180" s="834"/>
      <c r="N180" s="847"/>
      <c r="O180" s="847"/>
      <c r="P180" s="834" t="s">
        <v>113</v>
      </c>
      <c r="Q180" s="834" t="s">
        <v>30</v>
      </c>
      <c r="R180" s="848">
        <v>46065</v>
      </c>
      <c r="S180" s="852" t="s">
        <v>67</v>
      </c>
      <c r="T180" s="834" t="s">
        <v>32</v>
      </c>
      <c r="U180" s="834">
        <v>2</v>
      </c>
      <c r="V180" s="852" t="s">
        <v>67</v>
      </c>
      <c r="W180" s="848">
        <v>46065</v>
      </c>
      <c r="X180" s="96" t="s">
        <v>113</v>
      </c>
      <c r="Y180" s="90"/>
      <c r="Z180" s="91"/>
      <c r="AA180" s="91"/>
      <c r="AB180" s="91"/>
      <c r="AC180" s="96"/>
      <c r="AD180" s="96"/>
      <c r="AE180" s="96"/>
      <c r="AF180" s="96"/>
      <c r="AG180" s="96"/>
      <c r="AH180" s="96"/>
      <c r="AI180" s="110"/>
      <c r="AJ180" s="90"/>
      <c r="AK180" s="90"/>
      <c r="AL180" s="90"/>
      <c r="AM180" s="91"/>
      <c r="AN180" s="840"/>
      <c r="AO180" s="832"/>
      <c r="AP180" s="875"/>
      <c r="AQ180" s="875"/>
      <c r="AR180" s="875"/>
      <c r="AS180" s="776"/>
      <c r="AT180" s="776"/>
      <c r="AU180" s="93"/>
      <c r="AV180" s="93"/>
      <c r="AW180" s="93"/>
      <c r="AX180" s="93"/>
      <c r="AY180" s="7"/>
      <c r="BB180">
        <f t="shared" si="2"/>
        <v>1</v>
      </c>
    </row>
    <row r="181" spans="1:54" ht="15.75" customHeight="1">
      <c r="A181" s="834" t="s">
        <v>2342</v>
      </c>
      <c r="B181" s="834">
        <v>178</v>
      </c>
      <c r="C181" s="847" t="s">
        <v>3313</v>
      </c>
      <c r="D181" s="847" t="s">
        <v>829</v>
      </c>
      <c r="E181" s="880">
        <v>46041</v>
      </c>
      <c r="F181" s="834" t="s">
        <v>140</v>
      </c>
      <c r="G181" s="847">
        <v>9</v>
      </c>
      <c r="H181" s="847" t="s">
        <v>67</v>
      </c>
      <c r="I181" s="847"/>
      <c r="J181" s="834"/>
      <c r="K181" s="136" t="s">
        <v>3217</v>
      </c>
      <c r="L181" s="834"/>
      <c r="M181" s="834"/>
      <c r="N181" s="847"/>
      <c r="O181" s="847"/>
      <c r="P181" s="834" t="s">
        <v>113</v>
      </c>
      <c r="Q181" s="834" t="s">
        <v>30</v>
      </c>
      <c r="R181" s="848">
        <v>46082</v>
      </c>
      <c r="S181" s="852" t="s">
        <v>67</v>
      </c>
      <c r="T181" s="834" t="s">
        <v>32</v>
      </c>
      <c r="U181" s="834">
        <v>9</v>
      </c>
      <c r="V181" s="852" t="s">
        <v>67</v>
      </c>
      <c r="W181" s="848">
        <v>46082</v>
      </c>
      <c r="X181" s="96" t="s">
        <v>113</v>
      </c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110"/>
      <c r="AJ181" s="110"/>
      <c r="AK181" s="110"/>
      <c r="AL181" s="110"/>
      <c r="AM181" s="91"/>
      <c r="AN181" s="840"/>
      <c r="AO181" s="832"/>
      <c r="AP181" s="875"/>
      <c r="AQ181" s="875"/>
      <c r="AR181" s="875"/>
      <c r="AS181" s="776"/>
      <c r="AT181" s="776"/>
      <c r="BB181">
        <f t="shared" si="2"/>
        <v>1</v>
      </c>
    </row>
    <row r="182" spans="1:54" ht="15.75" customHeight="1">
      <c r="A182" s="834" t="s">
        <v>2342</v>
      </c>
      <c r="B182" s="834">
        <v>179</v>
      </c>
      <c r="C182" s="847" t="s">
        <v>3314</v>
      </c>
      <c r="D182" s="847" t="s">
        <v>937</v>
      </c>
      <c r="E182" s="880">
        <v>46041</v>
      </c>
      <c r="F182" s="834" t="s">
        <v>140</v>
      </c>
      <c r="G182" s="847">
        <v>2</v>
      </c>
      <c r="H182" s="847" t="s">
        <v>67</v>
      </c>
      <c r="I182" s="847"/>
      <c r="J182" s="834"/>
      <c r="K182" s="136" t="s">
        <v>3217</v>
      </c>
      <c r="L182" s="834"/>
      <c r="M182" s="834"/>
      <c r="N182" s="847"/>
      <c r="O182" s="847"/>
      <c r="P182" s="834" t="s">
        <v>113</v>
      </c>
      <c r="Q182" s="834" t="s">
        <v>30</v>
      </c>
      <c r="R182" s="848">
        <v>46065</v>
      </c>
      <c r="S182" s="852" t="s">
        <v>67</v>
      </c>
      <c r="T182" s="834" t="s">
        <v>32</v>
      </c>
      <c r="U182" s="834">
        <v>2</v>
      </c>
      <c r="V182" s="852" t="s">
        <v>67</v>
      </c>
      <c r="W182" s="848">
        <v>46065</v>
      </c>
      <c r="X182" s="96" t="s">
        <v>113</v>
      </c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110"/>
      <c r="AJ182" s="110"/>
      <c r="AK182" s="107"/>
      <c r="AL182" s="107"/>
      <c r="AM182" s="91"/>
      <c r="AN182" s="840"/>
      <c r="AO182" s="832"/>
      <c r="AP182" s="875"/>
      <c r="AQ182" s="875"/>
      <c r="AR182" s="875"/>
      <c r="AS182" s="776"/>
      <c r="AT182" s="776"/>
      <c r="BB182">
        <f t="shared" si="2"/>
        <v>1</v>
      </c>
    </row>
    <row r="183" spans="1:54" ht="15.75" customHeight="1">
      <c r="A183" s="834" t="s">
        <v>2342</v>
      </c>
      <c r="B183" s="834">
        <v>180</v>
      </c>
      <c r="C183" s="847" t="s">
        <v>3315</v>
      </c>
      <c r="D183" s="847" t="s">
        <v>969</v>
      </c>
      <c r="E183" s="880">
        <v>46041</v>
      </c>
      <c r="F183" s="834" t="s">
        <v>140</v>
      </c>
      <c r="G183" s="847">
        <v>12</v>
      </c>
      <c r="H183" s="847" t="s">
        <v>67</v>
      </c>
      <c r="I183" s="847"/>
      <c r="J183" s="834"/>
      <c r="K183" s="136" t="s">
        <v>3217</v>
      </c>
      <c r="L183" s="834"/>
      <c r="M183" s="834"/>
      <c r="N183" s="847"/>
      <c r="O183" s="847"/>
      <c r="P183" s="834" t="s">
        <v>113</v>
      </c>
      <c r="Q183" s="834" t="s">
        <v>30</v>
      </c>
      <c r="R183" s="848">
        <v>46082</v>
      </c>
      <c r="S183" s="852" t="s">
        <v>67</v>
      </c>
      <c r="T183" s="834" t="s">
        <v>32</v>
      </c>
      <c r="U183" s="834">
        <v>12</v>
      </c>
      <c r="V183" s="852" t="s">
        <v>67</v>
      </c>
      <c r="W183" s="848">
        <v>46082</v>
      </c>
      <c r="X183" s="96" t="s">
        <v>113</v>
      </c>
      <c r="Y183" s="91"/>
      <c r="Z183" s="91"/>
      <c r="AA183" s="91"/>
      <c r="AB183" s="91"/>
      <c r="AC183" s="91"/>
      <c r="AD183" s="96"/>
      <c r="AE183" s="96"/>
      <c r="AF183" s="96"/>
      <c r="AG183" s="96"/>
      <c r="AH183" s="96"/>
      <c r="AI183" s="110"/>
      <c r="AJ183" s="110"/>
      <c r="AK183" s="110"/>
      <c r="AL183" s="110"/>
      <c r="AM183" s="91"/>
      <c r="AN183" s="840"/>
      <c r="AO183" s="832"/>
      <c r="AP183" s="875"/>
      <c r="AQ183" s="875"/>
      <c r="AR183" s="875"/>
      <c r="AS183" s="776"/>
      <c r="AT183" s="776"/>
      <c r="BB183">
        <f t="shared" si="2"/>
        <v>1</v>
      </c>
    </row>
    <row r="184" spans="1:54" ht="15.6" customHeight="1">
      <c r="A184" s="834" t="s">
        <v>2342</v>
      </c>
      <c r="B184" s="834">
        <v>181</v>
      </c>
      <c r="C184" s="847" t="s">
        <v>3316</v>
      </c>
      <c r="D184" s="847" t="s">
        <v>3317</v>
      </c>
      <c r="E184" s="880">
        <v>46048.083333333336</v>
      </c>
      <c r="F184" s="834" t="s">
        <v>140</v>
      </c>
      <c r="G184" s="847">
        <v>1</v>
      </c>
      <c r="H184" s="847" t="s">
        <v>1721</v>
      </c>
      <c r="I184" s="847"/>
      <c r="J184" s="834"/>
      <c r="K184" s="136" t="s">
        <v>3217</v>
      </c>
      <c r="L184" s="834"/>
      <c r="M184" s="834"/>
      <c r="N184" s="847"/>
      <c r="O184" s="847"/>
      <c r="P184" s="834" t="s">
        <v>113</v>
      </c>
      <c r="Q184" s="834" t="s">
        <v>30</v>
      </c>
      <c r="R184" s="848">
        <v>46082</v>
      </c>
      <c r="S184" s="852" t="s">
        <v>67</v>
      </c>
      <c r="T184" s="834" t="s">
        <v>32</v>
      </c>
      <c r="U184" s="834">
        <v>1</v>
      </c>
      <c r="V184" s="852" t="s">
        <v>67</v>
      </c>
      <c r="W184" s="848">
        <v>46082</v>
      </c>
      <c r="X184" s="96" t="s">
        <v>113</v>
      </c>
      <c r="Y184" s="96"/>
      <c r="Z184" s="91"/>
      <c r="AA184" s="96"/>
      <c r="AB184" s="96"/>
      <c r="AC184" s="96"/>
      <c r="AD184" s="91"/>
      <c r="AE184" s="96"/>
      <c r="AF184" s="96"/>
      <c r="AG184" s="96"/>
      <c r="AH184" s="96"/>
      <c r="AI184" s="110"/>
      <c r="AJ184" s="107"/>
      <c r="AK184" s="107"/>
      <c r="AL184" s="107"/>
      <c r="AM184" s="91"/>
      <c r="AN184" s="840"/>
      <c r="AO184" s="832"/>
      <c r="AP184" s="875"/>
      <c r="AQ184" s="875"/>
      <c r="AR184" s="875"/>
      <c r="AS184" s="776"/>
      <c r="AT184" s="776"/>
      <c r="AU184" s="876"/>
      <c r="AV184" s="876"/>
      <c r="AW184" s="876"/>
      <c r="AX184" s="876"/>
      <c r="AY184" s="832"/>
      <c r="BB184">
        <f t="shared" si="2"/>
        <v>1</v>
      </c>
    </row>
    <row r="185" spans="1:54" ht="15.6" customHeight="1">
      <c r="A185" s="834" t="s">
        <v>2342</v>
      </c>
      <c r="B185" s="834">
        <v>182</v>
      </c>
      <c r="C185" s="847" t="s">
        <v>3318</v>
      </c>
      <c r="D185" s="847" t="s">
        <v>1184</v>
      </c>
      <c r="E185" s="880">
        <v>46048</v>
      </c>
      <c r="F185" s="834" t="s">
        <v>140</v>
      </c>
      <c r="G185" s="847">
        <v>1</v>
      </c>
      <c r="H185" s="847" t="s">
        <v>67</v>
      </c>
      <c r="I185" s="847"/>
      <c r="J185" s="834"/>
      <c r="K185" s="136" t="s">
        <v>3217</v>
      </c>
      <c r="L185" s="834"/>
      <c r="M185" s="834"/>
      <c r="N185" s="847"/>
      <c r="O185" s="847"/>
      <c r="P185" s="834" t="s">
        <v>113</v>
      </c>
      <c r="Q185" s="834" t="s">
        <v>30</v>
      </c>
      <c r="R185" s="848">
        <v>46082</v>
      </c>
      <c r="S185" s="852" t="s">
        <v>67</v>
      </c>
      <c r="T185" s="834" t="s">
        <v>32</v>
      </c>
      <c r="U185" s="834">
        <v>1</v>
      </c>
      <c r="V185" s="852" t="s">
        <v>67</v>
      </c>
      <c r="W185" s="848">
        <v>46082</v>
      </c>
      <c r="X185" s="96" t="s">
        <v>113</v>
      </c>
      <c r="Y185" s="91"/>
      <c r="Z185" s="91"/>
      <c r="AA185" s="96"/>
      <c r="AB185" s="96"/>
      <c r="AC185" s="96"/>
      <c r="AD185" s="96"/>
      <c r="AE185" s="96"/>
      <c r="AF185" s="96"/>
      <c r="AG185" s="96"/>
      <c r="AH185" s="96"/>
      <c r="AI185" s="110"/>
      <c r="AJ185" s="110"/>
      <c r="AK185" s="110"/>
      <c r="AL185" s="110"/>
      <c r="AM185" s="91"/>
      <c r="AN185" s="840"/>
      <c r="AO185" s="832"/>
      <c r="AP185" s="875"/>
      <c r="AQ185" s="875"/>
      <c r="AR185" s="875"/>
      <c r="AS185" s="776"/>
      <c r="AT185" s="776"/>
      <c r="BB185">
        <f t="shared" si="2"/>
        <v>1</v>
      </c>
    </row>
    <row r="186" spans="1:54" ht="15.6" customHeight="1">
      <c r="A186" s="834" t="s">
        <v>2342</v>
      </c>
      <c r="B186" s="834">
        <v>183</v>
      </c>
      <c r="C186" s="847" t="s">
        <v>3319</v>
      </c>
      <c r="D186" s="847" t="s">
        <v>3320</v>
      </c>
      <c r="E186" s="880">
        <v>46048.375</v>
      </c>
      <c r="F186" s="834" t="s">
        <v>140</v>
      </c>
      <c r="G186" s="847">
        <v>2</v>
      </c>
      <c r="H186" s="847" t="s">
        <v>67</v>
      </c>
      <c r="I186" s="847"/>
      <c r="J186" s="834"/>
      <c r="K186" s="136" t="s">
        <v>3217</v>
      </c>
      <c r="L186" s="834"/>
      <c r="M186" s="834"/>
      <c r="N186" s="847"/>
      <c r="O186" s="847"/>
      <c r="P186" s="834" t="s">
        <v>113</v>
      </c>
      <c r="Q186" s="834" t="s">
        <v>30</v>
      </c>
      <c r="R186" s="848">
        <v>46080</v>
      </c>
      <c r="S186" s="852" t="s">
        <v>67</v>
      </c>
      <c r="T186" s="834" t="s">
        <v>32</v>
      </c>
      <c r="U186" s="834">
        <v>2</v>
      </c>
      <c r="V186" s="852" t="s">
        <v>67</v>
      </c>
      <c r="W186" s="848">
        <v>46080</v>
      </c>
      <c r="X186" s="96" t="s">
        <v>113</v>
      </c>
      <c r="Y186" s="91"/>
      <c r="Z186" s="91"/>
      <c r="AA186" s="96"/>
      <c r="AB186" s="96"/>
      <c r="AC186" s="96"/>
      <c r="AD186" s="96"/>
      <c r="AE186" s="96"/>
      <c r="AF186" s="96"/>
      <c r="AG186" s="96"/>
      <c r="AH186" s="96"/>
      <c r="AI186" s="110"/>
      <c r="AJ186" s="96"/>
      <c r="AK186" s="96"/>
      <c r="AL186" s="96"/>
      <c r="AM186" s="91"/>
      <c r="AN186" s="840"/>
      <c r="AO186" s="832"/>
      <c r="AP186" s="875"/>
      <c r="AQ186" s="875"/>
      <c r="AR186" s="875"/>
      <c r="AS186" s="776"/>
      <c r="AT186" s="776"/>
      <c r="BB186">
        <f t="shared" si="2"/>
        <v>1</v>
      </c>
    </row>
    <row r="187" spans="1:54" ht="15.6" customHeight="1">
      <c r="A187" s="834" t="s">
        <v>2342</v>
      </c>
      <c r="B187" s="834">
        <v>184</v>
      </c>
      <c r="C187" s="847" t="s">
        <v>3321</v>
      </c>
      <c r="D187" s="847" t="s">
        <v>969</v>
      </c>
      <c r="E187" s="880">
        <v>46048</v>
      </c>
      <c r="F187" s="834" t="s">
        <v>140</v>
      </c>
      <c r="G187" s="834">
        <v>2</v>
      </c>
      <c r="H187" s="847" t="s">
        <v>67</v>
      </c>
      <c r="I187" s="847"/>
      <c r="J187" s="834"/>
      <c r="K187" s="136" t="s">
        <v>3217</v>
      </c>
      <c r="L187" s="834"/>
      <c r="M187" s="834"/>
      <c r="N187" s="847"/>
      <c r="O187" s="847"/>
      <c r="P187" s="834" t="s">
        <v>113</v>
      </c>
      <c r="Q187" s="834" t="s">
        <v>30</v>
      </c>
      <c r="R187" s="848">
        <v>46080</v>
      </c>
      <c r="S187" s="852" t="s">
        <v>67</v>
      </c>
      <c r="T187" s="834" t="s">
        <v>32</v>
      </c>
      <c r="U187" s="834">
        <v>2</v>
      </c>
      <c r="V187" s="852" t="s">
        <v>67</v>
      </c>
      <c r="W187" s="848">
        <v>46080</v>
      </c>
      <c r="X187" s="96" t="s">
        <v>113</v>
      </c>
      <c r="Y187" s="91"/>
      <c r="Z187" s="91"/>
      <c r="AA187" s="96"/>
      <c r="AB187" s="96"/>
      <c r="AC187" s="96"/>
      <c r="AD187" s="96"/>
      <c r="AE187" s="96"/>
      <c r="AF187" s="96"/>
      <c r="AG187" s="96"/>
      <c r="AH187" s="96"/>
      <c r="AI187" s="110"/>
      <c r="AJ187" s="110"/>
      <c r="AK187" s="110"/>
      <c r="AL187" s="110"/>
      <c r="AM187" s="91"/>
      <c r="AN187" s="840"/>
      <c r="AO187" s="832"/>
      <c r="AP187" s="875"/>
      <c r="AQ187" s="875"/>
      <c r="AR187" s="875"/>
      <c r="AS187" s="776"/>
      <c r="AT187" s="776"/>
      <c r="BB187">
        <f t="shared" si="2"/>
        <v>1</v>
      </c>
    </row>
    <row r="188" spans="1:54">
      <c r="A188" s="834" t="s">
        <v>24</v>
      </c>
      <c r="B188" s="834">
        <v>185</v>
      </c>
      <c r="C188" s="847" t="s">
        <v>3322</v>
      </c>
      <c r="D188" s="847" t="s">
        <v>50</v>
      </c>
      <c r="E188" s="880">
        <v>46055</v>
      </c>
      <c r="F188" s="847" t="s">
        <v>737</v>
      </c>
      <c r="G188" s="847">
        <v>13</v>
      </c>
      <c r="H188" s="847" t="s">
        <v>127</v>
      </c>
      <c r="I188" s="847" t="s">
        <v>28</v>
      </c>
      <c r="J188" s="98"/>
      <c r="K188" s="136" t="s">
        <v>3063</v>
      </c>
      <c r="L188" s="834" t="s">
        <v>2578</v>
      </c>
      <c r="M188" s="834" t="s">
        <v>3197</v>
      </c>
      <c r="N188" s="847" t="s">
        <v>3202</v>
      </c>
      <c r="O188" s="847" t="s">
        <v>2050</v>
      </c>
      <c r="P188" s="847" t="s">
        <v>32</v>
      </c>
      <c r="Q188" s="848" t="s">
        <v>30</v>
      </c>
      <c r="R188" s="848">
        <v>46085</v>
      </c>
      <c r="S188" s="852" t="s">
        <v>28</v>
      </c>
      <c r="T188" s="834" t="s">
        <v>32</v>
      </c>
      <c r="U188" s="834">
        <v>12</v>
      </c>
      <c r="V188" s="852" t="s">
        <v>28</v>
      </c>
      <c r="W188" s="848">
        <v>46085</v>
      </c>
      <c r="X188" s="96" t="s">
        <v>30</v>
      </c>
      <c r="Y188" s="96" t="s">
        <v>30</v>
      </c>
      <c r="Z188" s="91" t="s">
        <v>32</v>
      </c>
      <c r="AA188" s="96" t="s">
        <v>30</v>
      </c>
      <c r="AB188" s="96" t="s">
        <v>30</v>
      </c>
      <c r="AC188" s="96" t="s">
        <v>30</v>
      </c>
      <c r="AD188" s="96" t="s">
        <v>30</v>
      </c>
      <c r="AE188" s="96" t="s">
        <v>30</v>
      </c>
      <c r="AF188" s="96" t="s">
        <v>30</v>
      </c>
      <c r="AG188" s="96" t="s">
        <v>30</v>
      </c>
      <c r="AH188" s="96" t="s">
        <v>30</v>
      </c>
      <c r="AI188" s="96" t="s">
        <v>30</v>
      </c>
      <c r="AJ188" s="96" t="s">
        <v>30</v>
      </c>
      <c r="AK188" s="96" t="s">
        <v>30</v>
      </c>
      <c r="AL188" s="96" t="s">
        <v>30</v>
      </c>
      <c r="AM188" s="96" t="s">
        <v>30</v>
      </c>
      <c r="AN188" s="840"/>
      <c r="AO188" s="832"/>
      <c r="AP188" s="875"/>
      <c r="AQ188" s="875"/>
      <c r="AR188" s="875"/>
      <c r="AS188" s="776"/>
      <c r="AT188" s="776"/>
      <c r="BB188">
        <f t="shared" si="2"/>
        <v>1</v>
      </c>
    </row>
    <row r="189" spans="1:54">
      <c r="A189" s="834" t="s">
        <v>24</v>
      </c>
      <c r="B189" s="834">
        <v>186</v>
      </c>
      <c r="C189" s="847" t="s">
        <v>3323</v>
      </c>
      <c r="D189" s="847" t="s">
        <v>43</v>
      </c>
      <c r="E189" s="880">
        <v>46055</v>
      </c>
      <c r="F189" s="847" t="s">
        <v>1618</v>
      </c>
      <c r="G189" s="847">
        <v>16</v>
      </c>
      <c r="H189" s="847" t="s">
        <v>1077</v>
      </c>
      <c r="I189" s="847" t="s">
        <v>1138</v>
      </c>
      <c r="J189" s="98"/>
      <c r="K189" s="136" t="s">
        <v>3063</v>
      </c>
      <c r="L189" s="834" t="s">
        <v>2203</v>
      </c>
      <c r="M189" s="834" t="s">
        <v>3197</v>
      </c>
      <c r="N189" s="847" t="s">
        <v>3324</v>
      </c>
      <c r="O189" s="847" t="s">
        <v>2050</v>
      </c>
      <c r="P189" s="126" t="s">
        <v>2863</v>
      </c>
      <c r="Q189" s="848" t="s">
        <v>30</v>
      </c>
      <c r="R189" s="848">
        <v>46091</v>
      </c>
      <c r="S189" s="852" t="s">
        <v>1138</v>
      </c>
      <c r="T189" s="834" t="s">
        <v>32</v>
      </c>
      <c r="U189" s="834">
        <v>16</v>
      </c>
      <c r="V189" s="852" t="s">
        <v>1138</v>
      </c>
      <c r="W189" s="848">
        <v>46091</v>
      </c>
      <c r="X189" s="96" t="s">
        <v>30</v>
      </c>
      <c r="Y189" s="96" t="s">
        <v>30</v>
      </c>
      <c r="Z189" s="80" t="s">
        <v>30</v>
      </c>
      <c r="AA189" s="96" t="s">
        <v>30</v>
      </c>
      <c r="AB189" s="96" t="s">
        <v>30</v>
      </c>
      <c r="AC189" s="96" t="s">
        <v>30</v>
      </c>
      <c r="AD189" s="96" t="s">
        <v>30</v>
      </c>
      <c r="AE189" s="96" t="s">
        <v>30</v>
      </c>
      <c r="AF189" s="96" t="s">
        <v>30</v>
      </c>
      <c r="AG189" s="96" t="s">
        <v>30</v>
      </c>
      <c r="AH189" s="96" t="s">
        <v>30</v>
      </c>
      <c r="AI189" s="96" t="s">
        <v>30</v>
      </c>
      <c r="AJ189" s="96" t="s">
        <v>30</v>
      </c>
      <c r="AK189" s="96" t="s">
        <v>30</v>
      </c>
      <c r="AL189" s="96" t="s">
        <v>30</v>
      </c>
      <c r="AM189" s="96" t="s">
        <v>30</v>
      </c>
      <c r="AN189" s="840"/>
      <c r="AO189" s="832"/>
      <c r="AP189" s="875"/>
      <c r="AQ189" s="875"/>
      <c r="AR189" s="875"/>
      <c r="AS189" s="776"/>
      <c r="AT189" s="776"/>
      <c r="BB189">
        <f t="shared" si="2"/>
        <v>1</v>
      </c>
    </row>
    <row r="190" spans="1:54">
      <c r="A190" s="834" t="s">
        <v>24</v>
      </c>
      <c r="B190" s="834">
        <v>187</v>
      </c>
      <c r="C190" s="847" t="s">
        <v>3325</v>
      </c>
      <c r="D190" s="847" t="s">
        <v>50</v>
      </c>
      <c r="E190" s="880">
        <v>46055</v>
      </c>
      <c r="F190" s="847" t="s">
        <v>2202</v>
      </c>
      <c r="G190" s="847">
        <v>16</v>
      </c>
      <c r="H190" s="847" t="s">
        <v>1077</v>
      </c>
      <c r="I190" s="847" t="s">
        <v>1138</v>
      </c>
      <c r="J190" s="89"/>
      <c r="K190" s="136" t="s">
        <v>3063</v>
      </c>
      <c r="L190" s="834" t="s">
        <v>2113</v>
      </c>
      <c r="M190" s="834" t="s">
        <v>3197</v>
      </c>
      <c r="N190" s="847" t="s">
        <v>3197</v>
      </c>
      <c r="O190" s="847" t="s">
        <v>2083</v>
      </c>
      <c r="P190" s="126" t="s">
        <v>2863</v>
      </c>
      <c r="Q190" s="848" t="s">
        <v>30</v>
      </c>
      <c r="R190" s="848">
        <v>46106</v>
      </c>
      <c r="S190" s="852" t="s">
        <v>1138</v>
      </c>
      <c r="T190" s="834" t="s">
        <v>32</v>
      </c>
      <c r="U190" s="834">
        <v>14</v>
      </c>
      <c r="V190" s="852" t="s">
        <v>1138</v>
      </c>
      <c r="W190" s="848">
        <v>46106</v>
      </c>
      <c r="X190" s="91" t="s">
        <v>32</v>
      </c>
      <c r="Y190" s="118" t="s">
        <v>30</v>
      </c>
      <c r="Z190" s="91" t="s">
        <v>32</v>
      </c>
      <c r="AA190" s="96" t="s">
        <v>30</v>
      </c>
      <c r="AB190" s="96" t="s">
        <v>30</v>
      </c>
      <c r="AC190" s="96" t="s">
        <v>30</v>
      </c>
      <c r="AD190" s="96" t="s">
        <v>30</v>
      </c>
      <c r="AE190" s="96" t="s">
        <v>30</v>
      </c>
      <c r="AF190" s="96" t="s">
        <v>30</v>
      </c>
      <c r="AG190" s="96" t="s">
        <v>30</v>
      </c>
      <c r="AH190" s="96" t="s">
        <v>30</v>
      </c>
      <c r="AI190" s="96" t="s">
        <v>30</v>
      </c>
      <c r="AJ190" s="96" t="s">
        <v>30</v>
      </c>
      <c r="AK190" s="96" t="s">
        <v>30</v>
      </c>
      <c r="AL190" s="96" t="s">
        <v>30</v>
      </c>
      <c r="AM190" s="91" t="s">
        <v>32</v>
      </c>
      <c r="AN190" s="840"/>
      <c r="AO190" s="832"/>
      <c r="AP190" s="875"/>
      <c r="AQ190" s="875"/>
      <c r="AR190" s="875"/>
      <c r="AS190" s="776"/>
      <c r="AT190" s="776"/>
      <c r="BB190">
        <f t="shared" si="2"/>
        <v>1</v>
      </c>
    </row>
    <row r="191" spans="1:54">
      <c r="A191" s="834" t="s">
        <v>24</v>
      </c>
      <c r="B191" s="834">
        <v>188</v>
      </c>
      <c r="C191" s="847" t="s">
        <v>3174</v>
      </c>
      <c r="D191" s="847" t="s">
        <v>3326</v>
      </c>
      <c r="E191" s="880">
        <v>46055</v>
      </c>
      <c r="F191" s="847" t="s">
        <v>110</v>
      </c>
      <c r="G191" s="847">
        <v>12</v>
      </c>
      <c r="H191" s="847" t="s">
        <v>1334</v>
      </c>
      <c r="I191" s="847" t="s">
        <v>1334</v>
      </c>
      <c r="J191" s="98"/>
      <c r="K191" s="136" t="s">
        <v>3058</v>
      </c>
      <c r="L191" s="834" t="s">
        <v>2126</v>
      </c>
      <c r="M191" s="834" t="s">
        <v>3327</v>
      </c>
      <c r="N191" s="847" t="s">
        <v>3327</v>
      </c>
      <c r="O191" s="847" t="s">
        <v>110</v>
      </c>
      <c r="P191" s="847" t="s">
        <v>32</v>
      </c>
      <c r="Q191" s="848" t="s">
        <v>30</v>
      </c>
      <c r="R191" s="848">
        <v>46069</v>
      </c>
      <c r="S191" s="852" t="s">
        <v>48</v>
      </c>
      <c r="T191" s="834" t="s">
        <v>32</v>
      </c>
      <c r="U191" s="834">
        <v>12</v>
      </c>
      <c r="V191" s="852" t="s">
        <v>48</v>
      </c>
      <c r="W191" s="848">
        <v>46069</v>
      </c>
      <c r="X191" s="80" t="s">
        <v>113</v>
      </c>
      <c r="Y191" s="118" t="s">
        <v>30</v>
      </c>
      <c r="Z191" s="80" t="s">
        <v>113</v>
      </c>
      <c r="AA191" s="96" t="s">
        <v>30</v>
      </c>
      <c r="AB191" s="96" t="s">
        <v>30</v>
      </c>
      <c r="AC191" s="96" t="s">
        <v>30</v>
      </c>
      <c r="AD191" s="96" t="s">
        <v>30</v>
      </c>
      <c r="AE191" s="96" t="s">
        <v>30</v>
      </c>
      <c r="AF191" s="96" t="s">
        <v>30</v>
      </c>
      <c r="AG191" s="96" t="s">
        <v>30</v>
      </c>
      <c r="AH191" s="96" t="s">
        <v>30</v>
      </c>
      <c r="AI191" s="96" t="s">
        <v>30</v>
      </c>
      <c r="AJ191" s="96" t="s">
        <v>30</v>
      </c>
      <c r="AK191" s="96" t="s">
        <v>30</v>
      </c>
      <c r="AL191" s="96" t="s">
        <v>30</v>
      </c>
      <c r="AM191" s="91"/>
      <c r="AN191" s="840"/>
      <c r="AO191" s="832"/>
      <c r="AP191" s="875"/>
      <c r="AQ191" s="875"/>
      <c r="AR191" s="875"/>
      <c r="AS191" s="776"/>
      <c r="AT191" s="776"/>
      <c r="BB191">
        <f t="shared" si="2"/>
        <v>1</v>
      </c>
    </row>
    <row r="192" spans="1:54">
      <c r="A192" s="834" t="s">
        <v>24</v>
      </c>
      <c r="B192" s="834">
        <v>189</v>
      </c>
      <c r="C192" s="847" t="s">
        <v>3328</v>
      </c>
      <c r="D192" s="847" t="s">
        <v>43</v>
      </c>
      <c r="E192" s="880">
        <v>46056</v>
      </c>
      <c r="F192" s="847" t="s">
        <v>1618</v>
      </c>
      <c r="G192" s="847">
        <v>14</v>
      </c>
      <c r="H192" s="847" t="s">
        <v>1077</v>
      </c>
      <c r="I192" s="847" t="s">
        <v>1138</v>
      </c>
      <c r="J192" s="834"/>
      <c r="K192" s="136" t="s">
        <v>3063</v>
      </c>
      <c r="L192" s="834" t="s">
        <v>2203</v>
      </c>
      <c r="M192" s="834" t="s">
        <v>3202</v>
      </c>
      <c r="N192" s="847" t="s">
        <v>3324</v>
      </c>
      <c r="O192" s="847" t="s">
        <v>2083</v>
      </c>
      <c r="P192" s="126" t="s">
        <v>2863</v>
      </c>
      <c r="Q192" s="848" t="s">
        <v>30</v>
      </c>
      <c r="R192" s="848">
        <v>46087</v>
      </c>
      <c r="S192" s="852" t="s">
        <v>1138</v>
      </c>
      <c r="T192" s="852" t="s">
        <v>32</v>
      </c>
      <c r="U192" s="834">
        <v>13</v>
      </c>
      <c r="V192" s="834" t="s">
        <v>1138</v>
      </c>
      <c r="W192" s="848">
        <v>46087</v>
      </c>
      <c r="X192" s="96" t="s">
        <v>30</v>
      </c>
      <c r="Y192" s="96" t="s">
        <v>30</v>
      </c>
      <c r="Z192" s="96" t="s">
        <v>30</v>
      </c>
      <c r="AA192" s="96" t="s">
        <v>30</v>
      </c>
      <c r="AB192" s="96" t="s">
        <v>30</v>
      </c>
      <c r="AC192" s="96" t="s">
        <v>30</v>
      </c>
      <c r="AD192" s="96" t="s">
        <v>30</v>
      </c>
      <c r="AE192" s="96" t="s">
        <v>30</v>
      </c>
      <c r="AF192" s="96" t="s">
        <v>30</v>
      </c>
      <c r="AG192" s="96" t="s">
        <v>30</v>
      </c>
      <c r="AH192" s="96" t="s">
        <v>30</v>
      </c>
      <c r="AI192" s="96" t="s">
        <v>30</v>
      </c>
      <c r="AJ192" s="96" t="s">
        <v>30</v>
      </c>
      <c r="AK192" s="96" t="s">
        <v>30</v>
      </c>
      <c r="AL192" s="96" t="s">
        <v>30</v>
      </c>
      <c r="AM192" s="96" t="s">
        <v>30</v>
      </c>
      <c r="AN192" s="840"/>
      <c r="AO192" s="832"/>
      <c r="AP192" s="875"/>
      <c r="AQ192" s="875"/>
      <c r="AR192" s="875"/>
      <c r="AS192" s="776"/>
      <c r="AT192" s="776"/>
      <c r="BB192">
        <f t="shared" si="2"/>
        <v>1</v>
      </c>
    </row>
    <row r="193" spans="1:54">
      <c r="A193" s="834" t="s">
        <v>24</v>
      </c>
      <c r="B193" s="834">
        <v>190</v>
      </c>
      <c r="C193" s="847" t="s">
        <v>3329</v>
      </c>
      <c r="D193" s="847" t="s">
        <v>57</v>
      </c>
      <c r="E193" s="880">
        <v>46056</v>
      </c>
      <c r="F193" s="847" t="s">
        <v>3330</v>
      </c>
      <c r="G193" s="847">
        <v>12</v>
      </c>
      <c r="H193" s="847" t="s">
        <v>1077</v>
      </c>
      <c r="I193" s="847" t="s">
        <v>1138</v>
      </c>
      <c r="J193" s="834"/>
      <c r="K193" s="136" t="s">
        <v>3063</v>
      </c>
      <c r="L193" s="834" t="s">
        <v>3331</v>
      </c>
      <c r="M193" s="834" t="s">
        <v>3327</v>
      </c>
      <c r="N193" s="847" t="s">
        <v>3327</v>
      </c>
      <c r="O193" s="847" t="s">
        <v>2050</v>
      </c>
      <c r="P193" s="847" t="s">
        <v>32</v>
      </c>
      <c r="Q193" s="834" t="s">
        <v>30</v>
      </c>
      <c r="R193" s="848">
        <v>46085</v>
      </c>
      <c r="S193" s="852" t="s">
        <v>1138</v>
      </c>
      <c r="T193" s="834" t="s">
        <v>32</v>
      </c>
      <c r="U193" s="834">
        <v>12</v>
      </c>
      <c r="V193" s="852" t="s">
        <v>1138</v>
      </c>
      <c r="W193" s="848">
        <v>46085</v>
      </c>
      <c r="X193" s="118" t="s">
        <v>30</v>
      </c>
      <c r="Y193" s="118" t="s">
        <v>30</v>
      </c>
      <c r="Z193" s="96" t="s">
        <v>30</v>
      </c>
      <c r="AA193" s="96"/>
      <c r="AB193" s="96"/>
      <c r="AC193" s="96"/>
      <c r="AD193" s="96" t="s">
        <v>30</v>
      </c>
      <c r="AE193" s="96" t="s">
        <v>30</v>
      </c>
      <c r="AF193" s="96" t="s">
        <v>30</v>
      </c>
      <c r="AG193" s="96" t="s">
        <v>30</v>
      </c>
      <c r="AH193" s="96" t="s">
        <v>30</v>
      </c>
      <c r="AI193" s="110"/>
      <c r="AJ193" s="110"/>
      <c r="AK193" s="107" t="s">
        <v>30</v>
      </c>
      <c r="AL193" s="107" t="s">
        <v>30</v>
      </c>
      <c r="AM193" s="91"/>
      <c r="AN193" s="840"/>
      <c r="AO193" s="832"/>
      <c r="AP193" s="875"/>
      <c r="AQ193" s="875"/>
      <c r="AR193" s="875"/>
      <c r="AS193" s="776"/>
      <c r="AT193" s="776"/>
      <c r="BB193">
        <f t="shared" si="2"/>
        <v>1</v>
      </c>
    </row>
    <row r="194" spans="1:54">
      <c r="A194" s="834" t="s">
        <v>24</v>
      </c>
      <c r="B194" s="834">
        <v>191</v>
      </c>
      <c r="C194" s="847" t="s">
        <v>3332</v>
      </c>
      <c r="D194" s="847" t="s">
        <v>3333</v>
      </c>
      <c r="E194" s="880">
        <v>46057</v>
      </c>
      <c r="F194" s="847" t="s">
        <v>245</v>
      </c>
      <c r="G194" s="847">
        <v>18</v>
      </c>
      <c r="H194" s="847" t="s">
        <v>1077</v>
      </c>
      <c r="I194" s="847" t="s">
        <v>1138</v>
      </c>
      <c r="J194" s="98"/>
      <c r="K194" s="136" t="s">
        <v>3058</v>
      </c>
      <c r="L194" s="834" t="s">
        <v>2115</v>
      </c>
      <c r="M194" s="834" t="s">
        <v>3327</v>
      </c>
      <c r="N194" s="847" t="s">
        <v>3334</v>
      </c>
      <c r="O194" s="847" t="s">
        <v>2083</v>
      </c>
      <c r="P194" s="126" t="s">
        <v>2863</v>
      </c>
      <c r="Q194" s="834" t="s">
        <v>30</v>
      </c>
      <c r="R194" s="848">
        <v>46084</v>
      </c>
      <c r="S194" s="852" t="s">
        <v>1138</v>
      </c>
      <c r="T194" s="834" t="s">
        <v>32</v>
      </c>
      <c r="U194" s="834">
        <v>18</v>
      </c>
      <c r="V194" s="852" t="s">
        <v>1138</v>
      </c>
      <c r="W194" s="848">
        <v>46084</v>
      </c>
      <c r="X194" s="96" t="s">
        <v>30</v>
      </c>
      <c r="Y194" s="96" t="s">
        <v>30</v>
      </c>
      <c r="Z194" s="96" t="s">
        <v>30</v>
      </c>
      <c r="AA194" s="91" t="s">
        <v>32</v>
      </c>
      <c r="AB194" s="91" t="s">
        <v>32</v>
      </c>
      <c r="AC194" s="91" t="s">
        <v>32</v>
      </c>
      <c r="AD194" s="96" t="s">
        <v>30</v>
      </c>
      <c r="AE194" s="96" t="s">
        <v>30</v>
      </c>
      <c r="AF194" s="96" t="s">
        <v>30</v>
      </c>
      <c r="AG194" s="96" t="s">
        <v>30</v>
      </c>
      <c r="AH194" s="96" t="s">
        <v>30</v>
      </c>
      <c r="AI194" s="96"/>
      <c r="AJ194" s="96" t="s">
        <v>30</v>
      </c>
      <c r="AK194" s="96" t="s">
        <v>30</v>
      </c>
      <c r="AL194" s="96" t="s">
        <v>30</v>
      </c>
      <c r="AM194" s="91"/>
      <c r="AN194" s="840"/>
      <c r="AO194" s="832"/>
      <c r="AP194" s="875"/>
      <c r="AQ194" s="875"/>
      <c r="AR194" s="875"/>
      <c r="AS194" s="776"/>
      <c r="AT194" s="776"/>
      <c r="BB194">
        <f t="shared" si="2"/>
        <v>1</v>
      </c>
    </row>
    <row r="195" spans="1:54">
      <c r="A195" s="834" t="s">
        <v>24</v>
      </c>
      <c r="B195" s="834">
        <v>192</v>
      </c>
      <c r="C195" s="847" t="s">
        <v>3335</v>
      </c>
      <c r="D195" s="847" t="s">
        <v>406</v>
      </c>
      <c r="E195" s="880">
        <v>46059</v>
      </c>
      <c r="F195" s="847" t="s">
        <v>97</v>
      </c>
      <c r="G195" s="847">
        <v>11</v>
      </c>
      <c r="H195" s="847" t="s">
        <v>3056</v>
      </c>
      <c r="I195" s="847" t="s">
        <v>47</v>
      </c>
      <c r="J195" s="834"/>
      <c r="K195" s="136" t="s">
        <v>3063</v>
      </c>
      <c r="L195" s="834" t="s">
        <v>2061</v>
      </c>
      <c r="M195" s="834" t="s">
        <v>3334</v>
      </c>
      <c r="N195" s="847" t="s">
        <v>3336</v>
      </c>
      <c r="O195" s="847" t="s">
        <v>2050</v>
      </c>
      <c r="P195" s="847" t="s">
        <v>32</v>
      </c>
      <c r="Q195" s="834" t="s">
        <v>30</v>
      </c>
      <c r="R195" s="848">
        <v>46087</v>
      </c>
      <c r="S195" s="852" t="s">
        <v>47</v>
      </c>
      <c r="T195" s="834" t="s">
        <v>32</v>
      </c>
      <c r="U195" s="834">
        <v>11</v>
      </c>
      <c r="V195" s="852" t="s">
        <v>3337</v>
      </c>
      <c r="W195" s="848">
        <v>46087</v>
      </c>
      <c r="X195" s="96" t="s">
        <v>30</v>
      </c>
      <c r="Y195" s="96" t="s">
        <v>30</v>
      </c>
      <c r="Z195" s="80" t="s">
        <v>30</v>
      </c>
      <c r="AA195" s="96" t="s">
        <v>30</v>
      </c>
      <c r="AB195" s="96" t="s">
        <v>30</v>
      </c>
      <c r="AC195" s="96" t="s">
        <v>30</v>
      </c>
      <c r="AD195" s="96" t="s">
        <v>30</v>
      </c>
      <c r="AE195" s="96" t="s">
        <v>30</v>
      </c>
      <c r="AF195" s="96" t="s">
        <v>30</v>
      </c>
      <c r="AG195" s="96" t="s">
        <v>30</v>
      </c>
      <c r="AH195" s="96" t="s">
        <v>30</v>
      </c>
      <c r="AI195" s="96" t="s">
        <v>30</v>
      </c>
      <c r="AJ195" s="96" t="s">
        <v>30</v>
      </c>
      <c r="AK195" s="96" t="s">
        <v>30</v>
      </c>
      <c r="AL195" s="96" t="s">
        <v>30</v>
      </c>
      <c r="AM195" s="96" t="s">
        <v>30</v>
      </c>
      <c r="AN195" s="840"/>
      <c r="AO195" s="832"/>
      <c r="AP195" s="875"/>
      <c r="AQ195" s="875"/>
      <c r="AR195" s="875"/>
      <c r="AS195" s="776"/>
      <c r="AT195" s="776"/>
      <c r="BB195">
        <f t="shared" si="2"/>
        <v>1</v>
      </c>
    </row>
    <row r="196" spans="1:54">
      <c r="A196" s="834" t="s">
        <v>24</v>
      </c>
      <c r="B196" s="834">
        <v>193</v>
      </c>
      <c r="C196" s="847" t="s">
        <v>3338</v>
      </c>
      <c r="D196" s="847" t="s">
        <v>2188</v>
      </c>
      <c r="E196" s="880">
        <v>46059</v>
      </c>
      <c r="F196" s="847" t="s">
        <v>97</v>
      </c>
      <c r="G196" s="847">
        <v>11</v>
      </c>
      <c r="H196" s="847" t="s">
        <v>3056</v>
      </c>
      <c r="I196" s="847" t="s">
        <v>47</v>
      </c>
      <c r="J196" s="834"/>
      <c r="K196" s="136" t="s">
        <v>3063</v>
      </c>
      <c r="L196" s="834" t="s">
        <v>2061</v>
      </c>
      <c r="M196" s="834" t="s">
        <v>401</v>
      </c>
      <c r="N196" s="847" t="s">
        <v>401</v>
      </c>
      <c r="O196" s="847" t="s">
        <v>401</v>
      </c>
      <c r="P196" s="847" t="s">
        <v>32</v>
      </c>
      <c r="Q196" s="848" t="s">
        <v>30</v>
      </c>
      <c r="R196" s="848">
        <v>46085</v>
      </c>
      <c r="S196" s="852" t="s">
        <v>47</v>
      </c>
      <c r="T196" s="834" t="s">
        <v>32</v>
      </c>
      <c r="U196" s="834">
        <v>11</v>
      </c>
      <c r="V196" s="852" t="s">
        <v>47</v>
      </c>
      <c r="W196" s="848">
        <v>46085</v>
      </c>
      <c r="X196" s="96" t="s">
        <v>30</v>
      </c>
      <c r="Y196" s="96" t="s">
        <v>30</v>
      </c>
      <c r="Z196" s="80" t="s">
        <v>30</v>
      </c>
      <c r="AA196" s="96" t="s">
        <v>30</v>
      </c>
      <c r="AB196" s="96" t="s">
        <v>30</v>
      </c>
      <c r="AC196" s="96" t="s">
        <v>30</v>
      </c>
      <c r="AD196" s="96" t="s">
        <v>30</v>
      </c>
      <c r="AE196" s="96" t="s">
        <v>30</v>
      </c>
      <c r="AF196" s="96" t="s">
        <v>30</v>
      </c>
      <c r="AG196" s="96" t="s">
        <v>30</v>
      </c>
      <c r="AH196" s="96" t="s">
        <v>30</v>
      </c>
      <c r="AI196" s="96" t="s">
        <v>30</v>
      </c>
      <c r="AJ196" s="96" t="s">
        <v>30</v>
      </c>
      <c r="AK196" s="96" t="s">
        <v>30</v>
      </c>
      <c r="AL196" s="96" t="s">
        <v>30</v>
      </c>
      <c r="AM196" s="96" t="s">
        <v>30</v>
      </c>
      <c r="AN196" s="840"/>
      <c r="AO196" s="832"/>
      <c r="AP196" s="875"/>
      <c r="AQ196" s="875"/>
      <c r="AR196" s="875"/>
      <c r="AS196" s="776"/>
      <c r="AT196" s="776"/>
      <c r="BB196">
        <f t="shared" si="2"/>
        <v>1</v>
      </c>
    </row>
    <row r="197" spans="1:54">
      <c r="A197" s="834" t="s">
        <v>24</v>
      </c>
      <c r="B197" s="834">
        <v>194</v>
      </c>
      <c r="C197" s="847" t="s">
        <v>3339</v>
      </c>
      <c r="D197" s="847" t="s">
        <v>50</v>
      </c>
      <c r="E197" s="880">
        <v>46060</v>
      </c>
      <c r="F197" s="847" t="s">
        <v>1945</v>
      </c>
      <c r="G197" s="847">
        <v>10</v>
      </c>
      <c r="H197" s="847" t="s">
        <v>127</v>
      </c>
      <c r="I197" s="847" t="s">
        <v>28</v>
      </c>
      <c r="J197" s="834"/>
      <c r="K197" s="136" t="s">
        <v>3058</v>
      </c>
      <c r="L197" s="834" t="s">
        <v>2703</v>
      </c>
      <c r="M197" s="834" t="s">
        <v>3336</v>
      </c>
      <c r="N197" s="834" t="s">
        <v>3336</v>
      </c>
      <c r="O197" s="847" t="s">
        <v>2050</v>
      </c>
      <c r="P197" s="847" t="s">
        <v>32</v>
      </c>
      <c r="Q197" s="848" t="s">
        <v>30</v>
      </c>
      <c r="R197" s="848">
        <v>46085</v>
      </c>
      <c r="S197" s="852" t="s">
        <v>28</v>
      </c>
      <c r="T197" s="834" t="s">
        <v>32</v>
      </c>
      <c r="U197" s="834">
        <v>21</v>
      </c>
      <c r="V197" s="852" t="s">
        <v>28</v>
      </c>
      <c r="W197" s="848">
        <v>46085</v>
      </c>
      <c r="X197" s="96" t="s">
        <v>30</v>
      </c>
      <c r="Y197" s="96" t="s">
        <v>30</v>
      </c>
      <c r="Z197" s="91" t="s">
        <v>32</v>
      </c>
      <c r="AA197" s="96" t="s">
        <v>30</v>
      </c>
      <c r="AB197" s="96" t="s">
        <v>30</v>
      </c>
      <c r="AC197" s="96" t="s">
        <v>30</v>
      </c>
      <c r="AD197" s="96" t="s">
        <v>30</v>
      </c>
      <c r="AE197" s="96" t="s">
        <v>30</v>
      </c>
      <c r="AF197" s="96" t="s">
        <v>30</v>
      </c>
      <c r="AG197" s="96" t="s">
        <v>30</v>
      </c>
      <c r="AH197" s="96" t="s">
        <v>30</v>
      </c>
      <c r="AI197" s="96" t="s">
        <v>30</v>
      </c>
      <c r="AJ197" s="96" t="s">
        <v>30</v>
      </c>
      <c r="AK197" s="96" t="s">
        <v>30</v>
      </c>
      <c r="AL197" s="96" t="s">
        <v>30</v>
      </c>
      <c r="AM197" s="96" t="s">
        <v>30</v>
      </c>
      <c r="AN197" s="840"/>
      <c r="AO197" s="832"/>
      <c r="AP197" s="875"/>
      <c r="AQ197" s="875"/>
      <c r="AR197" s="875"/>
      <c r="AS197" s="776"/>
      <c r="AT197" s="776"/>
      <c r="BB197">
        <f t="shared" ref="BB197:BB259" si="3">IF(E197&gt;1,1,"")</f>
        <v>1</v>
      </c>
    </row>
    <row r="198" spans="1:54">
      <c r="A198" s="834" t="s">
        <v>24</v>
      </c>
      <c r="B198" s="834">
        <v>195</v>
      </c>
      <c r="C198" s="847" t="s">
        <v>3340</v>
      </c>
      <c r="D198" s="847" t="s">
        <v>34</v>
      </c>
      <c r="E198" s="880">
        <v>46060</v>
      </c>
      <c r="F198" s="847" t="s">
        <v>506</v>
      </c>
      <c r="G198" s="847">
        <v>14</v>
      </c>
      <c r="H198" s="847" t="s">
        <v>127</v>
      </c>
      <c r="I198" s="847" t="s">
        <v>28</v>
      </c>
      <c r="J198" s="834"/>
      <c r="K198" s="136" t="s">
        <v>3058</v>
      </c>
      <c r="L198" s="834" t="s">
        <v>2180</v>
      </c>
      <c r="M198" s="834" t="s">
        <v>3336</v>
      </c>
      <c r="N198" s="847" t="s">
        <v>3336</v>
      </c>
      <c r="O198" s="847" t="s">
        <v>3341</v>
      </c>
      <c r="P198" s="847" t="s">
        <v>32</v>
      </c>
      <c r="Q198" s="848" t="s">
        <v>30</v>
      </c>
      <c r="R198" s="848">
        <v>46086</v>
      </c>
      <c r="S198" s="852" t="s">
        <v>28</v>
      </c>
      <c r="T198" s="834" t="s">
        <v>32</v>
      </c>
      <c r="U198" s="834">
        <v>15</v>
      </c>
      <c r="V198" s="852" t="s">
        <v>28</v>
      </c>
      <c r="W198" s="848">
        <v>46086</v>
      </c>
      <c r="X198" s="96" t="s">
        <v>30</v>
      </c>
      <c r="Y198" s="96" t="s">
        <v>30</v>
      </c>
      <c r="Z198" s="91" t="s">
        <v>32</v>
      </c>
      <c r="AA198" s="91" t="s">
        <v>32</v>
      </c>
      <c r="AB198" s="91" t="s">
        <v>32</v>
      </c>
      <c r="AC198" s="91" t="s">
        <v>32</v>
      </c>
      <c r="AD198" s="96" t="s">
        <v>30</v>
      </c>
      <c r="AE198" s="96" t="s">
        <v>30</v>
      </c>
      <c r="AF198" s="96" t="s">
        <v>30</v>
      </c>
      <c r="AG198" s="96" t="s">
        <v>30</v>
      </c>
      <c r="AH198" s="96" t="s">
        <v>30</v>
      </c>
      <c r="AI198" s="96" t="s">
        <v>30</v>
      </c>
      <c r="AJ198" s="96" t="s">
        <v>30</v>
      </c>
      <c r="AK198" s="96" t="s">
        <v>30</v>
      </c>
      <c r="AL198" s="96" t="s">
        <v>30</v>
      </c>
      <c r="AM198" s="96" t="s">
        <v>30</v>
      </c>
      <c r="AN198" s="840"/>
      <c r="AO198" s="832"/>
      <c r="AP198" s="875"/>
      <c r="AQ198" s="875"/>
      <c r="AR198" s="875"/>
      <c r="AS198" s="776"/>
      <c r="AT198" s="776"/>
      <c r="BB198">
        <f t="shared" si="3"/>
        <v>1</v>
      </c>
    </row>
    <row r="199" spans="1:54">
      <c r="A199" s="834" t="s">
        <v>24</v>
      </c>
      <c r="B199" s="834">
        <v>196</v>
      </c>
      <c r="C199" s="847" t="s">
        <v>3342</v>
      </c>
      <c r="D199" s="847" t="s">
        <v>34</v>
      </c>
      <c r="E199" s="880">
        <v>46060</v>
      </c>
      <c r="F199" s="847" t="s">
        <v>167</v>
      </c>
      <c r="G199" s="136">
        <v>10</v>
      </c>
      <c r="H199" s="847" t="s">
        <v>127</v>
      </c>
      <c r="I199" s="847" t="s">
        <v>28</v>
      </c>
      <c r="J199" s="834"/>
      <c r="K199" s="136" t="s">
        <v>3058</v>
      </c>
      <c r="L199" s="834" t="s">
        <v>2092</v>
      </c>
      <c r="M199" s="834" t="s">
        <v>3343</v>
      </c>
      <c r="N199" s="847" t="s">
        <v>3344</v>
      </c>
      <c r="O199" s="847" t="s">
        <v>3345</v>
      </c>
      <c r="P199" s="847" t="s">
        <v>32</v>
      </c>
      <c r="Q199" s="848" t="s">
        <v>30</v>
      </c>
      <c r="R199" s="848">
        <v>46086</v>
      </c>
      <c r="S199" s="852" t="s">
        <v>28</v>
      </c>
      <c r="T199" s="834" t="s">
        <v>32</v>
      </c>
      <c r="U199" s="834">
        <v>23</v>
      </c>
      <c r="V199" s="852" t="s">
        <v>28</v>
      </c>
      <c r="W199" s="848">
        <v>46086</v>
      </c>
      <c r="X199" s="96" t="s">
        <v>30</v>
      </c>
      <c r="Y199" s="96" t="s">
        <v>30</v>
      </c>
      <c r="Z199" s="91" t="s">
        <v>32</v>
      </c>
      <c r="AA199" s="91" t="s">
        <v>32</v>
      </c>
      <c r="AB199" s="91" t="s">
        <v>32</v>
      </c>
      <c r="AC199" s="91" t="s">
        <v>32</v>
      </c>
      <c r="AD199" s="96" t="s">
        <v>30</v>
      </c>
      <c r="AE199" s="96" t="s">
        <v>30</v>
      </c>
      <c r="AF199" s="96" t="s">
        <v>30</v>
      </c>
      <c r="AG199" s="96" t="s">
        <v>30</v>
      </c>
      <c r="AH199" s="96" t="s">
        <v>30</v>
      </c>
      <c r="AI199" s="96" t="s">
        <v>30</v>
      </c>
      <c r="AJ199" s="96" t="s">
        <v>30</v>
      </c>
      <c r="AK199" s="96" t="s">
        <v>30</v>
      </c>
      <c r="AL199" s="96" t="s">
        <v>30</v>
      </c>
      <c r="AM199" s="96" t="s">
        <v>30</v>
      </c>
      <c r="AN199" s="840"/>
      <c r="AO199" s="832"/>
      <c r="AP199" s="875"/>
      <c r="AQ199" s="875"/>
      <c r="AR199" s="875"/>
      <c r="AS199" s="776"/>
      <c r="AT199" s="776"/>
      <c r="BB199">
        <f t="shared" si="3"/>
        <v>1</v>
      </c>
    </row>
    <row r="200" spans="1:54">
      <c r="A200" s="834" t="s">
        <v>24</v>
      </c>
      <c r="B200" s="834">
        <v>197</v>
      </c>
      <c r="C200" s="847" t="s">
        <v>3346</v>
      </c>
      <c r="D200" s="847" t="s">
        <v>34</v>
      </c>
      <c r="E200" s="880">
        <v>46060</v>
      </c>
      <c r="F200" s="847" t="s">
        <v>401</v>
      </c>
      <c r="G200" s="847">
        <v>2</v>
      </c>
      <c r="H200" s="847" t="s">
        <v>1076</v>
      </c>
      <c r="I200" s="847" t="s">
        <v>3337</v>
      </c>
      <c r="J200" s="834"/>
      <c r="K200" s="136" t="s">
        <v>3058</v>
      </c>
      <c r="L200" s="834" t="s">
        <v>2092</v>
      </c>
      <c r="M200" s="834" t="s">
        <v>401</v>
      </c>
      <c r="N200" s="847" t="s">
        <v>401</v>
      </c>
      <c r="O200" s="847" t="s">
        <v>401</v>
      </c>
      <c r="P200" s="847" t="s">
        <v>32</v>
      </c>
      <c r="Q200" s="848" t="s">
        <v>30</v>
      </c>
      <c r="R200" s="848">
        <v>46086</v>
      </c>
      <c r="S200" s="852" t="s">
        <v>28</v>
      </c>
      <c r="T200" s="834" t="s">
        <v>32</v>
      </c>
      <c r="U200" s="834">
        <v>2</v>
      </c>
      <c r="V200" s="852" t="s">
        <v>28</v>
      </c>
      <c r="W200" s="848">
        <v>46086</v>
      </c>
      <c r="X200" s="96" t="s">
        <v>30</v>
      </c>
      <c r="Y200" s="96" t="s">
        <v>30</v>
      </c>
      <c r="Z200" s="91" t="s">
        <v>32</v>
      </c>
      <c r="AA200" s="91" t="s">
        <v>32</v>
      </c>
      <c r="AB200" s="91" t="s">
        <v>32</v>
      </c>
      <c r="AC200" s="91" t="s">
        <v>32</v>
      </c>
      <c r="AD200" s="96" t="s">
        <v>30</v>
      </c>
      <c r="AE200" s="96" t="s">
        <v>30</v>
      </c>
      <c r="AF200" s="96" t="s">
        <v>30</v>
      </c>
      <c r="AG200" s="96" t="s">
        <v>30</v>
      </c>
      <c r="AH200" s="96" t="s">
        <v>30</v>
      </c>
      <c r="AI200" s="96" t="s">
        <v>30</v>
      </c>
      <c r="AJ200" s="96" t="s">
        <v>30</v>
      </c>
      <c r="AK200" s="96" t="s">
        <v>30</v>
      </c>
      <c r="AL200" s="96" t="s">
        <v>30</v>
      </c>
      <c r="AM200" s="96" t="s">
        <v>30</v>
      </c>
      <c r="AN200" s="840"/>
      <c r="AO200" s="832"/>
      <c r="AP200" s="875"/>
      <c r="AQ200" s="875"/>
      <c r="AR200" s="875"/>
      <c r="AS200" s="776"/>
      <c r="AT200" s="776"/>
      <c r="BB200">
        <f t="shared" si="3"/>
        <v>1</v>
      </c>
    </row>
    <row r="201" spans="1:54">
      <c r="A201" s="834" t="s">
        <v>24</v>
      </c>
      <c r="B201" s="834">
        <v>198</v>
      </c>
      <c r="C201" s="847" t="s">
        <v>3347</v>
      </c>
      <c r="D201" s="847" t="s">
        <v>34</v>
      </c>
      <c r="E201" s="880">
        <v>46060</v>
      </c>
      <c r="F201" s="847" t="s">
        <v>1611</v>
      </c>
      <c r="G201" s="847">
        <v>14</v>
      </c>
      <c r="H201" s="847" t="s">
        <v>1721</v>
      </c>
      <c r="I201" s="847" t="s">
        <v>1638</v>
      </c>
      <c r="J201" s="98"/>
      <c r="K201" s="136" t="s">
        <v>3058</v>
      </c>
      <c r="L201" s="834" t="s">
        <v>2126</v>
      </c>
      <c r="M201" s="834" t="s">
        <v>3336</v>
      </c>
      <c r="N201" s="847" t="s">
        <v>3336</v>
      </c>
      <c r="O201" s="847" t="s">
        <v>2050</v>
      </c>
      <c r="P201" s="847" t="s">
        <v>32</v>
      </c>
      <c r="Q201" s="848" t="s">
        <v>30</v>
      </c>
      <c r="R201" s="848">
        <v>46083</v>
      </c>
      <c r="S201" s="852" t="s">
        <v>1638</v>
      </c>
      <c r="T201" s="834" t="s">
        <v>32</v>
      </c>
      <c r="U201" s="834">
        <v>11</v>
      </c>
      <c r="V201" s="852" t="s">
        <v>1638</v>
      </c>
      <c r="W201" s="848">
        <v>46083</v>
      </c>
      <c r="X201" s="96" t="s">
        <v>30</v>
      </c>
      <c r="Y201" s="96" t="s">
        <v>30</v>
      </c>
      <c r="Z201" s="96" t="s">
        <v>30</v>
      </c>
      <c r="AA201" s="91"/>
      <c r="AB201" s="91"/>
      <c r="AC201" s="96"/>
      <c r="AD201" s="96" t="s">
        <v>30</v>
      </c>
      <c r="AE201" s="96" t="s">
        <v>30</v>
      </c>
      <c r="AF201" s="96" t="s">
        <v>30</v>
      </c>
      <c r="AG201" s="96" t="s">
        <v>30</v>
      </c>
      <c r="AH201" s="96" t="s">
        <v>30</v>
      </c>
      <c r="AI201" s="96" t="s">
        <v>30</v>
      </c>
      <c r="AJ201" s="96" t="s">
        <v>30</v>
      </c>
      <c r="AK201" s="96" t="s">
        <v>30</v>
      </c>
      <c r="AL201" s="96" t="s">
        <v>30</v>
      </c>
      <c r="AM201" s="91"/>
      <c r="AN201" s="840" t="s">
        <v>3348</v>
      </c>
      <c r="AO201" s="832"/>
      <c r="AP201" s="875"/>
      <c r="AQ201" s="875"/>
      <c r="AR201" s="875"/>
      <c r="AS201" s="776"/>
      <c r="AT201" s="776"/>
      <c r="BB201">
        <f t="shared" si="3"/>
        <v>1</v>
      </c>
    </row>
    <row r="202" spans="1:54">
      <c r="A202" s="834" t="s">
        <v>24</v>
      </c>
      <c r="B202" s="834">
        <v>199</v>
      </c>
      <c r="C202" s="847" t="s">
        <v>3349</v>
      </c>
      <c r="D202" s="847" t="s">
        <v>606</v>
      </c>
      <c r="E202" s="880">
        <v>46060</v>
      </c>
      <c r="F202" s="847" t="s">
        <v>688</v>
      </c>
      <c r="G202" s="847">
        <v>12</v>
      </c>
      <c r="H202" s="847" t="s">
        <v>1721</v>
      </c>
      <c r="I202" s="847" t="s">
        <v>1638</v>
      </c>
      <c r="J202" s="834"/>
      <c r="K202" s="136" t="s">
        <v>3058</v>
      </c>
      <c r="L202" s="834" t="s">
        <v>2123</v>
      </c>
      <c r="M202" s="834" t="s">
        <v>3344</v>
      </c>
      <c r="N202" s="847" t="s">
        <v>3336</v>
      </c>
      <c r="O202" s="847" t="s">
        <v>3350</v>
      </c>
      <c r="P202" s="847" t="s">
        <v>32</v>
      </c>
      <c r="Q202" s="848" t="s">
        <v>30</v>
      </c>
      <c r="R202" s="848">
        <v>46083</v>
      </c>
      <c r="S202" s="852" t="s">
        <v>1638</v>
      </c>
      <c r="T202" s="834" t="s">
        <v>32</v>
      </c>
      <c r="U202" s="834">
        <v>10</v>
      </c>
      <c r="V202" s="852" t="s">
        <v>1638</v>
      </c>
      <c r="W202" s="848">
        <v>46083</v>
      </c>
      <c r="X202" s="96" t="s">
        <v>30</v>
      </c>
      <c r="Y202" s="96" t="s">
        <v>30</v>
      </c>
      <c r="Z202" s="96" t="s">
        <v>30</v>
      </c>
      <c r="AA202" s="91"/>
      <c r="AB202" s="91"/>
      <c r="AC202" s="91"/>
      <c r="AD202" s="96" t="s">
        <v>30</v>
      </c>
      <c r="AE202" s="96" t="s">
        <v>30</v>
      </c>
      <c r="AF202" s="96" t="s">
        <v>30</v>
      </c>
      <c r="AG202" s="96" t="s">
        <v>30</v>
      </c>
      <c r="AH202" s="96" t="s">
        <v>30</v>
      </c>
      <c r="AI202" s="96" t="s">
        <v>30</v>
      </c>
      <c r="AJ202" s="96"/>
      <c r="AK202" s="96"/>
      <c r="AL202" s="96"/>
      <c r="AM202" s="91"/>
      <c r="AN202" s="840"/>
      <c r="AO202" s="832"/>
      <c r="AP202" s="875"/>
      <c r="AQ202" s="875"/>
      <c r="AR202" s="875"/>
      <c r="AS202" s="776"/>
      <c r="AT202" s="776"/>
      <c r="BB202">
        <f t="shared" si="3"/>
        <v>1</v>
      </c>
    </row>
    <row r="203" spans="1:54">
      <c r="A203" s="834" t="s">
        <v>24</v>
      </c>
      <c r="B203" s="834">
        <v>200</v>
      </c>
      <c r="C203" s="847" t="s">
        <v>3351</v>
      </c>
      <c r="D203" s="847" t="s">
        <v>178</v>
      </c>
      <c r="E203" s="880">
        <v>46060</v>
      </c>
      <c r="F203" s="847" t="s">
        <v>179</v>
      </c>
      <c r="G203" s="847">
        <v>14</v>
      </c>
      <c r="H203" s="847" t="s">
        <v>1077</v>
      </c>
      <c r="I203" s="847" t="s">
        <v>1138</v>
      </c>
      <c r="J203" s="834"/>
      <c r="K203" s="136" t="s">
        <v>3058</v>
      </c>
      <c r="L203" s="834" t="s">
        <v>2108</v>
      </c>
      <c r="M203" s="834" t="s">
        <v>3336</v>
      </c>
      <c r="N203" s="847" t="s">
        <v>3343</v>
      </c>
      <c r="O203" s="847" t="s">
        <v>2050</v>
      </c>
      <c r="P203" s="109" t="s">
        <v>32</v>
      </c>
      <c r="Q203" s="834" t="s">
        <v>30</v>
      </c>
      <c r="R203" s="848">
        <v>46087</v>
      </c>
      <c r="S203" s="852" t="s">
        <v>1138</v>
      </c>
      <c r="T203" s="834" t="s">
        <v>32</v>
      </c>
      <c r="U203" s="834">
        <v>14</v>
      </c>
      <c r="V203" s="852" t="s">
        <v>1138</v>
      </c>
      <c r="W203" s="848">
        <v>46087</v>
      </c>
      <c r="X203" s="96" t="s">
        <v>30</v>
      </c>
      <c r="Y203" s="96" t="s">
        <v>30</v>
      </c>
      <c r="Z203" s="96" t="s">
        <v>30</v>
      </c>
      <c r="AA203" s="96" t="s">
        <v>30</v>
      </c>
      <c r="AB203" s="96" t="s">
        <v>30</v>
      </c>
      <c r="AC203" s="96" t="s">
        <v>30</v>
      </c>
      <c r="AD203" s="96" t="s">
        <v>30</v>
      </c>
      <c r="AE203" s="96" t="s">
        <v>30</v>
      </c>
      <c r="AF203" s="96" t="s">
        <v>30</v>
      </c>
      <c r="AG203" s="96" t="s">
        <v>30</v>
      </c>
      <c r="AH203" s="96" t="s">
        <v>30</v>
      </c>
      <c r="AI203" s="91"/>
      <c r="AJ203" s="96" t="s">
        <v>30</v>
      </c>
      <c r="AK203" s="96" t="s">
        <v>30</v>
      </c>
      <c r="AL203" s="96" t="s">
        <v>30</v>
      </c>
      <c r="AM203" s="91"/>
      <c r="AN203" s="840"/>
      <c r="AO203" s="832"/>
      <c r="AP203" s="875"/>
      <c r="AQ203" s="875"/>
      <c r="AR203" s="875"/>
      <c r="AS203" s="776"/>
      <c r="AT203" s="776"/>
      <c r="BB203">
        <f t="shared" si="3"/>
        <v>1</v>
      </c>
    </row>
    <row r="204" spans="1:54">
      <c r="A204" s="834" t="s">
        <v>24</v>
      </c>
      <c r="B204" s="834">
        <v>201</v>
      </c>
      <c r="C204" s="847" t="s">
        <v>3352</v>
      </c>
      <c r="D204" s="847" t="s">
        <v>34</v>
      </c>
      <c r="E204" s="880">
        <v>46062</v>
      </c>
      <c r="F204" s="847" t="s">
        <v>324</v>
      </c>
      <c r="G204" s="847">
        <v>10</v>
      </c>
      <c r="H204" s="847" t="s">
        <v>1721</v>
      </c>
      <c r="I204" s="847" t="s">
        <v>1638</v>
      </c>
      <c r="J204" s="834"/>
      <c r="K204" s="136" t="s">
        <v>3058</v>
      </c>
      <c r="L204" s="834" t="s">
        <v>2098</v>
      </c>
      <c r="M204" s="834" t="s">
        <v>3344</v>
      </c>
      <c r="N204" s="834" t="s">
        <v>3344</v>
      </c>
      <c r="O204" s="847" t="s">
        <v>2050</v>
      </c>
      <c r="P204" s="847" t="s">
        <v>32</v>
      </c>
      <c r="Q204" s="834" t="s">
        <v>30</v>
      </c>
      <c r="R204" s="848">
        <v>46085</v>
      </c>
      <c r="S204" s="852" t="s">
        <v>1638</v>
      </c>
      <c r="T204" s="834" t="s">
        <v>32</v>
      </c>
      <c r="U204" s="834">
        <v>10</v>
      </c>
      <c r="V204" s="852" t="s">
        <v>1638</v>
      </c>
      <c r="W204" s="848">
        <v>46085</v>
      </c>
      <c r="X204" s="96" t="s">
        <v>30</v>
      </c>
      <c r="Y204" s="96" t="s">
        <v>30</v>
      </c>
      <c r="Z204" s="96" t="s">
        <v>30</v>
      </c>
      <c r="AA204" s="96"/>
      <c r="AB204" s="96"/>
      <c r="AC204" s="96"/>
      <c r="AD204" s="96" t="s">
        <v>30</v>
      </c>
      <c r="AE204" s="96" t="s">
        <v>30</v>
      </c>
      <c r="AF204" s="96" t="s">
        <v>30</v>
      </c>
      <c r="AG204" s="96" t="s">
        <v>30</v>
      </c>
      <c r="AH204" s="96" t="s">
        <v>30</v>
      </c>
      <c r="AI204" s="110"/>
      <c r="AJ204" s="96" t="s">
        <v>30</v>
      </c>
      <c r="AK204" s="96" t="s">
        <v>30</v>
      </c>
      <c r="AL204" s="96" t="s">
        <v>30</v>
      </c>
      <c r="AM204" s="96" t="s">
        <v>30</v>
      </c>
      <c r="AN204" s="840"/>
      <c r="AO204" s="832"/>
      <c r="AP204" s="875"/>
      <c r="AQ204" s="875"/>
      <c r="AR204" s="875"/>
      <c r="AS204" s="776"/>
      <c r="AT204" s="776"/>
      <c r="BB204">
        <f t="shared" si="3"/>
        <v>1</v>
      </c>
    </row>
    <row r="205" spans="1:54">
      <c r="A205" s="834" t="s">
        <v>24</v>
      </c>
      <c r="B205" s="834">
        <v>202</v>
      </c>
      <c r="C205" s="847" t="s">
        <v>3353</v>
      </c>
      <c r="D205" s="847" t="s">
        <v>64</v>
      </c>
      <c r="E205" s="880">
        <v>46062</v>
      </c>
      <c r="F205" s="847" t="s">
        <v>202</v>
      </c>
      <c r="G205" s="847">
        <v>21</v>
      </c>
      <c r="H205" s="847" t="s">
        <v>3056</v>
      </c>
      <c r="I205" s="847" t="s">
        <v>47</v>
      </c>
      <c r="J205" s="834"/>
      <c r="K205" s="136" t="s">
        <v>3063</v>
      </c>
      <c r="L205" s="834" t="s">
        <v>2056</v>
      </c>
      <c r="M205" s="834" t="s">
        <v>3344</v>
      </c>
      <c r="N205" s="847" t="s">
        <v>3344</v>
      </c>
      <c r="O205" s="847" t="s">
        <v>2058</v>
      </c>
      <c r="P205" s="126" t="s">
        <v>2863</v>
      </c>
      <c r="Q205" s="848" t="s">
        <v>30</v>
      </c>
      <c r="R205" s="848">
        <v>46092</v>
      </c>
      <c r="S205" s="852" t="s">
        <v>47</v>
      </c>
      <c r="T205" s="834" t="s">
        <v>32</v>
      </c>
      <c r="U205" s="834">
        <v>21</v>
      </c>
      <c r="V205" s="852" t="s">
        <v>47</v>
      </c>
      <c r="W205" s="848">
        <v>46092</v>
      </c>
      <c r="X205" s="96" t="s">
        <v>30</v>
      </c>
      <c r="Y205" s="96" t="s">
        <v>30</v>
      </c>
      <c r="Z205" s="80" t="s">
        <v>30</v>
      </c>
      <c r="AA205" s="96" t="s">
        <v>30</v>
      </c>
      <c r="AB205" s="96" t="s">
        <v>30</v>
      </c>
      <c r="AC205" s="96" t="s">
        <v>30</v>
      </c>
      <c r="AD205" s="96" t="s">
        <v>30</v>
      </c>
      <c r="AE205" s="96" t="s">
        <v>30</v>
      </c>
      <c r="AF205" s="96" t="s">
        <v>30</v>
      </c>
      <c r="AG205" s="96" t="s">
        <v>30</v>
      </c>
      <c r="AH205" s="96" t="s">
        <v>30</v>
      </c>
      <c r="AI205" s="96" t="s">
        <v>30</v>
      </c>
      <c r="AJ205" s="96" t="s">
        <v>30</v>
      </c>
      <c r="AK205" s="96" t="s">
        <v>30</v>
      </c>
      <c r="AL205" s="96" t="s">
        <v>30</v>
      </c>
      <c r="AM205" s="96" t="s">
        <v>30</v>
      </c>
      <c r="AN205" s="96" t="s">
        <v>30</v>
      </c>
      <c r="AO205" s="832"/>
      <c r="AP205" s="875"/>
      <c r="AQ205" s="875"/>
      <c r="AR205" s="875"/>
      <c r="AS205" s="776"/>
      <c r="AT205" s="776"/>
      <c r="BB205">
        <f t="shared" si="3"/>
        <v>1</v>
      </c>
    </row>
    <row r="206" spans="1:54">
      <c r="A206" s="834" t="s">
        <v>24</v>
      </c>
      <c r="B206" s="834">
        <v>203</v>
      </c>
      <c r="C206" s="847" t="s">
        <v>3354</v>
      </c>
      <c r="D206" s="847" t="s">
        <v>64</v>
      </c>
      <c r="E206" s="880">
        <v>46063</v>
      </c>
      <c r="F206" s="847" t="s">
        <v>39</v>
      </c>
      <c r="G206" s="847">
        <v>10</v>
      </c>
      <c r="H206" s="847" t="s">
        <v>1721</v>
      </c>
      <c r="I206" s="847" t="s">
        <v>1638</v>
      </c>
      <c r="J206" s="834"/>
      <c r="K206" s="136" t="s">
        <v>3058</v>
      </c>
      <c r="L206" s="834" t="s">
        <v>2102</v>
      </c>
      <c r="M206" s="834" t="s">
        <v>3355</v>
      </c>
      <c r="N206" s="847" t="s">
        <v>3355</v>
      </c>
      <c r="O206" s="847" t="s">
        <v>2050</v>
      </c>
      <c r="P206" s="847" t="s">
        <v>32</v>
      </c>
      <c r="Q206" s="834" t="s">
        <v>30</v>
      </c>
      <c r="R206" s="848">
        <v>46086</v>
      </c>
      <c r="S206" s="852" t="s">
        <v>1638</v>
      </c>
      <c r="T206" s="834" t="s">
        <v>32</v>
      </c>
      <c r="U206" s="834">
        <v>10</v>
      </c>
      <c r="V206" s="852" t="s">
        <v>1638</v>
      </c>
      <c r="W206" s="848">
        <v>46086</v>
      </c>
      <c r="X206" s="96" t="s">
        <v>30</v>
      </c>
      <c r="Y206" s="90" t="s">
        <v>30</v>
      </c>
      <c r="Z206" s="90" t="s">
        <v>30</v>
      </c>
      <c r="AA206" s="91"/>
      <c r="AB206" s="91"/>
      <c r="AC206" s="91"/>
      <c r="AD206" s="96" t="s">
        <v>30</v>
      </c>
      <c r="AE206" s="96" t="s">
        <v>30</v>
      </c>
      <c r="AF206" s="96" t="s">
        <v>30</v>
      </c>
      <c r="AG206" s="96" t="s">
        <v>30</v>
      </c>
      <c r="AH206" s="96" t="s">
        <v>30</v>
      </c>
      <c r="AI206" s="110"/>
      <c r="AJ206" s="90"/>
      <c r="AK206" s="90"/>
      <c r="AL206" s="90"/>
      <c r="AM206" s="91"/>
      <c r="AN206" s="840"/>
      <c r="AO206" s="832"/>
      <c r="AP206" s="875"/>
      <c r="AQ206" s="875"/>
      <c r="AR206" s="875"/>
      <c r="AS206" s="776"/>
      <c r="AT206" s="776"/>
      <c r="BB206">
        <f t="shared" si="3"/>
        <v>1</v>
      </c>
    </row>
    <row r="207" spans="1:54">
      <c r="A207" s="834" t="s">
        <v>24</v>
      </c>
      <c r="B207" s="834">
        <v>204</v>
      </c>
      <c r="C207" s="847" t="s">
        <v>3356</v>
      </c>
      <c r="D207" s="847" t="s">
        <v>882</v>
      </c>
      <c r="E207" s="880">
        <v>46063</v>
      </c>
      <c r="F207" s="847" t="s">
        <v>3330</v>
      </c>
      <c r="G207" s="847">
        <v>12</v>
      </c>
      <c r="H207" s="847" t="s">
        <v>1077</v>
      </c>
      <c r="I207" s="847" t="s">
        <v>1138</v>
      </c>
      <c r="J207" s="89" t="s">
        <v>3357</v>
      </c>
      <c r="K207" s="136" t="s">
        <v>3063</v>
      </c>
      <c r="L207" s="834" t="s">
        <v>2640</v>
      </c>
      <c r="M207" s="834" t="s">
        <v>3344</v>
      </c>
      <c r="N207" s="847" t="s">
        <v>3344</v>
      </c>
      <c r="O207" s="847" t="s">
        <v>2083</v>
      </c>
      <c r="P207" s="847" t="s">
        <v>32</v>
      </c>
      <c r="Q207" s="848" t="s">
        <v>30</v>
      </c>
      <c r="R207" s="848">
        <v>46112</v>
      </c>
      <c r="S207" s="852" t="s">
        <v>1138</v>
      </c>
      <c r="T207" s="852" t="s">
        <v>32</v>
      </c>
      <c r="U207" s="834">
        <v>12</v>
      </c>
      <c r="V207" s="852"/>
      <c r="W207" s="848">
        <v>46112</v>
      </c>
      <c r="X207" s="91" t="s">
        <v>32</v>
      </c>
      <c r="Y207" s="96" t="s">
        <v>30</v>
      </c>
      <c r="Z207" s="91" t="s">
        <v>32</v>
      </c>
      <c r="AA207" s="96" t="s">
        <v>30</v>
      </c>
      <c r="AB207" s="96" t="s">
        <v>30</v>
      </c>
      <c r="AC207" s="96" t="s">
        <v>30</v>
      </c>
      <c r="AD207" s="96" t="s">
        <v>30</v>
      </c>
      <c r="AE207" s="96" t="s">
        <v>30</v>
      </c>
      <c r="AF207" s="96" t="s">
        <v>30</v>
      </c>
      <c r="AG207" s="96" t="s">
        <v>30</v>
      </c>
      <c r="AH207" s="96" t="s">
        <v>30</v>
      </c>
      <c r="AI207" s="96" t="s">
        <v>30</v>
      </c>
      <c r="AJ207" s="96" t="s">
        <v>30</v>
      </c>
      <c r="AK207" s="96" t="s">
        <v>30</v>
      </c>
      <c r="AL207" s="96" t="s">
        <v>30</v>
      </c>
      <c r="AM207" s="96" t="s">
        <v>30</v>
      </c>
      <c r="AN207" s="840"/>
      <c r="AO207" s="832"/>
      <c r="AP207" s="875"/>
      <c r="AQ207" s="875"/>
      <c r="AR207" s="875"/>
      <c r="AS207" s="776"/>
      <c r="AT207" s="776"/>
      <c r="BB207">
        <f t="shared" si="3"/>
        <v>1</v>
      </c>
    </row>
    <row r="208" spans="1:54">
      <c r="A208" s="834" t="s">
        <v>24</v>
      </c>
      <c r="B208" s="834">
        <v>205</v>
      </c>
      <c r="C208" s="847" t="s">
        <v>3358</v>
      </c>
      <c r="D208" s="847" t="s">
        <v>34</v>
      </c>
      <c r="E208" s="880">
        <v>46063</v>
      </c>
      <c r="F208" s="847" t="s">
        <v>1749</v>
      </c>
      <c r="G208" s="847">
        <v>12</v>
      </c>
      <c r="H208" s="847" t="s">
        <v>127</v>
      </c>
      <c r="I208" s="847" t="s">
        <v>28</v>
      </c>
      <c r="J208" s="834"/>
      <c r="K208" s="136" t="s">
        <v>3058</v>
      </c>
      <c r="L208" s="834" t="s">
        <v>2180</v>
      </c>
      <c r="M208" s="834" t="s">
        <v>3359</v>
      </c>
      <c r="N208" s="847" t="s">
        <v>3359</v>
      </c>
      <c r="O208" s="847" t="s">
        <v>2050</v>
      </c>
      <c r="P208" s="847" t="s">
        <v>32</v>
      </c>
      <c r="Q208" s="848" t="s">
        <v>30</v>
      </c>
      <c r="R208" s="848">
        <v>46107</v>
      </c>
      <c r="S208" s="852" t="s">
        <v>28</v>
      </c>
      <c r="T208" s="834" t="s">
        <v>32</v>
      </c>
      <c r="U208" s="834">
        <v>7</v>
      </c>
      <c r="V208" s="852" t="s">
        <v>28</v>
      </c>
      <c r="W208" s="848">
        <v>46087</v>
      </c>
      <c r="X208" s="96" t="s">
        <v>30</v>
      </c>
      <c r="Y208" s="96" t="s">
        <v>30</v>
      </c>
      <c r="Z208" s="91" t="s">
        <v>32</v>
      </c>
      <c r="AA208" s="91" t="s">
        <v>32</v>
      </c>
      <c r="AB208" s="91" t="s">
        <v>32</v>
      </c>
      <c r="AC208" s="91" t="s">
        <v>32</v>
      </c>
      <c r="AD208" s="96" t="s">
        <v>30</v>
      </c>
      <c r="AE208" s="96" t="s">
        <v>30</v>
      </c>
      <c r="AF208" s="96" t="s">
        <v>30</v>
      </c>
      <c r="AG208" s="96" t="s">
        <v>30</v>
      </c>
      <c r="AH208" s="96" t="s">
        <v>30</v>
      </c>
      <c r="AI208" s="96" t="s">
        <v>30</v>
      </c>
      <c r="AJ208" s="96" t="s">
        <v>30</v>
      </c>
      <c r="AK208" s="96" t="s">
        <v>30</v>
      </c>
      <c r="AL208" s="96" t="s">
        <v>30</v>
      </c>
      <c r="AM208" s="96" t="s">
        <v>30</v>
      </c>
      <c r="AN208" s="840"/>
      <c r="AO208" s="832"/>
      <c r="AP208" s="875"/>
      <c r="AQ208" s="875"/>
      <c r="AR208" s="875"/>
      <c r="AS208" s="776"/>
      <c r="AT208" s="776"/>
      <c r="BB208">
        <f t="shared" si="3"/>
        <v>1</v>
      </c>
    </row>
    <row r="209" spans="1:54">
      <c r="A209" s="834" t="s">
        <v>24</v>
      </c>
      <c r="B209" s="834">
        <v>206</v>
      </c>
      <c r="C209" s="847" t="s">
        <v>3360</v>
      </c>
      <c r="D209" s="847" t="s">
        <v>34</v>
      </c>
      <c r="E209" s="880">
        <v>46064</v>
      </c>
      <c r="F209" s="847" t="s">
        <v>324</v>
      </c>
      <c r="G209" s="847">
        <v>12</v>
      </c>
      <c r="H209" s="847" t="s">
        <v>1076</v>
      </c>
      <c r="I209" s="834" t="s">
        <v>3337</v>
      </c>
      <c r="J209" s="98"/>
      <c r="K209" s="136" t="s">
        <v>3058</v>
      </c>
      <c r="L209" s="834" t="s">
        <v>2123</v>
      </c>
      <c r="M209" s="834" t="s">
        <v>3355</v>
      </c>
      <c r="N209" s="847" t="s">
        <v>3355</v>
      </c>
      <c r="O209" s="847" t="s">
        <v>2050</v>
      </c>
      <c r="P209" s="847" t="s">
        <v>32</v>
      </c>
      <c r="Q209" s="834" t="s">
        <v>30</v>
      </c>
      <c r="R209" s="848">
        <v>46112</v>
      </c>
      <c r="S209" s="852" t="s">
        <v>3337</v>
      </c>
      <c r="T209" s="834" t="s">
        <v>32</v>
      </c>
      <c r="U209" s="834">
        <v>12</v>
      </c>
      <c r="V209" s="852" t="s">
        <v>3337</v>
      </c>
      <c r="W209" s="848">
        <v>46084</v>
      </c>
      <c r="X209" s="96" t="s">
        <v>30</v>
      </c>
      <c r="Y209" s="96" t="s">
        <v>30</v>
      </c>
      <c r="Z209" s="96" t="s">
        <v>30</v>
      </c>
      <c r="AA209" s="91"/>
      <c r="AB209" s="91"/>
      <c r="AC209" s="91"/>
      <c r="AD209" s="96" t="s">
        <v>30</v>
      </c>
      <c r="AE209" s="96" t="s">
        <v>30</v>
      </c>
      <c r="AF209" s="96" t="s">
        <v>30</v>
      </c>
      <c r="AG209" s="96" t="s">
        <v>30</v>
      </c>
      <c r="AH209" s="96" t="s">
        <v>30</v>
      </c>
      <c r="AI209" s="110"/>
      <c r="AJ209" s="96" t="s">
        <v>30</v>
      </c>
      <c r="AK209" s="96" t="s">
        <v>30</v>
      </c>
      <c r="AL209" s="96" t="s">
        <v>30</v>
      </c>
      <c r="AM209" s="91"/>
      <c r="AN209" s="840"/>
      <c r="AO209" s="832"/>
      <c r="AP209" s="875"/>
      <c r="AQ209" s="875"/>
      <c r="AR209" s="875"/>
      <c r="AS209" s="776"/>
      <c r="AT209" s="776"/>
      <c r="BB209">
        <f t="shared" si="3"/>
        <v>1</v>
      </c>
    </row>
    <row r="210" spans="1:54">
      <c r="A210" s="834" t="s">
        <v>24</v>
      </c>
      <c r="B210" s="834">
        <v>207</v>
      </c>
      <c r="C210" s="847" t="s">
        <v>3361</v>
      </c>
      <c r="D210" s="847" t="s">
        <v>3362</v>
      </c>
      <c r="E210" s="880">
        <v>46065</v>
      </c>
      <c r="F210" s="847" t="s">
        <v>395</v>
      </c>
      <c r="G210" s="847">
        <v>9</v>
      </c>
      <c r="H210" s="847" t="s">
        <v>3056</v>
      </c>
      <c r="I210" s="847" t="s">
        <v>47</v>
      </c>
      <c r="J210" s="89"/>
      <c r="K210" s="136" t="s">
        <v>3063</v>
      </c>
      <c r="L210" s="834" t="s">
        <v>2056</v>
      </c>
      <c r="M210" s="834" t="s">
        <v>3363</v>
      </c>
      <c r="N210" s="847" t="s">
        <v>3363</v>
      </c>
      <c r="O210" s="847" t="s">
        <v>2058</v>
      </c>
      <c r="P210" s="847" t="s">
        <v>32</v>
      </c>
      <c r="Q210" s="848" t="s">
        <v>30</v>
      </c>
      <c r="R210" s="848">
        <v>46112</v>
      </c>
      <c r="S210" s="852" t="s">
        <v>47</v>
      </c>
      <c r="T210" s="834" t="s">
        <v>32</v>
      </c>
      <c r="U210" s="834">
        <v>8</v>
      </c>
      <c r="V210" s="852" t="s">
        <v>47</v>
      </c>
      <c r="W210" s="848">
        <v>46106</v>
      </c>
      <c r="X210" s="96" t="s">
        <v>30</v>
      </c>
      <c r="Y210" s="96" t="s">
        <v>30</v>
      </c>
      <c r="Z210" s="91" t="s">
        <v>32</v>
      </c>
      <c r="AA210" s="96" t="s">
        <v>30</v>
      </c>
      <c r="AB210" s="96" t="s">
        <v>30</v>
      </c>
      <c r="AC210" s="96" t="s">
        <v>30</v>
      </c>
      <c r="AD210" s="96" t="s">
        <v>30</v>
      </c>
      <c r="AE210" s="96" t="s">
        <v>30</v>
      </c>
      <c r="AF210" s="96" t="s">
        <v>30</v>
      </c>
      <c r="AG210" s="96" t="s">
        <v>30</v>
      </c>
      <c r="AH210" s="96" t="s">
        <v>30</v>
      </c>
      <c r="AI210" s="110"/>
      <c r="AJ210" s="96" t="s">
        <v>30</v>
      </c>
      <c r="AK210" s="96" t="s">
        <v>30</v>
      </c>
      <c r="AL210" s="96" t="s">
        <v>30</v>
      </c>
      <c r="AM210" s="91" t="s">
        <v>32</v>
      </c>
      <c r="AN210" s="840"/>
      <c r="AO210" s="832"/>
      <c r="AP210" s="875"/>
      <c r="AQ210" s="875"/>
      <c r="AR210" s="875"/>
      <c r="AS210" s="776"/>
      <c r="AT210" s="776"/>
      <c r="BB210">
        <f t="shared" si="3"/>
        <v>1</v>
      </c>
    </row>
    <row r="211" spans="1:54">
      <c r="A211" s="834" t="s">
        <v>24</v>
      </c>
      <c r="B211" s="834">
        <v>208</v>
      </c>
      <c r="C211" s="847" t="s">
        <v>3364</v>
      </c>
      <c r="D211" s="847" t="s">
        <v>234</v>
      </c>
      <c r="E211" s="880">
        <v>46065</v>
      </c>
      <c r="F211" s="847" t="s">
        <v>462</v>
      </c>
      <c r="G211" s="847">
        <v>9</v>
      </c>
      <c r="H211" s="847" t="s">
        <v>1077</v>
      </c>
      <c r="I211" s="847" t="s">
        <v>1138</v>
      </c>
      <c r="J211" s="89"/>
      <c r="K211" s="136" t="s">
        <v>3058</v>
      </c>
      <c r="L211" s="834" t="s">
        <v>3365</v>
      </c>
      <c r="M211" s="834" t="s">
        <v>3363</v>
      </c>
      <c r="N211" s="834" t="s">
        <v>3363</v>
      </c>
      <c r="O211" s="847" t="s">
        <v>2050</v>
      </c>
      <c r="P211" s="847" t="s">
        <v>32</v>
      </c>
      <c r="Q211" s="848" t="s">
        <v>30</v>
      </c>
      <c r="R211" s="848"/>
      <c r="S211" s="852" t="s">
        <v>1138</v>
      </c>
      <c r="T211" s="834" t="s">
        <v>32</v>
      </c>
      <c r="U211" s="834">
        <v>8</v>
      </c>
      <c r="V211" s="852" t="s">
        <v>1138</v>
      </c>
      <c r="W211" s="848">
        <v>46106</v>
      </c>
      <c r="X211" s="96" t="s">
        <v>30</v>
      </c>
      <c r="Y211" s="96" t="s">
        <v>30</v>
      </c>
      <c r="Z211" s="91" t="s">
        <v>32</v>
      </c>
      <c r="AA211" s="96" t="s">
        <v>30</v>
      </c>
      <c r="AB211" s="96" t="s">
        <v>30</v>
      </c>
      <c r="AC211" s="96" t="s">
        <v>30</v>
      </c>
      <c r="AD211" s="96" t="s">
        <v>30</v>
      </c>
      <c r="AE211" s="96" t="s">
        <v>30</v>
      </c>
      <c r="AF211" s="96" t="s">
        <v>30</v>
      </c>
      <c r="AG211" s="96" t="s">
        <v>30</v>
      </c>
      <c r="AH211" s="96" t="s">
        <v>30</v>
      </c>
      <c r="AI211" s="96" t="s">
        <v>30</v>
      </c>
      <c r="AJ211" s="96" t="s">
        <v>30</v>
      </c>
      <c r="AK211" s="96" t="s">
        <v>30</v>
      </c>
      <c r="AL211" s="96" t="s">
        <v>30</v>
      </c>
      <c r="AM211" s="96" t="s">
        <v>30</v>
      </c>
      <c r="AN211" s="840"/>
      <c r="AO211" s="832"/>
      <c r="AP211" s="875"/>
      <c r="AQ211" s="875"/>
      <c r="AR211" s="875"/>
      <c r="AS211" s="776"/>
      <c r="AT211" s="776"/>
      <c r="BB211">
        <f t="shared" si="3"/>
        <v>1</v>
      </c>
    </row>
    <row r="212" spans="1:54">
      <c r="A212" s="834" t="s">
        <v>24</v>
      </c>
      <c r="B212" s="834">
        <v>209</v>
      </c>
      <c r="C212" s="847" t="s">
        <v>3366</v>
      </c>
      <c r="D212" s="847" t="s">
        <v>102</v>
      </c>
      <c r="E212" s="880">
        <v>46065</v>
      </c>
      <c r="F212" s="847" t="s">
        <v>324</v>
      </c>
      <c r="G212" s="847">
        <v>12</v>
      </c>
      <c r="H212" s="847" t="s">
        <v>1076</v>
      </c>
      <c r="I212" s="834" t="s">
        <v>3337</v>
      </c>
      <c r="J212" s="834"/>
      <c r="K212" s="136" t="s">
        <v>3058</v>
      </c>
      <c r="L212" s="834" t="s">
        <v>2123</v>
      </c>
      <c r="M212" s="834" t="s">
        <v>3355</v>
      </c>
      <c r="N212" s="847" t="s">
        <v>3355</v>
      </c>
      <c r="O212" s="847" t="s">
        <v>2050</v>
      </c>
      <c r="P212" s="847" t="s">
        <v>32</v>
      </c>
      <c r="Q212" s="848" t="s">
        <v>30</v>
      </c>
      <c r="R212" s="848">
        <v>46112</v>
      </c>
      <c r="S212" s="852" t="s">
        <v>3337</v>
      </c>
      <c r="T212" s="834" t="s">
        <v>32</v>
      </c>
      <c r="U212" s="834">
        <v>12</v>
      </c>
      <c r="V212" s="852" t="s">
        <v>3337</v>
      </c>
      <c r="W212" s="848">
        <v>46091</v>
      </c>
      <c r="X212" s="96" t="s">
        <v>30</v>
      </c>
      <c r="Y212" s="96" t="s">
        <v>30</v>
      </c>
      <c r="Z212" s="96" t="s">
        <v>30</v>
      </c>
      <c r="AA212" s="96" t="s">
        <v>30</v>
      </c>
      <c r="AB212" s="96" t="s">
        <v>30</v>
      </c>
      <c r="AC212" s="96" t="s">
        <v>30</v>
      </c>
      <c r="AD212" s="96" t="s">
        <v>30</v>
      </c>
      <c r="AE212" s="96" t="s">
        <v>30</v>
      </c>
      <c r="AF212" s="96" t="s">
        <v>30</v>
      </c>
      <c r="AG212" s="96" t="s">
        <v>30</v>
      </c>
      <c r="AH212" s="96" t="s">
        <v>30</v>
      </c>
      <c r="AI212" s="96" t="s">
        <v>30</v>
      </c>
      <c r="AJ212" s="96" t="s">
        <v>30</v>
      </c>
      <c r="AK212" s="96" t="s">
        <v>30</v>
      </c>
      <c r="AL212" s="96" t="s">
        <v>30</v>
      </c>
      <c r="AM212" s="91"/>
      <c r="AN212" s="840"/>
      <c r="AO212" s="832"/>
      <c r="AP212" s="875"/>
      <c r="AQ212" s="875"/>
      <c r="AR212" s="875"/>
      <c r="AS212" s="776"/>
      <c r="AT212" s="776"/>
      <c r="AZ212" s="92"/>
      <c r="BB212">
        <f t="shared" si="3"/>
        <v>1</v>
      </c>
    </row>
    <row r="213" spans="1:54">
      <c r="A213" s="834" t="s">
        <v>24</v>
      </c>
      <c r="B213" s="834">
        <v>210</v>
      </c>
      <c r="C213" s="847" t="s">
        <v>3367</v>
      </c>
      <c r="D213" s="847" t="s">
        <v>34</v>
      </c>
      <c r="E213" s="880">
        <v>46066</v>
      </c>
      <c r="F213" s="847" t="s">
        <v>2295</v>
      </c>
      <c r="G213" s="847">
        <v>9</v>
      </c>
      <c r="H213" s="847" t="s">
        <v>1077</v>
      </c>
      <c r="I213" s="847" t="s">
        <v>1138</v>
      </c>
      <c r="J213" s="89"/>
      <c r="K213" s="136" t="s">
        <v>3058</v>
      </c>
      <c r="L213" s="834" t="s">
        <v>2135</v>
      </c>
      <c r="M213" s="834" t="s">
        <v>3363</v>
      </c>
      <c r="N213" s="847" t="s">
        <v>3368</v>
      </c>
      <c r="O213" s="847" t="s">
        <v>2050</v>
      </c>
      <c r="P213" s="847" t="s">
        <v>32</v>
      </c>
      <c r="Q213" s="848" t="s">
        <v>30</v>
      </c>
      <c r="R213" s="848"/>
      <c r="S213" s="852" t="s">
        <v>1138</v>
      </c>
      <c r="T213" s="834" t="s">
        <v>32</v>
      </c>
      <c r="U213" s="834">
        <v>6</v>
      </c>
      <c r="V213" s="852" t="s">
        <v>1138</v>
      </c>
      <c r="W213" s="848">
        <v>46106</v>
      </c>
      <c r="X213" s="80" t="s">
        <v>30</v>
      </c>
      <c r="Y213" s="96" t="s">
        <v>30</v>
      </c>
      <c r="Z213" s="91" t="s">
        <v>32</v>
      </c>
      <c r="AA213" s="91" t="s">
        <v>32</v>
      </c>
      <c r="AB213" s="91" t="s">
        <v>32</v>
      </c>
      <c r="AC213" s="91" t="s">
        <v>32</v>
      </c>
      <c r="AD213" s="96" t="s">
        <v>30</v>
      </c>
      <c r="AE213" s="96" t="s">
        <v>30</v>
      </c>
      <c r="AF213" s="96" t="s">
        <v>30</v>
      </c>
      <c r="AG213" s="96" t="s">
        <v>30</v>
      </c>
      <c r="AH213" s="96" t="s">
        <v>30</v>
      </c>
      <c r="AI213" s="96" t="s">
        <v>30</v>
      </c>
      <c r="AJ213" s="96" t="s">
        <v>30</v>
      </c>
      <c r="AK213" s="96" t="s">
        <v>30</v>
      </c>
      <c r="AL213" s="96" t="s">
        <v>30</v>
      </c>
      <c r="AM213" s="96" t="s">
        <v>30</v>
      </c>
      <c r="AN213" s="840"/>
      <c r="AO213" s="832"/>
      <c r="AP213" s="875"/>
      <c r="AQ213" s="875"/>
      <c r="AR213" s="875"/>
      <c r="AS213" s="776"/>
      <c r="AT213" s="776"/>
      <c r="BB213">
        <f t="shared" si="3"/>
        <v>1</v>
      </c>
    </row>
    <row r="214" spans="1:54">
      <c r="A214" s="834" t="s">
        <v>24</v>
      </c>
      <c r="B214" s="834">
        <v>211</v>
      </c>
      <c r="C214" s="847" t="s">
        <v>3060</v>
      </c>
      <c r="D214" s="847" t="s">
        <v>1937</v>
      </c>
      <c r="E214" s="880">
        <v>46066</v>
      </c>
      <c r="F214" s="847" t="s">
        <v>3330</v>
      </c>
      <c r="G214" s="847">
        <v>12</v>
      </c>
      <c r="H214" s="847" t="s">
        <v>1077</v>
      </c>
      <c r="I214" s="847" t="s">
        <v>1138</v>
      </c>
      <c r="J214" s="89"/>
      <c r="K214" s="136" t="s">
        <v>3063</v>
      </c>
      <c r="L214" s="834" t="s">
        <v>3369</v>
      </c>
      <c r="M214" s="834" t="s">
        <v>3355</v>
      </c>
      <c r="N214" s="847" t="s">
        <v>3355</v>
      </c>
      <c r="O214" s="847" t="s">
        <v>2050</v>
      </c>
      <c r="P214" s="847" t="s">
        <v>32</v>
      </c>
      <c r="Q214" s="848" t="s">
        <v>30</v>
      </c>
      <c r="R214" s="848">
        <v>46107</v>
      </c>
      <c r="S214" s="852" t="s">
        <v>1138</v>
      </c>
      <c r="T214" s="834" t="s">
        <v>32</v>
      </c>
      <c r="U214" s="834">
        <v>17</v>
      </c>
      <c r="V214" s="852" t="s">
        <v>1138</v>
      </c>
      <c r="W214" s="848">
        <v>46107</v>
      </c>
      <c r="X214" s="96" t="s">
        <v>30</v>
      </c>
      <c r="Y214" s="96" t="s">
        <v>30</v>
      </c>
      <c r="Z214" s="91" t="s">
        <v>32</v>
      </c>
      <c r="AA214" s="96" t="s">
        <v>30</v>
      </c>
      <c r="AB214" s="96" t="s">
        <v>30</v>
      </c>
      <c r="AC214" s="96" t="s">
        <v>30</v>
      </c>
      <c r="AD214" s="96" t="s">
        <v>30</v>
      </c>
      <c r="AE214" s="96" t="s">
        <v>30</v>
      </c>
      <c r="AF214" s="96" t="s">
        <v>30</v>
      </c>
      <c r="AG214" s="96" t="s">
        <v>30</v>
      </c>
      <c r="AH214" s="96" t="s">
        <v>30</v>
      </c>
      <c r="AI214" s="96" t="s">
        <v>30</v>
      </c>
      <c r="AJ214" s="96" t="s">
        <v>30</v>
      </c>
      <c r="AK214" s="96" t="s">
        <v>30</v>
      </c>
      <c r="AL214" s="96" t="s">
        <v>30</v>
      </c>
      <c r="AM214" s="96" t="s">
        <v>30</v>
      </c>
      <c r="AN214" s="840"/>
      <c r="AO214" s="832"/>
      <c r="AP214" s="875"/>
      <c r="AQ214" s="875"/>
      <c r="AR214" s="875"/>
      <c r="AS214" s="776"/>
      <c r="AT214" s="776"/>
      <c r="BB214">
        <f t="shared" si="3"/>
        <v>1</v>
      </c>
    </row>
    <row r="215" spans="1:54">
      <c r="A215" s="834" t="s">
        <v>24</v>
      </c>
      <c r="B215" s="834">
        <v>212</v>
      </c>
      <c r="C215" s="847" t="s">
        <v>3370</v>
      </c>
      <c r="D215" s="847" t="s">
        <v>606</v>
      </c>
      <c r="E215" s="880">
        <v>46066</v>
      </c>
      <c r="F215" s="847" t="s">
        <v>3371</v>
      </c>
      <c r="G215" s="847">
        <v>14</v>
      </c>
      <c r="H215" s="847" t="s">
        <v>1076</v>
      </c>
      <c r="I215" s="834" t="s">
        <v>3337</v>
      </c>
      <c r="J215" s="834"/>
      <c r="K215" s="136" t="s">
        <v>3058</v>
      </c>
      <c r="L215" s="834" t="s">
        <v>2098</v>
      </c>
      <c r="M215" s="834" t="s">
        <v>3372</v>
      </c>
      <c r="N215" s="834" t="s">
        <v>3372</v>
      </c>
      <c r="O215" s="847" t="s">
        <v>2050</v>
      </c>
      <c r="P215" s="847" t="s">
        <v>32</v>
      </c>
      <c r="Q215" s="834" t="s">
        <v>30</v>
      </c>
      <c r="R215" s="848">
        <v>46085</v>
      </c>
      <c r="S215" s="852" t="s">
        <v>3337</v>
      </c>
      <c r="T215" s="834" t="s">
        <v>32</v>
      </c>
      <c r="U215" s="834">
        <v>14</v>
      </c>
      <c r="V215" s="852" t="s">
        <v>3337</v>
      </c>
      <c r="W215" s="848">
        <v>46085</v>
      </c>
      <c r="X215" s="96" t="s">
        <v>30</v>
      </c>
      <c r="Y215" s="90" t="s">
        <v>30</v>
      </c>
      <c r="Z215" s="80" t="s">
        <v>30</v>
      </c>
      <c r="AA215" s="96"/>
      <c r="AB215" s="96"/>
      <c r="AC215" s="96"/>
      <c r="AD215" s="96" t="s">
        <v>30</v>
      </c>
      <c r="AE215" s="96" t="s">
        <v>30</v>
      </c>
      <c r="AF215" s="96" t="s">
        <v>30</v>
      </c>
      <c r="AG215" s="96" t="s">
        <v>30</v>
      </c>
      <c r="AH215" s="96" t="s">
        <v>30</v>
      </c>
      <c r="AI215" s="110"/>
      <c r="AJ215" s="90" t="s">
        <v>30</v>
      </c>
      <c r="AK215" s="90" t="s">
        <v>30</v>
      </c>
      <c r="AL215" s="90" t="s">
        <v>30</v>
      </c>
      <c r="AM215" s="91"/>
      <c r="AN215" s="840"/>
      <c r="AO215" s="832"/>
      <c r="AP215" s="875"/>
      <c r="AQ215" s="875"/>
      <c r="AR215" s="875"/>
      <c r="AS215" s="776"/>
      <c r="AT215" s="776"/>
      <c r="BB215">
        <f t="shared" si="3"/>
        <v>1</v>
      </c>
    </row>
    <row r="216" spans="1:54">
      <c r="A216" s="834" t="s">
        <v>24</v>
      </c>
      <c r="B216" s="834">
        <v>213</v>
      </c>
      <c r="C216" s="847" t="s">
        <v>3373</v>
      </c>
      <c r="D216" s="847" t="s">
        <v>34</v>
      </c>
      <c r="E216" s="880">
        <v>46067</v>
      </c>
      <c r="F216" s="847" t="s">
        <v>1165</v>
      </c>
      <c r="G216" s="847">
        <v>11</v>
      </c>
      <c r="H216" s="847" t="s">
        <v>1076</v>
      </c>
      <c r="I216" s="834" t="s">
        <v>3337</v>
      </c>
      <c r="J216" s="834"/>
      <c r="K216" s="136" t="s">
        <v>3058</v>
      </c>
      <c r="L216" s="834" t="s">
        <v>2085</v>
      </c>
      <c r="M216" s="834" t="s">
        <v>3374</v>
      </c>
      <c r="N216" s="847" t="s">
        <v>3374</v>
      </c>
      <c r="O216" s="847" t="s">
        <v>2050</v>
      </c>
      <c r="P216" s="847" t="s">
        <v>32</v>
      </c>
      <c r="Q216" s="834" t="s">
        <v>30</v>
      </c>
      <c r="R216" s="848">
        <v>46085</v>
      </c>
      <c r="S216" s="852" t="s">
        <v>3337</v>
      </c>
      <c r="T216" s="834" t="s">
        <v>32</v>
      </c>
      <c r="U216" s="834">
        <v>11</v>
      </c>
      <c r="V216" s="848" t="s">
        <v>3337</v>
      </c>
      <c r="W216" s="848">
        <v>46085</v>
      </c>
      <c r="X216" s="96" t="s">
        <v>30</v>
      </c>
      <c r="Y216" s="118" t="s">
        <v>30</v>
      </c>
      <c r="Z216" s="96" t="s">
        <v>30</v>
      </c>
      <c r="AA216" s="96"/>
      <c r="AB216" s="96"/>
      <c r="AC216" s="96"/>
      <c r="AD216" s="96" t="s">
        <v>30</v>
      </c>
      <c r="AE216" s="96" t="s">
        <v>30</v>
      </c>
      <c r="AF216" s="96" t="s">
        <v>30</v>
      </c>
      <c r="AG216" s="96" t="s">
        <v>30</v>
      </c>
      <c r="AH216" s="96" t="s">
        <v>30</v>
      </c>
      <c r="AI216" s="110"/>
      <c r="AJ216" s="118" t="s">
        <v>30</v>
      </c>
      <c r="AK216" s="118" t="s">
        <v>30</v>
      </c>
      <c r="AL216" s="118" t="s">
        <v>30</v>
      </c>
      <c r="AM216" s="91"/>
      <c r="AN216" s="840"/>
      <c r="AO216" s="832"/>
      <c r="AP216" s="875"/>
      <c r="AQ216" s="875"/>
      <c r="AR216" s="875"/>
      <c r="AS216" s="776"/>
      <c r="AT216" s="776"/>
      <c r="BB216">
        <f t="shared" si="3"/>
        <v>1</v>
      </c>
    </row>
    <row r="217" spans="1:54">
      <c r="A217" s="834" t="s">
        <v>24</v>
      </c>
      <c r="B217" s="834">
        <v>214</v>
      </c>
      <c r="C217" s="847" t="s">
        <v>3375</v>
      </c>
      <c r="D217" s="847" t="s">
        <v>43</v>
      </c>
      <c r="E217" s="880">
        <v>46069</v>
      </c>
      <c r="F217" s="847" t="s">
        <v>737</v>
      </c>
      <c r="G217" s="847">
        <v>18</v>
      </c>
      <c r="H217" s="847" t="s">
        <v>3056</v>
      </c>
      <c r="I217" s="847" t="s">
        <v>47</v>
      </c>
      <c r="J217" s="89" t="s">
        <v>3357</v>
      </c>
      <c r="K217" s="136" t="s">
        <v>3063</v>
      </c>
      <c r="L217" s="834" t="s">
        <v>3376</v>
      </c>
      <c r="M217" s="834" t="s">
        <v>3363</v>
      </c>
      <c r="N217" s="834" t="s">
        <v>3374</v>
      </c>
      <c r="O217" s="834" t="s">
        <v>2050</v>
      </c>
      <c r="P217" s="847" t="s">
        <v>32</v>
      </c>
      <c r="Q217" s="834" t="s">
        <v>30</v>
      </c>
      <c r="R217" s="848">
        <v>46112</v>
      </c>
      <c r="S217" s="852" t="s">
        <v>47</v>
      </c>
      <c r="T217" s="834" t="s">
        <v>32</v>
      </c>
      <c r="U217" s="834">
        <v>18</v>
      </c>
      <c r="V217" s="852" t="s">
        <v>47</v>
      </c>
      <c r="W217" s="848">
        <v>46112</v>
      </c>
      <c r="X217" s="91" t="s">
        <v>32</v>
      </c>
      <c r="Y217" s="96" t="s">
        <v>30</v>
      </c>
      <c r="Z217" s="91" t="s">
        <v>32</v>
      </c>
      <c r="AA217" s="96" t="s">
        <v>30</v>
      </c>
      <c r="AB217" s="96" t="s">
        <v>30</v>
      </c>
      <c r="AC217" s="96" t="s">
        <v>30</v>
      </c>
      <c r="AD217" s="96" t="s">
        <v>30</v>
      </c>
      <c r="AE217" s="96" t="s">
        <v>30</v>
      </c>
      <c r="AF217" s="96" t="s">
        <v>30</v>
      </c>
      <c r="AG217" s="96" t="s">
        <v>30</v>
      </c>
      <c r="AH217" s="96" t="s">
        <v>30</v>
      </c>
      <c r="AI217" s="110"/>
      <c r="AJ217" s="91"/>
      <c r="AK217" s="91"/>
      <c r="AL217" s="91"/>
      <c r="AM217" s="91" t="s">
        <v>32</v>
      </c>
      <c r="AN217" s="840" t="s">
        <v>3377</v>
      </c>
      <c r="AO217" s="832"/>
      <c r="AP217" s="875"/>
      <c r="AQ217" s="875"/>
      <c r="AR217" s="875"/>
      <c r="AS217" s="776"/>
      <c r="AT217" s="776"/>
      <c r="BB217">
        <f t="shared" si="3"/>
        <v>1</v>
      </c>
    </row>
    <row r="218" spans="1:54">
      <c r="A218" s="834" t="s">
        <v>24</v>
      </c>
      <c r="B218" s="834">
        <v>215</v>
      </c>
      <c r="C218" s="847" t="s">
        <v>3378</v>
      </c>
      <c r="D218" s="847" t="s">
        <v>43</v>
      </c>
      <c r="E218" s="880">
        <v>46069</v>
      </c>
      <c r="F218" s="847" t="s">
        <v>1165</v>
      </c>
      <c r="G218" s="847">
        <v>25</v>
      </c>
      <c r="H218" s="847" t="s">
        <v>3056</v>
      </c>
      <c r="I218" s="847" t="s">
        <v>47</v>
      </c>
      <c r="J218" s="98"/>
      <c r="K218" s="136" t="s">
        <v>3063</v>
      </c>
      <c r="L218" s="834" t="s">
        <v>2244</v>
      </c>
      <c r="M218" s="834" t="s">
        <v>3363</v>
      </c>
      <c r="N218" s="834" t="s">
        <v>3374</v>
      </c>
      <c r="O218" s="834" t="s">
        <v>2050</v>
      </c>
      <c r="P218" s="126" t="s">
        <v>2863</v>
      </c>
      <c r="Q218" s="834" t="s">
        <v>30</v>
      </c>
      <c r="R218" s="852">
        <v>46099</v>
      </c>
      <c r="S218" s="852" t="s">
        <v>47</v>
      </c>
      <c r="T218" s="834" t="s">
        <v>32</v>
      </c>
      <c r="U218" s="834">
        <v>24</v>
      </c>
      <c r="V218" s="852" t="s">
        <v>47</v>
      </c>
      <c r="W218" s="848">
        <v>46099</v>
      </c>
      <c r="X218" s="96" t="s">
        <v>30</v>
      </c>
      <c r="Y218" s="118" t="s">
        <v>30</v>
      </c>
      <c r="Z218" s="80" t="s">
        <v>30</v>
      </c>
      <c r="AA218" s="96" t="s">
        <v>30</v>
      </c>
      <c r="AB218" s="96" t="s">
        <v>30</v>
      </c>
      <c r="AC218" s="96" t="s">
        <v>30</v>
      </c>
      <c r="AD218" s="96" t="s">
        <v>30</v>
      </c>
      <c r="AE218" s="96" t="s">
        <v>30</v>
      </c>
      <c r="AF218" s="96" t="s">
        <v>30</v>
      </c>
      <c r="AG218" s="96" t="s">
        <v>30</v>
      </c>
      <c r="AH218" s="96" t="s">
        <v>30</v>
      </c>
      <c r="AI218" s="110"/>
      <c r="AJ218" s="118" t="s">
        <v>30</v>
      </c>
      <c r="AK218" s="118" t="s">
        <v>30</v>
      </c>
      <c r="AL218" s="118" t="s">
        <v>30</v>
      </c>
      <c r="AM218" s="80" t="s">
        <v>30</v>
      </c>
      <c r="AN218" s="840" t="s">
        <v>3108</v>
      </c>
      <c r="AO218" s="832"/>
      <c r="AP218" s="875"/>
      <c r="AQ218" s="875"/>
      <c r="AR218" s="875"/>
      <c r="AS218" s="776"/>
      <c r="AT218" s="776"/>
      <c r="BB218">
        <f t="shared" si="3"/>
        <v>1</v>
      </c>
    </row>
    <row r="219" spans="1:54">
      <c r="A219" s="834" t="s">
        <v>24</v>
      </c>
      <c r="B219" s="834">
        <v>216</v>
      </c>
      <c r="C219" s="847" t="s">
        <v>3379</v>
      </c>
      <c r="D219" s="847" t="s">
        <v>43</v>
      </c>
      <c r="E219" s="880">
        <v>46069</v>
      </c>
      <c r="F219" s="847" t="s">
        <v>93</v>
      </c>
      <c r="G219" s="847">
        <v>18</v>
      </c>
      <c r="H219" s="847" t="s">
        <v>3056</v>
      </c>
      <c r="I219" s="847" t="s">
        <v>47</v>
      </c>
      <c r="J219" s="89"/>
      <c r="K219" s="136" t="s">
        <v>3063</v>
      </c>
      <c r="L219" s="834" t="s">
        <v>2578</v>
      </c>
      <c r="M219" s="834" t="s">
        <v>3363</v>
      </c>
      <c r="N219" s="834" t="s">
        <v>3374</v>
      </c>
      <c r="O219" s="834" t="s">
        <v>3380</v>
      </c>
      <c r="P219" s="126" t="s">
        <v>2863</v>
      </c>
      <c r="Q219" s="834" t="s">
        <v>30</v>
      </c>
      <c r="R219" s="848">
        <v>46090</v>
      </c>
      <c r="S219" s="852" t="s">
        <v>47</v>
      </c>
      <c r="T219" s="834" t="s">
        <v>32</v>
      </c>
      <c r="U219" s="834">
        <v>16</v>
      </c>
      <c r="V219" s="852" t="s">
        <v>47</v>
      </c>
      <c r="W219" s="848">
        <v>46090</v>
      </c>
      <c r="X219" s="91" t="s">
        <v>32</v>
      </c>
      <c r="Y219" s="96" t="s">
        <v>30</v>
      </c>
      <c r="Z219" s="91" t="s">
        <v>32</v>
      </c>
      <c r="AA219" s="96" t="s">
        <v>30</v>
      </c>
      <c r="AB219" s="96" t="s">
        <v>30</v>
      </c>
      <c r="AC219" s="96" t="s">
        <v>30</v>
      </c>
      <c r="AD219" s="96" t="s">
        <v>30</v>
      </c>
      <c r="AE219" s="96" t="s">
        <v>30</v>
      </c>
      <c r="AF219" s="96" t="s">
        <v>30</v>
      </c>
      <c r="AG219" s="96" t="s">
        <v>30</v>
      </c>
      <c r="AH219" s="96" t="s">
        <v>30</v>
      </c>
      <c r="AI219" s="110"/>
      <c r="AJ219" s="96" t="s">
        <v>30</v>
      </c>
      <c r="AK219" s="96" t="s">
        <v>30</v>
      </c>
      <c r="AL219" s="96" t="s">
        <v>30</v>
      </c>
      <c r="AM219" s="91" t="s">
        <v>32</v>
      </c>
      <c r="AN219" s="840"/>
      <c r="AO219" s="832"/>
      <c r="AP219" s="875"/>
      <c r="AQ219" s="875"/>
      <c r="AR219" s="875"/>
      <c r="AS219" s="776"/>
      <c r="AT219" s="776"/>
      <c r="BB219">
        <f t="shared" si="3"/>
        <v>1</v>
      </c>
    </row>
    <row r="220" spans="1:54">
      <c r="A220" s="834" t="s">
        <v>24</v>
      </c>
      <c r="B220" s="834">
        <v>217</v>
      </c>
      <c r="C220" s="847" t="s">
        <v>3381</v>
      </c>
      <c r="D220" s="847" t="s">
        <v>34</v>
      </c>
      <c r="E220" s="880">
        <v>46069</v>
      </c>
      <c r="F220" s="847" t="s">
        <v>635</v>
      </c>
      <c r="G220" s="847">
        <v>11</v>
      </c>
      <c r="H220" s="847" t="s">
        <v>127</v>
      </c>
      <c r="I220" s="847" t="s">
        <v>28</v>
      </c>
      <c r="J220" s="98"/>
      <c r="K220" s="136" t="s">
        <v>3058</v>
      </c>
      <c r="L220" s="834" t="s">
        <v>2087</v>
      </c>
      <c r="M220" s="834" t="s">
        <v>3363</v>
      </c>
      <c r="N220" s="834" t="s">
        <v>3374</v>
      </c>
      <c r="O220" s="834" t="s">
        <v>2050</v>
      </c>
      <c r="P220" s="847" t="s">
        <v>32</v>
      </c>
      <c r="Q220" s="834" t="s">
        <v>30</v>
      </c>
      <c r="R220" s="848">
        <v>46087</v>
      </c>
      <c r="S220" s="852" t="s">
        <v>28</v>
      </c>
      <c r="T220" s="834" t="s">
        <v>32</v>
      </c>
      <c r="U220" s="834">
        <v>11</v>
      </c>
      <c r="V220" s="852" t="s">
        <v>28</v>
      </c>
      <c r="W220" s="848">
        <v>46087</v>
      </c>
      <c r="X220" s="96" t="s">
        <v>30</v>
      </c>
      <c r="Y220" s="96" t="s">
        <v>30</v>
      </c>
      <c r="Z220" s="91" t="s">
        <v>32</v>
      </c>
      <c r="AA220" s="91" t="s">
        <v>32</v>
      </c>
      <c r="AB220" s="91" t="s">
        <v>32</v>
      </c>
      <c r="AC220" s="91" t="s">
        <v>32</v>
      </c>
      <c r="AD220" s="96" t="s">
        <v>30</v>
      </c>
      <c r="AE220" s="96" t="s">
        <v>30</v>
      </c>
      <c r="AF220" s="96" t="s">
        <v>30</v>
      </c>
      <c r="AG220" s="96" t="s">
        <v>30</v>
      </c>
      <c r="AH220" s="96" t="s">
        <v>30</v>
      </c>
      <c r="AI220" s="96" t="s">
        <v>30</v>
      </c>
      <c r="AJ220" s="96" t="s">
        <v>30</v>
      </c>
      <c r="AK220" s="96" t="s">
        <v>30</v>
      </c>
      <c r="AL220" s="96" t="s">
        <v>30</v>
      </c>
      <c r="AM220" s="96" t="s">
        <v>30</v>
      </c>
      <c r="AN220" s="840" t="s">
        <v>3108</v>
      </c>
      <c r="AO220" s="832"/>
      <c r="AP220" s="875"/>
      <c r="AQ220" s="875"/>
      <c r="AR220" s="875"/>
      <c r="AS220" s="776"/>
      <c r="AT220" s="776"/>
      <c r="BB220">
        <f t="shared" si="3"/>
        <v>1</v>
      </c>
    </row>
    <row r="221" spans="1:54">
      <c r="A221" s="834" t="s">
        <v>24</v>
      </c>
      <c r="B221" s="834">
        <v>218</v>
      </c>
      <c r="C221" s="847" t="s">
        <v>3382</v>
      </c>
      <c r="D221" s="847" t="s">
        <v>34</v>
      </c>
      <c r="E221" s="880">
        <v>46069</v>
      </c>
      <c r="F221" s="847" t="s">
        <v>628</v>
      </c>
      <c r="G221" s="847">
        <v>18</v>
      </c>
      <c r="H221" s="847" t="s">
        <v>127</v>
      </c>
      <c r="I221" s="847" t="s">
        <v>28</v>
      </c>
      <c r="J221" s="834"/>
      <c r="K221" s="136" t="s">
        <v>3058</v>
      </c>
      <c r="L221" s="834" t="s">
        <v>2085</v>
      </c>
      <c r="M221" s="834" t="s">
        <v>3363</v>
      </c>
      <c r="N221" s="834" t="s">
        <v>3374</v>
      </c>
      <c r="O221" s="834" t="s">
        <v>2050</v>
      </c>
      <c r="P221" s="126" t="s">
        <v>2863</v>
      </c>
      <c r="Q221" s="834" t="s">
        <v>30</v>
      </c>
      <c r="R221" s="852">
        <v>46099</v>
      </c>
      <c r="S221" s="852" t="s">
        <v>178</v>
      </c>
      <c r="T221" s="834" t="s">
        <v>32</v>
      </c>
      <c r="U221" s="834">
        <v>17</v>
      </c>
      <c r="V221" s="852" t="s">
        <v>178</v>
      </c>
      <c r="W221" s="848">
        <v>46099</v>
      </c>
      <c r="X221" s="96" t="s">
        <v>30</v>
      </c>
      <c r="Y221" s="96" t="s">
        <v>30</v>
      </c>
      <c r="Z221" s="96" t="s">
        <v>30</v>
      </c>
      <c r="AA221" s="91" t="s">
        <v>32</v>
      </c>
      <c r="AB221" s="91" t="s">
        <v>32</v>
      </c>
      <c r="AC221" s="91" t="s">
        <v>32</v>
      </c>
      <c r="AD221" s="96" t="s">
        <v>30</v>
      </c>
      <c r="AE221" s="96" t="s">
        <v>30</v>
      </c>
      <c r="AF221" s="96" t="s">
        <v>30</v>
      </c>
      <c r="AG221" s="96" t="s">
        <v>30</v>
      </c>
      <c r="AH221" s="96" t="s">
        <v>30</v>
      </c>
      <c r="AI221" s="96" t="s">
        <v>30</v>
      </c>
      <c r="AJ221" s="96" t="s">
        <v>30</v>
      </c>
      <c r="AK221" s="96" t="s">
        <v>30</v>
      </c>
      <c r="AL221" s="96" t="s">
        <v>30</v>
      </c>
      <c r="AM221" s="96" t="s">
        <v>30</v>
      </c>
      <c r="AN221" s="840"/>
      <c r="AO221" s="832"/>
      <c r="AP221" s="875"/>
      <c r="AQ221" s="875"/>
      <c r="AR221" s="875"/>
      <c r="AS221" s="776"/>
      <c r="AT221" s="776"/>
      <c r="BB221">
        <f t="shared" si="3"/>
        <v>1</v>
      </c>
    </row>
    <row r="222" spans="1:54">
      <c r="A222" s="834" t="s">
        <v>24</v>
      </c>
      <c r="B222" s="834">
        <v>219</v>
      </c>
      <c r="C222" s="847" t="s">
        <v>3175</v>
      </c>
      <c r="D222" s="847" t="s">
        <v>1754</v>
      </c>
      <c r="E222" s="880">
        <v>46069</v>
      </c>
      <c r="F222" s="847" t="s">
        <v>110</v>
      </c>
      <c r="G222" s="847">
        <v>15</v>
      </c>
      <c r="H222" s="847" t="s">
        <v>1334</v>
      </c>
      <c r="I222" s="847" t="s">
        <v>1334</v>
      </c>
      <c r="J222" s="834"/>
      <c r="K222" s="136"/>
      <c r="L222" s="834" t="s">
        <v>110</v>
      </c>
      <c r="M222" s="834" t="s">
        <v>3383</v>
      </c>
      <c r="N222" s="834" t="s">
        <v>3383</v>
      </c>
      <c r="O222" s="834" t="s">
        <v>110</v>
      </c>
      <c r="P222" s="126" t="s">
        <v>2863</v>
      </c>
      <c r="Q222" s="834" t="s">
        <v>30</v>
      </c>
      <c r="R222" s="852">
        <v>46090</v>
      </c>
      <c r="S222" s="848" t="s">
        <v>48</v>
      </c>
      <c r="T222" s="852" t="s">
        <v>32</v>
      </c>
      <c r="U222" s="834">
        <v>17</v>
      </c>
      <c r="V222" s="852" t="s">
        <v>48</v>
      </c>
      <c r="W222" s="848">
        <v>46090</v>
      </c>
      <c r="X222" s="80" t="s">
        <v>113</v>
      </c>
      <c r="Y222" s="91"/>
      <c r="Z222" s="80" t="s">
        <v>113</v>
      </c>
      <c r="AA222" s="96" t="s">
        <v>30</v>
      </c>
      <c r="AB222" s="96" t="s">
        <v>30</v>
      </c>
      <c r="AC222" s="96" t="s">
        <v>30</v>
      </c>
      <c r="AD222" s="96" t="s">
        <v>30</v>
      </c>
      <c r="AE222" s="96" t="s">
        <v>30</v>
      </c>
      <c r="AF222" s="96" t="s">
        <v>30</v>
      </c>
      <c r="AG222" s="96" t="s">
        <v>30</v>
      </c>
      <c r="AH222" s="96" t="s">
        <v>30</v>
      </c>
      <c r="AI222" s="96" t="s">
        <v>30</v>
      </c>
      <c r="AJ222" s="96" t="s">
        <v>30</v>
      </c>
      <c r="AK222" s="96" t="s">
        <v>30</v>
      </c>
      <c r="AL222" s="96" t="s">
        <v>30</v>
      </c>
      <c r="AM222" s="91"/>
      <c r="AN222" s="840"/>
      <c r="AO222" s="832"/>
      <c r="AP222" s="875"/>
      <c r="AQ222" s="875"/>
      <c r="AR222" s="875"/>
      <c r="AS222" s="776"/>
      <c r="AT222" s="776"/>
      <c r="BB222">
        <f t="shared" si="3"/>
        <v>1</v>
      </c>
    </row>
    <row r="223" spans="1:54">
      <c r="A223" s="834" t="s">
        <v>24</v>
      </c>
      <c r="B223" s="834">
        <v>220</v>
      </c>
      <c r="C223" s="847" t="s">
        <v>3384</v>
      </c>
      <c r="D223" s="847" t="s">
        <v>50</v>
      </c>
      <c r="E223" s="880">
        <v>46069</v>
      </c>
      <c r="F223" s="847" t="s">
        <v>1295</v>
      </c>
      <c r="G223" s="847">
        <v>21</v>
      </c>
      <c r="H223" s="847" t="s">
        <v>1077</v>
      </c>
      <c r="I223" s="847" t="s">
        <v>1138</v>
      </c>
      <c r="J223" s="89"/>
      <c r="K223" s="136" t="s">
        <v>3063</v>
      </c>
      <c r="L223" s="834" t="s">
        <v>2113</v>
      </c>
      <c r="M223" s="834" t="s">
        <v>3374</v>
      </c>
      <c r="N223" s="834" t="s">
        <v>3385</v>
      </c>
      <c r="O223" s="834" t="s">
        <v>2050</v>
      </c>
      <c r="P223" s="126" t="s">
        <v>2863</v>
      </c>
      <c r="Q223" s="848" t="s">
        <v>30</v>
      </c>
      <c r="R223" s="848">
        <v>46107</v>
      </c>
      <c r="S223" s="852" t="s">
        <v>1138</v>
      </c>
      <c r="T223" s="852" t="s">
        <v>32</v>
      </c>
      <c r="U223" s="834">
        <v>21</v>
      </c>
      <c r="V223" s="852"/>
      <c r="W223" s="848">
        <v>46107</v>
      </c>
      <c r="X223" s="91" t="s">
        <v>32</v>
      </c>
      <c r="Y223" s="96" t="s">
        <v>30</v>
      </c>
      <c r="Z223" s="91" t="s">
        <v>32</v>
      </c>
      <c r="AA223" s="96" t="s">
        <v>30</v>
      </c>
      <c r="AB223" s="96" t="s">
        <v>30</v>
      </c>
      <c r="AC223" s="96" t="s">
        <v>30</v>
      </c>
      <c r="AD223" s="96" t="s">
        <v>30</v>
      </c>
      <c r="AE223" s="96" t="s">
        <v>30</v>
      </c>
      <c r="AF223" s="96" t="s">
        <v>30</v>
      </c>
      <c r="AG223" s="96" t="s">
        <v>30</v>
      </c>
      <c r="AH223" s="96" t="s">
        <v>30</v>
      </c>
      <c r="AI223" s="96"/>
      <c r="AJ223" s="96"/>
      <c r="AK223" s="96"/>
      <c r="AL223" s="96"/>
      <c r="AM223" s="96"/>
      <c r="AN223" s="840"/>
      <c r="AO223" s="832"/>
      <c r="AP223" s="875"/>
      <c r="AQ223" s="875"/>
      <c r="AR223" s="875"/>
      <c r="AS223" s="776"/>
      <c r="AT223" s="776"/>
      <c r="AZ223" s="92"/>
      <c r="BB223">
        <f t="shared" si="3"/>
        <v>1</v>
      </c>
    </row>
    <row r="224" spans="1:54">
      <c r="A224" s="834" t="s">
        <v>24</v>
      </c>
      <c r="B224" s="834">
        <v>221</v>
      </c>
      <c r="C224" s="847" t="s">
        <v>3386</v>
      </c>
      <c r="D224" s="847" t="s">
        <v>43</v>
      </c>
      <c r="E224" s="880">
        <v>46070</v>
      </c>
      <c r="F224" s="847" t="s">
        <v>1295</v>
      </c>
      <c r="G224" s="847">
        <v>21</v>
      </c>
      <c r="H224" s="847" t="s">
        <v>1077</v>
      </c>
      <c r="I224" s="847" t="s">
        <v>1138</v>
      </c>
      <c r="J224" s="89"/>
      <c r="K224" s="136" t="s">
        <v>3063</v>
      </c>
      <c r="L224" s="834" t="s">
        <v>2113</v>
      </c>
      <c r="M224" s="834" t="s">
        <v>3374</v>
      </c>
      <c r="N224" s="834" t="s">
        <v>3385</v>
      </c>
      <c r="O224" s="834" t="s">
        <v>2050</v>
      </c>
      <c r="P224" s="126" t="s">
        <v>2863</v>
      </c>
      <c r="Q224" s="834" t="s">
        <v>30</v>
      </c>
      <c r="R224" s="852">
        <v>46108</v>
      </c>
      <c r="S224" s="852" t="s">
        <v>1138</v>
      </c>
      <c r="T224" s="834" t="s">
        <v>32</v>
      </c>
      <c r="U224" s="834">
        <v>21</v>
      </c>
      <c r="V224" s="852" t="s">
        <v>1138</v>
      </c>
      <c r="W224" s="848">
        <v>46108</v>
      </c>
      <c r="X224" s="80" t="s">
        <v>30</v>
      </c>
      <c r="Y224" s="96" t="s">
        <v>30</v>
      </c>
      <c r="Z224" s="91" t="s">
        <v>32</v>
      </c>
      <c r="AA224" s="96" t="s">
        <v>30</v>
      </c>
      <c r="AB224" s="96" t="s">
        <v>30</v>
      </c>
      <c r="AC224" s="96" t="s">
        <v>30</v>
      </c>
      <c r="AD224" s="96" t="s">
        <v>30</v>
      </c>
      <c r="AE224" s="96" t="s">
        <v>30</v>
      </c>
      <c r="AF224" s="96" t="s">
        <v>30</v>
      </c>
      <c r="AG224" s="96" t="s">
        <v>30</v>
      </c>
      <c r="AH224" s="96" t="s">
        <v>30</v>
      </c>
      <c r="AI224" s="96"/>
      <c r="AJ224" s="96"/>
      <c r="AK224" s="96"/>
      <c r="AL224" s="96"/>
      <c r="AM224" s="96"/>
      <c r="AN224" s="840" t="s">
        <v>3387</v>
      </c>
      <c r="AO224" s="832"/>
      <c r="AP224" s="875"/>
      <c r="AQ224" s="875"/>
      <c r="AR224" s="875"/>
      <c r="AS224" s="776"/>
      <c r="AT224" s="776"/>
      <c r="BB224">
        <f t="shared" si="3"/>
        <v>1</v>
      </c>
    </row>
    <row r="225" spans="1:54">
      <c r="A225" s="834" t="s">
        <v>24</v>
      </c>
      <c r="B225" s="834">
        <v>222</v>
      </c>
      <c r="C225" s="847" t="s">
        <v>3388</v>
      </c>
      <c r="D225" s="847" t="s">
        <v>34</v>
      </c>
      <c r="E225" s="880">
        <v>46071</v>
      </c>
      <c r="F225" s="847" t="s">
        <v>2715</v>
      </c>
      <c r="G225" s="847">
        <v>7</v>
      </c>
      <c r="H225" s="847" t="s">
        <v>1721</v>
      </c>
      <c r="I225" s="847" t="s">
        <v>1638</v>
      </c>
      <c r="J225" s="834"/>
      <c r="K225" s="136" t="s">
        <v>3058</v>
      </c>
      <c r="L225" s="834" t="s">
        <v>2102</v>
      </c>
      <c r="M225" s="834" t="s">
        <v>3374</v>
      </c>
      <c r="N225" s="834" t="s">
        <v>3374</v>
      </c>
      <c r="O225" s="834" t="s">
        <v>2050</v>
      </c>
      <c r="P225" s="847" t="s">
        <v>32</v>
      </c>
      <c r="Q225" s="834" t="s">
        <v>30</v>
      </c>
      <c r="R225" s="848">
        <v>46085</v>
      </c>
      <c r="S225" s="852" t="s">
        <v>1638</v>
      </c>
      <c r="T225" s="834" t="s">
        <v>32</v>
      </c>
      <c r="U225" s="834">
        <v>7</v>
      </c>
      <c r="V225" s="852" t="s">
        <v>1638</v>
      </c>
      <c r="W225" s="848">
        <v>46085</v>
      </c>
      <c r="X225" s="96" t="s">
        <v>30</v>
      </c>
      <c r="Y225" s="96" t="s">
        <v>30</v>
      </c>
      <c r="Z225" s="96" t="s">
        <v>30</v>
      </c>
      <c r="AA225" s="96"/>
      <c r="AB225" s="91"/>
      <c r="AC225" s="96"/>
      <c r="AD225" s="96" t="s">
        <v>30</v>
      </c>
      <c r="AE225" s="96" t="s">
        <v>30</v>
      </c>
      <c r="AF225" s="96" t="s">
        <v>30</v>
      </c>
      <c r="AG225" s="96" t="s">
        <v>30</v>
      </c>
      <c r="AH225" s="96" t="s">
        <v>30</v>
      </c>
      <c r="AI225" s="110"/>
      <c r="AJ225" s="96"/>
      <c r="AK225" s="96"/>
      <c r="AL225" s="96"/>
      <c r="AM225" s="91"/>
      <c r="AN225" s="840"/>
      <c r="AO225" s="832"/>
      <c r="AP225" s="875"/>
      <c r="AQ225" s="875"/>
      <c r="AR225" s="875"/>
      <c r="AS225" s="776"/>
      <c r="AT225" s="776"/>
      <c r="BB225">
        <f t="shared" si="3"/>
        <v>1</v>
      </c>
    </row>
    <row r="226" spans="1:54">
      <c r="A226" s="834" t="s">
        <v>24</v>
      </c>
      <c r="B226" s="834">
        <v>223</v>
      </c>
      <c r="C226" s="847" t="s">
        <v>3389</v>
      </c>
      <c r="D226" s="847" t="s">
        <v>1965</v>
      </c>
      <c r="E226" s="880">
        <v>46073</v>
      </c>
      <c r="F226" s="847" t="s">
        <v>1608</v>
      </c>
      <c r="G226" s="847">
        <v>16</v>
      </c>
      <c r="H226" s="847" t="s">
        <v>1077</v>
      </c>
      <c r="I226" s="847" t="s">
        <v>1138</v>
      </c>
      <c r="J226" s="834"/>
      <c r="K226" s="136" t="s">
        <v>3063</v>
      </c>
      <c r="L226" s="834" t="s">
        <v>3390</v>
      </c>
      <c r="M226" s="834" t="s">
        <v>3374</v>
      </c>
      <c r="N226" s="834" t="s">
        <v>3383</v>
      </c>
      <c r="O226" s="834" t="s">
        <v>2050</v>
      </c>
      <c r="P226" s="126" t="s">
        <v>2863</v>
      </c>
      <c r="Q226" s="834" t="s">
        <v>30</v>
      </c>
      <c r="R226" s="848">
        <v>46085</v>
      </c>
      <c r="S226" s="852" t="s">
        <v>1138</v>
      </c>
      <c r="T226" s="834" t="s">
        <v>32</v>
      </c>
      <c r="U226" s="834">
        <v>16</v>
      </c>
      <c r="V226" s="852" t="s">
        <v>1138</v>
      </c>
      <c r="W226" s="848">
        <v>46085</v>
      </c>
      <c r="X226" s="96" t="s">
        <v>30</v>
      </c>
      <c r="Y226" s="96" t="s">
        <v>30</v>
      </c>
      <c r="Z226" s="91" t="s">
        <v>32</v>
      </c>
      <c r="AA226" s="96" t="s">
        <v>30</v>
      </c>
      <c r="AB226" s="96" t="s">
        <v>30</v>
      </c>
      <c r="AC226" s="96" t="s">
        <v>30</v>
      </c>
      <c r="AD226" s="96" t="s">
        <v>30</v>
      </c>
      <c r="AE226" s="96" t="s">
        <v>30</v>
      </c>
      <c r="AF226" s="96" t="s">
        <v>30</v>
      </c>
      <c r="AG226" s="96" t="s">
        <v>30</v>
      </c>
      <c r="AH226" s="96" t="s">
        <v>30</v>
      </c>
      <c r="AI226" s="96" t="s">
        <v>30</v>
      </c>
      <c r="AJ226" s="96" t="s">
        <v>30</v>
      </c>
      <c r="AK226" s="96" t="s">
        <v>30</v>
      </c>
      <c r="AL226" s="96" t="s">
        <v>30</v>
      </c>
      <c r="AM226" s="91"/>
      <c r="AN226" s="840"/>
      <c r="AO226" s="832"/>
      <c r="AP226" s="875"/>
      <c r="AQ226" s="875"/>
      <c r="AR226" s="875"/>
      <c r="AS226" s="776"/>
      <c r="AT226" s="776"/>
      <c r="AZ226" s="92"/>
      <c r="BB226">
        <f t="shared" si="3"/>
        <v>1</v>
      </c>
    </row>
    <row r="227" spans="1:54">
      <c r="A227" s="834" t="s">
        <v>24</v>
      </c>
      <c r="B227" s="834">
        <v>224</v>
      </c>
      <c r="C227" s="847" t="s">
        <v>3391</v>
      </c>
      <c r="D227" s="847" t="s">
        <v>34</v>
      </c>
      <c r="E227" s="880">
        <v>46073</v>
      </c>
      <c r="F227" s="847" t="s">
        <v>506</v>
      </c>
      <c r="G227" s="847">
        <v>12</v>
      </c>
      <c r="H227" s="847" t="s">
        <v>1076</v>
      </c>
      <c r="I227" s="834" t="s">
        <v>3337</v>
      </c>
      <c r="J227" s="834"/>
      <c r="K227" s="136" t="s">
        <v>3058</v>
      </c>
      <c r="L227" s="834" t="s">
        <v>2130</v>
      </c>
      <c r="M227" s="834" t="s">
        <v>3392</v>
      </c>
      <c r="N227" s="834" t="s">
        <v>3392</v>
      </c>
      <c r="O227" s="834" t="s">
        <v>2050</v>
      </c>
      <c r="P227" s="847" t="s">
        <v>32</v>
      </c>
      <c r="Q227" s="834" t="s">
        <v>30</v>
      </c>
      <c r="R227" s="852">
        <v>46087</v>
      </c>
      <c r="S227" s="852" t="s">
        <v>3337</v>
      </c>
      <c r="T227" s="834" t="s">
        <v>32</v>
      </c>
      <c r="U227" s="834">
        <v>12</v>
      </c>
      <c r="V227" s="852" t="s">
        <v>3337</v>
      </c>
      <c r="W227" s="848">
        <v>46087</v>
      </c>
      <c r="X227" s="96" t="s">
        <v>30</v>
      </c>
      <c r="Y227" s="96" t="s">
        <v>30</v>
      </c>
      <c r="Z227" s="96" t="s">
        <v>30</v>
      </c>
      <c r="AA227" s="96" t="s">
        <v>30</v>
      </c>
      <c r="AB227" s="96" t="s">
        <v>30</v>
      </c>
      <c r="AC227" s="96" t="s">
        <v>30</v>
      </c>
      <c r="AD227" s="96" t="s">
        <v>30</v>
      </c>
      <c r="AE227" s="96" t="s">
        <v>30</v>
      </c>
      <c r="AF227" s="96" t="s">
        <v>30</v>
      </c>
      <c r="AG227" s="96" t="s">
        <v>30</v>
      </c>
      <c r="AH227" s="96" t="s">
        <v>30</v>
      </c>
      <c r="AI227" s="96" t="s">
        <v>30</v>
      </c>
      <c r="AJ227" s="110"/>
      <c r="AK227" s="110"/>
      <c r="AL227" s="110"/>
      <c r="AM227" s="91"/>
      <c r="AN227" s="840"/>
      <c r="AO227" s="832"/>
      <c r="AP227" s="875"/>
      <c r="AQ227" s="875"/>
      <c r="AR227" s="875"/>
      <c r="AS227" s="776"/>
      <c r="AT227" s="776"/>
      <c r="BB227">
        <f t="shared" si="3"/>
        <v>1</v>
      </c>
    </row>
    <row r="228" spans="1:54">
      <c r="A228" s="834" t="s">
        <v>24</v>
      </c>
      <c r="B228" s="834">
        <v>225</v>
      </c>
      <c r="C228" s="847" t="s">
        <v>3393</v>
      </c>
      <c r="D228" s="847" t="s">
        <v>882</v>
      </c>
      <c r="E228" s="880">
        <v>46074</v>
      </c>
      <c r="F228" s="847" t="s">
        <v>494</v>
      </c>
      <c r="G228" s="847">
        <v>10</v>
      </c>
      <c r="H228" s="847" t="s">
        <v>1077</v>
      </c>
      <c r="I228" s="847" t="s">
        <v>1138</v>
      </c>
      <c r="J228" s="89"/>
      <c r="K228" s="136" t="s">
        <v>3063</v>
      </c>
      <c r="L228" s="834" t="s">
        <v>3193</v>
      </c>
      <c r="M228" s="834" t="s">
        <v>3394</v>
      </c>
      <c r="N228" s="834" t="s">
        <v>3394</v>
      </c>
      <c r="O228" s="834" t="s">
        <v>2083</v>
      </c>
      <c r="P228" s="126" t="s">
        <v>2863</v>
      </c>
      <c r="Q228" s="834" t="s">
        <v>30</v>
      </c>
      <c r="R228" s="852">
        <v>46106</v>
      </c>
      <c r="S228" s="852" t="s">
        <v>1138</v>
      </c>
      <c r="T228" s="834" t="s">
        <v>32</v>
      </c>
      <c r="U228" s="834">
        <v>10</v>
      </c>
      <c r="V228" s="852" t="s">
        <v>1138</v>
      </c>
      <c r="W228" s="848">
        <v>46106</v>
      </c>
      <c r="X228" s="91" t="s">
        <v>32</v>
      </c>
      <c r="Y228" s="96" t="s">
        <v>30</v>
      </c>
      <c r="Z228" s="91" t="s">
        <v>32</v>
      </c>
      <c r="AA228" s="96" t="s">
        <v>30</v>
      </c>
      <c r="AB228" s="96" t="s">
        <v>30</v>
      </c>
      <c r="AC228" s="96" t="s">
        <v>30</v>
      </c>
      <c r="AD228" s="96" t="s">
        <v>30</v>
      </c>
      <c r="AE228" s="96" t="s">
        <v>30</v>
      </c>
      <c r="AF228" s="96" t="s">
        <v>30</v>
      </c>
      <c r="AG228" s="96" t="s">
        <v>30</v>
      </c>
      <c r="AH228" s="96" t="s">
        <v>30</v>
      </c>
      <c r="AI228" s="96"/>
      <c r="AJ228" s="96"/>
      <c r="AK228" s="96"/>
      <c r="AL228" s="96"/>
      <c r="AM228" s="96"/>
      <c r="AN228" s="840" t="s">
        <v>3395</v>
      </c>
      <c r="AO228" s="832"/>
      <c r="AP228" s="875"/>
      <c r="AQ228" s="875"/>
      <c r="AR228" s="875"/>
      <c r="AS228" s="776"/>
      <c r="AT228" s="776"/>
      <c r="BB228">
        <f t="shared" si="3"/>
        <v>1</v>
      </c>
    </row>
    <row r="229" spans="1:54">
      <c r="A229" s="834" t="s">
        <v>24</v>
      </c>
      <c r="B229" s="834">
        <v>226</v>
      </c>
      <c r="C229" s="847" t="s">
        <v>3396</v>
      </c>
      <c r="D229" s="847" t="s">
        <v>64</v>
      </c>
      <c r="E229" s="880">
        <v>46074</v>
      </c>
      <c r="F229" s="847" t="s">
        <v>3148</v>
      </c>
      <c r="G229" s="847">
        <v>9</v>
      </c>
      <c r="H229" s="847" t="s">
        <v>1077</v>
      </c>
      <c r="I229" s="847" t="s">
        <v>1138</v>
      </c>
      <c r="J229" s="834"/>
      <c r="K229" s="136" t="s">
        <v>3063</v>
      </c>
      <c r="L229" s="834" t="s">
        <v>2203</v>
      </c>
      <c r="M229" s="834" t="s">
        <v>3392</v>
      </c>
      <c r="N229" s="834" t="s">
        <v>3394</v>
      </c>
      <c r="O229" s="834" t="s">
        <v>2050</v>
      </c>
      <c r="P229" s="847" t="s">
        <v>32</v>
      </c>
      <c r="Q229" s="834" t="s">
        <v>30</v>
      </c>
      <c r="R229" s="852">
        <v>46087</v>
      </c>
      <c r="S229" s="852" t="s">
        <v>1138</v>
      </c>
      <c r="T229" s="834" t="s">
        <v>32</v>
      </c>
      <c r="U229" s="834">
        <v>9</v>
      </c>
      <c r="V229" s="852" t="s">
        <v>1138</v>
      </c>
      <c r="W229" s="848">
        <v>46087</v>
      </c>
      <c r="X229" s="96" t="s">
        <v>30</v>
      </c>
      <c r="Y229" s="96" t="s">
        <v>30</v>
      </c>
      <c r="Z229" s="96" t="s">
        <v>30</v>
      </c>
      <c r="AA229" s="96" t="s">
        <v>30</v>
      </c>
      <c r="AB229" s="96" t="s">
        <v>30</v>
      </c>
      <c r="AC229" s="96" t="s">
        <v>30</v>
      </c>
      <c r="AD229" s="96" t="s">
        <v>30</v>
      </c>
      <c r="AE229" s="96" t="s">
        <v>30</v>
      </c>
      <c r="AF229" s="96" t="s">
        <v>30</v>
      </c>
      <c r="AG229" s="96" t="s">
        <v>30</v>
      </c>
      <c r="AH229" s="96" t="s">
        <v>30</v>
      </c>
      <c r="AI229" s="110"/>
      <c r="AJ229" s="96"/>
      <c r="AK229" s="96"/>
      <c r="AL229" s="96"/>
      <c r="AM229" s="91"/>
      <c r="AN229" s="840"/>
      <c r="AO229" s="832"/>
      <c r="AP229" s="875"/>
      <c r="AQ229" s="875"/>
      <c r="AR229" s="875"/>
      <c r="AS229" s="776"/>
      <c r="AT229" s="776"/>
      <c r="BB229">
        <f t="shared" si="3"/>
        <v>1</v>
      </c>
    </row>
    <row r="230" spans="1:54">
      <c r="A230" s="834" t="s">
        <v>24</v>
      </c>
      <c r="B230" s="834">
        <v>227</v>
      </c>
      <c r="C230" s="847" t="s">
        <v>3397</v>
      </c>
      <c r="D230" s="847" t="s">
        <v>34</v>
      </c>
      <c r="E230" s="880">
        <v>46074</v>
      </c>
      <c r="F230" s="847" t="s">
        <v>65</v>
      </c>
      <c r="G230" s="847">
        <v>7</v>
      </c>
      <c r="H230" s="847" t="s">
        <v>1076</v>
      </c>
      <c r="I230" s="834" t="s">
        <v>3337</v>
      </c>
      <c r="J230" s="98"/>
      <c r="K230" s="136" t="s">
        <v>3058</v>
      </c>
      <c r="L230" s="834" t="s">
        <v>2052</v>
      </c>
      <c r="M230" s="834" t="s">
        <v>3394</v>
      </c>
      <c r="N230" s="834" t="s">
        <v>3394</v>
      </c>
      <c r="O230" s="834" t="s">
        <v>2166</v>
      </c>
      <c r="P230" s="380" t="s">
        <v>32</v>
      </c>
      <c r="Q230" s="834" t="s">
        <v>30</v>
      </c>
      <c r="R230" s="848">
        <v>46085</v>
      </c>
      <c r="S230" s="852" t="s">
        <v>3337</v>
      </c>
      <c r="T230" s="834" t="s">
        <v>32</v>
      </c>
      <c r="U230" s="834">
        <v>7</v>
      </c>
      <c r="V230" s="852" t="s">
        <v>3337</v>
      </c>
      <c r="W230" s="848">
        <v>46085</v>
      </c>
      <c r="X230" s="96" t="s">
        <v>30</v>
      </c>
      <c r="Y230" s="96" t="s">
        <v>30</v>
      </c>
      <c r="Z230" s="96" t="s">
        <v>30</v>
      </c>
      <c r="AA230" s="96" t="s">
        <v>30</v>
      </c>
      <c r="AB230" s="96" t="s">
        <v>30</v>
      </c>
      <c r="AC230" s="96" t="s">
        <v>30</v>
      </c>
      <c r="AD230" s="96" t="s">
        <v>30</v>
      </c>
      <c r="AE230" s="96" t="s">
        <v>30</v>
      </c>
      <c r="AF230" s="96" t="s">
        <v>30</v>
      </c>
      <c r="AG230" s="96" t="s">
        <v>30</v>
      </c>
      <c r="AH230" s="96" t="s">
        <v>30</v>
      </c>
      <c r="AI230" s="96" t="s">
        <v>30</v>
      </c>
      <c r="AJ230" s="96" t="s">
        <v>30</v>
      </c>
      <c r="AK230" s="96" t="s">
        <v>30</v>
      </c>
      <c r="AL230" s="96" t="s">
        <v>30</v>
      </c>
      <c r="AM230" s="91"/>
      <c r="AN230" s="840"/>
      <c r="AO230" s="832"/>
      <c r="AP230" s="875"/>
      <c r="AQ230" s="875"/>
      <c r="AR230" s="875"/>
      <c r="AS230" s="776"/>
      <c r="AT230" s="776"/>
      <c r="BB230">
        <f t="shared" si="3"/>
        <v>1</v>
      </c>
    </row>
    <row r="231" spans="1:54">
      <c r="A231" s="834" t="s">
        <v>24</v>
      </c>
      <c r="B231" s="834">
        <v>228</v>
      </c>
      <c r="C231" s="847" t="s">
        <v>3398</v>
      </c>
      <c r="D231" s="847" t="s">
        <v>34</v>
      </c>
      <c r="E231" s="880">
        <v>46074</v>
      </c>
      <c r="F231" s="847" t="s">
        <v>401</v>
      </c>
      <c r="G231" s="847">
        <v>13</v>
      </c>
      <c r="H231" s="847" t="s">
        <v>1077</v>
      </c>
      <c r="I231" s="847" t="s">
        <v>1138</v>
      </c>
      <c r="J231" s="834"/>
      <c r="K231" s="136" t="s">
        <v>3058</v>
      </c>
      <c r="L231" s="834" t="s">
        <v>401</v>
      </c>
      <c r="M231" s="834" t="s">
        <v>401</v>
      </c>
      <c r="N231" s="834" t="s">
        <v>401</v>
      </c>
      <c r="O231" s="834" t="s">
        <v>401</v>
      </c>
      <c r="P231" s="847" t="s">
        <v>32</v>
      </c>
      <c r="Q231" s="834" t="s">
        <v>30</v>
      </c>
      <c r="R231" s="852">
        <v>46087</v>
      </c>
      <c r="S231" s="852" t="s">
        <v>1138</v>
      </c>
      <c r="T231" s="834" t="s">
        <v>32</v>
      </c>
      <c r="U231" s="834">
        <v>13</v>
      </c>
      <c r="V231" s="852" t="s">
        <v>1138</v>
      </c>
      <c r="W231" s="848">
        <v>46100</v>
      </c>
      <c r="X231" s="96" t="s">
        <v>30</v>
      </c>
      <c r="Y231" s="96" t="s">
        <v>30</v>
      </c>
      <c r="Z231" s="80" t="s">
        <v>30</v>
      </c>
      <c r="AA231" s="96" t="s">
        <v>30</v>
      </c>
      <c r="AB231" s="96" t="s">
        <v>30</v>
      </c>
      <c r="AC231" s="96" t="s">
        <v>30</v>
      </c>
      <c r="AD231" s="96" t="s">
        <v>30</v>
      </c>
      <c r="AE231" s="96" t="s">
        <v>30</v>
      </c>
      <c r="AF231" s="96" t="s">
        <v>30</v>
      </c>
      <c r="AG231" s="96" t="s">
        <v>30</v>
      </c>
      <c r="AH231" s="96" t="s">
        <v>30</v>
      </c>
      <c r="AI231" s="96" t="s">
        <v>30</v>
      </c>
      <c r="AJ231" s="96" t="s">
        <v>30</v>
      </c>
      <c r="AK231" s="96" t="s">
        <v>30</v>
      </c>
      <c r="AL231" s="96" t="s">
        <v>30</v>
      </c>
      <c r="AM231" s="91"/>
      <c r="AN231" s="840"/>
      <c r="AO231" s="832"/>
      <c r="AP231" s="875"/>
      <c r="AQ231" s="875"/>
      <c r="AR231" s="875"/>
      <c r="AS231" s="776"/>
      <c r="AT231" s="776"/>
      <c r="BB231">
        <f t="shared" si="3"/>
        <v>1</v>
      </c>
    </row>
    <row r="232" spans="1:54">
      <c r="A232" s="834" t="s">
        <v>24</v>
      </c>
      <c r="B232" s="834">
        <v>229</v>
      </c>
      <c r="C232" s="847" t="s">
        <v>3399</v>
      </c>
      <c r="D232" s="847" t="s">
        <v>34</v>
      </c>
      <c r="E232" s="880">
        <v>46074</v>
      </c>
      <c r="F232" s="847" t="s">
        <v>3400</v>
      </c>
      <c r="G232" s="847">
        <v>24</v>
      </c>
      <c r="H232" s="847" t="s">
        <v>127</v>
      </c>
      <c r="I232" s="847" t="s">
        <v>28</v>
      </c>
      <c r="J232" s="98"/>
      <c r="K232" s="136" t="s">
        <v>3058</v>
      </c>
      <c r="L232" s="834" t="s">
        <v>3401</v>
      </c>
      <c r="M232" s="834" t="s">
        <v>3383</v>
      </c>
      <c r="N232" s="834" t="s">
        <v>3383</v>
      </c>
      <c r="O232" s="834" t="s">
        <v>3402</v>
      </c>
      <c r="P232" s="126" t="s">
        <v>2863</v>
      </c>
      <c r="Q232" s="834" t="s">
        <v>30</v>
      </c>
      <c r="R232" s="852">
        <v>46099</v>
      </c>
      <c r="S232" s="852" t="s">
        <v>178</v>
      </c>
      <c r="T232" s="834" t="s">
        <v>32</v>
      </c>
      <c r="U232" s="834">
        <v>24</v>
      </c>
      <c r="V232" s="852" t="s">
        <v>178</v>
      </c>
      <c r="W232" s="848">
        <v>46099</v>
      </c>
      <c r="X232" s="96" t="s">
        <v>30</v>
      </c>
      <c r="Y232" s="96" t="s">
        <v>30</v>
      </c>
      <c r="Z232" s="96" t="s">
        <v>30</v>
      </c>
      <c r="AA232" s="96" t="s">
        <v>30</v>
      </c>
      <c r="AB232" s="96" t="s">
        <v>30</v>
      </c>
      <c r="AC232" s="96" t="s">
        <v>30</v>
      </c>
      <c r="AD232" s="96" t="s">
        <v>30</v>
      </c>
      <c r="AE232" s="96" t="s">
        <v>30</v>
      </c>
      <c r="AF232" s="96" t="s">
        <v>30</v>
      </c>
      <c r="AG232" s="96" t="s">
        <v>30</v>
      </c>
      <c r="AH232" s="96" t="s">
        <v>30</v>
      </c>
      <c r="AI232" s="96" t="s">
        <v>30</v>
      </c>
      <c r="AJ232" s="96" t="s">
        <v>30</v>
      </c>
      <c r="AK232" s="96" t="s">
        <v>30</v>
      </c>
      <c r="AL232" s="96" t="s">
        <v>30</v>
      </c>
      <c r="AM232" s="96" t="s">
        <v>30</v>
      </c>
      <c r="AN232" s="840"/>
      <c r="AO232" s="832"/>
      <c r="AP232" s="875"/>
      <c r="AQ232" s="875"/>
      <c r="AR232" s="875"/>
      <c r="AS232" s="776"/>
      <c r="AT232" s="776"/>
      <c r="BB232">
        <f t="shared" si="3"/>
        <v>1</v>
      </c>
    </row>
    <row r="233" spans="1:54">
      <c r="A233" s="834" t="s">
        <v>24</v>
      </c>
      <c r="B233" s="834">
        <v>230</v>
      </c>
      <c r="C233" s="847" t="s">
        <v>3403</v>
      </c>
      <c r="D233" s="847" t="s">
        <v>34</v>
      </c>
      <c r="E233" s="880">
        <v>46074</v>
      </c>
      <c r="F233" s="847" t="s">
        <v>206</v>
      </c>
      <c r="G233" s="847">
        <v>12</v>
      </c>
      <c r="H233" s="847" t="s">
        <v>127</v>
      </c>
      <c r="I233" s="847" t="s">
        <v>28</v>
      </c>
      <c r="J233" s="98"/>
      <c r="K233" s="136" t="s">
        <v>3058</v>
      </c>
      <c r="L233" s="834" t="s">
        <v>2180</v>
      </c>
      <c r="M233" s="834" t="s">
        <v>3383</v>
      </c>
      <c r="N233" s="834" t="s">
        <v>3404</v>
      </c>
      <c r="O233" s="834" t="s">
        <v>2050</v>
      </c>
      <c r="P233" s="847" t="s">
        <v>32</v>
      </c>
      <c r="Q233" s="834" t="s">
        <v>30</v>
      </c>
      <c r="R233" s="852">
        <v>46090</v>
      </c>
      <c r="S233" s="852" t="s">
        <v>28</v>
      </c>
      <c r="T233" s="834" t="s">
        <v>32</v>
      </c>
      <c r="U233" s="834">
        <v>12</v>
      </c>
      <c r="V233" s="852" t="s">
        <v>28</v>
      </c>
      <c r="W233" s="848">
        <v>46090</v>
      </c>
      <c r="X233" s="96" t="s">
        <v>30</v>
      </c>
      <c r="Y233" s="96" t="s">
        <v>30</v>
      </c>
      <c r="Z233" s="91" t="s">
        <v>32</v>
      </c>
      <c r="AA233" s="91" t="s">
        <v>32</v>
      </c>
      <c r="AB233" s="91" t="s">
        <v>32</v>
      </c>
      <c r="AC233" s="91" t="s">
        <v>32</v>
      </c>
      <c r="AD233" s="96" t="s">
        <v>30</v>
      </c>
      <c r="AE233" s="96" t="s">
        <v>30</v>
      </c>
      <c r="AF233" s="96" t="s">
        <v>30</v>
      </c>
      <c r="AG233" s="96" t="s">
        <v>30</v>
      </c>
      <c r="AH233" s="96" t="s">
        <v>30</v>
      </c>
      <c r="AI233" s="96" t="s">
        <v>30</v>
      </c>
      <c r="AJ233" s="96" t="s">
        <v>30</v>
      </c>
      <c r="AK233" s="96" t="s">
        <v>30</v>
      </c>
      <c r="AL233" s="96" t="s">
        <v>30</v>
      </c>
      <c r="AM233" s="96" t="s">
        <v>30</v>
      </c>
      <c r="AN233" s="840"/>
      <c r="AO233" s="832"/>
      <c r="AP233" s="875"/>
      <c r="AQ233" s="875"/>
      <c r="AR233" s="875"/>
      <c r="AS233" s="776"/>
      <c r="AT233" s="776"/>
      <c r="BB233">
        <f t="shared" si="3"/>
        <v>1</v>
      </c>
    </row>
    <row r="234" spans="1:54">
      <c r="A234" s="834" t="s">
        <v>24</v>
      </c>
      <c r="B234" s="834">
        <v>231</v>
      </c>
      <c r="C234" s="834" t="s">
        <v>3405</v>
      </c>
      <c r="D234" s="834" t="s">
        <v>64</v>
      </c>
      <c r="E234" s="852">
        <v>46074</v>
      </c>
      <c r="F234" s="834" t="s">
        <v>701</v>
      </c>
      <c r="G234" s="834">
        <v>12</v>
      </c>
      <c r="H234" s="834" t="s">
        <v>127</v>
      </c>
      <c r="I234" s="847" t="s">
        <v>28</v>
      </c>
      <c r="J234" s="834"/>
      <c r="K234" s="136" t="s">
        <v>3058</v>
      </c>
      <c r="L234" s="834" t="s">
        <v>2703</v>
      </c>
      <c r="M234" s="834" t="s">
        <v>3406</v>
      </c>
      <c r="N234" s="834" t="s">
        <v>3392</v>
      </c>
      <c r="O234" s="834" t="s">
        <v>3407</v>
      </c>
      <c r="P234" s="847" t="s">
        <v>32</v>
      </c>
      <c r="Q234" s="834" t="s">
        <v>30</v>
      </c>
      <c r="R234" s="848">
        <v>46105</v>
      </c>
      <c r="S234" s="852" t="s">
        <v>3408</v>
      </c>
      <c r="T234" s="834" t="s">
        <v>32</v>
      </c>
      <c r="U234" s="834">
        <v>12</v>
      </c>
      <c r="V234" s="852" t="s">
        <v>3408</v>
      </c>
      <c r="W234" s="848">
        <v>46105</v>
      </c>
      <c r="X234" s="96" t="s">
        <v>30</v>
      </c>
      <c r="Y234" s="96" t="s">
        <v>30</v>
      </c>
      <c r="Z234" s="91" t="s">
        <v>32</v>
      </c>
      <c r="AA234" s="118" t="s">
        <v>30</v>
      </c>
      <c r="AB234" s="118" t="s">
        <v>30</v>
      </c>
      <c r="AC234" s="118" t="s">
        <v>30</v>
      </c>
      <c r="AD234" s="96" t="s">
        <v>30</v>
      </c>
      <c r="AE234" s="96" t="s">
        <v>30</v>
      </c>
      <c r="AF234" s="96" t="s">
        <v>30</v>
      </c>
      <c r="AG234" s="96" t="s">
        <v>30</v>
      </c>
      <c r="AH234" s="96" t="s">
        <v>30</v>
      </c>
      <c r="AI234" s="96" t="s">
        <v>30</v>
      </c>
      <c r="AJ234" s="96" t="s">
        <v>30</v>
      </c>
      <c r="AK234" s="96" t="s">
        <v>30</v>
      </c>
      <c r="AL234" s="96" t="s">
        <v>30</v>
      </c>
      <c r="AM234" s="96" t="s">
        <v>30</v>
      </c>
      <c r="AN234" s="840"/>
      <c r="AO234" s="832"/>
      <c r="AP234" s="875"/>
      <c r="AQ234" s="875"/>
      <c r="AR234" s="875"/>
      <c r="AS234" s="776"/>
      <c r="AT234" s="776"/>
      <c r="AZ234" s="71"/>
      <c r="BB234">
        <f t="shared" si="3"/>
        <v>1</v>
      </c>
    </row>
    <row r="235" spans="1:54">
      <c r="A235" s="834" t="s">
        <v>24</v>
      </c>
      <c r="B235" s="834">
        <v>232</v>
      </c>
      <c r="C235" s="834" t="s">
        <v>3409</v>
      </c>
      <c r="D235" s="834" t="s">
        <v>64</v>
      </c>
      <c r="E235" s="852">
        <v>46074</v>
      </c>
      <c r="F235" s="834" t="s">
        <v>202</v>
      </c>
      <c r="G235" s="834">
        <v>12</v>
      </c>
      <c r="H235" s="834" t="s">
        <v>127</v>
      </c>
      <c r="I235" s="847" t="s">
        <v>28</v>
      </c>
      <c r="J235" s="834"/>
      <c r="K235" s="136" t="s">
        <v>3058</v>
      </c>
      <c r="L235" s="834" t="s">
        <v>2142</v>
      </c>
      <c r="M235" s="834" t="s">
        <v>3392</v>
      </c>
      <c r="N235" s="834" t="s">
        <v>3404</v>
      </c>
      <c r="O235" s="834" t="s">
        <v>2766</v>
      </c>
      <c r="P235" s="847" t="s">
        <v>32</v>
      </c>
      <c r="Q235" s="834" t="s">
        <v>30</v>
      </c>
      <c r="R235" s="852">
        <v>46106</v>
      </c>
      <c r="S235" s="852" t="s">
        <v>3408</v>
      </c>
      <c r="T235" s="834" t="s">
        <v>32</v>
      </c>
      <c r="U235" s="834">
        <v>12</v>
      </c>
      <c r="V235" s="852" t="s">
        <v>3408</v>
      </c>
      <c r="W235" s="848">
        <v>46106</v>
      </c>
      <c r="X235" s="96" t="s">
        <v>30</v>
      </c>
      <c r="Y235" s="96" t="s">
        <v>30</v>
      </c>
      <c r="Z235" s="91" t="s">
        <v>32</v>
      </c>
      <c r="AA235" s="118" t="s">
        <v>30</v>
      </c>
      <c r="AB235" s="118" t="s">
        <v>30</v>
      </c>
      <c r="AC235" s="118" t="s">
        <v>30</v>
      </c>
      <c r="AD235" s="96" t="s">
        <v>30</v>
      </c>
      <c r="AE235" s="96" t="s">
        <v>30</v>
      </c>
      <c r="AF235" s="96" t="s">
        <v>30</v>
      </c>
      <c r="AG235" s="96" t="s">
        <v>30</v>
      </c>
      <c r="AH235" s="96" t="s">
        <v>30</v>
      </c>
      <c r="AI235" s="110"/>
      <c r="AJ235" s="107"/>
      <c r="AK235" s="107" t="s">
        <v>30</v>
      </c>
      <c r="AL235" s="107" t="s">
        <v>30</v>
      </c>
      <c r="AM235" s="91"/>
      <c r="AN235" s="840"/>
      <c r="AO235" s="832"/>
      <c r="AP235" s="875"/>
      <c r="AQ235" s="875"/>
      <c r="AR235" s="875"/>
      <c r="AS235" s="776"/>
      <c r="AT235" s="776"/>
      <c r="BB235">
        <f t="shared" si="3"/>
        <v>1</v>
      </c>
    </row>
    <row r="236" spans="1:54">
      <c r="A236" s="834" t="s">
        <v>24</v>
      </c>
      <c r="B236" s="834">
        <v>233</v>
      </c>
      <c r="C236" s="834" t="s">
        <v>3410</v>
      </c>
      <c r="D236" s="834" t="s">
        <v>34</v>
      </c>
      <c r="E236" s="852">
        <v>46074</v>
      </c>
      <c r="F236" s="834" t="s">
        <v>1943</v>
      </c>
      <c r="G236" s="834">
        <v>12</v>
      </c>
      <c r="H236" s="834" t="s">
        <v>1076</v>
      </c>
      <c r="I236" s="834" t="s">
        <v>3337</v>
      </c>
      <c r="J236" s="834"/>
      <c r="K236" s="136" t="s">
        <v>3058</v>
      </c>
      <c r="L236" s="834" t="s">
        <v>2130</v>
      </c>
      <c r="M236" s="834" t="s">
        <v>3383</v>
      </c>
      <c r="N236" s="834" t="s">
        <v>3392</v>
      </c>
      <c r="O236" s="834" t="s">
        <v>2050</v>
      </c>
      <c r="P236" s="847" t="s">
        <v>32</v>
      </c>
      <c r="Q236" s="834" t="s">
        <v>30</v>
      </c>
      <c r="R236" s="852">
        <v>46087</v>
      </c>
      <c r="S236" s="852" t="s">
        <v>3337</v>
      </c>
      <c r="T236" s="834" t="s">
        <v>32</v>
      </c>
      <c r="U236" s="834">
        <v>13</v>
      </c>
      <c r="V236" s="852" t="s">
        <v>3337</v>
      </c>
      <c r="W236" s="848">
        <v>46087</v>
      </c>
      <c r="X236" s="96" t="s">
        <v>30</v>
      </c>
      <c r="Y236" s="118" t="s">
        <v>30</v>
      </c>
      <c r="Z236" s="118" t="s">
        <v>30</v>
      </c>
      <c r="AA236" s="118" t="s">
        <v>30</v>
      </c>
      <c r="AB236" s="118" t="s">
        <v>30</v>
      </c>
      <c r="AC236" s="118" t="s">
        <v>30</v>
      </c>
      <c r="AD236" s="118" t="s">
        <v>30</v>
      </c>
      <c r="AE236" s="118" t="s">
        <v>30</v>
      </c>
      <c r="AF236" s="118" t="s">
        <v>30</v>
      </c>
      <c r="AG236" s="118" t="s">
        <v>30</v>
      </c>
      <c r="AH236" s="118" t="s">
        <v>30</v>
      </c>
      <c r="AI236" s="118" t="s">
        <v>30</v>
      </c>
      <c r="AJ236" s="118" t="s">
        <v>30</v>
      </c>
      <c r="AK236" s="118" t="s">
        <v>30</v>
      </c>
      <c r="AL236" s="118" t="s">
        <v>30</v>
      </c>
      <c r="AM236" s="118" t="s">
        <v>30</v>
      </c>
      <c r="AN236" s="840"/>
      <c r="AO236" s="832"/>
      <c r="AP236" s="875"/>
      <c r="AQ236" s="875"/>
      <c r="AR236" s="875"/>
      <c r="AS236" s="776"/>
      <c r="AT236" s="776"/>
      <c r="BB236">
        <f t="shared" si="3"/>
        <v>1</v>
      </c>
    </row>
    <row r="237" spans="1:54">
      <c r="A237" s="834" t="s">
        <v>24</v>
      </c>
      <c r="B237" s="834">
        <v>234</v>
      </c>
      <c r="C237" s="834" t="s">
        <v>3411</v>
      </c>
      <c r="D237" s="834" t="s">
        <v>34</v>
      </c>
      <c r="E237" s="852">
        <v>46074</v>
      </c>
      <c r="F237" s="834" t="s">
        <v>3412</v>
      </c>
      <c r="G237" s="834">
        <v>24</v>
      </c>
      <c r="H237" s="847" t="s">
        <v>1721</v>
      </c>
      <c r="I237" s="834" t="s">
        <v>1638</v>
      </c>
      <c r="J237" s="98"/>
      <c r="K237" s="136" t="s">
        <v>3058</v>
      </c>
      <c r="L237" s="834" t="s">
        <v>2102</v>
      </c>
      <c r="M237" s="834" t="s">
        <v>3406</v>
      </c>
      <c r="N237" s="834" t="s">
        <v>3404</v>
      </c>
      <c r="O237" s="834" t="s">
        <v>3413</v>
      </c>
      <c r="P237" s="126" t="s">
        <v>2863</v>
      </c>
      <c r="Q237" s="834" t="s">
        <v>30</v>
      </c>
      <c r="R237" s="852">
        <v>46084</v>
      </c>
      <c r="S237" s="852" t="s">
        <v>1638</v>
      </c>
      <c r="T237" s="834" t="s">
        <v>32</v>
      </c>
      <c r="U237" s="834">
        <v>15</v>
      </c>
      <c r="V237" s="852" t="s">
        <v>1638</v>
      </c>
      <c r="W237" s="848">
        <v>46106</v>
      </c>
      <c r="X237" s="96" t="s">
        <v>30</v>
      </c>
      <c r="Y237" s="96" t="s">
        <v>30</v>
      </c>
      <c r="Z237" s="91" t="s">
        <v>32</v>
      </c>
      <c r="AA237" s="96"/>
      <c r="AB237" s="96"/>
      <c r="AC237" s="96"/>
      <c r="AD237" s="96" t="s">
        <v>30</v>
      </c>
      <c r="AE237" s="96" t="s">
        <v>30</v>
      </c>
      <c r="AF237" s="96" t="s">
        <v>30</v>
      </c>
      <c r="AG237" s="96" t="s">
        <v>30</v>
      </c>
      <c r="AH237" s="96" t="s">
        <v>30</v>
      </c>
      <c r="AI237" s="110"/>
      <c r="AJ237" s="107"/>
      <c r="AK237" s="107"/>
      <c r="AL237" s="96"/>
      <c r="AM237" s="91"/>
      <c r="AN237" s="840"/>
      <c r="AO237" s="832"/>
      <c r="AP237" s="875"/>
      <c r="AQ237" s="875"/>
      <c r="AR237" s="875"/>
      <c r="AS237" s="776"/>
      <c r="AT237" s="776"/>
      <c r="AZ237" s="71"/>
      <c r="BB237">
        <f t="shared" si="3"/>
        <v>1</v>
      </c>
    </row>
    <row r="238" spans="1:54">
      <c r="A238" s="834" t="s">
        <v>24</v>
      </c>
      <c r="B238" s="834">
        <v>235</v>
      </c>
      <c r="C238" s="834" t="s">
        <v>3414</v>
      </c>
      <c r="D238" s="834" t="s">
        <v>83</v>
      </c>
      <c r="E238" s="852">
        <v>46074</v>
      </c>
      <c r="F238" s="834" t="s">
        <v>1649</v>
      </c>
      <c r="G238" s="834">
        <v>12</v>
      </c>
      <c r="H238" s="847" t="s">
        <v>1076</v>
      </c>
      <c r="I238" s="834" t="s">
        <v>3337</v>
      </c>
      <c r="J238" s="834"/>
      <c r="K238" s="136" t="s">
        <v>3058</v>
      </c>
      <c r="L238" s="834" t="s">
        <v>2098</v>
      </c>
      <c r="M238" s="834" t="s">
        <v>3383</v>
      </c>
      <c r="N238" s="834" t="s">
        <v>3392</v>
      </c>
      <c r="O238" s="834" t="s">
        <v>2050</v>
      </c>
      <c r="P238" s="847" t="s">
        <v>32</v>
      </c>
      <c r="Q238" s="834" t="s">
        <v>30</v>
      </c>
      <c r="R238" s="852">
        <v>46091</v>
      </c>
      <c r="S238" s="852" t="s">
        <v>3337</v>
      </c>
      <c r="T238" s="834" t="s">
        <v>32</v>
      </c>
      <c r="U238" s="834">
        <v>12</v>
      </c>
      <c r="V238" s="852" t="s">
        <v>3337</v>
      </c>
      <c r="W238" s="848">
        <v>46091</v>
      </c>
      <c r="X238" s="96" t="s">
        <v>30</v>
      </c>
      <c r="Y238" s="118" t="s">
        <v>30</v>
      </c>
      <c r="Z238" s="118" t="s">
        <v>30</v>
      </c>
      <c r="AA238" s="118" t="s">
        <v>30</v>
      </c>
      <c r="AB238" s="118" t="s">
        <v>30</v>
      </c>
      <c r="AC238" s="118" t="s">
        <v>30</v>
      </c>
      <c r="AD238" s="118" t="s">
        <v>30</v>
      </c>
      <c r="AE238" s="118" t="s">
        <v>30</v>
      </c>
      <c r="AF238" s="118" t="s">
        <v>30</v>
      </c>
      <c r="AG238" s="118" t="s">
        <v>30</v>
      </c>
      <c r="AH238" s="118" t="s">
        <v>30</v>
      </c>
      <c r="AI238" s="118" t="s">
        <v>30</v>
      </c>
      <c r="AJ238" s="118" t="s">
        <v>30</v>
      </c>
      <c r="AK238" s="118" t="s">
        <v>30</v>
      </c>
      <c r="AL238" s="118" t="s">
        <v>30</v>
      </c>
      <c r="AM238" s="118" t="s">
        <v>30</v>
      </c>
      <c r="AN238" s="840"/>
      <c r="AO238" s="832"/>
      <c r="AP238" s="875"/>
      <c r="AQ238" s="875"/>
      <c r="AR238" s="875"/>
      <c r="AS238" s="776"/>
      <c r="AT238" s="776"/>
      <c r="AZ238" s="71"/>
      <c r="BB238">
        <f t="shared" si="3"/>
        <v>1</v>
      </c>
    </row>
    <row r="239" spans="1:54">
      <c r="A239" s="834" t="s">
        <v>24</v>
      </c>
      <c r="B239" s="834">
        <v>236</v>
      </c>
      <c r="C239" s="834" t="s">
        <v>3415</v>
      </c>
      <c r="D239" s="834" t="s">
        <v>1764</v>
      </c>
      <c r="E239" s="852">
        <v>46076</v>
      </c>
      <c r="F239" s="834" t="s">
        <v>202</v>
      </c>
      <c r="G239" s="834">
        <v>18</v>
      </c>
      <c r="H239" s="834" t="s">
        <v>127</v>
      </c>
      <c r="I239" s="847" t="s">
        <v>28</v>
      </c>
      <c r="J239" s="834"/>
      <c r="K239" s="136" t="s">
        <v>3063</v>
      </c>
      <c r="L239" s="834" t="s">
        <v>2056</v>
      </c>
      <c r="M239" s="834" t="s">
        <v>3202</v>
      </c>
      <c r="N239" s="834" t="s">
        <v>3202</v>
      </c>
      <c r="O239" s="834" t="s">
        <v>2058</v>
      </c>
      <c r="P239" s="126" t="s">
        <v>2863</v>
      </c>
      <c r="Q239" s="834" t="s">
        <v>30</v>
      </c>
      <c r="R239" s="852">
        <v>46111</v>
      </c>
      <c r="S239" s="852" t="s">
        <v>3408</v>
      </c>
      <c r="T239" s="834" t="s">
        <v>32</v>
      </c>
      <c r="U239" s="834">
        <v>18</v>
      </c>
      <c r="V239" s="852" t="s">
        <v>3408</v>
      </c>
      <c r="W239" s="848">
        <v>46111</v>
      </c>
      <c r="X239" s="96" t="s">
        <v>30</v>
      </c>
      <c r="Y239" s="96" t="s">
        <v>30</v>
      </c>
      <c r="Z239" s="91" t="s">
        <v>32</v>
      </c>
      <c r="AA239" s="118" t="s">
        <v>30</v>
      </c>
      <c r="AB239" s="118" t="s">
        <v>30</v>
      </c>
      <c r="AC239" s="118" t="s">
        <v>30</v>
      </c>
      <c r="AD239" s="96" t="s">
        <v>30</v>
      </c>
      <c r="AE239" s="96" t="s">
        <v>30</v>
      </c>
      <c r="AF239" s="96" t="s">
        <v>30</v>
      </c>
      <c r="AG239" s="96" t="s">
        <v>30</v>
      </c>
      <c r="AH239" s="96" t="s">
        <v>30</v>
      </c>
      <c r="AI239" s="110"/>
      <c r="AJ239" s="108"/>
      <c r="AK239" s="108"/>
      <c r="AL239" s="108"/>
      <c r="AM239" s="91"/>
      <c r="AN239" s="840"/>
      <c r="AO239" s="832"/>
      <c r="AP239" s="875"/>
      <c r="AQ239" s="875"/>
      <c r="AR239" s="875"/>
      <c r="AS239" s="776"/>
      <c r="AT239" s="776"/>
      <c r="BB239">
        <f t="shared" si="3"/>
        <v>1</v>
      </c>
    </row>
    <row r="240" spans="1:54">
      <c r="A240" s="834" t="s">
        <v>24</v>
      </c>
      <c r="B240" s="834">
        <v>237</v>
      </c>
      <c r="C240" s="834" t="s">
        <v>3416</v>
      </c>
      <c r="D240" s="834" t="s">
        <v>469</v>
      </c>
      <c r="E240" s="852">
        <v>46076</v>
      </c>
      <c r="F240" s="834" t="s">
        <v>506</v>
      </c>
      <c r="G240" s="834">
        <v>13</v>
      </c>
      <c r="H240" s="834" t="s">
        <v>3056</v>
      </c>
      <c r="I240" s="834" t="s">
        <v>47</v>
      </c>
      <c r="J240" s="834"/>
      <c r="K240" s="136" t="s">
        <v>3063</v>
      </c>
      <c r="L240" s="834" t="s">
        <v>2244</v>
      </c>
      <c r="M240" s="834" t="s">
        <v>3392</v>
      </c>
      <c r="N240" s="834" t="s">
        <v>3392</v>
      </c>
      <c r="O240" s="834" t="s">
        <v>2050</v>
      </c>
      <c r="P240" s="847" t="s">
        <v>32</v>
      </c>
      <c r="Q240" s="834" t="s">
        <v>30</v>
      </c>
      <c r="R240" s="852">
        <v>46094</v>
      </c>
      <c r="S240" s="852" t="s">
        <v>47</v>
      </c>
      <c r="T240" s="834" t="s">
        <v>32</v>
      </c>
      <c r="U240" s="834">
        <v>13</v>
      </c>
      <c r="V240" s="852" t="s">
        <v>47</v>
      </c>
      <c r="W240" s="848">
        <v>46094</v>
      </c>
      <c r="X240" s="96" t="s">
        <v>30</v>
      </c>
      <c r="Y240" s="96" t="s">
        <v>30</v>
      </c>
      <c r="Z240" s="80" t="s">
        <v>30</v>
      </c>
      <c r="AA240" s="96" t="s">
        <v>30</v>
      </c>
      <c r="AB240" s="96" t="s">
        <v>30</v>
      </c>
      <c r="AC240" s="96" t="s">
        <v>30</v>
      </c>
      <c r="AD240" s="96" t="s">
        <v>30</v>
      </c>
      <c r="AE240" s="96" t="s">
        <v>30</v>
      </c>
      <c r="AF240" s="96" t="s">
        <v>30</v>
      </c>
      <c r="AG240" s="96" t="s">
        <v>30</v>
      </c>
      <c r="AH240" s="96" t="s">
        <v>30</v>
      </c>
      <c r="AI240" s="108" t="s">
        <v>30</v>
      </c>
      <c r="AJ240" s="107" t="s">
        <v>30</v>
      </c>
      <c r="AK240" s="107" t="s">
        <v>30</v>
      </c>
      <c r="AL240" s="107" t="s">
        <v>30</v>
      </c>
      <c r="AM240" s="80" t="s">
        <v>30</v>
      </c>
      <c r="AN240" s="840"/>
      <c r="AO240" s="832"/>
      <c r="AP240" s="875"/>
      <c r="AQ240" s="875"/>
      <c r="AR240" s="875"/>
      <c r="AS240" s="776"/>
      <c r="AT240" s="776"/>
      <c r="AZ240" s="92"/>
      <c r="BB240">
        <f t="shared" si="3"/>
        <v>1</v>
      </c>
    </row>
    <row r="241" spans="1:54">
      <c r="A241" s="834" t="s">
        <v>24</v>
      </c>
      <c r="B241" s="834">
        <v>238</v>
      </c>
      <c r="C241" s="834" t="s">
        <v>3417</v>
      </c>
      <c r="D241" s="834" t="s">
        <v>1746</v>
      </c>
      <c r="E241" s="852">
        <v>46077</v>
      </c>
      <c r="F241" s="834" t="s">
        <v>3330</v>
      </c>
      <c r="G241" s="834">
        <v>12</v>
      </c>
      <c r="H241" s="834" t="s">
        <v>1077</v>
      </c>
      <c r="I241" s="834" t="s">
        <v>1138</v>
      </c>
      <c r="J241" s="89" t="s">
        <v>3357</v>
      </c>
      <c r="K241" s="136" t="s">
        <v>3063</v>
      </c>
      <c r="L241" s="834" t="s">
        <v>2640</v>
      </c>
      <c r="M241" s="834" t="s">
        <v>3394</v>
      </c>
      <c r="N241" s="834" t="s">
        <v>3418</v>
      </c>
      <c r="O241" s="834" t="s">
        <v>2083</v>
      </c>
      <c r="P241" s="847" t="s">
        <v>32</v>
      </c>
      <c r="Q241" s="848" t="s">
        <v>30</v>
      </c>
      <c r="R241" s="848">
        <v>46112</v>
      </c>
      <c r="S241" s="852" t="s">
        <v>1138</v>
      </c>
      <c r="T241" s="852" t="s">
        <v>32</v>
      </c>
      <c r="U241" s="834">
        <v>12</v>
      </c>
      <c r="V241" s="852"/>
      <c r="W241" s="848">
        <v>46112</v>
      </c>
      <c r="X241" s="91" t="s">
        <v>32</v>
      </c>
      <c r="Y241" s="96" t="s">
        <v>30</v>
      </c>
      <c r="Z241" s="91" t="s">
        <v>32</v>
      </c>
      <c r="AA241" s="96" t="s">
        <v>30</v>
      </c>
      <c r="AB241" s="96" t="s">
        <v>30</v>
      </c>
      <c r="AC241" s="96" t="s">
        <v>30</v>
      </c>
      <c r="AD241" s="96" t="s">
        <v>30</v>
      </c>
      <c r="AE241" s="96" t="s">
        <v>30</v>
      </c>
      <c r="AF241" s="96" t="s">
        <v>30</v>
      </c>
      <c r="AG241" s="96" t="s">
        <v>30</v>
      </c>
      <c r="AH241" s="96" t="s">
        <v>30</v>
      </c>
      <c r="AI241" s="96" t="s">
        <v>30</v>
      </c>
      <c r="AJ241" s="96" t="s">
        <v>30</v>
      </c>
      <c r="AK241" s="96" t="s">
        <v>30</v>
      </c>
      <c r="AL241" s="96" t="s">
        <v>30</v>
      </c>
      <c r="AM241" s="96" t="s">
        <v>30</v>
      </c>
      <c r="AN241" s="840"/>
      <c r="AO241" s="832"/>
      <c r="AP241" s="875"/>
      <c r="AQ241" s="875"/>
      <c r="AR241" s="875"/>
      <c r="AS241" s="776"/>
      <c r="AT241" s="776"/>
      <c r="BB241">
        <f t="shared" si="3"/>
        <v>1</v>
      </c>
    </row>
    <row r="242" spans="1:54">
      <c r="A242" s="834" t="s">
        <v>24</v>
      </c>
      <c r="B242" s="834">
        <v>239</v>
      </c>
      <c r="C242" s="834" t="s">
        <v>3419</v>
      </c>
      <c r="D242" s="834" t="s">
        <v>374</v>
      </c>
      <c r="E242" s="852">
        <v>46077</v>
      </c>
      <c r="F242" s="834" t="s">
        <v>3420</v>
      </c>
      <c r="G242" s="834">
        <v>19</v>
      </c>
      <c r="H242" s="834" t="s">
        <v>1076</v>
      </c>
      <c r="I242" s="834" t="s">
        <v>3337</v>
      </c>
      <c r="J242" s="255"/>
      <c r="K242" s="136" t="s">
        <v>3058</v>
      </c>
      <c r="L242" s="834" t="s">
        <v>2226</v>
      </c>
      <c r="M242" s="834" t="s">
        <v>3418</v>
      </c>
      <c r="N242" s="834" t="s">
        <v>3418</v>
      </c>
      <c r="O242" s="834" t="s">
        <v>2083</v>
      </c>
      <c r="P242" s="126" t="s">
        <v>2863</v>
      </c>
      <c r="Q242" s="834" t="s">
        <v>30</v>
      </c>
      <c r="R242" s="852">
        <v>46090</v>
      </c>
      <c r="S242" s="852" t="s">
        <v>3337</v>
      </c>
      <c r="T242" s="834" t="s">
        <v>32</v>
      </c>
      <c r="U242" s="834">
        <v>19</v>
      </c>
      <c r="V242" s="852" t="s">
        <v>3337</v>
      </c>
      <c r="W242" s="848">
        <v>46090</v>
      </c>
      <c r="X242" s="96" t="s">
        <v>30</v>
      </c>
      <c r="Y242" s="96" t="s">
        <v>30</v>
      </c>
      <c r="Z242" s="80" t="s">
        <v>30</v>
      </c>
      <c r="AA242" s="96" t="s">
        <v>30</v>
      </c>
      <c r="AB242" s="96" t="s">
        <v>30</v>
      </c>
      <c r="AC242" s="96" t="s">
        <v>30</v>
      </c>
      <c r="AD242" s="96" t="s">
        <v>30</v>
      </c>
      <c r="AE242" s="96" t="s">
        <v>30</v>
      </c>
      <c r="AF242" s="96" t="s">
        <v>30</v>
      </c>
      <c r="AG242" s="96" t="s">
        <v>30</v>
      </c>
      <c r="AH242" s="96" t="s">
        <v>30</v>
      </c>
      <c r="AI242" s="96" t="s">
        <v>30</v>
      </c>
      <c r="AJ242" s="96" t="s">
        <v>30</v>
      </c>
      <c r="AK242" s="96" t="s">
        <v>30</v>
      </c>
      <c r="AL242" s="96" t="s">
        <v>30</v>
      </c>
      <c r="AM242" s="91"/>
      <c r="AN242" s="840"/>
      <c r="AO242" s="832"/>
      <c r="AP242" s="875"/>
      <c r="AQ242" s="875"/>
      <c r="AR242" s="875"/>
      <c r="AS242" s="776"/>
      <c r="AT242" s="776"/>
      <c r="BB242">
        <f t="shared" si="3"/>
        <v>1</v>
      </c>
    </row>
    <row r="243" spans="1:54">
      <c r="A243" s="834" t="s">
        <v>24</v>
      </c>
      <c r="B243" s="834">
        <v>240</v>
      </c>
      <c r="C243" s="834" t="s">
        <v>3421</v>
      </c>
      <c r="D243" s="834" t="s">
        <v>477</v>
      </c>
      <c r="E243" s="852">
        <v>46079</v>
      </c>
      <c r="F243" s="834" t="s">
        <v>2626</v>
      </c>
      <c r="G243" s="834">
        <v>12</v>
      </c>
      <c r="H243" s="834" t="s">
        <v>127</v>
      </c>
      <c r="I243" s="847" t="s">
        <v>28</v>
      </c>
      <c r="J243" s="255"/>
      <c r="K243" s="136" t="s">
        <v>3058</v>
      </c>
      <c r="L243" s="834" t="s">
        <v>2092</v>
      </c>
      <c r="M243" s="834" t="s">
        <v>3422</v>
      </c>
      <c r="N243" s="834" t="s">
        <v>3422</v>
      </c>
      <c r="O243" s="834" t="s">
        <v>2050</v>
      </c>
      <c r="P243" s="847" t="s">
        <v>32</v>
      </c>
      <c r="Q243" s="834" t="s">
        <v>30</v>
      </c>
      <c r="R243" s="852">
        <v>46111</v>
      </c>
      <c r="S243" s="852" t="s">
        <v>3408</v>
      </c>
      <c r="T243" s="834" t="s">
        <v>32</v>
      </c>
      <c r="U243" s="834">
        <v>12</v>
      </c>
      <c r="V243" s="852" t="s">
        <v>3408</v>
      </c>
      <c r="W243" s="848">
        <v>46111</v>
      </c>
      <c r="X243" s="96" t="s">
        <v>30</v>
      </c>
      <c r="Y243" s="96" t="s">
        <v>30</v>
      </c>
      <c r="Z243" s="91" t="s">
        <v>32</v>
      </c>
      <c r="AA243" s="91" t="s">
        <v>32</v>
      </c>
      <c r="AB243" s="91" t="s">
        <v>32</v>
      </c>
      <c r="AC243" s="91" t="s">
        <v>32</v>
      </c>
      <c r="AD243" s="96" t="s">
        <v>30</v>
      </c>
      <c r="AE243" s="96" t="s">
        <v>30</v>
      </c>
      <c r="AF243" s="96" t="s">
        <v>30</v>
      </c>
      <c r="AG243" s="96" t="s">
        <v>30</v>
      </c>
      <c r="AH243" s="96" t="s">
        <v>30</v>
      </c>
      <c r="AI243" s="96" t="s">
        <v>30</v>
      </c>
      <c r="AJ243" s="96" t="s">
        <v>30</v>
      </c>
      <c r="AK243" s="96" t="s">
        <v>30</v>
      </c>
      <c r="AL243" s="96" t="s">
        <v>30</v>
      </c>
      <c r="AM243" s="91"/>
      <c r="AN243" s="840"/>
      <c r="AO243" s="832"/>
      <c r="AP243" s="875"/>
      <c r="AQ243" s="875"/>
      <c r="AR243" s="875"/>
      <c r="AS243" s="776"/>
      <c r="AT243" s="776"/>
      <c r="BB243">
        <f t="shared" si="3"/>
        <v>1</v>
      </c>
    </row>
    <row r="244" spans="1:54">
      <c r="A244" s="834" t="s">
        <v>24</v>
      </c>
      <c r="B244" s="834">
        <v>241</v>
      </c>
      <c r="C244" s="834" t="s">
        <v>3423</v>
      </c>
      <c r="D244" s="834" t="s">
        <v>43</v>
      </c>
      <c r="E244" s="852">
        <v>46080</v>
      </c>
      <c r="F244" s="834" t="s">
        <v>3424</v>
      </c>
      <c r="G244" s="834">
        <v>16</v>
      </c>
      <c r="H244" s="834" t="s">
        <v>1077</v>
      </c>
      <c r="I244" s="834" t="s">
        <v>1138</v>
      </c>
      <c r="J244" s="834"/>
      <c r="K244" s="136" t="s">
        <v>3063</v>
      </c>
      <c r="L244" s="834" t="s">
        <v>2203</v>
      </c>
      <c r="M244" s="834" t="s">
        <v>3425</v>
      </c>
      <c r="N244" s="834" t="s">
        <v>3425</v>
      </c>
      <c r="O244" s="834" t="s">
        <v>2050</v>
      </c>
      <c r="P244" s="126" t="s">
        <v>2863</v>
      </c>
      <c r="Q244" s="834" t="s">
        <v>30</v>
      </c>
      <c r="R244" s="848">
        <v>46097</v>
      </c>
      <c r="S244" s="852" t="s">
        <v>1138</v>
      </c>
      <c r="T244" s="834" t="s">
        <v>32</v>
      </c>
      <c r="U244" s="834">
        <v>16</v>
      </c>
      <c r="V244" s="852" t="s">
        <v>1138</v>
      </c>
      <c r="W244" s="848">
        <v>46097</v>
      </c>
      <c r="X244" s="96" t="s">
        <v>30</v>
      </c>
      <c r="Y244" s="96" t="s">
        <v>30</v>
      </c>
      <c r="Z244" s="80" t="s">
        <v>30</v>
      </c>
      <c r="AA244" s="96" t="s">
        <v>30</v>
      </c>
      <c r="AB244" s="96" t="s">
        <v>30</v>
      </c>
      <c r="AC244" s="96" t="s">
        <v>30</v>
      </c>
      <c r="AD244" s="96" t="s">
        <v>30</v>
      </c>
      <c r="AE244" s="96" t="s">
        <v>30</v>
      </c>
      <c r="AF244" s="96" t="s">
        <v>30</v>
      </c>
      <c r="AG244" s="96" t="s">
        <v>30</v>
      </c>
      <c r="AH244" s="96" t="s">
        <v>30</v>
      </c>
      <c r="AI244" s="96" t="s">
        <v>30</v>
      </c>
      <c r="AJ244" s="96" t="s">
        <v>30</v>
      </c>
      <c r="AK244" s="96" t="s">
        <v>30</v>
      </c>
      <c r="AL244" s="96" t="s">
        <v>30</v>
      </c>
      <c r="AM244" s="96" t="s">
        <v>30</v>
      </c>
      <c r="AN244" s="840"/>
      <c r="AO244" s="832"/>
      <c r="AP244" s="875"/>
      <c r="AQ244" s="875"/>
      <c r="AR244" s="875"/>
      <c r="AS244" s="776"/>
      <c r="AT244" s="776"/>
      <c r="BB244">
        <f t="shared" si="3"/>
        <v>1</v>
      </c>
    </row>
    <row r="245" spans="1:54">
      <c r="A245" s="834" t="s">
        <v>24</v>
      </c>
      <c r="B245" s="834">
        <v>242</v>
      </c>
      <c r="C245" s="834" t="s">
        <v>3426</v>
      </c>
      <c r="D245" s="834" t="s">
        <v>102</v>
      </c>
      <c r="E245" s="852">
        <v>46081</v>
      </c>
      <c r="F245" s="834" t="s">
        <v>494</v>
      </c>
      <c r="G245" s="834">
        <v>10</v>
      </c>
      <c r="H245" s="834" t="s">
        <v>1077</v>
      </c>
      <c r="I245" s="834" t="s">
        <v>1138</v>
      </c>
      <c r="J245" s="834"/>
      <c r="K245" s="136" t="s">
        <v>3063</v>
      </c>
      <c r="L245" s="834" t="s">
        <v>2066</v>
      </c>
      <c r="M245" s="834" t="s">
        <v>3425</v>
      </c>
      <c r="N245" s="834" t="s">
        <v>3425</v>
      </c>
      <c r="O245" s="834" t="s">
        <v>2050</v>
      </c>
      <c r="P245" s="847" t="s">
        <v>32</v>
      </c>
      <c r="Q245" s="834" t="s">
        <v>30</v>
      </c>
      <c r="R245" s="852">
        <v>46100</v>
      </c>
      <c r="S245" s="852" t="s">
        <v>1138</v>
      </c>
      <c r="T245" s="834" t="s">
        <v>32</v>
      </c>
      <c r="U245" s="834">
        <v>10</v>
      </c>
      <c r="V245" s="852" t="s">
        <v>1138</v>
      </c>
      <c r="W245" s="848">
        <v>46100</v>
      </c>
      <c r="X245" s="96" t="s">
        <v>30</v>
      </c>
      <c r="Y245" s="96" t="s">
        <v>30</v>
      </c>
      <c r="Z245" s="96" t="s">
        <v>30</v>
      </c>
      <c r="AA245" s="96" t="s">
        <v>30</v>
      </c>
      <c r="AB245" s="96" t="s">
        <v>30</v>
      </c>
      <c r="AC245" s="96" t="s">
        <v>30</v>
      </c>
      <c r="AD245" s="96" t="s">
        <v>30</v>
      </c>
      <c r="AE245" s="96" t="s">
        <v>30</v>
      </c>
      <c r="AF245" s="96" t="s">
        <v>30</v>
      </c>
      <c r="AG245" s="96" t="s">
        <v>30</v>
      </c>
      <c r="AH245" s="96" t="s">
        <v>30</v>
      </c>
      <c r="AI245" s="96" t="s">
        <v>30</v>
      </c>
      <c r="AJ245" s="96" t="s">
        <v>30</v>
      </c>
      <c r="AK245" s="96" t="s">
        <v>30</v>
      </c>
      <c r="AL245" s="96" t="s">
        <v>30</v>
      </c>
      <c r="AM245" s="96" t="s">
        <v>30</v>
      </c>
      <c r="AN245" s="840"/>
      <c r="AO245" s="832"/>
      <c r="AP245" s="875"/>
      <c r="AQ245" s="875"/>
      <c r="AR245" s="875"/>
      <c r="AS245" s="776"/>
      <c r="AT245" s="776"/>
      <c r="BB245">
        <f t="shared" si="3"/>
        <v>1</v>
      </c>
    </row>
    <row r="246" spans="1:54">
      <c r="A246" s="834" t="s">
        <v>24</v>
      </c>
      <c r="B246" s="834">
        <v>243</v>
      </c>
      <c r="C246" s="834" t="s">
        <v>3427</v>
      </c>
      <c r="D246" s="834" t="s">
        <v>99</v>
      </c>
      <c r="E246" s="852">
        <v>46081</v>
      </c>
      <c r="F246" s="834" t="s">
        <v>646</v>
      </c>
      <c r="G246" s="834">
        <v>10</v>
      </c>
      <c r="H246" s="834" t="s">
        <v>1077</v>
      </c>
      <c r="I246" s="834" t="s">
        <v>1138</v>
      </c>
      <c r="J246" s="834"/>
      <c r="K246" s="136" t="s">
        <v>3058</v>
      </c>
      <c r="L246" s="834" t="s">
        <v>3365</v>
      </c>
      <c r="M246" s="834" t="s">
        <v>3428</v>
      </c>
      <c r="N246" s="834" t="s">
        <v>3428</v>
      </c>
      <c r="O246" s="834" t="s">
        <v>2050</v>
      </c>
      <c r="P246" s="847" t="s">
        <v>32</v>
      </c>
      <c r="Q246" s="834" t="s">
        <v>30</v>
      </c>
      <c r="R246" s="852">
        <v>46087</v>
      </c>
      <c r="S246" s="852" t="s">
        <v>1138</v>
      </c>
      <c r="T246" s="834" t="s">
        <v>32</v>
      </c>
      <c r="U246" s="834">
        <v>10</v>
      </c>
      <c r="V246" s="852" t="s">
        <v>1138</v>
      </c>
      <c r="W246" s="848">
        <v>46087</v>
      </c>
      <c r="X246" s="96" t="s">
        <v>30</v>
      </c>
      <c r="Y246" s="96" t="s">
        <v>30</v>
      </c>
      <c r="Z246" s="96" t="s">
        <v>30</v>
      </c>
      <c r="AA246" s="96" t="s">
        <v>30</v>
      </c>
      <c r="AB246" s="96" t="s">
        <v>30</v>
      </c>
      <c r="AC246" s="96" t="s">
        <v>30</v>
      </c>
      <c r="AD246" s="96" t="s">
        <v>30</v>
      </c>
      <c r="AE246" s="96" t="s">
        <v>30</v>
      </c>
      <c r="AF246" s="96" t="s">
        <v>30</v>
      </c>
      <c r="AG246" s="96" t="s">
        <v>30</v>
      </c>
      <c r="AH246" s="96" t="s">
        <v>30</v>
      </c>
      <c r="AI246" s="96" t="s">
        <v>30</v>
      </c>
      <c r="AJ246" s="96" t="s">
        <v>30</v>
      </c>
      <c r="AK246" s="96" t="s">
        <v>30</v>
      </c>
      <c r="AL246" s="96" t="s">
        <v>30</v>
      </c>
      <c r="AM246" s="96" t="s">
        <v>30</v>
      </c>
      <c r="AN246" s="840"/>
      <c r="AO246" s="832"/>
      <c r="AP246" s="875"/>
      <c r="AQ246" s="875"/>
      <c r="AR246" s="875"/>
      <c r="AS246" s="776"/>
      <c r="AT246" s="776"/>
      <c r="BB246">
        <f t="shared" si="3"/>
        <v>1</v>
      </c>
    </row>
    <row r="247" spans="1:54">
      <c r="A247" s="834" t="s">
        <v>24</v>
      </c>
      <c r="B247" s="834">
        <v>244</v>
      </c>
      <c r="C247" s="834" t="s">
        <v>3429</v>
      </c>
      <c r="D247" s="834" t="s">
        <v>34</v>
      </c>
      <c r="E247" s="852">
        <v>46081</v>
      </c>
      <c r="F247" s="834" t="s">
        <v>3430</v>
      </c>
      <c r="G247" s="834">
        <v>15</v>
      </c>
      <c r="H247" s="834" t="s">
        <v>1077</v>
      </c>
      <c r="I247" s="834" t="s">
        <v>1138</v>
      </c>
      <c r="J247" s="834"/>
      <c r="K247" s="136" t="s">
        <v>3058</v>
      </c>
      <c r="L247" s="834" t="s">
        <v>2052</v>
      </c>
      <c r="M247" s="834" t="s">
        <v>3425</v>
      </c>
      <c r="N247" s="834" t="s">
        <v>3425</v>
      </c>
      <c r="O247" s="834" t="s">
        <v>3431</v>
      </c>
      <c r="P247" s="126" t="s">
        <v>2863</v>
      </c>
      <c r="Q247" s="834" t="s">
        <v>30</v>
      </c>
      <c r="R247" s="848">
        <v>46090</v>
      </c>
      <c r="S247" s="852" t="s">
        <v>1138</v>
      </c>
      <c r="T247" s="834" t="s">
        <v>32</v>
      </c>
      <c r="U247" s="834">
        <v>13</v>
      </c>
      <c r="V247" s="852" t="s">
        <v>1138</v>
      </c>
      <c r="W247" s="848">
        <v>46090</v>
      </c>
      <c r="X247" s="96" t="s">
        <v>30</v>
      </c>
      <c r="Y247" s="96" t="s">
        <v>30</v>
      </c>
      <c r="Z247" s="96" t="s">
        <v>30</v>
      </c>
      <c r="AA247" s="96" t="s">
        <v>30</v>
      </c>
      <c r="AB247" s="96" t="s">
        <v>30</v>
      </c>
      <c r="AC247" s="96" t="s">
        <v>30</v>
      </c>
      <c r="AD247" s="96" t="s">
        <v>30</v>
      </c>
      <c r="AE247" s="96" t="s">
        <v>30</v>
      </c>
      <c r="AF247" s="96" t="s">
        <v>30</v>
      </c>
      <c r="AG247" s="96" t="s">
        <v>30</v>
      </c>
      <c r="AH247" s="96" t="s">
        <v>30</v>
      </c>
      <c r="AI247" s="96" t="s">
        <v>30</v>
      </c>
      <c r="AJ247" s="96" t="s">
        <v>30</v>
      </c>
      <c r="AK247" s="96" t="s">
        <v>30</v>
      </c>
      <c r="AL247" s="96" t="s">
        <v>30</v>
      </c>
      <c r="AM247" s="96" t="s">
        <v>30</v>
      </c>
      <c r="AN247" s="840"/>
      <c r="AO247" s="832"/>
      <c r="AP247" s="875"/>
      <c r="AQ247" s="875"/>
      <c r="AR247" s="875"/>
      <c r="AS247" s="776"/>
      <c r="AT247" s="776"/>
      <c r="AZ247" s="92"/>
      <c r="BB247">
        <f t="shared" si="3"/>
        <v>1</v>
      </c>
    </row>
    <row r="248" spans="1:54">
      <c r="A248" s="834" t="s">
        <v>24</v>
      </c>
      <c r="B248" s="834">
        <v>245</v>
      </c>
      <c r="C248" s="834" t="s">
        <v>3432</v>
      </c>
      <c r="D248" s="834" t="s">
        <v>34</v>
      </c>
      <c r="E248" s="852">
        <v>46081</v>
      </c>
      <c r="F248" s="834" t="s">
        <v>3433</v>
      </c>
      <c r="G248" s="834">
        <v>13</v>
      </c>
      <c r="H248" s="834" t="s">
        <v>1077</v>
      </c>
      <c r="I248" s="834" t="s">
        <v>1138</v>
      </c>
      <c r="J248" s="834"/>
      <c r="K248" s="136" t="s">
        <v>3058</v>
      </c>
      <c r="L248" s="834" t="s">
        <v>3178</v>
      </c>
      <c r="M248" s="834" t="s">
        <v>3434</v>
      </c>
      <c r="N248" s="834" t="s">
        <v>3434</v>
      </c>
      <c r="O248" s="834" t="s">
        <v>2083</v>
      </c>
      <c r="P248" s="847" t="s">
        <v>32</v>
      </c>
      <c r="Q248" s="834" t="s">
        <v>30</v>
      </c>
      <c r="R248" s="848">
        <v>46106</v>
      </c>
      <c r="S248" s="852" t="s">
        <v>1138</v>
      </c>
      <c r="T248" s="834" t="s">
        <v>32</v>
      </c>
      <c r="U248" s="834">
        <v>12</v>
      </c>
      <c r="V248" s="852" t="s">
        <v>1138</v>
      </c>
      <c r="W248" s="848">
        <v>46106</v>
      </c>
      <c r="X248" s="96" t="s">
        <v>30</v>
      </c>
      <c r="Y248" s="96" t="s">
        <v>30</v>
      </c>
      <c r="Z248" s="91" t="s">
        <v>32</v>
      </c>
      <c r="AA248" s="91" t="s">
        <v>32</v>
      </c>
      <c r="AB248" s="91" t="s">
        <v>32</v>
      </c>
      <c r="AC248" s="91" t="s">
        <v>32</v>
      </c>
      <c r="AD248" s="96" t="s">
        <v>30</v>
      </c>
      <c r="AE248" s="96" t="s">
        <v>30</v>
      </c>
      <c r="AF248" s="96" t="s">
        <v>30</v>
      </c>
      <c r="AG248" s="96" t="s">
        <v>30</v>
      </c>
      <c r="AH248" s="96" t="s">
        <v>30</v>
      </c>
      <c r="AI248" s="110"/>
      <c r="AJ248" s="96"/>
      <c r="AK248" s="96"/>
      <c r="AL248" s="96"/>
      <c r="AM248" s="91"/>
      <c r="AN248" s="840"/>
      <c r="AO248" s="832"/>
      <c r="AP248" s="875"/>
      <c r="AQ248" s="875"/>
      <c r="AR248" s="875"/>
      <c r="AS248" s="776"/>
      <c r="AT248" s="776"/>
      <c r="AZ248" s="92"/>
      <c r="BB248">
        <f t="shared" si="3"/>
        <v>1</v>
      </c>
    </row>
    <row r="249" spans="1:54">
      <c r="A249" s="834" t="s">
        <v>24</v>
      </c>
      <c r="B249" s="834">
        <v>246</v>
      </c>
      <c r="C249" s="834" t="s">
        <v>3435</v>
      </c>
      <c r="D249" s="834" t="s">
        <v>34</v>
      </c>
      <c r="E249" s="852">
        <v>46081</v>
      </c>
      <c r="F249" s="834" t="s">
        <v>97</v>
      </c>
      <c r="G249" s="834">
        <v>20</v>
      </c>
      <c r="H249" s="834" t="s">
        <v>127</v>
      </c>
      <c r="I249" s="847" t="s">
        <v>28</v>
      </c>
      <c r="J249" s="89"/>
      <c r="K249" s="136" t="s">
        <v>3063</v>
      </c>
      <c r="L249" s="834" t="s">
        <v>2312</v>
      </c>
      <c r="M249" s="834" t="s">
        <v>3428</v>
      </c>
      <c r="N249" s="834" t="s">
        <v>3428</v>
      </c>
      <c r="O249" s="834" t="s">
        <v>3436</v>
      </c>
      <c r="P249" s="126" t="s">
        <v>2863</v>
      </c>
      <c r="Q249" s="834" t="s">
        <v>30</v>
      </c>
      <c r="R249" s="848">
        <v>46111</v>
      </c>
      <c r="S249" s="852" t="s">
        <v>3408</v>
      </c>
      <c r="T249" s="834" t="s">
        <v>32</v>
      </c>
      <c r="U249" s="830">
        <v>20</v>
      </c>
      <c r="V249" s="852" t="s">
        <v>3408</v>
      </c>
      <c r="W249" s="848">
        <v>46111</v>
      </c>
      <c r="X249" s="96" t="s">
        <v>30</v>
      </c>
      <c r="Y249" s="96" t="s">
        <v>30</v>
      </c>
      <c r="Z249" s="91" t="s">
        <v>32</v>
      </c>
      <c r="AA249" s="118" t="s">
        <v>30</v>
      </c>
      <c r="AB249" s="118" t="s">
        <v>30</v>
      </c>
      <c r="AC249" s="118" t="s">
        <v>30</v>
      </c>
      <c r="AD249" s="96" t="s">
        <v>30</v>
      </c>
      <c r="AE249" s="96" t="s">
        <v>30</v>
      </c>
      <c r="AF249" s="96" t="s">
        <v>30</v>
      </c>
      <c r="AG249" s="96" t="s">
        <v>30</v>
      </c>
      <c r="AH249" s="96" t="s">
        <v>30</v>
      </c>
      <c r="AI249" s="110"/>
      <c r="AJ249" s="107"/>
      <c r="AK249" s="107"/>
      <c r="AL249" s="96"/>
      <c r="AM249" s="91"/>
      <c r="AN249" s="840"/>
      <c r="AO249" s="832"/>
      <c r="AP249" s="875"/>
      <c r="AQ249" s="875"/>
      <c r="AR249" s="875"/>
      <c r="AS249" s="776"/>
      <c r="AT249" s="776"/>
      <c r="AZ249" s="92"/>
      <c r="BB249">
        <f t="shared" si="3"/>
        <v>1</v>
      </c>
    </row>
    <row r="250" spans="1:54">
      <c r="A250" s="834" t="s">
        <v>24</v>
      </c>
      <c r="B250" s="834">
        <v>247</v>
      </c>
      <c r="C250" s="834" t="s">
        <v>3437</v>
      </c>
      <c r="D250" s="834" t="s">
        <v>34</v>
      </c>
      <c r="E250" s="852">
        <v>46081</v>
      </c>
      <c r="F250" s="834" t="s">
        <v>3438</v>
      </c>
      <c r="G250" s="834">
        <v>1</v>
      </c>
      <c r="H250" s="847" t="s">
        <v>1076</v>
      </c>
      <c r="I250" s="834" t="s">
        <v>3337</v>
      </c>
      <c r="J250" s="89"/>
      <c r="K250" s="136" t="s">
        <v>3063</v>
      </c>
      <c r="L250" s="834" t="s">
        <v>3438</v>
      </c>
      <c r="M250" s="834" t="s">
        <v>3438</v>
      </c>
      <c r="N250" s="834" t="s">
        <v>3438</v>
      </c>
      <c r="O250" s="834" t="s">
        <v>401</v>
      </c>
      <c r="P250" s="847" t="s">
        <v>32</v>
      </c>
      <c r="Q250" s="848" t="s">
        <v>30</v>
      </c>
      <c r="R250" s="848">
        <v>46112</v>
      </c>
      <c r="S250" s="852" t="s">
        <v>3337</v>
      </c>
      <c r="T250" s="852" t="s">
        <v>32</v>
      </c>
      <c r="U250" s="834">
        <v>1</v>
      </c>
      <c r="V250" s="852"/>
      <c r="W250" s="848">
        <v>46112</v>
      </c>
      <c r="X250" s="96" t="s">
        <v>30</v>
      </c>
      <c r="Y250" s="96" t="s">
        <v>30</v>
      </c>
      <c r="Z250" s="91" t="s">
        <v>32</v>
      </c>
      <c r="AA250" s="96"/>
      <c r="AB250" s="96"/>
      <c r="AC250" s="96"/>
      <c r="AD250" s="96" t="s">
        <v>30</v>
      </c>
      <c r="AE250" s="96" t="s">
        <v>30</v>
      </c>
      <c r="AF250" s="96" t="s">
        <v>30</v>
      </c>
      <c r="AG250" s="96" t="s">
        <v>30</v>
      </c>
      <c r="AH250" s="96" t="s">
        <v>30</v>
      </c>
      <c r="AI250" s="110"/>
      <c r="AJ250" s="110"/>
      <c r="AK250" s="110"/>
      <c r="AL250" s="96"/>
      <c r="AM250" s="91"/>
      <c r="AN250" s="840"/>
      <c r="AO250" s="832"/>
      <c r="AP250" s="875"/>
      <c r="AQ250" s="875"/>
      <c r="AR250" s="875"/>
      <c r="AS250" s="776"/>
      <c r="AT250" s="776"/>
      <c r="AZ250" s="92"/>
      <c r="BB250">
        <f t="shared" si="3"/>
        <v>1</v>
      </c>
    </row>
    <row r="251" spans="1:54">
      <c r="A251" s="834" t="s">
        <v>24</v>
      </c>
      <c r="B251" s="834">
        <v>248</v>
      </c>
      <c r="C251" s="834" t="s">
        <v>3439</v>
      </c>
      <c r="D251" s="834" t="s">
        <v>83</v>
      </c>
      <c r="E251" s="852">
        <v>46081</v>
      </c>
      <c r="F251" s="834" t="s">
        <v>202</v>
      </c>
      <c r="G251" s="834">
        <v>11</v>
      </c>
      <c r="H251" s="834" t="s">
        <v>127</v>
      </c>
      <c r="I251" s="847" t="s">
        <v>28</v>
      </c>
      <c r="J251" s="834"/>
      <c r="K251" s="136" t="s">
        <v>3058</v>
      </c>
      <c r="L251" s="834" t="s">
        <v>2085</v>
      </c>
      <c r="M251" s="834" t="s">
        <v>3425</v>
      </c>
      <c r="N251" s="834" t="s">
        <v>3425</v>
      </c>
      <c r="O251" s="834" t="s">
        <v>3440</v>
      </c>
      <c r="P251" s="847" t="s">
        <v>32</v>
      </c>
      <c r="Q251" s="834" t="s">
        <v>30</v>
      </c>
      <c r="R251" s="852">
        <v>46090</v>
      </c>
      <c r="S251" s="852" t="s">
        <v>28</v>
      </c>
      <c r="T251" s="834" t="s">
        <v>32</v>
      </c>
      <c r="U251" s="834">
        <v>11</v>
      </c>
      <c r="V251" s="852" t="s">
        <v>28</v>
      </c>
      <c r="W251" s="848">
        <v>46092</v>
      </c>
      <c r="X251" s="96" t="s">
        <v>30</v>
      </c>
      <c r="Y251" s="96" t="s">
        <v>30</v>
      </c>
      <c r="Z251" s="91" t="s">
        <v>32</v>
      </c>
      <c r="AA251" s="118" t="s">
        <v>30</v>
      </c>
      <c r="AB251" s="118" t="s">
        <v>30</v>
      </c>
      <c r="AC251" s="118" t="s">
        <v>30</v>
      </c>
      <c r="AD251" s="96" t="s">
        <v>30</v>
      </c>
      <c r="AE251" s="96" t="s">
        <v>30</v>
      </c>
      <c r="AF251" s="96" t="s">
        <v>30</v>
      </c>
      <c r="AG251" s="96" t="s">
        <v>30</v>
      </c>
      <c r="AH251" s="96" t="s">
        <v>30</v>
      </c>
      <c r="AI251" s="110"/>
      <c r="AJ251" s="96" t="s">
        <v>30</v>
      </c>
      <c r="AK251" s="96" t="s">
        <v>30</v>
      </c>
      <c r="AL251" s="96" t="s">
        <v>30</v>
      </c>
      <c r="AM251" s="91"/>
      <c r="AN251" s="840"/>
      <c r="AO251" s="832"/>
      <c r="AP251" s="875"/>
      <c r="AQ251" s="875"/>
      <c r="AR251" s="875"/>
      <c r="AS251" s="776"/>
      <c r="AT251" s="776"/>
      <c r="AZ251" s="92"/>
      <c r="BB251">
        <f t="shared" si="3"/>
        <v>1</v>
      </c>
    </row>
    <row r="252" spans="1:54">
      <c r="A252" s="834" t="s">
        <v>24</v>
      </c>
      <c r="B252" s="834">
        <v>249</v>
      </c>
      <c r="C252" s="834" t="s">
        <v>3441</v>
      </c>
      <c r="D252" s="834" t="s">
        <v>34</v>
      </c>
      <c r="E252" s="852">
        <v>46081</v>
      </c>
      <c r="F252" s="834" t="s">
        <v>885</v>
      </c>
      <c r="G252" s="834">
        <v>10</v>
      </c>
      <c r="H252" s="834" t="s">
        <v>1076</v>
      </c>
      <c r="I252" s="834" t="s">
        <v>3337</v>
      </c>
      <c r="J252" s="89"/>
      <c r="K252" s="136" t="s">
        <v>3058</v>
      </c>
      <c r="L252" s="834" t="s">
        <v>2316</v>
      </c>
      <c r="M252" s="834" t="s">
        <v>3428</v>
      </c>
      <c r="N252" s="834" t="s">
        <v>3428</v>
      </c>
      <c r="O252" s="834" t="s">
        <v>2050</v>
      </c>
      <c r="P252" s="847" t="s">
        <v>32</v>
      </c>
      <c r="Q252" s="834" t="s">
        <v>1057</v>
      </c>
      <c r="R252" s="848">
        <v>46111</v>
      </c>
      <c r="S252" s="852" t="s">
        <v>3408</v>
      </c>
      <c r="T252" s="834" t="s">
        <v>32</v>
      </c>
      <c r="U252" s="834">
        <v>10</v>
      </c>
      <c r="V252" s="852" t="s">
        <v>3408</v>
      </c>
      <c r="W252" s="848">
        <v>46111</v>
      </c>
      <c r="X252" s="96" t="s">
        <v>30</v>
      </c>
      <c r="Y252" s="96" t="s">
        <v>30</v>
      </c>
      <c r="Z252" s="91" t="s">
        <v>32</v>
      </c>
      <c r="AA252" s="96"/>
      <c r="AB252" s="96"/>
      <c r="AC252" s="96"/>
      <c r="AD252" s="96" t="s">
        <v>30</v>
      </c>
      <c r="AE252" s="96" t="s">
        <v>30</v>
      </c>
      <c r="AF252" s="96" t="s">
        <v>30</v>
      </c>
      <c r="AG252" s="96" t="s">
        <v>30</v>
      </c>
      <c r="AH252" s="96" t="s">
        <v>30</v>
      </c>
      <c r="AI252" s="110"/>
      <c r="AJ252" s="96"/>
      <c r="AK252" s="96"/>
      <c r="AL252" s="96"/>
      <c r="AM252" s="91"/>
      <c r="AN252" s="840"/>
      <c r="AO252" s="832"/>
      <c r="AP252" s="875"/>
      <c r="AQ252" s="875"/>
      <c r="AR252" s="875"/>
      <c r="AS252" s="776"/>
      <c r="AT252" s="776"/>
      <c r="BB252">
        <f t="shared" si="3"/>
        <v>1</v>
      </c>
    </row>
    <row r="253" spans="1:54">
      <c r="A253" s="834" t="s">
        <v>24</v>
      </c>
      <c r="B253" s="834">
        <v>250</v>
      </c>
      <c r="C253" s="834" t="s">
        <v>3442</v>
      </c>
      <c r="D253" s="834" t="s">
        <v>34</v>
      </c>
      <c r="E253" s="852">
        <v>46081</v>
      </c>
      <c r="F253" s="834" t="s">
        <v>2129</v>
      </c>
      <c r="G253" s="834">
        <v>9</v>
      </c>
      <c r="H253" s="834" t="s">
        <v>1721</v>
      </c>
      <c r="I253" s="834" t="s">
        <v>1638</v>
      </c>
      <c r="J253" s="98"/>
      <c r="K253" s="136" t="s">
        <v>3058</v>
      </c>
      <c r="L253" s="834" t="s">
        <v>2102</v>
      </c>
      <c r="M253" s="834" t="s">
        <v>3428</v>
      </c>
      <c r="N253" s="834" t="s">
        <v>3428</v>
      </c>
      <c r="O253" s="834" t="s">
        <v>3443</v>
      </c>
      <c r="P253" s="847" t="s">
        <v>32</v>
      </c>
      <c r="Q253" s="834" t="s">
        <v>30</v>
      </c>
      <c r="R253" s="852">
        <v>46087</v>
      </c>
      <c r="S253" s="852" t="s">
        <v>1638</v>
      </c>
      <c r="T253" s="834" t="s">
        <v>32</v>
      </c>
      <c r="U253" s="834">
        <v>9</v>
      </c>
      <c r="V253" s="852" t="s">
        <v>1638</v>
      </c>
      <c r="W253" s="848">
        <v>46087</v>
      </c>
      <c r="X253" s="96" t="s">
        <v>30</v>
      </c>
      <c r="Y253" s="96" t="s">
        <v>30</v>
      </c>
      <c r="Z253" s="91" t="s">
        <v>32</v>
      </c>
      <c r="AA253" s="96"/>
      <c r="AB253" s="96"/>
      <c r="AC253" s="96"/>
      <c r="AD253" s="96" t="s">
        <v>30</v>
      </c>
      <c r="AE253" s="96" t="s">
        <v>30</v>
      </c>
      <c r="AF253" s="96" t="s">
        <v>30</v>
      </c>
      <c r="AG253" s="96" t="s">
        <v>30</v>
      </c>
      <c r="AH253" s="96" t="s">
        <v>30</v>
      </c>
      <c r="AI253" s="110"/>
      <c r="AJ253" s="96"/>
      <c r="AK253" s="96"/>
      <c r="AL253" s="96" t="s">
        <v>30</v>
      </c>
      <c r="AM253" s="91"/>
      <c r="AN253" s="840"/>
      <c r="AO253" s="832"/>
      <c r="AP253" s="875"/>
      <c r="AQ253" s="875"/>
      <c r="AR253" s="875"/>
      <c r="AS253" s="776"/>
      <c r="AT253" s="776"/>
      <c r="BB253">
        <f t="shared" si="3"/>
        <v>1</v>
      </c>
    </row>
    <row r="254" spans="1:54">
      <c r="A254" s="834" t="s">
        <v>24</v>
      </c>
      <c r="B254" s="834">
        <v>251</v>
      </c>
      <c r="C254" s="834" t="s">
        <v>3444</v>
      </c>
      <c r="D254" s="834" t="s">
        <v>34</v>
      </c>
      <c r="E254" s="852">
        <v>46081</v>
      </c>
      <c r="F254" s="834" t="s">
        <v>401</v>
      </c>
      <c r="G254" s="834">
        <v>1</v>
      </c>
      <c r="H254" s="834" t="s">
        <v>1076</v>
      </c>
      <c r="I254" s="834" t="s">
        <v>3337</v>
      </c>
      <c r="J254" s="89" t="s">
        <v>3445</v>
      </c>
      <c r="K254" s="136" t="s">
        <v>3058</v>
      </c>
      <c r="L254" s="834" t="s">
        <v>401</v>
      </c>
      <c r="M254" s="834" t="s">
        <v>3438</v>
      </c>
      <c r="N254" s="834" t="s">
        <v>3438</v>
      </c>
      <c r="O254" s="834" t="s">
        <v>401</v>
      </c>
      <c r="P254" s="847" t="s">
        <v>32</v>
      </c>
      <c r="Q254" s="848"/>
      <c r="R254" s="834"/>
      <c r="S254" s="852" t="s">
        <v>3337</v>
      </c>
      <c r="T254" s="852" t="s">
        <v>32</v>
      </c>
      <c r="U254" s="834">
        <v>1</v>
      </c>
      <c r="V254" s="852"/>
      <c r="W254" s="848"/>
      <c r="X254" s="91" t="s">
        <v>32</v>
      </c>
      <c r="Y254" s="91" t="s">
        <v>32</v>
      </c>
      <c r="Z254" s="91" t="s">
        <v>32</v>
      </c>
      <c r="AA254" s="96"/>
      <c r="AB254" s="96"/>
      <c r="AC254" s="96"/>
      <c r="AD254" s="96" t="s">
        <v>30</v>
      </c>
      <c r="AE254" s="96" t="s">
        <v>30</v>
      </c>
      <c r="AF254" s="96" t="s">
        <v>30</v>
      </c>
      <c r="AG254" s="96" t="s">
        <v>30</v>
      </c>
      <c r="AH254" s="96" t="s">
        <v>30</v>
      </c>
      <c r="AI254" s="96"/>
      <c r="AJ254" s="96"/>
      <c r="AK254" s="96"/>
      <c r="AL254" s="91"/>
      <c r="AM254" s="91"/>
      <c r="AN254" s="840" t="s">
        <v>3108</v>
      </c>
      <c r="AO254" s="832"/>
      <c r="AP254" s="875"/>
      <c r="AQ254" s="875"/>
      <c r="AR254" s="875"/>
      <c r="AS254" s="776"/>
      <c r="AT254" s="776"/>
      <c r="BB254">
        <f t="shared" si="3"/>
        <v>1</v>
      </c>
    </row>
    <row r="255" spans="1:54">
      <c r="A255" s="834" t="s">
        <v>24</v>
      </c>
      <c r="B255" s="834">
        <v>252</v>
      </c>
      <c r="C255" s="834" t="s">
        <v>3446</v>
      </c>
      <c r="D255" s="834" t="s">
        <v>606</v>
      </c>
      <c r="E255" s="852">
        <v>46081</v>
      </c>
      <c r="F255" s="834" t="s">
        <v>272</v>
      </c>
      <c r="G255" s="834">
        <v>12</v>
      </c>
      <c r="H255" s="847" t="s">
        <v>1076</v>
      </c>
      <c r="I255" s="834" t="s">
        <v>3337</v>
      </c>
      <c r="J255" s="89"/>
      <c r="K255" s="136" t="s">
        <v>3058</v>
      </c>
      <c r="L255" s="834" t="s">
        <v>2123</v>
      </c>
      <c r="M255" s="834" t="s">
        <v>3425</v>
      </c>
      <c r="N255" s="834" t="s">
        <v>3425</v>
      </c>
      <c r="O255" s="834" t="s">
        <v>2050</v>
      </c>
      <c r="P255" s="847" t="s">
        <v>32</v>
      </c>
      <c r="Q255" s="848" t="s">
        <v>30</v>
      </c>
      <c r="R255" s="848">
        <v>46112</v>
      </c>
      <c r="S255" s="852" t="s">
        <v>3337</v>
      </c>
      <c r="T255" s="852" t="s">
        <v>32</v>
      </c>
      <c r="U255" s="834">
        <v>12</v>
      </c>
      <c r="V255" s="852"/>
      <c r="W255" s="848">
        <v>46112</v>
      </c>
      <c r="X255" s="96" t="s">
        <v>30</v>
      </c>
      <c r="Y255" s="96" t="s">
        <v>30</v>
      </c>
      <c r="Z255" s="91" t="s">
        <v>32</v>
      </c>
      <c r="AA255" s="96"/>
      <c r="AB255" s="91"/>
      <c r="AC255" s="96"/>
      <c r="AD255" s="96" t="s">
        <v>30</v>
      </c>
      <c r="AE255" s="96" t="s">
        <v>30</v>
      </c>
      <c r="AF255" s="96" t="s">
        <v>30</v>
      </c>
      <c r="AG255" s="96" t="s">
        <v>30</v>
      </c>
      <c r="AH255" s="96" t="s">
        <v>30</v>
      </c>
      <c r="AI255" s="110"/>
      <c r="AJ255" s="96" t="s">
        <v>30</v>
      </c>
      <c r="AK255" s="96" t="s">
        <v>30</v>
      </c>
      <c r="AL255" s="96" t="s">
        <v>30</v>
      </c>
      <c r="AM255" s="110"/>
      <c r="AN255" s="840"/>
      <c r="AO255" s="832"/>
      <c r="AP255" s="875"/>
      <c r="AQ255" s="875"/>
      <c r="AR255" s="875"/>
      <c r="AS255" s="776"/>
      <c r="AT255" s="776"/>
      <c r="AZ255" s="71"/>
      <c r="BB255">
        <f t="shared" si="3"/>
        <v>1</v>
      </c>
    </row>
    <row r="256" spans="1:54">
      <c r="A256" s="834" t="s">
        <v>2342</v>
      </c>
      <c r="B256" s="834">
        <v>253</v>
      </c>
      <c r="C256" s="834" t="s">
        <v>3447</v>
      </c>
      <c r="D256" s="834" t="s">
        <v>1184</v>
      </c>
      <c r="E256" s="852">
        <v>46055</v>
      </c>
      <c r="F256" s="834" t="s">
        <v>140</v>
      </c>
      <c r="G256" s="834">
        <v>4</v>
      </c>
      <c r="H256" s="834" t="s">
        <v>1076</v>
      </c>
      <c r="I256" s="834"/>
      <c r="J256" s="834"/>
      <c r="K256" s="136"/>
      <c r="L256" s="834"/>
      <c r="M256" s="834"/>
      <c r="N256" s="834"/>
      <c r="O256" s="834"/>
      <c r="P256" s="834" t="s">
        <v>113</v>
      </c>
      <c r="Q256" s="848" t="s">
        <v>30</v>
      </c>
      <c r="R256" s="848">
        <v>46090</v>
      </c>
      <c r="S256" s="852" t="s">
        <v>1638</v>
      </c>
      <c r="T256" s="834" t="s">
        <v>32</v>
      </c>
      <c r="U256" s="834">
        <v>4</v>
      </c>
      <c r="V256" s="852" t="s">
        <v>1638</v>
      </c>
      <c r="W256" s="848">
        <v>46090</v>
      </c>
      <c r="X256" s="80" t="s">
        <v>113</v>
      </c>
      <c r="Y256" s="80" t="s">
        <v>113</v>
      </c>
      <c r="Z256" s="80" t="s">
        <v>113</v>
      </c>
      <c r="AA256" s="96"/>
      <c r="AB256" s="96"/>
      <c r="AC256" s="96"/>
      <c r="AD256" s="96"/>
      <c r="AE256" s="96"/>
      <c r="AF256" s="96"/>
      <c r="AG256" s="96"/>
      <c r="AH256" s="96"/>
      <c r="AI256" s="110"/>
      <c r="AJ256" s="107"/>
      <c r="AK256" s="107"/>
      <c r="AL256" s="107"/>
      <c r="AM256" s="110"/>
      <c r="AN256" s="840"/>
      <c r="AO256" s="832"/>
      <c r="AP256" s="875"/>
      <c r="AQ256" s="875"/>
      <c r="AR256" s="875"/>
      <c r="AS256" s="776"/>
      <c r="AT256" s="776"/>
      <c r="BB256">
        <f t="shared" si="3"/>
        <v>1</v>
      </c>
    </row>
    <row r="257" spans="1:54">
      <c r="A257" s="834" t="s">
        <v>2342</v>
      </c>
      <c r="B257" s="834">
        <v>254</v>
      </c>
      <c r="C257" s="834" t="s">
        <v>3448</v>
      </c>
      <c r="D257" s="834" t="s">
        <v>829</v>
      </c>
      <c r="E257" s="852">
        <v>46055.041666666664</v>
      </c>
      <c r="F257" s="834" t="s">
        <v>140</v>
      </c>
      <c r="G257" s="834">
        <v>16</v>
      </c>
      <c r="H257" s="847" t="s">
        <v>1076</v>
      </c>
      <c r="I257" s="834"/>
      <c r="J257" s="98"/>
      <c r="K257" s="136"/>
      <c r="L257" s="834"/>
      <c r="M257" s="834"/>
      <c r="N257" s="834"/>
      <c r="O257" s="834"/>
      <c r="P257" s="834" t="s">
        <v>113</v>
      </c>
      <c r="Q257" s="848" t="s">
        <v>30</v>
      </c>
      <c r="R257" s="848">
        <v>46093</v>
      </c>
      <c r="S257" s="852" t="s">
        <v>1638</v>
      </c>
      <c r="T257" s="834" t="s">
        <v>32</v>
      </c>
      <c r="U257" s="834">
        <v>16</v>
      </c>
      <c r="V257" s="852" t="s">
        <v>1638</v>
      </c>
      <c r="W257" s="848">
        <v>46093</v>
      </c>
      <c r="X257" s="80" t="s">
        <v>113</v>
      </c>
      <c r="Y257" s="80" t="s">
        <v>113</v>
      </c>
      <c r="Z257" s="80" t="s">
        <v>113</v>
      </c>
      <c r="AA257" s="96"/>
      <c r="AB257" s="96"/>
      <c r="AC257" s="96"/>
      <c r="AD257" s="96"/>
      <c r="AE257" s="96"/>
      <c r="AF257" s="96"/>
      <c r="AG257" s="96"/>
      <c r="AH257" s="96"/>
      <c r="AI257" s="110"/>
      <c r="AJ257" s="107"/>
      <c r="AK257" s="107"/>
      <c r="AL257" s="96"/>
      <c r="AM257" s="110"/>
      <c r="AN257" s="840"/>
      <c r="AO257" s="832"/>
      <c r="AP257" s="875"/>
      <c r="AQ257" s="875"/>
      <c r="AR257" s="875"/>
      <c r="AS257" s="776"/>
      <c r="AT257" s="776"/>
      <c r="AZ257" s="135"/>
      <c r="BA257" s="135"/>
      <c r="BB257">
        <f t="shared" si="3"/>
        <v>1</v>
      </c>
    </row>
    <row r="258" spans="1:54">
      <c r="A258" s="834" t="s">
        <v>2342</v>
      </c>
      <c r="B258" s="834">
        <v>255</v>
      </c>
      <c r="C258" s="834" t="s">
        <v>3449</v>
      </c>
      <c r="D258" s="834" t="s">
        <v>779</v>
      </c>
      <c r="E258" s="852">
        <v>46055</v>
      </c>
      <c r="F258" s="834" t="s">
        <v>140</v>
      </c>
      <c r="G258" s="834">
        <v>6</v>
      </c>
      <c r="H258" s="847" t="s">
        <v>1076</v>
      </c>
      <c r="I258" s="834"/>
      <c r="J258" s="834"/>
      <c r="K258" s="136"/>
      <c r="L258" s="834"/>
      <c r="M258" s="834"/>
      <c r="N258" s="834"/>
      <c r="O258" s="834"/>
      <c r="P258" s="834" t="s">
        <v>113</v>
      </c>
      <c r="Q258" s="848" t="s">
        <v>30</v>
      </c>
      <c r="R258" s="848">
        <v>46090</v>
      </c>
      <c r="S258" s="852" t="s">
        <v>1638</v>
      </c>
      <c r="T258" s="834" t="s">
        <v>32</v>
      </c>
      <c r="U258" s="834">
        <v>6</v>
      </c>
      <c r="V258" s="852" t="s">
        <v>1638</v>
      </c>
      <c r="W258" s="848">
        <v>46090</v>
      </c>
      <c r="X258" s="80" t="s">
        <v>113</v>
      </c>
      <c r="Y258" s="80" t="s">
        <v>113</v>
      </c>
      <c r="Z258" s="80" t="s">
        <v>113</v>
      </c>
      <c r="AA258" s="96"/>
      <c r="AB258" s="96"/>
      <c r="AC258" s="96"/>
      <c r="AD258" s="96"/>
      <c r="AE258" s="96"/>
      <c r="AF258" s="96"/>
      <c r="AG258" s="96"/>
      <c r="AH258" s="96"/>
      <c r="AI258" s="110"/>
      <c r="AJ258" s="107"/>
      <c r="AK258" s="107"/>
      <c r="AL258" s="107"/>
      <c r="AM258" s="110"/>
      <c r="AN258" s="840"/>
      <c r="AO258" s="832"/>
      <c r="AP258" s="875"/>
      <c r="AQ258" s="875"/>
      <c r="AR258" s="875"/>
      <c r="AS258" s="776"/>
      <c r="AT258" s="776"/>
      <c r="BA258" s="105"/>
      <c r="BB258">
        <f t="shared" si="3"/>
        <v>1</v>
      </c>
    </row>
    <row r="259" spans="1:54">
      <c r="A259" s="834" t="s">
        <v>2342</v>
      </c>
      <c r="B259" s="834">
        <v>256</v>
      </c>
      <c r="C259" s="834" t="s">
        <v>3450</v>
      </c>
      <c r="D259" s="834" t="s">
        <v>1184</v>
      </c>
      <c r="E259" s="852">
        <v>46062</v>
      </c>
      <c r="F259" s="834" t="s">
        <v>140</v>
      </c>
      <c r="G259" s="834">
        <v>5</v>
      </c>
      <c r="H259" s="847" t="s">
        <v>1076</v>
      </c>
      <c r="I259" s="834"/>
      <c r="J259" s="834"/>
      <c r="K259" s="136"/>
      <c r="L259" s="834"/>
      <c r="M259" s="834"/>
      <c r="N259" s="834"/>
      <c r="O259" s="834"/>
      <c r="P259" s="834" t="s">
        <v>113</v>
      </c>
      <c r="Q259" s="848" t="s">
        <v>30</v>
      </c>
      <c r="R259" s="848">
        <v>46087</v>
      </c>
      <c r="S259" s="852" t="s">
        <v>1638</v>
      </c>
      <c r="T259" s="834" t="s">
        <v>32</v>
      </c>
      <c r="U259" s="834">
        <v>5</v>
      </c>
      <c r="V259" s="852" t="s">
        <v>1638</v>
      </c>
      <c r="W259" s="848">
        <v>46087</v>
      </c>
      <c r="X259" s="80" t="s">
        <v>113</v>
      </c>
      <c r="Y259" s="80" t="s">
        <v>113</v>
      </c>
      <c r="Z259" s="80" t="s">
        <v>113</v>
      </c>
      <c r="AA259" s="96"/>
      <c r="AB259" s="96"/>
      <c r="AC259" s="96"/>
      <c r="AD259" s="96"/>
      <c r="AE259" s="96"/>
      <c r="AF259" s="96"/>
      <c r="AG259" s="96"/>
      <c r="AH259" s="96"/>
      <c r="AI259" s="110"/>
      <c r="AJ259" s="107"/>
      <c r="AK259" s="107"/>
      <c r="AL259" s="107"/>
      <c r="AM259" s="110"/>
      <c r="AN259" s="840"/>
      <c r="AO259" s="832"/>
      <c r="AP259" s="875"/>
      <c r="AQ259" s="875"/>
      <c r="AR259" s="875"/>
      <c r="AS259" s="776"/>
      <c r="AT259" s="776"/>
      <c r="BA259" s="105"/>
      <c r="BB259">
        <f t="shared" si="3"/>
        <v>1</v>
      </c>
    </row>
    <row r="260" spans="1:54">
      <c r="A260" s="834" t="s">
        <v>2342</v>
      </c>
      <c r="B260" s="834">
        <v>257</v>
      </c>
      <c r="C260" s="834" t="s">
        <v>3451</v>
      </c>
      <c r="D260" s="834" t="s">
        <v>779</v>
      </c>
      <c r="E260" s="852">
        <v>46062</v>
      </c>
      <c r="F260" s="834" t="s">
        <v>140</v>
      </c>
      <c r="G260" s="834">
        <v>3</v>
      </c>
      <c r="H260" s="834" t="s">
        <v>1076</v>
      </c>
      <c r="I260" s="834"/>
      <c r="J260" s="834"/>
      <c r="K260" s="136"/>
      <c r="L260" s="834"/>
      <c r="M260" s="834"/>
      <c r="N260" s="834"/>
      <c r="O260" s="834"/>
      <c r="P260" s="834" t="s">
        <v>113</v>
      </c>
      <c r="Q260" s="834" t="s">
        <v>30</v>
      </c>
      <c r="R260" s="848">
        <v>46093</v>
      </c>
      <c r="S260" s="852" t="s">
        <v>1638</v>
      </c>
      <c r="T260" s="834" t="s">
        <v>32</v>
      </c>
      <c r="U260" s="834">
        <v>3</v>
      </c>
      <c r="V260" s="852" t="s">
        <v>1638</v>
      </c>
      <c r="W260" s="848">
        <v>46093</v>
      </c>
      <c r="X260" s="80" t="s">
        <v>113</v>
      </c>
      <c r="Y260" s="80" t="s">
        <v>113</v>
      </c>
      <c r="Z260" s="80" t="s">
        <v>113</v>
      </c>
      <c r="AA260" s="96"/>
      <c r="AB260" s="96"/>
      <c r="AC260" s="96"/>
      <c r="AD260" s="96"/>
      <c r="AE260" s="96"/>
      <c r="AF260" s="96"/>
      <c r="AG260" s="96"/>
      <c r="AH260" s="96"/>
      <c r="AI260" s="110"/>
      <c r="AJ260" s="110"/>
      <c r="AK260" s="110"/>
      <c r="AL260" s="107"/>
      <c r="AM260" s="110"/>
      <c r="AN260" s="840"/>
      <c r="AO260" s="832"/>
      <c r="AP260" s="875"/>
      <c r="AQ260" s="875"/>
      <c r="AR260" s="875"/>
      <c r="AS260" s="776"/>
      <c r="AT260" s="776"/>
      <c r="AZ260" s="92"/>
      <c r="BA260" s="105"/>
      <c r="BB260">
        <f t="shared" ref="BB260:BB322" si="4">IF(E260&gt;1,1,"")</f>
        <v>1</v>
      </c>
    </row>
    <row r="261" spans="1:54">
      <c r="A261" s="834" t="s">
        <v>2342</v>
      </c>
      <c r="B261" s="834">
        <v>258</v>
      </c>
      <c r="C261" s="834" t="s">
        <v>3452</v>
      </c>
      <c r="D261" s="834" t="s">
        <v>1250</v>
      </c>
      <c r="E261" s="852">
        <v>46062</v>
      </c>
      <c r="F261" s="834" t="s">
        <v>140</v>
      </c>
      <c r="G261" s="834">
        <v>5</v>
      </c>
      <c r="H261" s="834" t="s">
        <v>1076</v>
      </c>
      <c r="I261" s="834"/>
      <c r="J261" s="834"/>
      <c r="K261" s="136"/>
      <c r="L261" s="834"/>
      <c r="M261" s="834"/>
      <c r="N261" s="834"/>
      <c r="O261" s="834"/>
      <c r="P261" s="834" t="s">
        <v>113</v>
      </c>
      <c r="Q261" s="834" t="s">
        <v>30</v>
      </c>
      <c r="R261" s="848">
        <v>46090</v>
      </c>
      <c r="S261" s="852" t="s">
        <v>1638</v>
      </c>
      <c r="T261" s="834" t="s">
        <v>32</v>
      </c>
      <c r="U261" s="834">
        <v>5</v>
      </c>
      <c r="V261" s="852" t="s">
        <v>1638</v>
      </c>
      <c r="W261" s="848">
        <v>46090</v>
      </c>
      <c r="X261" s="80" t="s">
        <v>113</v>
      </c>
      <c r="Y261" s="80" t="s">
        <v>113</v>
      </c>
      <c r="Z261" s="80" t="s">
        <v>113</v>
      </c>
      <c r="AA261" s="96"/>
      <c r="AB261" s="103"/>
      <c r="AC261" s="96"/>
      <c r="AD261" s="96"/>
      <c r="AE261" s="96"/>
      <c r="AF261" s="96"/>
      <c r="AG261" s="96"/>
      <c r="AH261" s="96"/>
      <c r="AI261" s="110"/>
      <c r="AJ261" s="107"/>
      <c r="AK261" s="107"/>
      <c r="AL261" s="107"/>
      <c r="AM261" s="110"/>
      <c r="AN261" s="840"/>
      <c r="AO261" s="832"/>
      <c r="AP261" s="875"/>
      <c r="AQ261" s="875"/>
      <c r="AR261" s="875"/>
      <c r="AS261" s="776"/>
      <c r="AT261" s="776"/>
      <c r="BA261" s="105"/>
      <c r="BB261">
        <f t="shared" si="4"/>
        <v>1</v>
      </c>
    </row>
    <row r="262" spans="1:54">
      <c r="A262" s="834" t="s">
        <v>2342</v>
      </c>
      <c r="B262" s="834">
        <v>259</v>
      </c>
      <c r="C262" s="834" t="s">
        <v>3453</v>
      </c>
      <c r="D262" s="834" t="s">
        <v>3454</v>
      </c>
      <c r="E262" s="852">
        <v>46062.083333333336</v>
      </c>
      <c r="F262" s="834" t="s">
        <v>140</v>
      </c>
      <c r="G262" s="834">
        <v>12</v>
      </c>
      <c r="H262" s="834" t="s">
        <v>1076</v>
      </c>
      <c r="I262" s="834"/>
      <c r="J262" s="834"/>
      <c r="K262" s="136"/>
      <c r="L262" s="834"/>
      <c r="M262" s="834"/>
      <c r="N262" s="834"/>
      <c r="O262" s="834"/>
      <c r="P262" s="834" t="s">
        <v>113</v>
      </c>
      <c r="Q262" s="848" t="s">
        <v>30</v>
      </c>
      <c r="R262" s="848">
        <v>46093</v>
      </c>
      <c r="S262" s="852" t="s">
        <v>1638</v>
      </c>
      <c r="T262" s="834" t="s">
        <v>32</v>
      </c>
      <c r="U262" s="834">
        <v>12</v>
      </c>
      <c r="V262" s="852" t="s">
        <v>1638</v>
      </c>
      <c r="W262" s="848">
        <v>46093</v>
      </c>
      <c r="X262" s="80" t="s">
        <v>113</v>
      </c>
      <c r="Y262" s="80" t="s">
        <v>113</v>
      </c>
      <c r="Z262" s="80" t="s">
        <v>113</v>
      </c>
      <c r="AA262" s="96"/>
      <c r="AB262" s="103"/>
      <c r="AC262" s="96"/>
      <c r="AD262" s="96"/>
      <c r="AE262" s="96"/>
      <c r="AF262" s="96"/>
      <c r="AG262" s="96"/>
      <c r="AH262" s="96"/>
      <c r="AI262" s="110"/>
      <c r="AJ262" s="110"/>
      <c r="AK262" s="110"/>
      <c r="AL262" s="107"/>
      <c r="AM262" s="110"/>
      <c r="AN262" s="840"/>
      <c r="AO262" s="832"/>
      <c r="AP262" s="875"/>
      <c r="AQ262" s="875"/>
      <c r="AR262" s="875"/>
      <c r="AS262" s="776"/>
      <c r="AT262" s="776"/>
      <c r="AZ262" s="105"/>
      <c r="BA262" s="105"/>
      <c r="BB262">
        <f t="shared" si="4"/>
        <v>1</v>
      </c>
    </row>
    <row r="263" spans="1:54">
      <c r="A263" s="834" t="s">
        <v>2342</v>
      </c>
      <c r="B263" s="834">
        <v>260</v>
      </c>
      <c r="C263" s="834" t="s">
        <v>3455</v>
      </c>
      <c r="D263" s="834" t="s">
        <v>937</v>
      </c>
      <c r="E263" s="852">
        <v>46062</v>
      </c>
      <c r="F263" s="834" t="s">
        <v>140</v>
      </c>
      <c r="G263" s="834">
        <v>2</v>
      </c>
      <c r="H263" s="834" t="s">
        <v>1076</v>
      </c>
      <c r="I263" s="834"/>
      <c r="J263" s="834"/>
      <c r="K263" s="136"/>
      <c r="L263" s="834"/>
      <c r="M263" s="834"/>
      <c r="N263" s="834"/>
      <c r="O263" s="834"/>
      <c r="P263" s="834" t="s">
        <v>113</v>
      </c>
      <c r="Q263" s="834" t="s">
        <v>30</v>
      </c>
      <c r="R263" s="848">
        <v>46090</v>
      </c>
      <c r="S263" s="852" t="s">
        <v>1638</v>
      </c>
      <c r="T263" s="834" t="s">
        <v>32</v>
      </c>
      <c r="U263" s="834">
        <v>2</v>
      </c>
      <c r="V263" s="852" t="s">
        <v>1638</v>
      </c>
      <c r="W263" s="848">
        <v>46090</v>
      </c>
      <c r="X263" s="80" t="s">
        <v>113</v>
      </c>
      <c r="Y263" s="80" t="s">
        <v>113</v>
      </c>
      <c r="Z263" s="80" t="s">
        <v>113</v>
      </c>
      <c r="AA263" s="96"/>
      <c r="AB263" s="96"/>
      <c r="AC263" s="96"/>
      <c r="AD263" s="96"/>
      <c r="AE263" s="96"/>
      <c r="AF263" s="96"/>
      <c r="AG263" s="96"/>
      <c r="AH263" s="96"/>
      <c r="AI263" s="110"/>
      <c r="AJ263" s="107"/>
      <c r="AK263" s="107"/>
      <c r="AL263" s="107"/>
      <c r="AM263" s="110"/>
      <c r="AN263" s="840"/>
      <c r="AO263" s="832"/>
      <c r="AP263" s="875"/>
      <c r="AQ263" s="875"/>
      <c r="AR263" s="875"/>
      <c r="AS263" s="776"/>
      <c r="AT263" s="776"/>
      <c r="BA263" s="105"/>
      <c r="BB263">
        <f t="shared" si="4"/>
        <v>1</v>
      </c>
    </row>
    <row r="264" spans="1:54">
      <c r="A264" s="834" t="s">
        <v>2342</v>
      </c>
      <c r="B264" s="834">
        <v>261</v>
      </c>
      <c r="C264" s="834" t="s">
        <v>3456</v>
      </c>
      <c r="D264" s="834" t="s">
        <v>779</v>
      </c>
      <c r="E264" s="852">
        <v>46069</v>
      </c>
      <c r="F264" s="834" t="s">
        <v>140</v>
      </c>
      <c r="G264" s="834">
        <v>25</v>
      </c>
      <c r="H264" s="834" t="s">
        <v>1076</v>
      </c>
      <c r="I264" s="834"/>
      <c r="J264" s="834"/>
      <c r="K264" s="136"/>
      <c r="L264" s="834"/>
      <c r="M264" s="834"/>
      <c r="N264" s="834"/>
      <c r="O264" s="834"/>
      <c r="P264" s="834" t="s">
        <v>113</v>
      </c>
      <c r="Q264" s="90" t="s">
        <v>30</v>
      </c>
      <c r="R264" s="848">
        <v>46111</v>
      </c>
      <c r="S264" s="852" t="s">
        <v>3408</v>
      </c>
      <c r="T264" s="852" t="s">
        <v>32</v>
      </c>
      <c r="U264" s="834">
        <v>25</v>
      </c>
      <c r="V264" s="852"/>
      <c r="W264" s="848">
        <v>46111</v>
      </c>
      <c r="X264" s="80" t="s">
        <v>113</v>
      </c>
      <c r="Y264" s="80" t="s">
        <v>113</v>
      </c>
      <c r="Z264" s="80" t="s">
        <v>113</v>
      </c>
      <c r="AA264" s="91"/>
      <c r="AB264" s="91"/>
      <c r="AC264" s="91"/>
      <c r="AD264" s="96"/>
      <c r="AE264" s="96"/>
      <c r="AF264" s="96"/>
      <c r="AG264" s="96"/>
      <c r="AH264" s="96"/>
      <c r="AI264" s="110"/>
      <c r="AJ264" s="107"/>
      <c r="AK264" s="107"/>
      <c r="AL264" s="107"/>
      <c r="AM264" s="110"/>
      <c r="AN264" s="840"/>
      <c r="AO264" s="832"/>
      <c r="AP264" s="875"/>
      <c r="AQ264" s="875"/>
      <c r="AR264" s="875"/>
      <c r="AS264" s="776"/>
      <c r="AT264" s="776"/>
      <c r="AZ264" s="135"/>
      <c r="BA264" s="135"/>
      <c r="BB264">
        <f t="shared" si="4"/>
        <v>1</v>
      </c>
    </row>
    <row r="265" spans="1:54">
      <c r="A265" s="834" t="s">
        <v>2342</v>
      </c>
      <c r="B265" s="834">
        <v>262</v>
      </c>
      <c r="C265" s="834" t="s">
        <v>3457</v>
      </c>
      <c r="D265" s="834" t="s">
        <v>1184</v>
      </c>
      <c r="E265" s="852">
        <v>46069</v>
      </c>
      <c r="F265" s="834" t="s">
        <v>140</v>
      </c>
      <c r="G265" s="834">
        <v>2</v>
      </c>
      <c r="H265" s="834" t="s">
        <v>1076</v>
      </c>
      <c r="I265" s="834"/>
      <c r="J265" s="834"/>
      <c r="K265" s="136"/>
      <c r="L265" s="834"/>
      <c r="M265" s="834"/>
      <c r="N265" s="834"/>
      <c r="O265" s="834"/>
      <c r="P265" s="834" t="s">
        <v>113</v>
      </c>
      <c r="Q265" s="848" t="s">
        <v>30</v>
      </c>
      <c r="R265" s="848">
        <v>46097</v>
      </c>
      <c r="S265" s="852" t="s">
        <v>1638</v>
      </c>
      <c r="T265" s="834" t="s">
        <v>32</v>
      </c>
      <c r="U265" s="834">
        <v>2</v>
      </c>
      <c r="V265" s="852" t="s">
        <v>1638</v>
      </c>
      <c r="W265" s="848">
        <v>46097</v>
      </c>
      <c r="X265" s="80" t="s">
        <v>113</v>
      </c>
      <c r="Y265" s="80" t="s">
        <v>113</v>
      </c>
      <c r="Z265" s="80" t="s">
        <v>113</v>
      </c>
      <c r="AA265" s="91"/>
      <c r="AB265" s="91"/>
      <c r="AC265" s="91"/>
      <c r="AD265" s="96"/>
      <c r="AE265" s="96"/>
      <c r="AF265" s="96"/>
      <c r="AG265" s="96"/>
      <c r="AH265" s="96"/>
      <c r="AI265" s="110"/>
      <c r="AJ265" s="107"/>
      <c r="AK265" s="107"/>
      <c r="AL265" s="107"/>
      <c r="AM265" s="110"/>
      <c r="AN265" s="840"/>
      <c r="AO265" s="832"/>
      <c r="AP265" s="875"/>
      <c r="AQ265" s="875"/>
      <c r="AR265" s="875"/>
      <c r="AS265" s="776"/>
      <c r="AT265" s="776"/>
      <c r="BA265" s="105"/>
      <c r="BB265">
        <f t="shared" si="4"/>
        <v>1</v>
      </c>
    </row>
    <row r="266" spans="1:54">
      <c r="A266" s="834" t="s">
        <v>2342</v>
      </c>
      <c r="B266" s="834">
        <v>263</v>
      </c>
      <c r="C266" s="834" t="s">
        <v>3458</v>
      </c>
      <c r="D266" s="834" t="s">
        <v>846</v>
      </c>
      <c r="E266" s="852">
        <v>46069</v>
      </c>
      <c r="F266" s="834" t="s">
        <v>140</v>
      </c>
      <c r="G266" s="834">
        <v>2</v>
      </c>
      <c r="H266" s="834" t="s">
        <v>1076</v>
      </c>
      <c r="I266" s="834"/>
      <c r="J266" s="834"/>
      <c r="K266" s="136"/>
      <c r="L266" s="834"/>
      <c r="M266" s="834"/>
      <c r="N266" s="834"/>
      <c r="O266" s="834"/>
      <c r="P266" s="834" t="s">
        <v>113</v>
      </c>
      <c r="Q266" s="848" t="s">
        <v>30</v>
      </c>
      <c r="R266" s="848">
        <v>46097</v>
      </c>
      <c r="S266" s="852" t="s">
        <v>1638</v>
      </c>
      <c r="T266" s="852" t="s">
        <v>32</v>
      </c>
      <c r="U266" s="834">
        <v>2</v>
      </c>
      <c r="V266" s="852" t="s">
        <v>1638</v>
      </c>
      <c r="W266" s="848">
        <v>46097</v>
      </c>
      <c r="X266" s="80" t="s">
        <v>113</v>
      </c>
      <c r="Y266" s="80" t="s">
        <v>113</v>
      </c>
      <c r="Z266" s="80" t="s">
        <v>113</v>
      </c>
      <c r="AA266" s="96"/>
      <c r="AB266" s="96"/>
      <c r="AC266" s="96"/>
      <c r="AD266" s="96"/>
      <c r="AE266" s="96"/>
      <c r="AF266" s="96"/>
      <c r="AG266" s="91"/>
      <c r="AH266" s="96"/>
      <c r="AI266" s="110"/>
      <c r="AJ266" s="107"/>
      <c r="AK266" s="107"/>
      <c r="AL266" s="107"/>
      <c r="AM266" s="110"/>
      <c r="AN266" s="840"/>
      <c r="AO266" s="832"/>
      <c r="AP266" s="875"/>
      <c r="AQ266" s="875"/>
      <c r="AR266" s="875"/>
      <c r="AS266" s="776"/>
      <c r="AT266" s="776"/>
      <c r="BA266" s="105"/>
      <c r="BB266">
        <f t="shared" si="4"/>
        <v>1</v>
      </c>
    </row>
    <row r="267" spans="1:54">
      <c r="A267" s="834" t="s">
        <v>2342</v>
      </c>
      <c r="B267" s="834">
        <v>264</v>
      </c>
      <c r="C267" s="834" t="s">
        <v>3459</v>
      </c>
      <c r="D267" s="834" t="s">
        <v>1250</v>
      </c>
      <c r="E267" s="852">
        <v>46076.083333333336</v>
      </c>
      <c r="F267" s="834" t="s">
        <v>140</v>
      </c>
      <c r="G267" s="834">
        <v>3</v>
      </c>
      <c r="H267" s="834" t="s">
        <v>1076</v>
      </c>
      <c r="I267" s="834"/>
      <c r="J267" s="834"/>
      <c r="K267" s="136"/>
      <c r="L267" s="834"/>
      <c r="M267" s="834"/>
      <c r="N267" s="834"/>
      <c r="O267" s="834"/>
      <c r="P267" s="834" t="s">
        <v>113</v>
      </c>
      <c r="Q267" s="848" t="s">
        <v>30</v>
      </c>
      <c r="R267" s="848">
        <v>46097</v>
      </c>
      <c r="S267" s="852" t="s">
        <v>1638</v>
      </c>
      <c r="T267" s="852" t="s">
        <v>32</v>
      </c>
      <c r="U267" s="834">
        <v>3</v>
      </c>
      <c r="V267" s="852" t="s">
        <v>1638</v>
      </c>
      <c r="W267" s="848">
        <v>46097</v>
      </c>
      <c r="X267" s="80" t="s">
        <v>113</v>
      </c>
      <c r="Y267" s="80" t="s">
        <v>113</v>
      </c>
      <c r="Z267" s="80" t="s">
        <v>113</v>
      </c>
      <c r="AA267" s="96"/>
      <c r="AB267" s="96"/>
      <c r="AC267" s="96"/>
      <c r="AD267" s="96"/>
      <c r="AE267" s="96"/>
      <c r="AF267" s="96"/>
      <c r="AG267" s="96"/>
      <c r="AH267" s="96"/>
      <c r="AI267" s="110"/>
      <c r="AJ267" s="96"/>
      <c r="AK267" s="96"/>
      <c r="AL267" s="96"/>
      <c r="AM267" s="110"/>
      <c r="AN267" s="840"/>
      <c r="AO267" s="832"/>
      <c r="AP267" s="875"/>
      <c r="AQ267" s="875"/>
      <c r="AR267" s="875"/>
      <c r="AS267" s="776"/>
      <c r="AT267" s="776"/>
      <c r="AZ267" s="92"/>
      <c r="BA267" s="105"/>
      <c r="BB267">
        <f t="shared" si="4"/>
        <v>1</v>
      </c>
    </row>
    <row r="268" spans="1:54">
      <c r="A268" s="834" t="s">
        <v>2342</v>
      </c>
      <c r="B268" s="834">
        <v>265</v>
      </c>
      <c r="C268" s="834" t="s">
        <v>3460</v>
      </c>
      <c r="D268" s="834" t="s">
        <v>3461</v>
      </c>
      <c r="E268" s="852">
        <v>46076</v>
      </c>
      <c r="F268" s="834" t="s">
        <v>140</v>
      </c>
      <c r="G268" s="834">
        <v>1</v>
      </c>
      <c r="H268" s="834" t="s">
        <v>1076</v>
      </c>
      <c r="I268" s="834"/>
      <c r="J268" s="98"/>
      <c r="K268" s="136"/>
      <c r="L268" s="834"/>
      <c r="M268" s="834"/>
      <c r="N268" s="834"/>
      <c r="O268" s="834"/>
      <c r="P268" s="834" t="s">
        <v>113</v>
      </c>
      <c r="Q268" s="848" t="s">
        <v>30</v>
      </c>
      <c r="R268" s="848">
        <v>46097</v>
      </c>
      <c r="S268" s="852" t="s">
        <v>1638</v>
      </c>
      <c r="T268" s="852" t="s">
        <v>32</v>
      </c>
      <c r="U268" s="834">
        <v>1</v>
      </c>
      <c r="V268" s="852" t="s">
        <v>1638</v>
      </c>
      <c r="W268" s="848">
        <v>46097</v>
      </c>
      <c r="X268" s="80" t="s">
        <v>113</v>
      </c>
      <c r="Y268" s="80" t="s">
        <v>113</v>
      </c>
      <c r="Z268" s="80" t="s">
        <v>113</v>
      </c>
      <c r="AA268" s="90"/>
      <c r="AB268" s="90"/>
      <c r="AC268" s="90"/>
      <c r="AD268" s="96"/>
      <c r="AE268" s="96"/>
      <c r="AF268" s="96"/>
      <c r="AG268" s="96"/>
      <c r="AH268" s="96"/>
      <c r="AI268" s="110"/>
      <c r="AJ268" s="107"/>
      <c r="AK268" s="107"/>
      <c r="AL268" s="107"/>
      <c r="AM268" s="110"/>
      <c r="AN268" s="840"/>
      <c r="AO268" s="832"/>
      <c r="AP268" s="875"/>
      <c r="AQ268" s="875"/>
      <c r="AR268" s="875"/>
      <c r="AS268" s="776"/>
      <c r="AT268" s="776"/>
      <c r="AZ268" s="92"/>
      <c r="BA268" s="105"/>
      <c r="BB268">
        <f t="shared" si="4"/>
        <v>1</v>
      </c>
    </row>
    <row r="269" spans="1:54">
      <c r="A269" s="834" t="s">
        <v>2342</v>
      </c>
      <c r="B269" s="834">
        <v>266</v>
      </c>
      <c r="C269" s="834" t="s">
        <v>3462</v>
      </c>
      <c r="D269" s="834" t="s">
        <v>829</v>
      </c>
      <c r="E269" s="852">
        <v>46076</v>
      </c>
      <c r="F269" s="834" t="s">
        <v>140</v>
      </c>
      <c r="G269" s="834">
        <v>3</v>
      </c>
      <c r="H269" s="834" t="s">
        <v>1076</v>
      </c>
      <c r="I269" s="834"/>
      <c r="J269" s="834"/>
      <c r="K269" s="136"/>
      <c r="L269" s="834"/>
      <c r="M269" s="834"/>
      <c r="N269" s="834"/>
      <c r="O269" s="834"/>
      <c r="P269" s="834" t="s">
        <v>113</v>
      </c>
      <c r="Q269" s="848" t="s">
        <v>30</v>
      </c>
      <c r="R269" s="848">
        <v>46097</v>
      </c>
      <c r="S269" s="852" t="s">
        <v>1638</v>
      </c>
      <c r="T269" s="852" t="s">
        <v>32</v>
      </c>
      <c r="U269" s="834">
        <v>3</v>
      </c>
      <c r="V269" s="852" t="s">
        <v>1638</v>
      </c>
      <c r="W269" s="848">
        <v>46097</v>
      </c>
      <c r="X269" s="80" t="s">
        <v>113</v>
      </c>
      <c r="Y269" s="80" t="s">
        <v>113</v>
      </c>
      <c r="Z269" s="80" t="s">
        <v>113</v>
      </c>
      <c r="AA269" s="90"/>
      <c r="AB269" s="90"/>
      <c r="AC269" s="90"/>
      <c r="AD269" s="96"/>
      <c r="AE269" s="96"/>
      <c r="AF269" s="96"/>
      <c r="AG269" s="96"/>
      <c r="AH269" s="96"/>
      <c r="AI269" s="110"/>
      <c r="AJ269" s="110"/>
      <c r="AK269" s="110"/>
      <c r="AL269" s="96"/>
      <c r="AM269" s="110"/>
      <c r="AN269" s="840"/>
      <c r="AO269" s="832"/>
      <c r="AP269" s="875"/>
      <c r="AQ269" s="875"/>
      <c r="AR269" s="875"/>
      <c r="AS269" s="776"/>
      <c r="AT269" s="776"/>
      <c r="BA269" s="105"/>
      <c r="BB269">
        <f t="shared" si="4"/>
        <v>1</v>
      </c>
    </row>
    <row r="270" spans="1:54">
      <c r="A270" s="834" t="s">
        <v>2342</v>
      </c>
      <c r="B270" s="834">
        <v>267</v>
      </c>
      <c r="C270" s="834" t="s">
        <v>3463</v>
      </c>
      <c r="D270" s="834" t="s">
        <v>1184</v>
      </c>
      <c r="E270" s="852">
        <v>46055</v>
      </c>
      <c r="F270" s="834" t="s">
        <v>140</v>
      </c>
      <c r="G270" s="834">
        <v>5</v>
      </c>
      <c r="H270" s="834" t="s">
        <v>3464</v>
      </c>
      <c r="I270" s="834"/>
      <c r="J270" s="834"/>
      <c r="K270" s="136"/>
      <c r="L270" s="834"/>
      <c r="M270" s="834"/>
      <c r="N270" s="834"/>
      <c r="O270" s="834"/>
      <c r="P270" s="834" t="s">
        <v>113</v>
      </c>
      <c r="Q270" s="848" t="s">
        <v>30</v>
      </c>
      <c r="R270" s="848">
        <v>46098</v>
      </c>
      <c r="S270" s="852" t="s">
        <v>1638</v>
      </c>
      <c r="T270" s="852" t="s">
        <v>32</v>
      </c>
      <c r="U270" s="834">
        <v>5</v>
      </c>
      <c r="V270" s="852" t="s">
        <v>1638</v>
      </c>
      <c r="W270" s="848">
        <v>46098</v>
      </c>
      <c r="X270" s="80" t="s">
        <v>113</v>
      </c>
      <c r="Y270" s="80" t="s">
        <v>113</v>
      </c>
      <c r="Z270" s="80" t="s">
        <v>113</v>
      </c>
      <c r="AA270" s="96"/>
      <c r="AB270" s="96"/>
      <c r="AC270" s="96"/>
      <c r="AD270" s="96"/>
      <c r="AE270" s="96"/>
      <c r="AF270" s="96"/>
      <c r="AG270" s="96"/>
      <c r="AH270" s="96"/>
      <c r="AI270" s="110"/>
      <c r="AJ270" s="107"/>
      <c r="AK270" s="107"/>
      <c r="AL270" s="107"/>
      <c r="AM270" s="110"/>
      <c r="AN270" s="840"/>
      <c r="AO270" s="832"/>
      <c r="AP270" s="875"/>
      <c r="AQ270" s="875"/>
      <c r="AR270" s="875"/>
      <c r="AS270" s="776"/>
      <c r="AT270" s="776"/>
      <c r="AZ270" s="71"/>
      <c r="BA270" s="105"/>
      <c r="BB270">
        <f t="shared" si="4"/>
        <v>1</v>
      </c>
    </row>
    <row r="271" spans="1:54">
      <c r="A271" s="834" t="s">
        <v>2342</v>
      </c>
      <c r="B271" s="834">
        <v>268</v>
      </c>
      <c r="C271" s="834" t="s">
        <v>3465</v>
      </c>
      <c r="D271" s="834" t="s">
        <v>955</v>
      </c>
      <c r="E271" s="852">
        <v>46055.125</v>
      </c>
      <c r="F271" s="834" t="s">
        <v>140</v>
      </c>
      <c r="G271" s="834">
        <v>11</v>
      </c>
      <c r="H271" s="834" t="s">
        <v>3223</v>
      </c>
      <c r="I271" s="834"/>
      <c r="J271" s="98"/>
      <c r="K271" s="136"/>
      <c r="L271" s="834"/>
      <c r="M271" s="834"/>
      <c r="N271" s="834"/>
      <c r="O271" s="834"/>
      <c r="P271" s="834" t="s">
        <v>113</v>
      </c>
      <c r="Q271" s="848" t="s">
        <v>30</v>
      </c>
      <c r="R271" s="124">
        <v>46106</v>
      </c>
      <c r="S271" s="852" t="s">
        <v>1638</v>
      </c>
      <c r="T271" s="852" t="s">
        <v>32</v>
      </c>
      <c r="U271" s="834">
        <v>11</v>
      </c>
      <c r="V271" s="852" t="s">
        <v>1638</v>
      </c>
      <c r="W271" s="124">
        <v>46106</v>
      </c>
      <c r="X271" s="80" t="s">
        <v>113</v>
      </c>
      <c r="Y271" s="80" t="s">
        <v>113</v>
      </c>
      <c r="Z271" s="80" t="s">
        <v>113</v>
      </c>
      <c r="AA271" s="96"/>
      <c r="AB271" s="96"/>
      <c r="AC271" s="96"/>
      <c r="AD271" s="96"/>
      <c r="AE271" s="96"/>
      <c r="AF271" s="96"/>
      <c r="AG271" s="96"/>
      <c r="AH271" s="96"/>
      <c r="AI271" s="110"/>
      <c r="AJ271" s="96"/>
      <c r="AK271" s="96"/>
      <c r="AL271" s="96"/>
      <c r="AM271" s="110"/>
      <c r="AN271" s="840"/>
      <c r="AO271" s="832"/>
      <c r="AP271" s="875"/>
      <c r="AQ271" s="875"/>
      <c r="AR271" s="875"/>
      <c r="AS271" s="776"/>
      <c r="AT271" s="776"/>
      <c r="BA271" s="105"/>
      <c r="BB271">
        <f t="shared" si="4"/>
        <v>1</v>
      </c>
    </row>
    <row r="272" spans="1:54">
      <c r="A272" s="834" t="s">
        <v>2342</v>
      </c>
      <c r="B272" s="834">
        <v>269</v>
      </c>
      <c r="C272" s="834" t="s">
        <v>3466</v>
      </c>
      <c r="D272" s="834" t="s">
        <v>937</v>
      </c>
      <c r="E272" s="852">
        <v>46055.375</v>
      </c>
      <c r="F272" s="834" t="s">
        <v>140</v>
      </c>
      <c r="G272" s="834">
        <v>2</v>
      </c>
      <c r="H272" s="834" t="s">
        <v>3056</v>
      </c>
      <c r="I272" s="834"/>
      <c r="J272" s="98"/>
      <c r="K272" s="136"/>
      <c r="L272" s="834"/>
      <c r="M272" s="834"/>
      <c r="N272" s="834"/>
      <c r="O272" s="834"/>
      <c r="P272" s="834" t="s">
        <v>113</v>
      </c>
      <c r="Q272" s="848" t="s">
        <v>30</v>
      </c>
      <c r="R272" s="848">
        <v>46105</v>
      </c>
      <c r="S272" s="852" t="s">
        <v>1638</v>
      </c>
      <c r="T272" s="852" t="s">
        <v>32</v>
      </c>
      <c r="U272" s="834">
        <v>2</v>
      </c>
      <c r="V272" s="852" t="s">
        <v>1638</v>
      </c>
      <c r="W272" s="848">
        <v>46105</v>
      </c>
      <c r="X272" s="80" t="s">
        <v>113</v>
      </c>
      <c r="Y272" s="80" t="s">
        <v>113</v>
      </c>
      <c r="Z272" s="80" t="s">
        <v>113</v>
      </c>
      <c r="AA272" s="96"/>
      <c r="AB272" s="96"/>
      <c r="AC272" s="96"/>
      <c r="AD272" s="96"/>
      <c r="AE272" s="96"/>
      <c r="AF272" s="96"/>
      <c r="AG272" s="96"/>
      <c r="AH272" s="96"/>
      <c r="AI272" s="110"/>
      <c r="AJ272" s="96"/>
      <c r="AK272" s="96"/>
      <c r="AL272" s="96"/>
      <c r="AM272" s="110"/>
      <c r="AN272" s="840"/>
      <c r="AO272" s="832"/>
      <c r="AP272" s="875"/>
      <c r="AQ272" s="875"/>
      <c r="AR272" s="875"/>
      <c r="AS272" s="776"/>
      <c r="AT272" s="776"/>
      <c r="BA272" s="105"/>
      <c r="BB272">
        <f t="shared" si="4"/>
        <v>1</v>
      </c>
    </row>
    <row r="273" spans="1:54">
      <c r="A273" s="834" t="s">
        <v>2342</v>
      </c>
      <c r="B273" s="834">
        <v>270</v>
      </c>
      <c r="C273" s="884" t="s">
        <v>3467</v>
      </c>
      <c r="D273" s="884" t="s">
        <v>1198</v>
      </c>
      <c r="E273" s="885">
        <v>46055</v>
      </c>
      <c r="F273" s="884" t="s">
        <v>140</v>
      </c>
      <c r="G273" s="884">
        <v>39</v>
      </c>
      <c r="H273" s="847" t="s">
        <v>3056</v>
      </c>
      <c r="I273" s="834"/>
      <c r="J273" s="834"/>
      <c r="K273" s="136"/>
      <c r="L273" s="834"/>
      <c r="M273" s="834"/>
      <c r="N273" s="834"/>
      <c r="O273" s="834"/>
      <c r="P273" s="834" t="s">
        <v>113</v>
      </c>
      <c r="Q273" s="90" t="s">
        <v>30</v>
      </c>
      <c r="R273" s="848">
        <v>46112</v>
      </c>
      <c r="S273" s="852" t="s">
        <v>28</v>
      </c>
      <c r="T273" s="852" t="s">
        <v>32</v>
      </c>
      <c r="U273" s="834">
        <v>39</v>
      </c>
      <c r="V273" s="852"/>
      <c r="W273" s="848">
        <v>46112</v>
      </c>
      <c r="X273" s="80" t="s">
        <v>113</v>
      </c>
      <c r="Y273" s="80" t="s">
        <v>113</v>
      </c>
      <c r="Z273" s="80" t="s">
        <v>113</v>
      </c>
      <c r="AA273" s="96"/>
      <c r="AB273" s="96"/>
      <c r="AC273" s="96"/>
      <c r="AD273" s="96"/>
      <c r="AE273" s="96"/>
      <c r="AF273" s="96"/>
      <c r="AG273" s="96"/>
      <c r="AH273" s="96"/>
      <c r="AI273" s="110"/>
      <c r="AJ273" s="107"/>
      <c r="AK273" s="107"/>
      <c r="AL273" s="107"/>
      <c r="AM273" s="110"/>
      <c r="AN273" s="840"/>
      <c r="AO273" s="832"/>
      <c r="AP273" s="875"/>
      <c r="AQ273" s="875"/>
      <c r="AR273" s="875"/>
      <c r="AS273" s="776"/>
      <c r="AT273" s="776"/>
      <c r="AZ273" s="135"/>
      <c r="BA273" s="135"/>
      <c r="BB273">
        <f t="shared" si="4"/>
        <v>1</v>
      </c>
    </row>
    <row r="274" spans="1:54">
      <c r="A274" s="834" t="s">
        <v>2342</v>
      </c>
      <c r="B274" s="834">
        <v>271</v>
      </c>
      <c r="C274" s="834" t="s">
        <v>3468</v>
      </c>
      <c r="D274" s="834" t="s">
        <v>992</v>
      </c>
      <c r="E274" s="852">
        <v>46055.041666666664</v>
      </c>
      <c r="F274" s="834" t="s">
        <v>140</v>
      </c>
      <c r="G274" s="834">
        <v>1</v>
      </c>
      <c r="H274" s="847" t="s">
        <v>127</v>
      </c>
      <c r="I274" s="834"/>
      <c r="J274" s="834"/>
      <c r="K274" s="136"/>
      <c r="L274" s="834"/>
      <c r="M274" s="834"/>
      <c r="N274" s="834"/>
      <c r="O274" s="834"/>
      <c r="P274" s="834" t="s">
        <v>113</v>
      </c>
      <c r="Q274" s="848" t="s">
        <v>30</v>
      </c>
      <c r="R274" s="848">
        <v>46100</v>
      </c>
      <c r="S274" s="852" t="s">
        <v>3337</v>
      </c>
      <c r="T274" s="852" t="s">
        <v>32</v>
      </c>
      <c r="U274" s="834">
        <v>1</v>
      </c>
      <c r="V274" s="852" t="s">
        <v>3337</v>
      </c>
      <c r="W274" s="848">
        <v>46100</v>
      </c>
      <c r="X274" s="80" t="s">
        <v>113</v>
      </c>
      <c r="Y274" s="80" t="s">
        <v>113</v>
      </c>
      <c r="Z274" s="80" t="s">
        <v>113</v>
      </c>
      <c r="AA274" s="91"/>
      <c r="AB274" s="91"/>
      <c r="AC274" s="96"/>
      <c r="AD274" s="96"/>
      <c r="AE274" s="96"/>
      <c r="AF274" s="96"/>
      <c r="AG274" s="96"/>
      <c r="AH274" s="96"/>
      <c r="AI274" s="110"/>
      <c r="AJ274" s="107"/>
      <c r="AK274" s="107"/>
      <c r="AL274" s="107"/>
      <c r="AM274" s="110"/>
      <c r="AN274" s="840"/>
      <c r="AO274" s="832"/>
      <c r="AP274" s="875"/>
      <c r="AQ274" s="875"/>
      <c r="AR274" s="875"/>
      <c r="AS274" s="776"/>
      <c r="AT274" s="776"/>
      <c r="BA274" s="105"/>
      <c r="BB274">
        <f t="shared" si="4"/>
        <v>1</v>
      </c>
    </row>
    <row r="275" spans="1:54">
      <c r="A275" s="834" t="s">
        <v>2342</v>
      </c>
      <c r="B275" s="834">
        <v>272</v>
      </c>
      <c r="C275" s="834" t="s">
        <v>3469</v>
      </c>
      <c r="D275" s="834" t="s">
        <v>1424</v>
      </c>
      <c r="E275" s="852">
        <v>46055.041666666664</v>
      </c>
      <c r="F275" s="834" t="s">
        <v>140</v>
      </c>
      <c r="G275" s="834">
        <v>2</v>
      </c>
      <c r="H275" s="847" t="s">
        <v>3056</v>
      </c>
      <c r="I275" s="834"/>
      <c r="J275" s="834"/>
      <c r="K275" s="136"/>
      <c r="L275" s="834"/>
      <c r="M275" s="834"/>
      <c r="N275" s="834"/>
      <c r="O275" s="834"/>
      <c r="P275" s="834" t="s">
        <v>113</v>
      </c>
      <c r="Q275" s="848" t="s">
        <v>30</v>
      </c>
      <c r="R275" s="848">
        <v>46104</v>
      </c>
      <c r="S275" s="852" t="s">
        <v>3337</v>
      </c>
      <c r="T275" s="852" t="s">
        <v>32</v>
      </c>
      <c r="U275" s="834">
        <v>2</v>
      </c>
      <c r="V275" s="852" t="s">
        <v>3337</v>
      </c>
      <c r="W275" s="848">
        <v>46104</v>
      </c>
      <c r="X275" s="80" t="s">
        <v>113</v>
      </c>
      <c r="Y275" s="80" t="s">
        <v>113</v>
      </c>
      <c r="Z275" s="80" t="s">
        <v>113</v>
      </c>
      <c r="AA275" s="91"/>
      <c r="AB275" s="91"/>
      <c r="AC275" s="91"/>
      <c r="AD275" s="96"/>
      <c r="AE275" s="96"/>
      <c r="AF275" s="96"/>
      <c r="AG275" s="96"/>
      <c r="AH275" s="96"/>
      <c r="AI275" s="110"/>
      <c r="AJ275" s="96"/>
      <c r="AK275" s="96"/>
      <c r="AL275" s="96"/>
      <c r="AM275" s="110"/>
      <c r="AN275" s="840"/>
      <c r="AO275" s="832"/>
      <c r="AP275" s="875"/>
      <c r="AQ275" s="875"/>
      <c r="AR275" s="875"/>
      <c r="AS275" s="776"/>
      <c r="AT275" s="776"/>
      <c r="AZ275" s="92"/>
      <c r="BA275" s="105"/>
      <c r="BB275">
        <f t="shared" si="4"/>
        <v>1</v>
      </c>
    </row>
    <row r="276" spans="1:54">
      <c r="A276" s="834" t="s">
        <v>2342</v>
      </c>
      <c r="B276" s="834">
        <v>273</v>
      </c>
      <c r="C276" s="834" t="s">
        <v>3470</v>
      </c>
      <c r="D276" s="834" t="s">
        <v>829</v>
      </c>
      <c r="E276" s="852">
        <v>46055.041666666664</v>
      </c>
      <c r="F276" s="834" t="s">
        <v>140</v>
      </c>
      <c r="G276" s="834">
        <v>49</v>
      </c>
      <c r="H276" s="847" t="s">
        <v>3471</v>
      </c>
      <c r="I276" s="834"/>
      <c r="J276" s="98"/>
      <c r="K276" s="136"/>
      <c r="L276" s="834"/>
      <c r="M276" s="834"/>
      <c r="N276" s="834"/>
      <c r="O276" s="834"/>
      <c r="P276" s="834" t="s">
        <v>113</v>
      </c>
      <c r="Q276" s="848" t="s">
        <v>30</v>
      </c>
      <c r="R276" s="848">
        <v>46108</v>
      </c>
      <c r="S276" s="852" t="s">
        <v>47</v>
      </c>
      <c r="T276" s="852" t="s">
        <v>32</v>
      </c>
      <c r="U276" s="834">
        <v>48</v>
      </c>
      <c r="V276" s="852" t="s">
        <v>47</v>
      </c>
      <c r="W276" s="848">
        <v>46108</v>
      </c>
      <c r="X276" s="80" t="s">
        <v>113</v>
      </c>
      <c r="Y276" s="80" t="s">
        <v>113</v>
      </c>
      <c r="Z276" s="80" t="s">
        <v>113</v>
      </c>
      <c r="AA276" s="96"/>
      <c r="AB276" s="96"/>
      <c r="AC276" s="96"/>
      <c r="AD276" s="96"/>
      <c r="AE276" s="96"/>
      <c r="AF276" s="96"/>
      <c r="AG276" s="96"/>
      <c r="AH276" s="96"/>
      <c r="AI276" s="110"/>
      <c r="AJ276" s="96"/>
      <c r="AK276" s="96"/>
      <c r="AL276" s="96"/>
      <c r="AM276" s="110"/>
      <c r="AN276" s="840"/>
      <c r="AO276" s="832"/>
      <c r="AP276" s="875"/>
      <c r="AQ276" s="875"/>
      <c r="AR276" s="875"/>
      <c r="AS276" s="776"/>
      <c r="AT276" s="776"/>
      <c r="AZ276" s="135"/>
      <c r="BA276" s="135"/>
      <c r="BB276">
        <f t="shared" si="4"/>
        <v>1</v>
      </c>
    </row>
    <row r="277" spans="1:54">
      <c r="A277" s="834" t="s">
        <v>2342</v>
      </c>
      <c r="B277" s="834">
        <v>274</v>
      </c>
      <c r="C277" s="834" t="s">
        <v>3472</v>
      </c>
      <c r="D277" s="834" t="s">
        <v>818</v>
      </c>
      <c r="E277" s="852">
        <v>46055.041666666664</v>
      </c>
      <c r="F277" s="834" t="s">
        <v>140</v>
      </c>
      <c r="G277" s="834">
        <v>4</v>
      </c>
      <c r="H277" s="847" t="s">
        <v>3056</v>
      </c>
      <c r="I277" s="834"/>
      <c r="J277" s="834"/>
      <c r="K277" s="136"/>
      <c r="L277" s="834"/>
      <c r="M277" s="834"/>
      <c r="N277" s="834"/>
      <c r="O277" s="834"/>
      <c r="P277" s="834" t="s">
        <v>113</v>
      </c>
      <c r="Q277" s="848" t="s">
        <v>30</v>
      </c>
      <c r="R277" s="848">
        <v>46105</v>
      </c>
      <c r="S277" s="852" t="s">
        <v>1638</v>
      </c>
      <c r="T277" s="834" t="s">
        <v>32</v>
      </c>
      <c r="U277" s="834">
        <v>4</v>
      </c>
      <c r="V277" s="852" t="s">
        <v>1638</v>
      </c>
      <c r="W277" s="848">
        <v>46105</v>
      </c>
      <c r="X277" s="80" t="s">
        <v>113</v>
      </c>
      <c r="Y277" s="80" t="s">
        <v>113</v>
      </c>
      <c r="Z277" s="80" t="s">
        <v>113</v>
      </c>
      <c r="AA277" s="96"/>
      <c r="AB277" s="96"/>
      <c r="AC277" s="96"/>
      <c r="AD277" s="96"/>
      <c r="AE277" s="96"/>
      <c r="AF277" s="96"/>
      <c r="AG277" s="96"/>
      <c r="AH277" s="96"/>
      <c r="AI277" s="110"/>
      <c r="AJ277" s="96"/>
      <c r="AK277" s="96"/>
      <c r="AL277" s="96"/>
      <c r="AM277" s="110"/>
      <c r="AN277" s="840"/>
      <c r="AO277" s="832"/>
      <c r="AP277" s="875"/>
      <c r="AQ277" s="875"/>
      <c r="AR277" s="875"/>
      <c r="AS277" s="776"/>
      <c r="AT277" s="776"/>
      <c r="BA277" s="105"/>
      <c r="BB277">
        <f t="shared" si="4"/>
        <v>1</v>
      </c>
    </row>
    <row r="278" spans="1:54">
      <c r="A278" s="834" t="s">
        <v>2342</v>
      </c>
      <c r="B278" s="834">
        <v>275</v>
      </c>
      <c r="C278" s="834" t="s">
        <v>3473</v>
      </c>
      <c r="D278" s="834" t="s">
        <v>3474</v>
      </c>
      <c r="E278" s="852">
        <v>46055.375</v>
      </c>
      <c r="F278" s="834" t="s">
        <v>140</v>
      </c>
      <c r="G278" s="834">
        <v>8</v>
      </c>
      <c r="H278" s="847" t="s">
        <v>1721</v>
      </c>
      <c r="I278" s="834"/>
      <c r="J278" s="834"/>
      <c r="K278" s="136"/>
      <c r="L278" s="834"/>
      <c r="M278" s="834"/>
      <c r="N278" s="834"/>
      <c r="O278" s="834"/>
      <c r="P278" s="834" t="s">
        <v>113</v>
      </c>
      <c r="Q278" s="848" t="s">
        <v>30</v>
      </c>
      <c r="R278" s="848">
        <v>46105</v>
      </c>
      <c r="S278" s="852" t="s">
        <v>1638</v>
      </c>
      <c r="T278" s="834" t="s">
        <v>32</v>
      </c>
      <c r="U278" s="834">
        <v>8</v>
      </c>
      <c r="V278" s="852" t="s">
        <v>1638</v>
      </c>
      <c r="W278" s="848">
        <v>46105</v>
      </c>
      <c r="X278" s="80" t="s">
        <v>113</v>
      </c>
      <c r="Y278" s="80" t="s">
        <v>113</v>
      </c>
      <c r="Z278" s="80" t="s">
        <v>113</v>
      </c>
      <c r="AA278" s="91"/>
      <c r="AB278" s="91"/>
      <c r="AC278" s="91"/>
      <c r="AD278" s="96"/>
      <c r="AE278" s="96"/>
      <c r="AF278" s="96"/>
      <c r="AG278" s="96"/>
      <c r="AH278" s="96"/>
      <c r="AI278" s="110"/>
      <c r="AJ278" s="107"/>
      <c r="AK278" s="107"/>
      <c r="AL278" s="107"/>
      <c r="AM278" s="110"/>
      <c r="AN278" s="840"/>
      <c r="AO278" s="832"/>
      <c r="AP278" s="875"/>
      <c r="AQ278" s="875"/>
      <c r="AR278" s="875"/>
      <c r="AS278" s="776"/>
      <c r="AT278" s="776"/>
      <c r="AZ278" s="105"/>
      <c r="BA278" s="105"/>
      <c r="BB278">
        <f t="shared" si="4"/>
        <v>1</v>
      </c>
    </row>
    <row r="279" spans="1:54">
      <c r="A279" s="834" t="s">
        <v>2342</v>
      </c>
      <c r="B279" s="834">
        <v>276</v>
      </c>
      <c r="C279" s="834" t="s">
        <v>3475</v>
      </c>
      <c r="D279" s="834" t="s">
        <v>969</v>
      </c>
      <c r="E279" s="852">
        <v>46055</v>
      </c>
      <c r="F279" s="834" t="s">
        <v>140</v>
      </c>
      <c r="G279" s="834">
        <v>9</v>
      </c>
      <c r="H279" s="847" t="s">
        <v>1721</v>
      </c>
      <c r="I279" s="834"/>
      <c r="J279" s="834"/>
      <c r="K279" s="136"/>
      <c r="L279" s="834"/>
      <c r="M279" s="834"/>
      <c r="N279" s="834"/>
      <c r="O279" s="834"/>
      <c r="P279" s="834" t="s">
        <v>113</v>
      </c>
      <c r="Q279" s="848" t="s">
        <v>30</v>
      </c>
      <c r="R279" s="848">
        <v>46097</v>
      </c>
      <c r="S279" s="852" t="s">
        <v>3337</v>
      </c>
      <c r="T279" s="834" t="s">
        <v>32</v>
      </c>
      <c r="U279" s="834">
        <v>9</v>
      </c>
      <c r="V279" s="852" t="s">
        <v>3337</v>
      </c>
      <c r="W279" s="848">
        <v>46097</v>
      </c>
      <c r="X279" s="80" t="s">
        <v>113</v>
      </c>
      <c r="Y279" s="80" t="s">
        <v>113</v>
      </c>
      <c r="Z279" s="80" t="s">
        <v>113</v>
      </c>
      <c r="AA279" s="96"/>
      <c r="AB279" s="96"/>
      <c r="AC279" s="96"/>
      <c r="AD279" s="96"/>
      <c r="AE279" s="96"/>
      <c r="AF279" s="96"/>
      <c r="AG279" s="96"/>
      <c r="AH279" s="96"/>
      <c r="AI279" s="110"/>
      <c r="AJ279" s="96"/>
      <c r="AK279" s="96"/>
      <c r="AL279" s="96"/>
      <c r="AM279" s="110"/>
      <c r="AN279" s="840" t="s">
        <v>3476</v>
      </c>
      <c r="AO279" s="832"/>
      <c r="AP279" s="875"/>
      <c r="AQ279" s="875"/>
      <c r="AR279" s="875"/>
      <c r="AS279" s="776"/>
      <c r="AT279" s="776"/>
      <c r="AZ279" s="105"/>
      <c r="BA279" s="105"/>
      <c r="BB279">
        <f t="shared" si="4"/>
        <v>1</v>
      </c>
    </row>
    <row r="280" spans="1:54">
      <c r="A280" s="834" t="s">
        <v>2342</v>
      </c>
      <c r="B280" s="834">
        <v>277</v>
      </c>
      <c r="C280" s="834" t="s">
        <v>3477</v>
      </c>
      <c r="D280" s="834" t="s">
        <v>1025</v>
      </c>
      <c r="E280" s="852">
        <v>46055</v>
      </c>
      <c r="F280" s="834" t="s">
        <v>140</v>
      </c>
      <c r="G280" s="834">
        <v>1</v>
      </c>
      <c r="H280" s="847" t="s">
        <v>1077</v>
      </c>
      <c r="I280" s="834"/>
      <c r="J280" s="98"/>
      <c r="K280" s="136"/>
      <c r="L280" s="834"/>
      <c r="M280" s="834"/>
      <c r="N280" s="834"/>
      <c r="O280" s="834"/>
      <c r="P280" s="834" t="s">
        <v>113</v>
      </c>
      <c r="Q280" s="848" t="s">
        <v>30</v>
      </c>
      <c r="R280" s="848">
        <v>46104</v>
      </c>
      <c r="S280" s="852" t="s">
        <v>3337</v>
      </c>
      <c r="T280" s="834" t="s">
        <v>32</v>
      </c>
      <c r="U280" s="834">
        <v>1</v>
      </c>
      <c r="V280" s="852" t="s">
        <v>3337</v>
      </c>
      <c r="W280" s="848">
        <v>46104</v>
      </c>
      <c r="X280" s="80" t="s">
        <v>113</v>
      </c>
      <c r="Y280" s="80" t="s">
        <v>113</v>
      </c>
      <c r="Z280" s="80" t="s">
        <v>113</v>
      </c>
      <c r="AA280" s="96"/>
      <c r="AB280" s="91"/>
      <c r="AC280" s="96"/>
      <c r="AD280" s="96"/>
      <c r="AE280" s="96"/>
      <c r="AF280" s="96"/>
      <c r="AG280" s="96"/>
      <c r="AH280" s="96"/>
      <c r="AI280" s="110"/>
      <c r="AJ280" s="107"/>
      <c r="AK280" s="107"/>
      <c r="AL280" s="91"/>
      <c r="AM280" s="110"/>
      <c r="AN280" s="840" t="s">
        <v>3478</v>
      </c>
      <c r="AO280" s="832"/>
      <c r="AP280" s="875"/>
      <c r="AQ280" s="875"/>
      <c r="AR280" s="875"/>
      <c r="AS280" s="776"/>
      <c r="AT280" s="776"/>
      <c r="BA280" s="105"/>
      <c r="BB280">
        <f t="shared" si="4"/>
        <v>1</v>
      </c>
    </row>
    <row r="281" spans="1:54">
      <c r="A281" s="834" t="s">
        <v>2342</v>
      </c>
      <c r="B281" s="834">
        <v>278</v>
      </c>
      <c r="C281" s="834" t="s">
        <v>3479</v>
      </c>
      <c r="D281" s="834" t="s">
        <v>1025</v>
      </c>
      <c r="E281" s="852">
        <v>46055</v>
      </c>
      <c r="F281" s="834" t="s">
        <v>140</v>
      </c>
      <c r="G281" s="834">
        <v>1</v>
      </c>
      <c r="H281" s="847" t="s">
        <v>1077</v>
      </c>
      <c r="I281" s="834"/>
      <c r="J281" s="834"/>
      <c r="K281" s="136"/>
      <c r="L281" s="834"/>
      <c r="M281" s="834"/>
      <c r="N281" s="834"/>
      <c r="O281" s="834"/>
      <c r="P281" s="834" t="s">
        <v>113</v>
      </c>
      <c r="Q281" s="848" t="s">
        <v>30</v>
      </c>
      <c r="R281" s="848">
        <v>46104</v>
      </c>
      <c r="S281" s="852" t="s">
        <v>3337</v>
      </c>
      <c r="T281" s="834" t="s">
        <v>32</v>
      </c>
      <c r="U281" s="834">
        <v>1</v>
      </c>
      <c r="V281" s="852" t="s">
        <v>3337</v>
      </c>
      <c r="W281" s="848">
        <v>46104</v>
      </c>
      <c r="X281" s="80" t="s">
        <v>113</v>
      </c>
      <c r="Y281" s="80" t="s">
        <v>113</v>
      </c>
      <c r="Z281" s="80" t="s">
        <v>113</v>
      </c>
      <c r="AA281" s="91"/>
      <c r="AB281" s="91"/>
      <c r="AC281" s="91"/>
      <c r="AD281" s="96"/>
      <c r="AE281" s="96"/>
      <c r="AF281" s="91"/>
      <c r="AG281" s="91"/>
      <c r="AH281" s="91"/>
      <c r="AI281" s="91"/>
      <c r="AJ281" s="91"/>
      <c r="AK281" s="91"/>
      <c r="AL281" s="91"/>
      <c r="AM281" s="110"/>
      <c r="AN281" s="840" t="s">
        <v>3480</v>
      </c>
      <c r="AO281" s="832"/>
      <c r="AP281" s="875"/>
      <c r="AQ281" s="875"/>
      <c r="AR281" s="875"/>
      <c r="AS281" s="776"/>
      <c r="AT281" s="776"/>
      <c r="AZ281" s="92"/>
      <c r="BA281" s="105"/>
      <c r="BB281">
        <f t="shared" si="4"/>
        <v>1</v>
      </c>
    </row>
    <row r="282" spans="1:54">
      <c r="A282" s="834" t="s">
        <v>2342</v>
      </c>
      <c r="B282" s="834">
        <v>279</v>
      </c>
      <c r="C282" s="834" t="s">
        <v>3481</v>
      </c>
      <c r="D282" s="834" t="s">
        <v>1025</v>
      </c>
      <c r="E282" s="852">
        <v>46055.041666666664</v>
      </c>
      <c r="F282" s="834" t="s">
        <v>140</v>
      </c>
      <c r="G282" s="834">
        <v>1</v>
      </c>
      <c r="H282" s="834" t="s">
        <v>127</v>
      </c>
      <c r="I282" s="834"/>
      <c r="J282" s="834"/>
      <c r="K282" s="136"/>
      <c r="L282" s="834"/>
      <c r="M282" s="834"/>
      <c r="N282" s="834"/>
      <c r="O282" s="834"/>
      <c r="P282" s="834" t="s">
        <v>113</v>
      </c>
      <c r="Q282" s="848" t="s">
        <v>30</v>
      </c>
      <c r="R282" s="848">
        <v>46104</v>
      </c>
      <c r="S282" s="852" t="s">
        <v>3337</v>
      </c>
      <c r="T282" s="834" t="s">
        <v>32</v>
      </c>
      <c r="U282" s="834">
        <v>1</v>
      </c>
      <c r="V282" s="852" t="s">
        <v>3337</v>
      </c>
      <c r="W282" s="848">
        <v>46104</v>
      </c>
      <c r="X282" s="80" t="s">
        <v>113</v>
      </c>
      <c r="Y282" s="80" t="s">
        <v>113</v>
      </c>
      <c r="Z282" s="80" t="s">
        <v>113</v>
      </c>
      <c r="AA282" s="96"/>
      <c r="AB282" s="96"/>
      <c r="AC282" s="96"/>
      <c r="AD282" s="96"/>
      <c r="AE282" s="96"/>
      <c r="AF282" s="96"/>
      <c r="AG282" s="96"/>
      <c r="AH282" s="96"/>
      <c r="AI282" s="110"/>
      <c r="AJ282" s="96"/>
      <c r="AK282" s="96"/>
      <c r="AL282" s="96"/>
      <c r="AM282" s="110"/>
      <c r="AN282" s="840"/>
      <c r="AO282" s="832"/>
      <c r="AP282" s="875"/>
      <c r="AQ282" s="875"/>
      <c r="AR282" s="875"/>
      <c r="AS282" s="776"/>
      <c r="AT282" s="776"/>
      <c r="AZ282" s="92"/>
      <c r="BA282" s="105"/>
      <c r="BB282">
        <f t="shared" si="4"/>
        <v>1</v>
      </c>
    </row>
    <row r="283" spans="1:54">
      <c r="A283" s="834" t="s">
        <v>2342</v>
      </c>
      <c r="B283" s="834">
        <v>280</v>
      </c>
      <c r="C283" s="834" t="s">
        <v>3482</v>
      </c>
      <c r="D283" s="834" t="s">
        <v>846</v>
      </c>
      <c r="E283" s="852">
        <v>46055</v>
      </c>
      <c r="F283" s="834" t="s">
        <v>140</v>
      </c>
      <c r="G283" s="834">
        <v>1</v>
      </c>
      <c r="H283" s="834" t="s">
        <v>3056</v>
      </c>
      <c r="I283" s="834"/>
      <c r="J283" s="834"/>
      <c r="K283" s="136"/>
      <c r="L283" s="834"/>
      <c r="M283" s="834"/>
      <c r="N283" s="834"/>
      <c r="O283" s="834"/>
      <c r="P283" s="834" t="s">
        <v>113</v>
      </c>
      <c r="Q283" s="848" t="s">
        <v>30</v>
      </c>
      <c r="R283" s="848">
        <v>46104</v>
      </c>
      <c r="S283" s="852" t="s">
        <v>3337</v>
      </c>
      <c r="T283" s="834" t="s">
        <v>32</v>
      </c>
      <c r="U283" s="834">
        <v>1</v>
      </c>
      <c r="V283" s="852" t="s">
        <v>3337</v>
      </c>
      <c r="W283" s="848">
        <v>46104</v>
      </c>
      <c r="X283" s="80" t="s">
        <v>113</v>
      </c>
      <c r="Y283" s="80" t="s">
        <v>113</v>
      </c>
      <c r="Z283" s="80" t="s">
        <v>113</v>
      </c>
      <c r="AA283" s="96"/>
      <c r="AB283" s="96"/>
      <c r="AC283" s="96"/>
      <c r="AD283" s="96"/>
      <c r="AE283" s="96"/>
      <c r="AF283" s="96"/>
      <c r="AG283" s="96"/>
      <c r="AH283" s="96"/>
      <c r="AI283" s="110"/>
      <c r="AJ283" s="110"/>
      <c r="AK283" s="110"/>
      <c r="AL283" s="107"/>
      <c r="AM283" s="110"/>
      <c r="AN283" s="840"/>
      <c r="AO283" s="832"/>
      <c r="AP283" s="875"/>
      <c r="AQ283" s="875"/>
      <c r="AR283" s="875"/>
      <c r="AS283" s="776"/>
      <c r="AT283" s="776"/>
      <c r="AZ283" s="92"/>
      <c r="BA283" s="105"/>
      <c r="BB283">
        <f t="shared" si="4"/>
        <v>1</v>
      </c>
    </row>
    <row r="284" spans="1:54">
      <c r="A284" s="834" t="s">
        <v>2342</v>
      </c>
      <c r="B284" s="834">
        <v>281</v>
      </c>
      <c r="C284" s="834" t="s">
        <v>3483</v>
      </c>
      <c r="D284" s="834" t="s">
        <v>1516</v>
      </c>
      <c r="E284" s="852">
        <v>46055.083333333336</v>
      </c>
      <c r="F284" s="834" t="s">
        <v>140</v>
      </c>
      <c r="G284" s="834">
        <v>5</v>
      </c>
      <c r="H284" s="834" t="s">
        <v>3056</v>
      </c>
      <c r="I284" s="834"/>
      <c r="J284" s="834"/>
      <c r="K284" s="136"/>
      <c r="L284" s="834"/>
      <c r="M284" s="834"/>
      <c r="N284" s="834"/>
      <c r="O284" s="834"/>
      <c r="P284" s="834" t="s">
        <v>113</v>
      </c>
      <c r="Q284" s="848" t="s">
        <v>30</v>
      </c>
      <c r="R284" s="848">
        <v>46105</v>
      </c>
      <c r="S284" s="852" t="s">
        <v>3337</v>
      </c>
      <c r="T284" s="852" t="s">
        <v>32</v>
      </c>
      <c r="U284" s="834">
        <v>5</v>
      </c>
      <c r="V284" s="852" t="s">
        <v>3337</v>
      </c>
      <c r="W284" s="848">
        <v>46104</v>
      </c>
      <c r="X284" s="80" t="s">
        <v>113</v>
      </c>
      <c r="Y284" s="80" t="s">
        <v>113</v>
      </c>
      <c r="Z284" s="80" t="s">
        <v>113</v>
      </c>
      <c r="AA284" s="96"/>
      <c r="AB284" s="96"/>
      <c r="AC284" s="96"/>
      <c r="AD284" s="96"/>
      <c r="AE284" s="96"/>
      <c r="AF284" s="96"/>
      <c r="AG284" s="96"/>
      <c r="AH284" s="96"/>
      <c r="AI284" s="110"/>
      <c r="AJ284" s="107"/>
      <c r="AK284" s="107"/>
      <c r="AL284" s="107"/>
      <c r="AM284" s="110"/>
      <c r="AN284" s="840"/>
      <c r="AO284" s="832"/>
      <c r="AP284" s="875"/>
      <c r="AQ284" s="875"/>
      <c r="AR284" s="875"/>
      <c r="AS284" s="776"/>
      <c r="AT284" s="776"/>
      <c r="AZ284" s="92"/>
      <c r="BA284" s="105"/>
      <c r="BB284">
        <f t="shared" si="4"/>
        <v>1</v>
      </c>
    </row>
    <row r="285" spans="1:54">
      <c r="A285" s="834" t="s">
        <v>2342</v>
      </c>
      <c r="B285" s="834">
        <v>282</v>
      </c>
      <c r="C285" s="834" t="s">
        <v>3484</v>
      </c>
      <c r="D285" s="834" t="s">
        <v>798</v>
      </c>
      <c r="E285" s="852">
        <v>46055</v>
      </c>
      <c r="F285" s="834" t="s">
        <v>140</v>
      </c>
      <c r="G285" s="834">
        <v>4</v>
      </c>
      <c r="H285" s="834" t="s">
        <v>127</v>
      </c>
      <c r="I285" s="834"/>
      <c r="J285" s="834"/>
      <c r="K285" s="136"/>
      <c r="L285" s="834"/>
      <c r="M285" s="834"/>
      <c r="N285" s="834"/>
      <c r="O285" s="834"/>
      <c r="P285" s="834" t="s">
        <v>113</v>
      </c>
      <c r="Q285" s="848" t="s">
        <v>30</v>
      </c>
      <c r="R285" s="848">
        <v>46059</v>
      </c>
      <c r="S285" s="852" t="s">
        <v>67</v>
      </c>
      <c r="T285" s="852" t="s">
        <v>32</v>
      </c>
      <c r="U285" s="834">
        <v>4</v>
      </c>
      <c r="V285" s="852" t="s">
        <v>67</v>
      </c>
      <c r="W285" s="848">
        <v>46059</v>
      </c>
      <c r="X285" s="80" t="s">
        <v>113</v>
      </c>
      <c r="Y285" s="80" t="s">
        <v>113</v>
      </c>
      <c r="Z285" s="80" t="s">
        <v>113</v>
      </c>
      <c r="AA285" s="96"/>
      <c r="AB285" s="91"/>
      <c r="AC285" s="96"/>
      <c r="AD285" s="96"/>
      <c r="AE285" s="96"/>
      <c r="AF285" s="96"/>
      <c r="AG285" s="96"/>
      <c r="AH285" s="96"/>
      <c r="AI285" s="110"/>
      <c r="AJ285" s="110"/>
      <c r="AK285" s="110"/>
      <c r="AL285" s="110"/>
      <c r="AM285" s="110"/>
      <c r="AN285" s="840"/>
      <c r="AO285" s="832"/>
      <c r="AP285" s="875"/>
      <c r="AQ285" s="875"/>
      <c r="AR285" s="875"/>
      <c r="AS285" s="776"/>
      <c r="AT285" s="776"/>
      <c r="AZ285" s="105"/>
      <c r="BA285" s="105"/>
      <c r="BB285">
        <f t="shared" si="4"/>
        <v>1</v>
      </c>
    </row>
    <row r="286" spans="1:54">
      <c r="A286" s="834" t="s">
        <v>2342</v>
      </c>
      <c r="B286" s="834">
        <v>283</v>
      </c>
      <c r="C286" s="834" t="s">
        <v>3485</v>
      </c>
      <c r="D286" s="834" t="s">
        <v>1008</v>
      </c>
      <c r="E286" s="852">
        <v>46062.041666666664</v>
      </c>
      <c r="F286" s="834" t="s">
        <v>140</v>
      </c>
      <c r="G286" s="834">
        <v>4</v>
      </c>
      <c r="H286" s="834" t="s">
        <v>127</v>
      </c>
      <c r="I286" s="834"/>
      <c r="J286" s="834"/>
      <c r="K286" s="136"/>
      <c r="L286" s="834"/>
      <c r="M286" s="834"/>
      <c r="N286" s="834"/>
      <c r="O286" s="834"/>
      <c r="P286" s="834" t="s">
        <v>113</v>
      </c>
      <c r="Q286" s="848" t="s">
        <v>30</v>
      </c>
      <c r="R286" s="848">
        <v>46106</v>
      </c>
      <c r="S286" s="852" t="s">
        <v>3337</v>
      </c>
      <c r="T286" s="852" t="s">
        <v>32</v>
      </c>
      <c r="U286" s="834">
        <v>4</v>
      </c>
      <c r="V286" s="852" t="s">
        <v>3337</v>
      </c>
      <c r="W286" s="848">
        <v>46106</v>
      </c>
      <c r="X286" s="80" t="s">
        <v>113</v>
      </c>
      <c r="Y286" s="80" t="s">
        <v>113</v>
      </c>
      <c r="Z286" s="80" t="s">
        <v>113</v>
      </c>
      <c r="AA286" s="96"/>
      <c r="AB286" s="96"/>
      <c r="AC286" s="96"/>
      <c r="AD286" s="96"/>
      <c r="AE286" s="96"/>
      <c r="AF286" s="96"/>
      <c r="AG286" s="96"/>
      <c r="AH286" s="96"/>
      <c r="AI286" s="110"/>
      <c r="AJ286" s="110"/>
      <c r="AK286" s="107"/>
      <c r="AL286" s="107"/>
      <c r="AM286" s="110"/>
      <c r="AN286" s="840"/>
      <c r="AO286" s="832"/>
      <c r="AP286" s="875"/>
      <c r="AQ286" s="875"/>
      <c r="AR286" s="875"/>
      <c r="AS286" s="776"/>
      <c r="AT286" s="776"/>
      <c r="BA286" s="105"/>
      <c r="BB286">
        <f t="shared" si="4"/>
        <v>1</v>
      </c>
    </row>
    <row r="287" spans="1:54">
      <c r="A287" s="834" t="s">
        <v>2342</v>
      </c>
      <c r="B287" s="834">
        <v>284</v>
      </c>
      <c r="C287" s="884" t="s">
        <v>3486</v>
      </c>
      <c r="D287" s="884" t="s">
        <v>829</v>
      </c>
      <c r="E287" s="885">
        <v>46062</v>
      </c>
      <c r="F287" s="884" t="s">
        <v>140</v>
      </c>
      <c r="G287" s="884">
        <v>24</v>
      </c>
      <c r="H287" s="834" t="s">
        <v>3487</v>
      </c>
      <c r="I287" s="834"/>
      <c r="J287" s="834"/>
      <c r="K287" s="136"/>
      <c r="L287" s="834"/>
      <c r="M287" s="834"/>
      <c r="N287" s="834"/>
      <c r="O287" s="834"/>
      <c r="P287" s="834" t="s">
        <v>113</v>
      </c>
      <c r="Q287" s="90" t="s">
        <v>30</v>
      </c>
      <c r="R287" s="848">
        <v>46112</v>
      </c>
      <c r="S287" s="852" t="s">
        <v>47</v>
      </c>
      <c r="T287" s="852" t="s">
        <v>32</v>
      </c>
      <c r="U287" s="834">
        <v>24</v>
      </c>
      <c r="V287" s="852"/>
      <c r="W287" s="848">
        <v>46112</v>
      </c>
      <c r="X287" s="80" t="s">
        <v>113</v>
      </c>
      <c r="Y287" s="80" t="s">
        <v>113</v>
      </c>
      <c r="Z287" s="80" t="s">
        <v>113</v>
      </c>
      <c r="AA287" s="96"/>
      <c r="AB287" s="91"/>
      <c r="AC287" s="96"/>
      <c r="AD287" s="96"/>
      <c r="AE287" s="96"/>
      <c r="AF287" s="96"/>
      <c r="AG287" s="96"/>
      <c r="AH287" s="96"/>
      <c r="AI287" s="110"/>
      <c r="AJ287" s="110"/>
      <c r="AK287" s="110"/>
      <c r="AL287" s="107"/>
      <c r="AM287" s="110"/>
      <c r="AN287" s="840"/>
      <c r="AO287" s="832"/>
      <c r="AP287" s="875"/>
      <c r="AQ287" s="875"/>
      <c r="AR287" s="875"/>
      <c r="AS287" s="776"/>
      <c r="AT287" s="776"/>
      <c r="AZ287" s="135"/>
      <c r="BA287" s="135"/>
      <c r="BB287">
        <f t="shared" si="4"/>
        <v>1</v>
      </c>
    </row>
    <row r="288" spans="1:54">
      <c r="A288" s="834" t="s">
        <v>2342</v>
      </c>
      <c r="B288" s="834">
        <v>285</v>
      </c>
      <c r="C288" s="834" t="s">
        <v>3488</v>
      </c>
      <c r="D288" s="834" t="s">
        <v>937</v>
      </c>
      <c r="E288" s="852">
        <v>46062.041666666664</v>
      </c>
      <c r="F288" s="834" t="s">
        <v>140</v>
      </c>
      <c r="G288" s="834">
        <v>13</v>
      </c>
      <c r="H288" s="834" t="s">
        <v>3487</v>
      </c>
      <c r="I288" s="834"/>
      <c r="J288" s="834"/>
      <c r="K288" s="136"/>
      <c r="L288" s="834"/>
      <c r="M288" s="834"/>
      <c r="N288" s="834"/>
      <c r="O288" s="834"/>
      <c r="P288" s="834" t="s">
        <v>113</v>
      </c>
      <c r="Q288" s="848" t="s">
        <v>30</v>
      </c>
      <c r="R288" s="848">
        <v>46078</v>
      </c>
      <c r="S288" s="852" t="s">
        <v>47</v>
      </c>
      <c r="T288" s="852" t="s">
        <v>32</v>
      </c>
      <c r="U288" s="834">
        <v>10</v>
      </c>
      <c r="V288" s="852" t="s">
        <v>47</v>
      </c>
      <c r="W288" s="848">
        <v>46078</v>
      </c>
      <c r="X288" s="80" t="s">
        <v>113</v>
      </c>
      <c r="Y288" s="80" t="s">
        <v>113</v>
      </c>
      <c r="Z288" s="80" t="s">
        <v>113</v>
      </c>
      <c r="AA288" s="96"/>
      <c r="AB288" s="96"/>
      <c r="AC288" s="96"/>
      <c r="AD288" s="96"/>
      <c r="AE288" s="96"/>
      <c r="AF288" s="96"/>
      <c r="AG288" s="96"/>
      <c r="AH288" s="96"/>
      <c r="AI288" s="110"/>
      <c r="AJ288" s="110"/>
      <c r="AK288" s="110"/>
      <c r="AL288" s="107"/>
      <c r="AM288" s="110"/>
      <c r="AN288" s="840"/>
      <c r="AO288" s="832"/>
      <c r="AP288" s="875"/>
      <c r="AQ288" s="875"/>
      <c r="AR288" s="875"/>
      <c r="AS288" s="776"/>
      <c r="AT288" s="776"/>
      <c r="AZ288" s="105"/>
      <c r="BA288" s="105"/>
      <c r="BB288">
        <f t="shared" si="4"/>
        <v>1</v>
      </c>
    </row>
    <row r="289" spans="1:54">
      <c r="A289" s="834" t="s">
        <v>2342</v>
      </c>
      <c r="B289" s="834">
        <v>286</v>
      </c>
      <c r="C289" s="834" t="s">
        <v>3489</v>
      </c>
      <c r="D289" s="834" t="s">
        <v>779</v>
      </c>
      <c r="E289" s="852">
        <v>46062</v>
      </c>
      <c r="F289" s="834" t="s">
        <v>140</v>
      </c>
      <c r="G289" s="834">
        <v>2</v>
      </c>
      <c r="H289" s="834" t="s">
        <v>127</v>
      </c>
      <c r="I289" s="834"/>
      <c r="J289" s="834"/>
      <c r="K289" s="136"/>
      <c r="L289" s="834"/>
      <c r="M289" s="834"/>
      <c r="N289" s="834"/>
      <c r="O289" s="834"/>
      <c r="P289" s="834" t="s">
        <v>113</v>
      </c>
      <c r="Q289" s="848" t="s">
        <v>30</v>
      </c>
      <c r="R289" s="848">
        <v>46097</v>
      </c>
      <c r="S289" s="852" t="s">
        <v>47</v>
      </c>
      <c r="T289" s="852" t="s">
        <v>32</v>
      </c>
      <c r="U289" s="834">
        <v>2</v>
      </c>
      <c r="V289" s="852" t="s">
        <v>47</v>
      </c>
      <c r="W289" s="848">
        <v>46097</v>
      </c>
      <c r="X289" s="80" t="s">
        <v>113</v>
      </c>
      <c r="Y289" s="80" t="s">
        <v>113</v>
      </c>
      <c r="Z289" s="80" t="s">
        <v>113</v>
      </c>
      <c r="AA289" s="96"/>
      <c r="AB289" s="96"/>
      <c r="AC289" s="96"/>
      <c r="AD289" s="96"/>
      <c r="AE289" s="96"/>
      <c r="AF289" s="96"/>
      <c r="AG289" s="96"/>
      <c r="AH289" s="96"/>
      <c r="AI289" s="110"/>
      <c r="AJ289" s="110"/>
      <c r="AK289" s="110"/>
      <c r="AL289" s="107"/>
      <c r="AM289" s="110"/>
      <c r="AN289" s="840"/>
      <c r="AO289" s="832"/>
      <c r="AP289" s="875"/>
      <c r="AQ289" s="875"/>
      <c r="AR289" s="875"/>
      <c r="AS289" s="776"/>
      <c r="AT289" s="776"/>
      <c r="AZ289" s="105"/>
      <c r="BA289" s="105"/>
      <c r="BB289">
        <f t="shared" si="4"/>
        <v>1</v>
      </c>
    </row>
    <row r="290" spans="1:54">
      <c r="A290" s="834" t="s">
        <v>2342</v>
      </c>
      <c r="B290" s="834">
        <v>287</v>
      </c>
      <c r="C290" s="834" t="s">
        <v>3490</v>
      </c>
      <c r="D290" s="834" t="s">
        <v>3491</v>
      </c>
      <c r="E290" s="852">
        <v>46062.041666666664</v>
      </c>
      <c r="F290" s="834" t="s">
        <v>140</v>
      </c>
      <c r="G290" s="834">
        <v>5</v>
      </c>
      <c r="H290" s="834" t="s">
        <v>3492</v>
      </c>
      <c r="I290" s="834"/>
      <c r="J290" s="834"/>
      <c r="K290" s="136"/>
      <c r="L290" s="834"/>
      <c r="M290" s="834"/>
      <c r="N290" s="834"/>
      <c r="O290" s="834"/>
      <c r="P290" s="834" t="s">
        <v>113</v>
      </c>
      <c r="Q290" s="848" t="s">
        <v>30</v>
      </c>
      <c r="R290" s="848">
        <v>46107</v>
      </c>
      <c r="S290" s="852" t="s">
        <v>3337</v>
      </c>
      <c r="T290" s="852" t="s">
        <v>32</v>
      </c>
      <c r="U290" s="834">
        <v>5</v>
      </c>
      <c r="V290" s="852" t="s">
        <v>3337</v>
      </c>
      <c r="W290" s="848">
        <v>46107</v>
      </c>
      <c r="X290" s="80" t="s">
        <v>113</v>
      </c>
      <c r="Y290" s="80" t="s">
        <v>113</v>
      </c>
      <c r="Z290" s="80" t="s">
        <v>113</v>
      </c>
      <c r="AA290" s="91"/>
      <c r="AB290" s="91"/>
      <c r="AC290" s="91"/>
      <c r="AD290" s="96"/>
      <c r="AE290" s="96"/>
      <c r="AF290" s="96"/>
      <c r="AG290" s="96"/>
      <c r="AH290" s="96"/>
      <c r="AI290" s="110"/>
      <c r="AJ290" s="96"/>
      <c r="AK290" s="96"/>
      <c r="AL290" s="96"/>
      <c r="AM290" s="110"/>
      <c r="AN290" s="840"/>
      <c r="AO290" s="832"/>
      <c r="AP290" s="875"/>
      <c r="AQ290" s="875"/>
      <c r="AR290" s="875"/>
      <c r="AS290" s="776"/>
      <c r="AT290" s="776"/>
      <c r="BA290" s="105"/>
      <c r="BB290">
        <f t="shared" si="4"/>
        <v>1</v>
      </c>
    </row>
    <row r="291" spans="1:54">
      <c r="A291" s="834" t="s">
        <v>2342</v>
      </c>
      <c r="B291" s="834">
        <v>288</v>
      </c>
      <c r="C291" s="834" t="s">
        <v>3493</v>
      </c>
      <c r="D291" s="834" t="s">
        <v>1887</v>
      </c>
      <c r="E291" s="852">
        <v>46062.041666666664</v>
      </c>
      <c r="F291" s="834" t="s">
        <v>140</v>
      </c>
      <c r="G291" s="834">
        <v>4</v>
      </c>
      <c r="H291" s="834" t="s">
        <v>127</v>
      </c>
      <c r="I291" s="834"/>
      <c r="J291" s="834"/>
      <c r="K291" s="136"/>
      <c r="L291" s="834"/>
      <c r="M291" s="834"/>
      <c r="N291" s="834"/>
      <c r="O291" s="834"/>
      <c r="P291" s="834" t="s">
        <v>113</v>
      </c>
      <c r="Q291" s="848" t="s">
        <v>30</v>
      </c>
      <c r="R291" s="848">
        <v>46106</v>
      </c>
      <c r="S291" s="852" t="s">
        <v>47</v>
      </c>
      <c r="T291" s="852" t="s">
        <v>32</v>
      </c>
      <c r="U291" s="834">
        <v>4</v>
      </c>
      <c r="V291" s="852" t="s">
        <v>47</v>
      </c>
      <c r="W291" s="848">
        <v>46106</v>
      </c>
      <c r="X291" s="80" t="s">
        <v>113</v>
      </c>
      <c r="Y291" s="80" t="s">
        <v>113</v>
      </c>
      <c r="Z291" s="80" t="s">
        <v>113</v>
      </c>
      <c r="AA291" s="96"/>
      <c r="AB291" s="96"/>
      <c r="AC291" s="96"/>
      <c r="AD291" s="96"/>
      <c r="AE291" s="96"/>
      <c r="AF291" s="96"/>
      <c r="AG291" s="96"/>
      <c r="AH291" s="96"/>
      <c r="AI291" s="110"/>
      <c r="AJ291" s="107"/>
      <c r="AK291" s="107"/>
      <c r="AL291" s="107"/>
      <c r="AM291" s="110"/>
      <c r="AN291" s="840"/>
      <c r="AO291" s="832"/>
      <c r="AP291" s="875"/>
      <c r="AQ291" s="875"/>
      <c r="AR291" s="875"/>
      <c r="AS291" s="776"/>
      <c r="AT291" s="776"/>
      <c r="AZ291" s="71"/>
      <c r="BA291" s="105"/>
      <c r="BB291">
        <f t="shared" si="4"/>
        <v>1</v>
      </c>
    </row>
    <row r="292" spans="1:54">
      <c r="A292" s="834" t="s">
        <v>2342</v>
      </c>
      <c r="B292" s="834">
        <v>289</v>
      </c>
      <c r="C292" s="834" t="s">
        <v>3494</v>
      </c>
      <c r="D292" s="834" t="s">
        <v>3495</v>
      </c>
      <c r="E292" s="852">
        <v>46062.041666666664</v>
      </c>
      <c r="F292" s="834" t="s">
        <v>140</v>
      </c>
      <c r="G292" s="834">
        <v>8</v>
      </c>
      <c r="H292" s="847" t="s">
        <v>3492</v>
      </c>
      <c r="I292" s="834"/>
      <c r="J292" s="834"/>
      <c r="K292" s="136"/>
      <c r="L292" s="834"/>
      <c r="M292" s="834"/>
      <c r="N292" s="834"/>
      <c r="O292" s="834"/>
      <c r="P292" s="834" t="s">
        <v>113</v>
      </c>
      <c r="Q292" s="848" t="s">
        <v>30</v>
      </c>
      <c r="R292" s="852">
        <v>46106</v>
      </c>
      <c r="S292" s="852" t="s">
        <v>47</v>
      </c>
      <c r="T292" s="852" t="s">
        <v>32</v>
      </c>
      <c r="U292" s="834">
        <v>8</v>
      </c>
      <c r="V292" s="852" t="s">
        <v>47</v>
      </c>
      <c r="W292" s="848">
        <v>46106</v>
      </c>
      <c r="X292" s="80" t="s">
        <v>113</v>
      </c>
      <c r="Y292" s="80" t="s">
        <v>113</v>
      </c>
      <c r="Z292" s="80" t="s">
        <v>113</v>
      </c>
      <c r="AA292" s="96"/>
      <c r="AB292" s="96"/>
      <c r="AC292" s="96"/>
      <c r="AD292" s="96"/>
      <c r="AE292" s="96"/>
      <c r="AF292" s="96"/>
      <c r="AG292" s="96"/>
      <c r="AH292" s="96"/>
      <c r="AI292" s="110"/>
      <c r="AJ292" s="110"/>
      <c r="AK292" s="110"/>
      <c r="AL292" s="110"/>
      <c r="AM292" s="110"/>
      <c r="AN292" s="840"/>
      <c r="AO292" s="832"/>
      <c r="AP292" s="875"/>
      <c r="AQ292" s="875"/>
      <c r="AR292" s="875"/>
      <c r="AS292" s="776"/>
      <c r="AT292" s="776"/>
      <c r="AZ292" s="92"/>
      <c r="BA292" s="105"/>
      <c r="BB292">
        <f t="shared" si="4"/>
        <v>1</v>
      </c>
    </row>
    <row r="293" spans="1:54">
      <c r="A293" s="834" t="s">
        <v>2342</v>
      </c>
      <c r="B293" s="834">
        <v>290</v>
      </c>
      <c r="C293" s="834" t="s">
        <v>3496</v>
      </c>
      <c r="D293" s="834" t="s">
        <v>1245</v>
      </c>
      <c r="E293" s="852">
        <v>46062.083333333336</v>
      </c>
      <c r="F293" s="834" t="s">
        <v>140</v>
      </c>
      <c r="G293" s="834">
        <v>7</v>
      </c>
      <c r="H293" s="834" t="s">
        <v>1077</v>
      </c>
      <c r="I293" s="834"/>
      <c r="J293" s="834"/>
      <c r="K293" s="136"/>
      <c r="L293" s="834"/>
      <c r="M293" s="834"/>
      <c r="N293" s="834"/>
      <c r="O293" s="834"/>
      <c r="P293" s="834" t="s">
        <v>113</v>
      </c>
      <c r="Q293" s="848" t="s">
        <v>30</v>
      </c>
      <c r="R293" s="848">
        <v>46106</v>
      </c>
      <c r="S293" s="852" t="s">
        <v>47</v>
      </c>
      <c r="T293" s="852" t="s">
        <v>32</v>
      </c>
      <c r="U293" s="834">
        <v>7</v>
      </c>
      <c r="V293" s="852" t="s">
        <v>47</v>
      </c>
      <c r="W293" s="848">
        <v>46106</v>
      </c>
      <c r="X293" s="80" t="s">
        <v>113</v>
      </c>
      <c r="Y293" s="80" t="s">
        <v>113</v>
      </c>
      <c r="Z293" s="80" t="s">
        <v>113</v>
      </c>
      <c r="AA293" s="96"/>
      <c r="AB293" s="96"/>
      <c r="AC293" s="96"/>
      <c r="AD293" s="96"/>
      <c r="AE293" s="96"/>
      <c r="AF293" s="96"/>
      <c r="AG293" s="96"/>
      <c r="AH293" s="96"/>
      <c r="AI293" s="110"/>
      <c r="AJ293" s="96"/>
      <c r="AK293" s="96"/>
      <c r="AL293" s="96"/>
      <c r="AM293" s="110"/>
      <c r="AN293" s="840"/>
      <c r="AO293" s="832"/>
      <c r="AP293" s="875"/>
      <c r="AQ293" s="875"/>
      <c r="AR293" s="875"/>
      <c r="AS293" s="776"/>
      <c r="AT293" s="776"/>
      <c r="BA293" s="105"/>
      <c r="BB293">
        <f t="shared" si="4"/>
        <v>1</v>
      </c>
    </row>
    <row r="294" spans="1:54">
      <c r="A294" s="834" t="s">
        <v>2342</v>
      </c>
      <c r="B294" s="834">
        <v>291</v>
      </c>
      <c r="C294" s="834" t="s">
        <v>3497</v>
      </c>
      <c r="D294" s="834" t="s">
        <v>3498</v>
      </c>
      <c r="E294" s="852">
        <v>46062.041666666664</v>
      </c>
      <c r="F294" s="834" t="s">
        <v>140</v>
      </c>
      <c r="G294" s="834">
        <v>1</v>
      </c>
      <c r="H294" s="847" t="s">
        <v>3056</v>
      </c>
      <c r="I294" s="834"/>
      <c r="J294" s="834"/>
      <c r="K294" s="136"/>
      <c r="L294" s="834"/>
      <c r="M294" s="834"/>
      <c r="N294" s="834"/>
      <c r="O294" s="834"/>
      <c r="P294" s="834" t="s">
        <v>113</v>
      </c>
      <c r="Q294" s="848" t="s">
        <v>30</v>
      </c>
      <c r="R294" s="848">
        <v>46107</v>
      </c>
      <c r="S294" s="852" t="s">
        <v>47</v>
      </c>
      <c r="T294" s="852" t="s">
        <v>32</v>
      </c>
      <c r="U294" s="834">
        <v>1</v>
      </c>
      <c r="V294" s="852" t="s">
        <v>47</v>
      </c>
      <c r="W294" s="848">
        <v>46107</v>
      </c>
      <c r="X294" s="80" t="s">
        <v>113</v>
      </c>
      <c r="Y294" s="80" t="s">
        <v>113</v>
      </c>
      <c r="Z294" s="80" t="s">
        <v>113</v>
      </c>
      <c r="AA294" s="96"/>
      <c r="AB294" s="96"/>
      <c r="AC294" s="96"/>
      <c r="AD294" s="96"/>
      <c r="AE294" s="96"/>
      <c r="AF294" s="96"/>
      <c r="AG294" s="96"/>
      <c r="AH294" s="96"/>
      <c r="AI294" s="110"/>
      <c r="AJ294" s="107"/>
      <c r="AK294" s="107"/>
      <c r="AL294" s="107"/>
      <c r="AM294" s="110"/>
      <c r="AN294" s="840"/>
      <c r="AO294" s="832"/>
      <c r="AP294" s="875"/>
      <c r="AQ294" s="875"/>
      <c r="AR294" s="875"/>
      <c r="AS294" s="776"/>
      <c r="AT294" s="776"/>
      <c r="BA294" s="105"/>
      <c r="BB294">
        <f t="shared" si="4"/>
        <v>1</v>
      </c>
    </row>
    <row r="295" spans="1:54">
      <c r="A295" s="834" t="s">
        <v>2342</v>
      </c>
      <c r="B295" s="834">
        <v>292</v>
      </c>
      <c r="C295" s="834" t="s">
        <v>3499</v>
      </c>
      <c r="D295" s="834" t="s">
        <v>798</v>
      </c>
      <c r="E295" s="852">
        <v>46062</v>
      </c>
      <c r="F295" s="834" t="s">
        <v>140</v>
      </c>
      <c r="G295" s="834">
        <v>1</v>
      </c>
      <c r="H295" s="847" t="s">
        <v>1077</v>
      </c>
      <c r="I295" s="834"/>
      <c r="J295" s="834"/>
      <c r="K295" s="136"/>
      <c r="L295" s="834"/>
      <c r="M295" s="834"/>
      <c r="N295" s="834"/>
      <c r="O295" s="834"/>
      <c r="P295" s="834" t="s">
        <v>113</v>
      </c>
      <c r="Q295" s="848" t="s">
        <v>30</v>
      </c>
      <c r="R295" s="848">
        <v>46107</v>
      </c>
      <c r="S295" s="852" t="s">
        <v>47</v>
      </c>
      <c r="T295" s="852" t="s">
        <v>32</v>
      </c>
      <c r="U295" s="834">
        <v>1</v>
      </c>
      <c r="V295" s="852" t="s">
        <v>47</v>
      </c>
      <c r="W295" s="848">
        <v>46107</v>
      </c>
      <c r="X295" s="80" t="s">
        <v>113</v>
      </c>
      <c r="Y295" s="80" t="s">
        <v>113</v>
      </c>
      <c r="Z295" s="80" t="s">
        <v>113</v>
      </c>
      <c r="AA295" s="96"/>
      <c r="AB295" s="96"/>
      <c r="AC295" s="96"/>
      <c r="AD295" s="96"/>
      <c r="AE295" s="96"/>
      <c r="AF295" s="96"/>
      <c r="AG295" s="96"/>
      <c r="AH295" s="96"/>
      <c r="AI295" s="110"/>
      <c r="AJ295" s="96"/>
      <c r="AK295" s="96"/>
      <c r="AL295" s="96"/>
      <c r="AM295" s="110"/>
      <c r="AN295" s="840"/>
      <c r="AO295" s="832"/>
      <c r="AP295" s="875"/>
      <c r="AQ295" s="875"/>
      <c r="AR295" s="875"/>
      <c r="AS295" s="776"/>
      <c r="AT295" s="776"/>
      <c r="BA295" s="105"/>
      <c r="BB295">
        <f t="shared" si="4"/>
        <v>1</v>
      </c>
    </row>
    <row r="296" spans="1:54">
      <c r="A296" s="834" t="s">
        <v>2342</v>
      </c>
      <c r="B296" s="834">
        <v>293</v>
      </c>
      <c r="C296" s="834" t="s">
        <v>3500</v>
      </c>
      <c r="D296" s="834" t="s">
        <v>3501</v>
      </c>
      <c r="E296" s="852">
        <v>46062.041666666664</v>
      </c>
      <c r="F296" s="834" t="s">
        <v>140</v>
      </c>
      <c r="G296" s="834">
        <v>2</v>
      </c>
      <c r="H296" s="847" t="s">
        <v>3056</v>
      </c>
      <c r="I296" s="834"/>
      <c r="J296" s="834"/>
      <c r="K296" s="136"/>
      <c r="L296" s="834"/>
      <c r="M296" s="834"/>
      <c r="N296" s="834"/>
      <c r="O296" s="834"/>
      <c r="P296" s="834" t="s">
        <v>113</v>
      </c>
      <c r="Q296" s="848" t="s">
        <v>30</v>
      </c>
      <c r="R296" s="848">
        <v>46107</v>
      </c>
      <c r="S296" s="852" t="s">
        <v>47</v>
      </c>
      <c r="T296" s="852" t="s">
        <v>32</v>
      </c>
      <c r="U296" s="834">
        <v>2</v>
      </c>
      <c r="V296" s="852" t="s">
        <v>47</v>
      </c>
      <c r="W296" s="848">
        <v>46107</v>
      </c>
      <c r="X296" s="80" t="s">
        <v>113</v>
      </c>
      <c r="Y296" s="80" t="s">
        <v>113</v>
      </c>
      <c r="Z296" s="80" t="s">
        <v>113</v>
      </c>
      <c r="AA296" s="96"/>
      <c r="AB296" s="96"/>
      <c r="AC296" s="96"/>
      <c r="AD296" s="96"/>
      <c r="AE296" s="96"/>
      <c r="AF296" s="96"/>
      <c r="AG296" s="96"/>
      <c r="AH296" s="96"/>
      <c r="AI296" s="110"/>
      <c r="AJ296" s="110"/>
      <c r="AK296" s="110"/>
      <c r="AL296" s="110"/>
      <c r="AM296" s="110"/>
      <c r="AN296" s="840"/>
      <c r="AO296" s="832"/>
      <c r="AP296" s="875"/>
      <c r="AQ296" s="875"/>
      <c r="AR296" s="875"/>
      <c r="AS296" s="776"/>
      <c r="AT296" s="776"/>
      <c r="AZ296" s="92"/>
      <c r="BA296" s="105"/>
      <c r="BB296">
        <f t="shared" si="4"/>
        <v>1</v>
      </c>
    </row>
    <row r="297" spans="1:54">
      <c r="A297" s="834" t="s">
        <v>2342</v>
      </c>
      <c r="B297" s="834">
        <v>294</v>
      </c>
      <c r="C297" s="884" t="s">
        <v>3502</v>
      </c>
      <c r="D297" s="884" t="s">
        <v>3503</v>
      </c>
      <c r="E297" s="885">
        <v>46062</v>
      </c>
      <c r="F297" s="884" t="s">
        <v>140</v>
      </c>
      <c r="G297" s="884">
        <v>1</v>
      </c>
      <c r="H297" s="847" t="s">
        <v>1721</v>
      </c>
      <c r="I297" s="834"/>
      <c r="J297" s="834"/>
      <c r="K297" s="136"/>
      <c r="L297" s="834"/>
      <c r="M297" s="834"/>
      <c r="N297" s="834"/>
      <c r="O297" s="834"/>
      <c r="P297" s="834" t="s">
        <v>113</v>
      </c>
      <c r="Q297" s="90" t="s">
        <v>30</v>
      </c>
      <c r="R297" s="848">
        <v>46112</v>
      </c>
      <c r="S297" s="852" t="s">
        <v>47</v>
      </c>
      <c r="T297" s="852" t="s">
        <v>32</v>
      </c>
      <c r="U297" s="834">
        <v>1</v>
      </c>
      <c r="V297" s="852"/>
      <c r="W297" s="848">
        <v>46112</v>
      </c>
      <c r="X297" s="80" t="s">
        <v>113</v>
      </c>
      <c r="Y297" s="80" t="s">
        <v>113</v>
      </c>
      <c r="Z297" s="80" t="s">
        <v>113</v>
      </c>
      <c r="AA297" s="96"/>
      <c r="AB297" s="96"/>
      <c r="AC297" s="96"/>
      <c r="AD297" s="96"/>
      <c r="AE297" s="96"/>
      <c r="AF297" s="96"/>
      <c r="AG297" s="96"/>
      <c r="AH297" s="96"/>
      <c r="AI297" s="110"/>
      <c r="AJ297" s="96"/>
      <c r="AK297" s="96"/>
      <c r="AL297" s="96"/>
      <c r="AM297" s="110"/>
      <c r="AN297" s="840"/>
      <c r="AO297" s="832"/>
      <c r="AP297" s="875"/>
      <c r="AQ297" s="875"/>
      <c r="AR297" s="875"/>
      <c r="AS297" s="776"/>
      <c r="AT297" s="776"/>
      <c r="BA297" s="105"/>
      <c r="BB297">
        <f t="shared" si="4"/>
        <v>1</v>
      </c>
    </row>
    <row r="298" spans="1:54">
      <c r="A298" s="834" t="s">
        <v>2342</v>
      </c>
      <c r="B298" s="834">
        <v>295</v>
      </c>
      <c r="C298" s="834" t="s">
        <v>3504</v>
      </c>
      <c r="D298" s="834" t="s">
        <v>3505</v>
      </c>
      <c r="E298" s="852">
        <v>46062.041666666664</v>
      </c>
      <c r="F298" s="834" t="s">
        <v>140</v>
      </c>
      <c r="G298" s="834">
        <v>12</v>
      </c>
      <c r="H298" s="847" t="s">
        <v>3056</v>
      </c>
      <c r="I298" s="834"/>
      <c r="J298" s="834"/>
      <c r="K298" s="136"/>
      <c r="L298" s="834"/>
      <c r="M298" s="834"/>
      <c r="N298" s="834"/>
      <c r="O298" s="834"/>
      <c r="P298" s="834" t="s">
        <v>113</v>
      </c>
      <c r="Q298" s="848" t="s">
        <v>30</v>
      </c>
      <c r="R298" s="848">
        <v>46107</v>
      </c>
      <c r="S298" s="852" t="s">
        <v>47</v>
      </c>
      <c r="T298" s="852" t="s">
        <v>32</v>
      </c>
      <c r="U298" s="834">
        <v>12</v>
      </c>
      <c r="V298" s="852" t="s">
        <v>47</v>
      </c>
      <c r="W298" s="848">
        <v>46107</v>
      </c>
      <c r="X298" s="80" t="s">
        <v>113</v>
      </c>
      <c r="Y298" s="80" t="s">
        <v>113</v>
      </c>
      <c r="Z298" s="80" t="s">
        <v>113</v>
      </c>
      <c r="AA298" s="96"/>
      <c r="AB298" s="96"/>
      <c r="AC298" s="96"/>
      <c r="AD298" s="96"/>
      <c r="AE298" s="96"/>
      <c r="AF298" s="96"/>
      <c r="AG298" s="96"/>
      <c r="AH298" s="96"/>
      <c r="AI298" s="110"/>
      <c r="AJ298" s="110"/>
      <c r="AK298" s="110"/>
      <c r="AL298" s="110"/>
      <c r="AM298" s="110"/>
      <c r="AN298" s="840"/>
      <c r="AO298" s="832"/>
      <c r="AP298" s="875"/>
      <c r="AQ298" s="875"/>
      <c r="AR298" s="875"/>
      <c r="AS298" s="776"/>
      <c r="AT298" s="776"/>
      <c r="BA298" s="105"/>
      <c r="BB298">
        <f t="shared" si="4"/>
        <v>1</v>
      </c>
    </row>
    <row r="299" spans="1:54">
      <c r="A299" s="834" t="s">
        <v>2342</v>
      </c>
      <c r="B299" s="834">
        <v>296</v>
      </c>
      <c r="C299" s="834" t="s">
        <v>3506</v>
      </c>
      <c r="D299" s="834" t="s">
        <v>3507</v>
      </c>
      <c r="E299" s="852">
        <v>46062.375</v>
      </c>
      <c r="F299" s="834" t="s">
        <v>140</v>
      </c>
      <c r="G299" s="834">
        <v>7</v>
      </c>
      <c r="H299" s="847" t="s">
        <v>1077</v>
      </c>
      <c r="I299" s="834"/>
      <c r="J299" s="834"/>
      <c r="K299" s="136"/>
      <c r="L299" s="834"/>
      <c r="M299" s="834"/>
      <c r="N299" s="834"/>
      <c r="O299" s="834"/>
      <c r="P299" s="834" t="s">
        <v>113</v>
      </c>
      <c r="Q299" s="834" t="s">
        <v>30</v>
      </c>
      <c r="R299" s="848">
        <v>46107</v>
      </c>
      <c r="S299" s="852" t="s">
        <v>47</v>
      </c>
      <c r="T299" s="852" t="s">
        <v>32</v>
      </c>
      <c r="U299" s="834">
        <v>7</v>
      </c>
      <c r="V299" s="852" t="s">
        <v>47</v>
      </c>
      <c r="W299" s="848">
        <v>46107</v>
      </c>
      <c r="X299" s="80" t="s">
        <v>113</v>
      </c>
      <c r="Y299" s="80" t="s">
        <v>113</v>
      </c>
      <c r="Z299" s="80" t="s">
        <v>113</v>
      </c>
      <c r="AA299" s="96"/>
      <c r="AB299" s="96"/>
      <c r="AC299" s="96"/>
      <c r="AD299" s="96"/>
      <c r="AE299" s="96"/>
      <c r="AF299" s="96"/>
      <c r="AG299" s="96"/>
      <c r="AH299" s="96"/>
      <c r="AI299" s="110"/>
      <c r="AJ299" s="110"/>
      <c r="AK299" s="110"/>
      <c r="AL299" s="110"/>
      <c r="AM299" s="110"/>
      <c r="AN299" s="840"/>
      <c r="AO299" s="832"/>
      <c r="AP299" s="875"/>
      <c r="AQ299" s="875"/>
      <c r="AR299" s="875"/>
      <c r="AS299" s="776"/>
      <c r="AT299" s="776"/>
      <c r="BA299" s="105"/>
      <c r="BB299">
        <f t="shared" si="4"/>
        <v>1</v>
      </c>
    </row>
    <row r="300" spans="1:54">
      <c r="A300" s="834" t="s">
        <v>2342</v>
      </c>
      <c r="B300" s="834">
        <v>297</v>
      </c>
      <c r="C300" s="834" t="s">
        <v>3508</v>
      </c>
      <c r="D300" s="834" t="s">
        <v>1366</v>
      </c>
      <c r="E300" s="852">
        <v>46062.125</v>
      </c>
      <c r="F300" s="834" t="s">
        <v>140</v>
      </c>
      <c r="G300" s="834">
        <v>6</v>
      </c>
      <c r="H300" s="847" t="s">
        <v>3056</v>
      </c>
      <c r="I300" s="834"/>
      <c r="J300" s="834"/>
      <c r="K300" s="136"/>
      <c r="L300" s="834"/>
      <c r="M300" s="834"/>
      <c r="N300" s="834"/>
      <c r="O300" s="834"/>
      <c r="P300" s="834" t="s">
        <v>113</v>
      </c>
      <c r="Q300" s="834" t="s">
        <v>30</v>
      </c>
      <c r="R300" s="848">
        <v>46106</v>
      </c>
      <c r="S300" s="852" t="s">
        <v>3337</v>
      </c>
      <c r="T300" s="852" t="s">
        <v>32</v>
      </c>
      <c r="U300" s="834">
        <v>6</v>
      </c>
      <c r="V300" s="852" t="s">
        <v>3337</v>
      </c>
      <c r="W300" s="848">
        <v>46106</v>
      </c>
      <c r="X300" s="80" t="s">
        <v>113</v>
      </c>
      <c r="Y300" s="80" t="s">
        <v>113</v>
      </c>
      <c r="Z300" s="80" t="s">
        <v>113</v>
      </c>
      <c r="AA300" s="96"/>
      <c r="AB300" s="96"/>
      <c r="AC300" s="96"/>
      <c r="AD300" s="96"/>
      <c r="AE300" s="96"/>
      <c r="AF300" s="96"/>
      <c r="AG300" s="96"/>
      <c r="AH300" s="96"/>
      <c r="AI300" s="110"/>
      <c r="AJ300" s="107"/>
      <c r="AK300" s="107"/>
      <c r="AL300" s="107"/>
      <c r="AM300" s="110"/>
      <c r="AN300" s="840"/>
      <c r="AO300" s="832"/>
      <c r="AP300" s="875"/>
      <c r="AQ300" s="875"/>
      <c r="AR300" s="875"/>
      <c r="AS300" s="776"/>
      <c r="AT300" s="776"/>
      <c r="BA300" s="105"/>
      <c r="BB300">
        <f t="shared" si="4"/>
        <v>1</v>
      </c>
    </row>
    <row r="301" spans="1:54">
      <c r="A301" s="834" t="s">
        <v>2342</v>
      </c>
      <c r="B301" s="834">
        <v>298</v>
      </c>
      <c r="C301" s="834" t="s">
        <v>3509</v>
      </c>
      <c r="D301" s="834" t="s">
        <v>3510</v>
      </c>
      <c r="E301" s="852">
        <v>46062</v>
      </c>
      <c r="F301" s="834" t="s">
        <v>140</v>
      </c>
      <c r="G301" s="834">
        <v>6</v>
      </c>
      <c r="H301" s="847" t="s">
        <v>1721</v>
      </c>
      <c r="I301" s="834"/>
      <c r="J301" s="834"/>
      <c r="K301" s="136"/>
      <c r="L301" s="834"/>
      <c r="M301" s="834"/>
      <c r="N301" s="834"/>
      <c r="O301" s="834"/>
      <c r="P301" s="834" t="s">
        <v>113</v>
      </c>
      <c r="Q301" s="834" t="s">
        <v>30</v>
      </c>
      <c r="R301" s="848">
        <v>46107</v>
      </c>
      <c r="S301" s="852" t="s">
        <v>3337</v>
      </c>
      <c r="T301" s="852" t="s">
        <v>32</v>
      </c>
      <c r="U301" s="834">
        <v>6</v>
      </c>
      <c r="V301" s="852" t="s">
        <v>3337</v>
      </c>
      <c r="W301" s="848">
        <v>46107</v>
      </c>
      <c r="X301" s="80" t="s">
        <v>113</v>
      </c>
      <c r="Y301" s="80" t="s">
        <v>113</v>
      </c>
      <c r="Z301" s="80" t="s">
        <v>113</v>
      </c>
      <c r="AA301" s="96"/>
      <c r="AB301" s="96"/>
      <c r="AC301" s="96"/>
      <c r="AD301" s="96"/>
      <c r="AE301" s="96"/>
      <c r="AF301" s="96"/>
      <c r="AG301" s="96"/>
      <c r="AH301" s="96"/>
      <c r="AI301" s="110"/>
      <c r="AJ301" s="107"/>
      <c r="AK301" s="107"/>
      <c r="AL301" s="107"/>
      <c r="AM301" s="110"/>
      <c r="AN301" s="840"/>
      <c r="AO301" s="832"/>
      <c r="AP301" s="875"/>
      <c r="AQ301" s="875"/>
      <c r="AR301" s="875"/>
      <c r="AS301" s="776"/>
      <c r="AT301" s="776"/>
      <c r="AZ301" s="105"/>
      <c r="BA301" s="105"/>
      <c r="BB301">
        <f t="shared" si="4"/>
        <v>1</v>
      </c>
    </row>
    <row r="302" spans="1:54">
      <c r="A302" s="834" t="s">
        <v>2342</v>
      </c>
      <c r="B302" s="834">
        <v>299</v>
      </c>
      <c r="C302" s="834" t="s">
        <v>3511</v>
      </c>
      <c r="D302" s="834" t="s">
        <v>3512</v>
      </c>
      <c r="E302" s="852">
        <v>46069.375</v>
      </c>
      <c r="F302" s="834" t="s">
        <v>140</v>
      </c>
      <c r="G302" s="834">
        <v>8</v>
      </c>
      <c r="H302" s="834" t="s">
        <v>1721</v>
      </c>
      <c r="I302" s="834"/>
      <c r="J302" s="834"/>
      <c r="K302" s="136"/>
      <c r="L302" s="834"/>
      <c r="M302" s="834"/>
      <c r="N302" s="834"/>
      <c r="O302" s="834"/>
      <c r="P302" s="834" t="s">
        <v>113</v>
      </c>
      <c r="Q302" s="834" t="s">
        <v>30</v>
      </c>
      <c r="R302" s="848">
        <v>46107</v>
      </c>
      <c r="S302" s="852" t="s">
        <v>3337</v>
      </c>
      <c r="T302" s="852" t="s">
        <v>32</v>
      </c>
      <c r="U302" s="834">
        <v>8</v>
      </c>
      <c r="V302" s="852" t="s">
        <v>3337</v>
      </c>
      <c r="W302" s="848">
        <v>46107</v>
      </c>
      <c r="X302" s="80" t="s">
        <v>113</v>
      </c>
      <c r="Y302" s="80" t="s">
        <v>113</v>
      </c>
      <c r="Z302" s="80" t="s">
        <v>113</v>
      </c>
      <c r="AA302" s="96"/>
      <c r="AB302" s="91"/>
      <c r="AC302" s="96"/>
      <c r="AD302" s="96"/>
      <c r="AE302" s="96"/>
      <c r="AF302" s="96"/>
      <c r="AG302" s="96"/>
      <c r="AH302" s="96"/>
      <c r="AI302" s="110"/>
      <c r="AJ302" s="107"/>
      <c r="AK302" s="107"/>
      <c r="AL302" s="107"/>
      <c r="AM302" s="110"/>
      <c r="AN302" s="840"/>
      <c r="AO302" s="832"/>
      <c r="AP302" s="875"/>
      <c r="AQ302" s="875"/>
      <c r="AR302" s="875"/>
      <c r="AS302" s="776"/>
      <c r="AT302" s="776"/>
      <c r="BA302" s="105"/>
      <c r="BB302">
        <f t="shared" si="4"/>
        <v>1</v>
      </c>
    </row>
    <row r="303" spans="1:54">
      <c r="A303" s="834" t="s">
        <v>2342</v>
      </c>
      <c r="B303" s="834">
        <v>300</v>
      </c>
      <c r="C303" s="834" t="s">
        <v>3513</v>
      </c>
      <c r="D303" s="834" t="s">
        <v>846</v>
      </c>
      <c r="E303" s="852">
        <v>46069</v>
      </c>
      <c r="F303" s="834" t="s">
        <v>140</v>
      </c>
      <c r="G303" s="834">
        <v>2</v>
      </c>
      <c r="H303" s="834" t="s">
        <v>127</v>
      </c>
      <c r="I303" s="834"/>
      <c r="J303" s="834"/>
      <c r="K303" s="136"/>
      <c r="L303" s="834"/>
      <c r="M303" s="834"/>
      <c r="N303" s="848"/>
      <c r="O303" s="834"/>
      <c r="P303" s="834" t="s">
        <v>113</v>
      </c>
      <c r="Q303" s="848" t="s">
        <v>30</v>
      </c>
      <c r="R303" s="848">
        <v>46070</v>
      </c>
      <c r="S303" s="852" t="s">
        <v>3337</v>
      </c>
      <c r="T303" s="834" t="s">
        <v>32</v>
      </c>
      <c r="U303" s="834">
        <v>2</v>
      </c>
      <c r="V303" s="852" t="s">
        <v>3337</v>
      </c>
      <c r="W303" s="848">
        <v>46070</v>
      </c>
      <c r="X303" s="80" t="s">
        <v>113</v>
      </c>
      <c r="Y303" s="80" t="s">
        <v>113</v>
      </c>
      <c r="Z303" s="80" t="s">
        <v>113</v>
      </c>
      <c r="AA303" s="96"/>
      <c r="AB303" s="96"/>
      <c r="AC303" s="96"/>
      <c r="AD303" s="96"/>
      <c r="AE303" s="96"/>
      <c r="AF303" s="96"/>
      <c r="AG303" s="96"/>
      <c r="AH303" s="96"/>
      <c r="AI303" s="110"/>
      <c r="AJ303" s="96"/>
      <c r="AK303" s="96"/>
      <c r="AL303" s="96"/>
      <c r="AM303" s="110"/>
      <c r="AN303" s="840"/>
      <c r="AO303" s="832"/>
      <c r="AP303" s="875"/>
      <c r="AQ303" s="875"/>
      <c r="AR303" s="875"/>
      <c r="AS303" s="776"/>
      <c r="AT303" s="776"/>
      <c r="AZ303" s="92"/>
      <c r="BA303" s="105"/>
      <c r="BB303">
        <f t="shared" si="4"/>
        <v>1</v>
      </c>
    </row>
    <row r="304" spans="1:54">
      <c r="A304" s="834" t="s">
        <v>2342</v>
      </c>
      <c r="B304" s="834">
        <v>301</v>
      </c>
      <c r="C304" s="834" t="s">
        <v>3514</v>
      </c>
      <c r="D304" s="834" t="s">
        <v>523</v>
      </c>
      <c r="E304" s="852">
        <v>46069.375</v>
      </c>
      <c r="F304" s="834" t="s">
        <v>140</v>
      </c>
      <c r="G304" s="834">
        <v>3</v>
      </c>
      <c r="H304" s="834" t="s">
        <v>3056</v>
      </c>
      <c r="I304" s="834"/>
      <c r="J304" s="834"/>
      <c r="K304" s="136"/>
      <c r="L304" s="834"/>
      <c r="M304" s="834"/>
      <c r="N304" s="848"/>
      <c r="O304" s="834"/>
      <c r="P304" s="834" t="s">
        <v>113</v>
      </c>
      <c r="Q304" s="848" t="s">
        <v>30</v>
      </c>
      <c r="R304" s="848">
        <v>46108</v>
      </c>
      <c r="S304" s="852" t="s">
        <v>3337</v>
      </c>
      <c r="T304" s="834" t="s">
        <v>32</v>
      </c>
      <c r="U304" s="834">
        <v>3</v>
      </c>
      <c r="V304" s="852" t="s">
        <v>3337</v>
      </c>
      <c r="W304" s="848">
        <v>46108</v>
      </c>
      <c r="X304" s="80" t="s">
        <v>113</v>
      </c>
      <c r="Y304" s="80" t="s">
        <v>113</v>
      </c>
      <c r="Z304" s="80" t="s">
        <v>113</v>
      </c>
      <c r="AA304" s="96"/>
      <c r="AB304" s="96"/>
      <c r="AC304" s="96"/>
      <c r="AD304" s="96"/>
      <c r="AE304" s="96"/>
      <c r="AF304" s="96"/>
      <c r="AG304" s="96"/>
      <c r="AH304" s="96"/>
      <c r="AI304" s="110"/>
      <c r="AJ304" s="110"/>
      <c r="AK304" s="110"/>
      <c r="AL304" s="107"/>
      <c r="AM304" s="110"/>
      <c r="AN304" s="840"/>
      <c r="AO304" s="832"/>
      <c r="AP304" s="875"/>
      <c r="AQ304" s="875"/>
      <c r="AR304" s="875"/>
      <c r="AS304" s="776"/>
      <c r="AT304" s="776"/>
      <c r="AZ304" s="92"/>
      <c r="BA304" s="105"/>
      <c r="BB304">
        <f t="shared" si="4"/>
        <v>1</v>
      </c>
    </row>
    <row r="305" spans="1:54">
      <c r="A305" s="834" t="s">
        <v>2342</v>
      </c>
      <c r="B305" s="834">
        <v>302</v>
      </c>
      <c r="C305" s="834" t="s">
        <v>3515</v>
      </c>
      <c r="D305" s="834" t="s">
        <v>1516</v>
      </c>
      <c r="E305" s="852">
        <v>46069.083333333336</v>
      </c>
      <c r="F305" s="834" t="s">
        <v>140</v>
      </c>
      <c r="G305" s="834">
        <v>2</v>
      </c>
      <c r="H305" s="834" t="s">
        <v>3056</v>
      </c>
      <c r="I305" s="834"/>
      <c r="J305" s="834"/>
      <c r="K305" s="136"/>
      <c r="L305" s="834"/>
      <c r="M305" s="834"/>
      <c r="N305" s="834"/>
      <c r="O305" s="834"/>
      <c r="P305" s="834" t="s">
        <v>113</v>
      </c>
      <c r="Q305" s="848" t="s">
        <v>30</v>
      </c>
      <c r="R305" s="848">
        <v>46108</v>
      </c>
      <c r="S305" s="852" t="s">
        <v>3337</v>
      </c>
      <c r="T305" s="834" t="s">
        <v>32</v>
      </c>
      <c r="U305" s="834">
        <v>2</v>
      </c>
      <c r="V305" s="852" t="s">
        <v>3337</v>
      </c>
      <c r="W305" s="848">
        <v>46108</v>
      </c>
      <c r="X305" s="80" t="s">
        <v>113</v>
      </c>
      <c r="Y305" s="80" t="s">
        <v>113</v>
      </c>
      <c r="Z305" s="80" t="s">
        <v>113</v>
      </c>
      <c r="AA305" s="96"/>
      <c r="AB305" s="91"/>
      <c r="AC305" s="96"/>
      <c r="AD305" s="96"/>
      <c r="AE305" s="96"/>
      <c r="AF305" s="96"/>
      <c r="AG305" s="96"/>
      <c r="AH305" s="96"/>
      <c r="AI305" s="110"/>
      <c r="AJ305" s="96"/>
      <c r="AK305" s="96"/>
      <c r="AL305" s="96"/>
      <c r="AM305" s="110"/>
      <c r="AN305" s="840"/>
      <c r="AO305" s="832"/>
      <c r="AP305" s="875"/>
      <c r="AQ305" s="875"/>
      <c r="AR305" s="875"/>
      <c r="AS305" s="776"/>
      <c r="AT305" s="776"/>
      <c r="AZ305" s="92"/>
      <c r="BA305" s="105"/>
      <c r="BB305">
        <f t="shared" si="4"/>
        <v>1</v>
      </c>
    </row>
    <row r="306" spans="1:54">
      <c r="A306" s="834" t="s">
        <v>2342</v>
      </c>
      <c r="B306" s="834">
        <v>303</v>
      </c>
      <c r="C306" s="834" t="s">
        <v>3516</v>
      </c>
      <c r="D306" s="834" t="s">
        <v>3517</v>
      </c>
      <c r="E306" s="852">
        <v>46069.041666666664</v>
      </c>
      <c r="F306" s="834" t="s">
        <v>140</v>
      </c>
      <c r="G306" s="834">
        <v>30</v>
      </c>
      <c r="H306" s="834" t="s">
        <v>1786</v>
      </c>
      <c r="I306" s="834"/>
      <c r="J306" s="834"/>
      <c r="K306" s="136"/>
      <c r="L306" s="834"/>
      <c r="M306" s="834"/>
      <c r="N306" s="834"/>
      <c r="O306" s="834"/>
      <c r="P306" s="834" t="s">
        <v>113</v>
      </c>
      <c r="Q306" s="848" t="s">
        <v>30</v>
      </c>
      <c r="R306" s="848">
        <v>46099</v>
      </c>
      <c r="S306" s="852" t="s">
        <v>1638</v>
      </c>
      <c r="T306" s="834" t="s">
        <v>32</v>
      </c>
      <c r="U306" s="834">
        <v>30</v>
      </c>
      <c r="V306" s="852" t="s">
        <v>1638</v>
      </c>
      <c r="W306" s="848">
        <v>46099</v>
      </c>
      <c r="X306" s="80" t="s">
        <v>113</v>
      </c>
      <c r="Y306" s="80" t="s">
        <v>113</v>
      </c>
      <c r="Z306" s="80" t="s">
        <v>113</v>
      </c>
      <c r="AA306" s="96"/>
      <c r="AB306" s="96"/>
      <c r="AC306" s="96"/>
      <c r="AD306" s="96"/>
      <c r="AE306" s="96"/>
      <c r="AF306" s="96"/>
      <c r="AG306" s="96"/>
      <c r="AH306" s="96"/>
      <c r="AI306" s="110"/>
      <c r="AJ306" s="107"/>
      <c r="AK306" s="107"/>
      <c r="AL306" s="107"/>
      <c r="AM306" s="110"/>
      <c r="AN306" s="840"/>
      <c r="AO306" s="832"/>
      <c r="AP306" s="875"/>
      <c r="AQ306" s="875"/>
      <c r="AR306" s="875"/>
      <c r="AS306" s="776"/>
      <c r="AT306" s="776"/>
      <c r="AZ306" s="135"/>
      <c r="BA306" s="135"/>
      <c r="BB306">
        <f t="shared" si="4"/>
        <v>1</v>
      </c>
    </row>
    <row r="307" spans="1:54">
      <c r="A307" s="834" t="s">
        <v>2342</v>
      </c>
      <c r="B307" s="834">
        <v>304</v>
      </c>
      <c r="C307" s="834" t="s">
        <v>3518</v>
      </c>
      <c r="D307" s="834" t="s">
        <v>955</v>
      </c>
      <c r="E307" s="852">
        <v>46069.125</v>
      </c>
      <c r="F307" s="834" t="s">
        <v>140</v>
      </c>
      <c r="G307" s="834">
        <v>2</v>
      </c>
      <c r="H307" s="834" t="s">
        <v>1077</v>
      </c>
      <c r="I307" s="834"/>
      <c r="J307" s="834"/>
      <c r="K307" s="136"/>
      <c r="L307" s="834"/>
      <c r="M307" s="834"/>
      <c r="N307" s="834"/>
      <c r="O307" s="834"/>
      <c r="P307" s="834" t="s">
        <v>113</v>
      </c>
      <c r="Q307" s="848" t="s">
        <v>30</v>
      </c>
      <c r="R307" s="848">
        <v>46108</v>
      </c>
      <c r="S307" s="852" t="s">
        <v>3337</v>
      </c>
      <c r="T307" s="834" t="s">
        <v>32</v>
      </c>
      <c r="U307" s="834">
        <v>2</v>
      </c>
      <c r="V307" s="852" t="s">
        <v>3337</v>
      </c>
      <c r="W307" s="848">
        <v>46108</v>
      </c>
      <c r="X307" s="80" t="s">
        <v>113</v>
      </c>
      <c r="Y307" s="80" t="s">
        <v>113</v>
      </c>
      <c r="Z307" s="80" t="s">
        <v>113</v>
      </c>
      <c r="AA307" s="96"/>
      <c r="AB307" s="96"/>
      <c r="AC307" s="96"/>
      <c r="AD307" s="96"/>
      <c r="AE307" s="96"/>
      <c r="AF307" s="96"/>
      <c r="AG307" s="96"/>
      <c r="AH307" s="96"/>
      <c r="AI307" s="110"/>
      <c r="AJ307" s="118"/>
      <c r="AK307" s="118"/>
      <c r="AL307" s="118"/>
      <c r="AM307" s="110"/>
      <c r="AN307" s="840"/>
      <c r="AO307" s="832"/>
      <c r="AP307" s="875"/>
      <c r="AQ307" s="875"/>
      <c r="AR307" s="875"/>
      <c r="AS307" s="776"/>
      <c r="AT307" s="776"/>
      <c r="BA307" s="105"/>
      <c r="BB307">
        <f t="shared" si="4"/>
        <v>1</v>
      </c>
    </row>
    <row r="308" spans="1:54">
      <c r="A308" s="834" t="s">
        <v>2342</v>
      </c>
      <c r="B308" s="834">
        <v>305</v>
      </c>
      <c r="C308" s="834" t="s">
        <v>3519</v>
      </c>
      <c r="D308" s="834" t="s">
        <v>1184</v>
      </c>
      <c r="E308" s="852">
        <v>46069</v>
      </c>
      <c r="F308" s="834" t="s">
        <v>140</v>
      </c>
      <c r="G308" s="834">
        <v>8</v>
      </c>
      <c r="H308" s="847" t="s">
        <v>3492</v>
      </c>
      <c r="I308" s="834"/>
      <c r="J308" s="834"/>
      <c r="K308" s="136"/>
      <c r="L308" s="834"/>
      <c r="M308" s="834"/>
      <c r="N308" s="834"/>
      <c r="O308" s="834"/>
      <c r="P308" s="834" t="s">
        <v>113</v>
      </c>
      <c r="Q308" s="834" t="s">
        <v>30</v>
      </c>
      <c r="R308" s="848">
        <v>46107</v>
      </c>
      <c r="S308" s="852" t="s">
        <v>3337</v>
      </c>
      <c r="T308" s="834" t="s">
        <v>32</v>
      </c>
      <c r="U308" s="834">
        <v>8</v>
      </c>
      <c r="V308" s="852" t="s">
        <v>3337</v>
      </c>
      <c r="W308" s="848">
        <v>46107</v>
      </c>
      <c r="X308" s="80" t="s">
        <v>113</v>
      </c>
      <c r="Y308" s="80" t="s">
        <v>113</v>
      </c>
      <c r="Z308" s="80" t="s">
        <v>113</v>
      </c>
      <c r="AA308" s="96"/>
      <c r="AB308" s="91"/>
      <c r="AC308" s="96"/>
      <c r="AD308" s="96"/>
      <c r="AE308" s="96"/>
      <c r="AF308" s="96"/>
      <c r="AG308" s="96"/>
      <c r="AH308" s="96"/>
      <c r="AI308" s="110"/>
      <c r="AJ308" s="118"/>
      <c r="AK308" s="118"/>
      <c r="AL308" s="118"/>
      <c r="AM308" s="110"/>
      <c r="AN308" s="840"/>
      <c r="AO308" s="832"/>
      <c r="AP308" s="875"/>
      <c r="AQ308" s="875"/>
      <c r="AR308" s="875"/>
      <c r="AS308" s="776"/>
      <c r="AT308" s="776"/>
      <c r="AZ308" s="92"/>
      <c r="BA308" s="105"/>
      <c r="BB308">
        <f t="shared" si="4"/>
        <v>1</v>
      </c>
    </row>
    <row r="309" spans="1:54">
      <c r="A309" s="834" t="s">
        <v>2342</v>
      </c>
      <c r="B309" s="834">
        <v>306</v>
      </c>
      <c r="C309" s="834" t="s">
        <v>3520</v>
      </c>
      <c r="D309" s="834" t="s">
        <v>818</v>
      </c>
      <c r="E309" s="852">
        <v>46069</v>
      </c>
      <c r="F309" s="834" t="s">
        <v>140</v>
      </c>
      <c r="G309" s="834">
        <v>4</v>
      </c>
      <c r="H309" s="847" t="s">
        <v>3056</v>
      </c>
      <c r="I309" s="834"/>
      <c r="J309" s="834"/>
      <c r="K309" s="136"/>
      <c r="L309" s="834"/>
      <c r="M309" s="834"/>
      <c r="N309" s="834"/>
      <c r="O309" s="834"/>
      <c r="P309" s="834" t="s">
        <v>113</v>
      </c>
      <c r="Q309" s="848" t="s">
        <v>30</v>
      </c>
      <c r="R309" s="848">
        <v>46108</v>
      </c>
      <c r="S309" s="852" t="s">
        <v>3337</v>
      </c>
      <c r="T309" s="834" t="s">
        <v>32</v>
      </c>
      <c r="U309" s="834">
        <v>4</v>
      </c>
      <c r="V309" s="852" t="s">
        <v>3337</v>
      </c>
      <c r="W309" s="848">
        <v>46108</v>
      </c>
      <c r="X309" s="80" t="s">
        <v>113</v>
      </c>
      <c r="Y309" s="80" t="s">
        <v>113</v>
      </c>
      <c r="Z309" s="80" t="s">
        <v>113</v>
      </c>
      <c r="AA309" s="103"/>
      <c r="AB309" s="103"/>
      <c r="AC309" s="103"/>
      <c r="AD309" s="96"/>
      <c r="AE309" s="96"/>
      <c r="AF309" s="96"/>
      <c r="AG309" s="96"/>
      <c r="AH309" s="96"/>
      <c r="AI309" s="110"/>
      <c r="AJ309" s="107"/>
      <c r="AK309" s="107"/>
      <c r="AL309" s="107"/>
      <c r="AM309" s="110"/>
      <c r="AN309" s="840"/>
      <c r="AO309" s="832"/>
      <c r="AP309" s="875"/>
      <c r="AQ309" s="875"/>
      <c r="AR309" s="875"/>
      <c r="AS309" s="776"/>
      <c r="AT309" s="776"/>
      <c r="AZ309" s="92"/>
      <c r="BA309" s="105"/>
      <c r="BB309">
        <f t="shared" si="4"/>
        <v>1</v>
      </c>
    </row>
    <row r="310" spans="1:54">
      <c r="A310" s="834" t="s">
        <v>2342</v>
      </c>
      <c r="B310" s="834">
        <v>307</v>
      </c>
      <c r="C310" s="834" t="s">
        <v>3521</v>
      </c>
      <c r="D310" s="834" t="s">
        <v>539</v>
      </c>
      <c r="E310" s="852">
        <v>46069.375</v>
      </c>
      <c r="F310" s="834" t="s">
        <v>140</v>
      </c>
      <c r="G310" s="834">
        <v>2</v>
      </c>
      <c r="H310" s="847" t="s">
        <v>1721</v>
      </c>
      <c r="I310" s="834"/>
      <c r="J310" s="834"/>
      <c r="K310" s="136"/>
      <c r="L310" s="834"/>
      <c r="M310" s="834"/>
      <c r="N310" s="834"/>
      <c r="O310" s="834"/>
      <c r="P310" s="834" t="s">
        <v>113</v>
      </c>
      <c r="Q310" s="834" t="s">
        <v>30</v>
      </c>
      <c r="R310" s="848">
        <v>46107</v>
      </c>
      <c r="S310" s="852" t="s">
        <v>3337</v>
      </c>
      <c r="T310" s="834" t="s">
        <v>32</v>
      </c>
      <c r="U310" s="834">
        <v>2</v>
      </c>
      <c r="V310" s="852" t="s">
        <v>3337</v>
      </c>
      <c r="W310" s="848">
        <v>46107</v>
      </c>
      <c r="X310" s="80" t="s">
        <v>113</v>
      </c>
      <c r="Y310" s="80" t="s">
        <v>113</v>
      </c>
      <c r="Z310" s="80" t="s">
        <v>113</v>
      </c>
      <c r="AA310" s="96"/>
      <c r="AB310" s="96"/>
      <c r="AC310" s="96"/>
      <c r="AD310" s="96"/>
      <c r="AE310" s="96"/>
      <c r="AF310" s="96"/>
      <c r="AG310" s="96"/>
      <c r="AH310" s="96"/>
      <c r="AI310" s="110"/>
      <c r="AJ310" s="110"/>
      <c r="AK310" s="110"/>
      <c r="AL310" s="110"/>
      <c r="AM310" s="110"/>
      <c r="AN310" s="840"/>
      <c r="AO310" s="832"/>
      <c r="AP310" s="875"/>
      <c r="AQ310" s="875"/>
      <c r="AR310" s="875"/>
      <c r="AS310" s="776"/>
      <c r="AT310" s="776"/>
      <c r="AZ310" s="92"/>
      <c r="BA310" s="105"/>
      <c r="BB310">
        <f t="shared" si="4"/>
        <v>1</v>
      </c>
    </row>
    <row r="311" spans="1:54">
      <c r="A311" s="834" t="s">
        <v>2342</v>
      </c>
      <c r="B311" s="834">
        <v>308</v>
      </c>
      <c r="C311" s="834" t="s">
        <v>3522</v>
      </c>
      <c r="D311" s="834" t="s">
        <v>1567</v>
      </c>
      <c r="E311" s="852">
        <v>46069.125</v>
      </c>
      <c r="F311" s="834" t="s">
        <v>140</v>
      </c>
      <c r="G311" s="834">
        <v>3</v>
      </c>
      <c r="H311" s="847" t="s">
        <v>3056</v>
      </c>
      <c r="I311" s="834"/>
      <c r="J311" s="834"/>
      <c r="K311" s="136"/>
      <c r="L311" s="834"/>
      <c r="M311" s="834"/>
      <c r="N311" s="834"/>
      <c r="O311" s="834"/>
      <c r="P311" s="834" t="s">
        <v>113</v>
      </c>
      <c r="Q311" s="848" t="s">
        <v>30</v>
      </c>
      <c r="R311" s="848">
        <v>46108</v>
      </c>
      <c r="S311" s="852" t="s">
        <v>3337</v>
      </c>
      <c r="T311" s="834" t="s">
        <v>32</v>
      </c>
      <c r="U311" s="834">
        <v>3</v>
      </c>
      <c r="V311" s="852" t="s">
        <v>3337</v>
      </c>
      <c r="W311" s="848">
        <v>46108</v>
      </c>
      <c r="X311" s="80" t="s">
        <v>113</v>
      </c>
      <c r="Y311" s="80" t="s">
        <v>113</v>
      </c>
      <c r="Z311" s="80" t="s">
        <v>113</v>
      </c>
      <c r="AA311" s="96"/>
      <c r="AB311" s="96"/>
      <c r="AC311" s="96"/>
      <c r="AD311" s="96"/>
      <c r="AE311" s="96"/>
      <c r="AF311" s="96"/>
      <c r="AG311" s="96"/>
      <c r="AH311" s="96"/>
      <c r="AI311" s="110"/>
      <c r="AJ311" s="96"/>
      <c r="AK311" s="96"/>
      <c r="AL311" s="96"/>
      <c r="AM311" s="110"/>
      <c r="AN311" s="840"/>
      <c r="AO311" s="832"/>
      <c r="AP311" s="875"/>
      <c r="AQ311" s="875"/>
      <c r="AR311" s="875"/>
      <c r="AS311" s="776"/>
      <c r="AT311" s="776"/>
      <c r="AZ311" s="105"/>
      <c r="BA311" s="105"/>
      <c r="BB311">
        <f t="shared" si="4"/>
        <v>1</v>
      </c>
    </row>
    <row r="312" spans="1:54">
      <c r="A312" s="834" t="s">
        <v>2342</v>
      </c>
      <c r="B312" s="834">
        <v>309</v>
      </c>
      <c r="C312" s="834" t="s">
        <v>3523</v>
      </c>
      <c r="D312" s="834" t="s">
        <v>519</v>
      </c>
      <c r="E312" s="852">
        <v>46069.041666666664</v>
      </c>
      <c r="F312" s="834" t="s">
        <v>140</v>
      </c>
      <c r="G312" s="834">
        <v>2</v>
      </c>
      <c r="H312" s="847" t="s">
        <v>3056</v>
      </c>
      <c r="I312" s="834"/>
      <c r="J312" s="834"/>
      <c r="K312" s="136"/>
      <c r="L312" s="834"/>
      <c r="M312" s="834"/>
      <c r="N312" s="834"/>
      <c r="O312" s="834"/>
      <c r="P312" s="834" t="s">
        <v>113</v>
      </c>
      <c r="Q312" s="848" t="s">
        <v>30</v>
      </c>
      <c r="R312" s="848">
        <v>46108</v>
      </c>
      <c r="S312" s="852" t="s">
        <v>3337</v>
      </c>
      <c r="T312" s="834" t="s">
        <v>32</v>
      </c>
      <c r="U312" s="834">
        <v>2</v>
      </c>
      <c r="V312" s="852" t="s">
        <v>3337</v>
      </c>
      <c r="W312" s="848">
        <v>46108</v>
      </c>
      <c r="X312" s="80" t="s">
        <v>113</v>
      </c>
      <c r="Y312" s="80" t="s">
        <v>113</v>
      </c>
      <c r="Z312" s="80" t="s">
        <v>113</v>
      </c>
      <c r="AA312" s="96"/>
      <c r="AB312" s="103"/>
      <c r="AC312" s="96"/>
      <c r="AD312" s="96"/>
      <c r="AE312" s="96"/>
      <c r="AF312" s="96"/>
      <c r="AG312" s="96"/>
      <c r="AH312" s="96"/>
      <c r="AI312" s="110"/>
      <c r="AJ312" s="107"/>
      <c r="AK312" s="107"/>
      <c r="AL312" s="107"/>
      <c r="AM312" s="110"/>
      <c r="AN312" s="840"/>
      <c r="AO312" s="832"/>
      <c r="AP312" s="875"/>
      <c r="AQ312" s="875"/>
      <c r="AR312" s="875"/>
      <c r="AS312" s="776"/>
      <c r="AT312" s="776"/>
      <c r="AZ312" s="92"/>
      <c r="BA312" s="105"/>
      <c r="BB312">
        <f t="shared" si="4"/>
        <v>1</v>
      </c>
    </row>
    <row r="313" spans="1:54">
      <c r="A313" s="834" t="s">
        <v>2342</v>
      </c>
      <c r="B313" s="834">
        <v>310</v>
      </c>
      <c r="C313" s="834" t="s">
        <v>3524</v>
      </c>
      <c r="D313" s="834" t="s">
        <v>3525</v>
      </c>
      <c r="E313" s="852">
        <v>46069.041666666664</v>
      </c>
      <c r="F313" s="834" t="s">
        <v>140</v>
      </c>
      <c r="G313" s="834">
        <v>1</v>
      </c>
      <c r="H313" s="847" t="s">
        <v>3056</v>
      </c>
      <c r="I313" s="834"/>
      <c r="J313" s="834"/>
      <c r="K313" s="136"/>
      <c r="L313" s="834"/>
      <c r="M313" s="834"/>
      <c r="N313" s="834"/>
      <c r="O313" s="834"/>
      <c r="P313" s="834" t="s">
        <v>113</v>
      </c>
      <c r="Q313" s="848" t="s">
        <v>30</v>
      </c>
      <c r="R313" s="848">
        <v>46108</v>
      </c>
      <c r="S313" s="852" t="s">
        <v>3337</v>
      </c>
      <c r="T313" s="852" t="s">
        <v>32</v>
      </c>
      <c r="U313" s="834">
        <v>1</v>
      </c>
      <c r="V313" s="852" t="s">
        <v>3337</v>
      </c>
      <c r="W313" s="848">
        <v>46108</v>
      </c>
      <c r="X313" s="80" t="s">
        <v>113</v>
      </c>
      <c r="Y313" s="80" t="s">
        <v>113</v>
      </c>
      <c r="Z313" s="80" t="s">
        <v>113</v>
      </c>
      <c r="AA313" s="96"/>
      <c r="AB313" s="96"/>
      <c r="AC313" s="96"/>
      <c r="AD313" s="96"/>
      <c r="AE313" s="96"/>
      <c r="AF313" s="96"/>
      <c r="AG313" s="96"/>
      <c r="AH313" s="96"/>
      <c r="AI313" s="110"/>
      <c r="AJ313" s="110"/>
      <c r="AK313" s="110"/>
      <c r="AL313" s="110"/>
      <c r="AM313" s="110"/>
      <c r="AN313" s="840"/>
      <c r="AO313" s="832"/>
      <c r="AP313" s="875"/>
      <c r="AQ313" s="875"/>
      <c r="AR313" s="875"/>
      <c r="AS313" s="776"/>
      <c r="AT313" s="776"/>
      <c r="AZ313" s="92"/>
      <c r="BA313" s="105"/>
      <c r="BB313">
        <f t="shared" si="4"/>
        <v>1</v>
      </c>
    </row>
    <row r="314" spans="1:54">
      <c r="A314" s="834" t="s">
        <v>2342</v>
      </c>
      <c r="B314" s="834">
        <v>311</v>
      </c>
      <c r="C314" s="834" t="s">
        <v>3526</v>
      </c>
      <c r="D314" s="834" t="s">
        <v>798</v>
      </c>
      <c r="E314" s="852">
        <v>46069</v>
      </c>
      <c r="F314" s="834" t="s">
        <v>140</v>
      </c>
      <c r="G314" s="834">
        <v>5</v>
      </c>
      <c r="H314" s="847" t="s">
        <v>3056</v>
      </c>
      <c r="I314" s="834"/>
      <c r="J314" s="834"/>
      <c r="K314" s="136"/>
      <c r="L314" s="834"/>
      <c r="M314" s="834"/>
      <c r="N314" s="834"/>
      <c r="O314" s="834"/>
      <c r="P314" s="834" t="s">
        <v>113</v>
      </c>
      <c r="Q314" s="848" t="s">
        <v>30</v>
      </c>
      <c r="R314" s="848">
        <v>46079</v>
      </c>
      <c r="S314" s="852" t="s">
        <v>3337</v>
      </c>
      <c r="T314" s="852" t="s">
        <v>32</v>
      </c>
      <c r="U314" s="834">
        <v>5</v>
      </c>
      <c r="V314" s="852" t="s">
        <v>3337</v>
      </c>
      <c r="W314" s="848">
        <v>46079</v>
      </c>
      <c r="X314" s="80" t="s">
        <v>113</v>
      </c>
      <c r="Y314" s="80" t="s">
        <v>113</v>
      </c>
      <c r="Z314" s="80" t="s">
        <v>113</v>
      </c>
      <c r="AA314" s="96"/>
      <c r="AB314" s="96"/>
      <c r="AC314" s="96"/>
      <c r="AD314" s="96"/>
      <c r="AE314" s="96"/>
      <c r="AF314" s="96"/>
      <c r="AG314" s="96"/>
      <c r="AH314" s="96"/>
      <c r="AI314" s="110"/>
      <c r="AJ314" s="110"/>
      <c r="AK314" s="110"/>
      <c r="AL314" s="110"/>
      <c r="AM314" s="110"/>
      <c r="AN314" s="840"/>
      <c r="AO314" s="832"/>
      <c r="AP314" s="875"/>
      <c r="AQ314" s="875"/>
      <c r="AR314" s="875"/>
      <c r="AS314" s="776"/>
      <c r="AT314" s="776"/>
      <c r="AZ314" s="105"/>
      <c r="BA314" s="105"/>
      <c r="BB314">
        <f t="shared" si="4"/>
        <v>1</v>
      </c>
    </row>
    <row r="315" spans="1:54">
      <c r="A315" s="834" t="s">
        <v>2342</v>
      </c>
      <c r="B315" s="834">
        <v>312</v>
      </c>
      <c r="C315" s="834" t="s">
        <v>3527</v>
      </c>
      <c r="D315" s="834" t="s">
        <v>3501</v>
      </c>
      <c r="E315" s="852">
        <v>46069.041666666664</v>
      </c>
      <c r="F315" s="834" t="s">
        <v>140</v>
      </c>
      <c r="G315" s="834">
        <v>2</v>
      </c>
      <c r="H315" s="847" t="s">
        <v>3056</v>
      </c>
      <c r="I315" s="834"/>
      <c r="J315" s="834"/>
      <c r="K315" s="136"/>
      <c r="L315" s="834"/>
      <c r="M315" s="834"/>
      <c r="N315" s="834"/>
      <c r="O315" s="834"/>
      <c r="P315" s="834" t="s">
        <v>113</v>
      </c>
      <c r="Q315" s="848" t="s">
        <v>30</v>
      </c>
      <c r="R315" s="848">
        <v>46108</v>
      </c>
      <c r="S315" s="852" t="s">
        <v>3337</v>
      </c>
      <c r="T315" s="852" t="s">
        <v>32</v>
      </c>
      <c r="U315" s="834">
        <v>2</v>
      </c>
      <c r="V315" s="852" t="s">
        <v>3337</v>
      </c>
      <c r="W315" s="848">
        <v>46108</v>
      </c>
      <c r="X315" s="80" t="s">
        <v>113</v>
      </c>
      <c r="Y315" s="80" t="s">
        <v>113</v>
      </c>
      <c r="Z315" s="80" t="s">
        <v>113</v>
      </c>
      <c r="AA315" s="96"/>
      <c r="AB315" s="96"/>
      <c r="AC315" s="96"/>
      <c r="AD315" s="96"/>
      <c r="AE315" s="96"/>
      <c r="AF315" s="96"/>
      <c r="AG315" s="96"/>
      <c r="AH315" s="96"/>
      <c r="AI315" s="110"/>
      <c r="AJ315" s="96"/>
      <c r="AK315" s="96"/>
      <c r="AL315" s="96"/>
      <c r="AM315" s="110"/>
      <c r="AN315" s="840"/>
      <c r="AO315" s="832"/>
      <c r="AP315" s="875"/>
      <c r="AQ315" s="875"/>
      <c r="AR315" s="875"/>
      <c r="AS315" s="776"/>
      <c r="AT315" s="776"/>
      <c r="BA315" s="105"/>
      <c r="BB315">
        <f t="shared" si="4"/>
        <v>1</v>
      </c>
    </row>
    <row r="316" spans="1:54">
      <c r="A316" s="834" t="s">
        <v>2342</v>
      </c>
      <c r="B316" s="834">
        <v>313</v>
      </c>
      <c r="C316" s="834" t="s">
        <v>3528</v>
      </c>
      <c r="D316" s="834" t="s">
        <v>3260</v>
      </c>
      <c r="E316" s="852">
        <v>46069.041666666664</v>
      </c>
      <c r="F316" s="834" t="s">
        <v>140</v>
      </c>
      <c r="G316" s="834">
        <v>1</v>
      </c>
      <c r="H316" s="834" t="s">
        <v>127</v>
      </c>
      <c r="I316" s="834"/>
      <c r="J316" s="834"/>
      <c r="K316" s="136"/>
      <c r="L316" s="834"/>
      <c r="M316" s="834"/>
      <c r="N316" s="834"/>
      <c r="O316" s="834"/>
      <c r="P316" s="834" t="s">
        <v>113</v>
      </c>
      <c r="Q316" s="848" t="s">
        <v>30</v>
      </c>
      <c r="R316" s="848">
        <v>46108</v>
      </c>
      <c r="S316" s="852" t="s">
        <v>3337</v>
      </c>
      <c r="T316" s="852" t="s">
        <v>32</v>
      </c>
      <c r="U316" s="834">
        <v>1</v>
      </c>
      <c r="V316" s="852" t="s">
        <v>3337</v>
      </c>
      <c r="W316" s="848">
        <v>46108</v>
      </c>
      <c r="X316" s="80" t="s">
        <v>113</v>
      </c>
      <c r="Y316" s="80" t="s">
        <v>113</v>
      </c>
      <c r="Z316" s="80" t="s">
        <v>113</v>
      </c>
      <c r="AA316" s="103"/>
      <c r="AB316" s="103"/>
      <c r="AC316" s="103"/>
      <c r="AD316" s="96"/>
      <c r="AE316" s="96"/>
      <c r="AF316" s="96"/>
      <c r="AG316" s="96"/>
      <c r="AH316" s="96"/>
      <c r="AI316" s="110"/>
      <c r="AJ316" s="118"/>
      <c r="AK316" s="118"/>
      <c r="AL316" s="118"/>
      <c r="AM316" s="110"/>
      <c r="AN316" s="840"/>
      <c r="AO316" s="832"/>
      <c r="AP316" s="875"/>
      <c r="AQ316" s="875"/>
      <c r="AR316" s="875"/>
      <c r="AS316" s="776"/>
      <c r="AT316" s="776"/>
      <c r="AZ316" s="92"/>
      <c r="BA316" s="105"/>
      <c r="BB316">
        <f t="shared" si="4"/>
        <v>1</v>
      </c>
    </row>
    <row r="317" spans="1:54">
      <c r="A317" s="834" t="s">
        <v>2342</v>
      </c>
      <c r="B317" s="834">
        <v>314</v>
      </c>
      <c r="C317" s="834" t="s">
        <v>3529</v>
      </c>
      <c r="D317" s="834" t="s">
        <v>1025</v>
      </c>
      <c r="E317" s="852">
        <v>46069.041666666664</v>
      </c>
      <c r="F317" s="834" t="s">
        <v>140</v>
      </c>
      <c r="G317" s="834">
        <v>1</v>
      </c>
      <c r="H317" s="834" t="s">
        <v>3056</v>
      </c>
      <c r="I317" s="834"/>
      <c r="J317" s="834"/>
      <c r="K317" s="136"/>
      <c r="L317" s="834"/>
      <c r="M317" s="834"/>
      <c r="N317" s="834"/>
      <c r="O317" s="834"/>
      <c r="P317" s="834" t="s">
        <v>113</v>
      </c>
      <c r="Q317" s="90" t="s">
        <v>30</v>
      </c>
      <c r="R317" s="848">
        <v>46111</v>
      </c>
      <c r="S317" s="852" t="s">
        <v>3337</v>
      </c>
      <c r="T317" s="852" t="s">
        <v>32</v>
      </c>
      <c r="U317" s="834">
        <v>1</v>
      </c>
      <c r="V317" s="852"/>
      <c r="W317" s="848">
        <v>46111</v>
      </c>
      <c r="X317" s="80" t="s">
        <v>113</v>
      </c>
      <c r="Y317" s="80" t="s">
        <v>113</v>
      </c>
      <c r="Z317" s="80" t="s">
        <v>113</v>
      </c>
      <c r="AA317" s="96"/>
      <c r="AB317" s="96"/>
      <c r="AC317" s="96"/>
      <c r="AD317" s="96"/>
      <c r="AE317" s="96"/>
      <c r="AF317" s="96"/>
      <c r="AG317" s="96"/>
      <c r="AH317" s="96"/>
      <c r="AI317" s="110"/>
      <c r="AJ317" s="110"/>
      <c r="AK317" s="110"/>
      <c r="AL317" s="107"/>
      <c r="AM317" s="110"/>
      <c r="AN317" s="840"/>
      <c r="AO317" s="832"/>
      <c r="AP317" s="875"/>
      <c r="AQ317" s="875"/>
      <c r="AR317" s="875"/>
      <c r="AS317" s="776"/>
      <c r="AT317" s="776"/>
      <c r="BA317" s="105"/>
      <c r="BB317">
        <f t="shared" si="4"/>
        <v>1</v>
      </c>
    </row>
    <row r="318" spans="1:54">
      <c r="A318" s="834" t="s">
        <v>2342</v>
      </c>
      <c r="B318" s="834">
        <v>315</v>
      </c>
      <c r="C318" s="834" t="s">
        <v>3530</v>
      </c>
      <c r="D318" s="834" t="s">
        <v>1198</v>
      </c>
      <c r="E318" s="852">
        <v>46076.125</v>
      </c>
      <c r="F318" s="834" t="s">
        <v>140</v>
      </c>
      <c r="G318" s="834">
        <v>11</v>
      </c>
      <c r="H318" s="834" t="s">
        <v>3471</v>
      </c>
      <c r="I318" s="834"/>
      <c r="J318" s="834"/>
      <c r="K318" s="136"/>
      <c r="L318" s="834"/>
      <c r="M318" s="834"/>
      <c r="N318" s="834"/>
      <c r="O318" s="834"/>
      <c r="P318" s="834" t="s">
        <v>113</v>
      </c>
      <c r="Q318" s="848" t="s">
        <v>30</v>
      </c>
      <c r="R318" s="852">
        <v>46101</v>
      </c>
      <c r="S318" s="852" t="s">
        <v>3337</v>
      </c>
      <c r="T318" s="852" t="s">
        <v>32</v>
      </c>
      <c r="U318" s="834">
        <v>11</v>
      </c>
      <c r="V318" s="852" t="s">
        <v>3337</v>
      </c>
      <c r="W318" s="848">
        <v>46101</v>
      </c>
      <c r="X318" s="80" t="s">
        <v>113</v>
      </c>
      <c r="Y318" s="80" t="s">
        <v>113</v>
      </c>
      <c r="Z318" s="80" t="s">
        <v>113</v>
      </c>
      <c r="AA318" s="91"/>
      <c r="AB318" s="91"/>
      <c r="AC318" s="91"/>
      <c r="AD318" s="96"/>
      <c r="AE318" s="96"/>
      <c r="AF318" s="96"/>
      <c r="AG318" s="96"/>
      <c r="AH318" s="96"/>
      <c r="AI318" s="110"/>
      <c r="AJ318" s="96"/>
      <c r="AK318" s="96"/>
      <c r="AL318" s="96"/>
      <c r="AM318" s="110"/>
      <c r="AN318" s="840"/>
      <c r="AO318" s="832"/>
      <c r="AP318" s="875"/>
      <c r="AQ318" s="875"/>
      <c r="AR318" s="875"/>
      <c r="AS318" s="776"/>
      <c r="AT318" s="776"/>
      <c r="BA318" s="105"/>
      <c r="BB318">
        <f t="shared" si="4"/>
        <v>1</v>
      </c>
    </row>
    <row r="319" spans="1:54">
      <c r="A319" s="834" t="s">
        <v>2342</v>
      </c>
      <c r="B319" s="834">
        <v>316</v>
      </c>
      <c r="C319" s="834" t="s">
        <v>3531</v>
      </c>
      <c r="D319" s="834" t="s">
        <v>1184</v>
      </c>
      <c r="E319" s="852">
        <v>46076</v>
      </c>
      <c r="F319" s="834" t="s">
        <v>140</v>
      </c>
      <c r="G319" s="834">
        <v>5</v>
      </c>
      <c r="H319" s="834" t="s">
        <v>3056</v>
      </c>
      <c r="I319" s="834"/>
      <c r="J319" s="834"/>
      <c r="K319" s="136"/>
      <c r="L319" s="834"/>
      <c r="M319" s="834"/>
      <c r="N319" s="834"/>
      <c r="O319" s="834"/>
      <c r="P319" s="834" t="s">
        <v>113</v>
      </c>
      <c r="Q319" s="848" t="s">
        <v>30</v>
      </c>
      <c r="R319" s="852">
        <v>46099</v>
      </c>
      <c r="S319" s="852" t="s">
        <v>3337</v>
      </c>
      <c r="T319" s="852" t="s">
        <v>32</v>
      </c>
      <c r="U319" s="834">
        <v>5</v>
      </c>
      <c r="V319" s="852" t="s">
        <v>3337</v>
      </c>
      <c r="W319" s="848">
        <v>46099</v>
      </c>
      <c r="X319" s="80" t="s">
        <v>113</v>
      </c>
      <c r="Y319" s="80" t="s">
        <v>113</v>
      </c>
      <c r="Z319" s="80" t="s">
        <v>113</v>
      </c>
      <c r="AA319" s="96"/>
      <c r="AB319" s="96"/>
      <c r="AC319" s="96"/>
      <c r="AD319" s="96"/>
      <c r="AE319" s="96"/>
      <c r="AF319" s="96"/>
      <c r="AG319" s="96"/>
      <c r="AH319" s="96"/>
      <c r="AI319" s="110"/>
      <c r="AJ319" s="96"/>
      <c r="AK319" s="96"/>
      <c r="AL319" s="96"/>
      <c r="AM319" s="110"/>
      <c r="AN319" s="840"/>
      <c r="AO319" s="832"/>
      <c r="AP319" s="875"/>
      <c r="AQ319" s="875"/>
      <c r="AR319" s="875"/>
      <c r="AS319" s="776"/>
      <c r="AT319" s="776"/>
      <c r="BA319" s="105"/>
      <c r="BB319">
        <f t="shared" si="4"/>
        <v>1</v>
      </c>
    </row>
    <row r="320" spans="1:54">
      <c r="A320" s="834" t="s">
        <v>2342</v>
      </c>
      <c r="B320" s="834">
        <v>317</v>
      </c>
      <c r="C320" s="834" t="s">
        <v>3532</v>
      </c>
      <c r="D320" s="834" t="s">
        <v>937</v>
      </c>
      <c r="E320" s="852">
        <v>46076</v>
      </c>
      <c r="F320" s="834" t="s">
        <v>140</v>
      </c>
      <c r="G320" s="834">
        <v>41</v>
      </c>
      <c r="H320" s="834" t="s">
        <v>3056</v>
      </c>
      <c r="I320" s="834"/>
      <c r="J320" s="834"/>
      <c r="K320" s="136"/>
      <c r="L320" s="834"/>
      <c r="M320" s="834"/>
      <c r="N320" s="834"/>
      <c r="O320" s="834"/>
      <c r="P320" s="834" t="s">
        <v>113</v>
      </c>
      <c r="Q320" s="90" t="s">
        <v>30</v>
      </c>
      <c r="R320" s="848">
        <v>46112</v>
      </c>
      <c r="S320" s="852" t="s">
        <v>47</v>
      </c>
      <c r="T320" s="852" t="s">
        <v>32</v>
      </c>
      <c r="U320" s="834">
        <v>41</v>
      </c>
      <c r="V320" s="852"/>
      <c r="W320" s="848">
        <v>46112</v>
      </c>
      <c r="X320" s="80" t="s">
        <v>113</v>
      </c>
      <c r="Y320" s="80" t="s">
        <v>113</v>
      </c>
      <c r="Z320" s="80" t="s">
        <v>113</v>
      </c>
      <c r="AA320" s="96"/>
      <c r="AB320" s="96"/>
      <c r="AC320" s="96"/>
      <c r="AD320" s="96"/>
      <c r="AE320" s="96"/>
      <c r="AF320" s="96"/>
      <c r="AG320" s="96"/>
      <c r="AH320" s="96"/>
      <c r="AI320" s="110"/>
      <c r="AJ320" s="96"/>
      <c r="AK320" s="96"/>
      <c r="AL320" s="96"/>
      <c r="AM320" s="110"/>
      <c r="AN320" s="840"/>
      <c r="AO320" s="832"/>
      <c r="AP320" s="875"/>
      <c r="AQ320" s="875"/>
      <c r="AR320" s="875"/>
      <c r="AS320" s="776"/>
      <c r="AT320" s="776"/>
      <c r="AZ320" s="135"/>
      <c r="BA320" s="135"/>
      <c r="BB320">
        <f t="shared" si="4"/>
        <v>1</v>
      </c>
    </row>
    <row r="321" spans="1:54">
      <c r="A321" s="834" t="s">
        <v>2342</v>
      </c>
      <c r="B321" s="834">
        <v>318</v>
      </c>
      <c r="C321" s="834" t="s">
        <v>3533</v>
      </c>
      <c r="D321" s="834" t="s">
        <v>829</v>
      </c>
      <c r="E321" s="852">
        <v>46076</v>
      </c>
      <c r="F321" s="834" t="s">
        <v>140</v>
      </c>
      <c r="G321" s="834">
        <v>40</v>
      </c>
      <c r="H321" s="847" t="s">
        <v>3534</v>
      </c>
      <c r="I321" s="834"/>
      <c r="J321" s="834"/>
      <c r="K321" s="136"/>
      <c r="L321" s="834"/>
      <c r="M321" s="834"/>
      <c r="N321" s="834"/>
      <c r="O321" s="834"/>
      <c r="P321" s="834" t="s">
        <v>113</v>
      </c>
      <c r="Q321" s="848" t="s">
        <v>30</v>
      </c>
      <c r="R321" s="848">
        <v>46108</v>
      </c>
      <c r="S321" s="852" t="s">
        <v>1638</v>
      </c>
      <c r="T321" s="852" t="s">
        <v>32</v>
      </c>
      <c r="U321" s="834">
        <v>40</v>
      </c>
      <c r="V321" s="852" t="s">
        <v>1638</v>
      </c>
      <c r="W321" s="848">
        <v>46108</v>
      </c>
      <c r="X321" s="80" t="s">
        <v>113</v>
      </c>
      <c r="Y321" s="80" t="s">
        <v>113</v>
      </c>
      <c r="Z321" s="80" t="s">
        <v>113</v>
      </c>
      <c r="AA321" s="96"/>
      <c r="AB321" s="96"/>
      <c r="AC321" s="96"/>
      <c r="AD321" s="96"/>
      <c r="AE321" s="96"/>
      <c r="AF321" s="96"/>
      <c r="AG321" s="96"/>
      <c r="AH321" s="96"/>
      <c r="AI321" s="110"/>
      <c r="AJ321" s="96"/>
      <c r="AK321" s="96"/>
      <c r="AL321" s="96"/>
      <c r="AM321" s="110"/>
      <c r="AN321" s="840"/>
      <c r="AO321" s="832"/>
      <c r="AP321" s="875"/>
      <c r="AQ321" s="875"/>
      <c r="AR321" s="875"/>
      <c r="AS321" s="776"/>
      <c r="AT321" s="776"/>
      <c r="AZ321" s="135"/>
      <c r="BA321" s="135"/>
      <c r="BB321">
        <f t="shared" si="4"/>
        <v>1</v>
      </c>
    </row>
    <row r="322" spans="1:54">
      <c r="A322" s="834" t="s">
        <v>2342</v>
      </c>
      <c r="B322" s="834">
        <v>319</v>
      </c>
      <c r="C322" s="834" t="s">
        <v>3535</v>
      </c>
      <c r="D322" s="834" t="s">
        <v>1178</v>
      </c>
      <c r="E322" s="852">
        <v>46076.041666666664</v>
      </c>
      <c r="F322" s="834" t="s">
        <v>140</v>
      </c>
      <c r="G322" s="834">
        <v>19</v>
      </c>
      <c r="H322" s="847" t="s">
        <v>1843</v>
      </c>
      <c r="I322" s="834"/>
      <c r="J322" s="834"/>
      <c r="K322" s="136"/>
      <c r="L322" s="834"/>
      <c r="M322" s="834"/>
      <c r="N322" s="834"/>
      <c r="O322" s="848"/>
      <c r="P322" s="834" t="s">
        <v>113</v>
      </c>
      <c r="Q322" s="848" t="s">
        <v>30</v>
      </c>
      <c r="R322" s="848">
        <v>46108</v>
      </c>
      <c r="S322" s="852" t="s">
        <v>1638</v>
      </c>
      <c r="T322" s="852" t="s">
        <v>32</v>
      </c>
      <c r="U322" s="834">
        <v>19</v>
      </c>
      <c r="V322" s="852" t="s">
        <v>1638</v>
      </c>
      <c r="W322" s="848">
        <v>46108</v>
      </c>
      <c r="X322" s="80" t="s">
        <v>113</v>
      </c>
      <c r="Y322" s="80" t="s">
        <v>113</v>
      </c>
      <c r="Z322" s="80" t="s">
        <v>113</v>
      </c>
      <c r="AA322" s="96"/>
      <c r="AB322" s="96"/>
      <c r="AC322" s="96"/>
      <c r="AD322" s="96"/>
      <c r="AE322" s="96"/>
      <c r="AF322" s="96"/>
      <c r="AG322" s="96"/>
      <c r="AH322" s="96"/>
      <c r="AI322" s="110"/>
      <c r="AJ322" s="96"/>
      <c r="AK322" s="96"/>
      <c r="AL322" s="96"/>
      <c r="AM322" s="110"/>
      <c r="AN322" s="840"/>
      <c r="AO322" s="832"/>
      <c r="AP322" s="875"/>
      <c r="AQ322" s="875"/>
      <c r="AR322" s="875"/>
      <c r="AS322" s="776"/>
      <c r="AT322" s="776"/>
      <c r="AZ322" s="135"/>
      <c r="BA322" s="135"/>
      <c r="BB322">
        <f t="shared" si="4"/>
        <v>1</v>
      </c>
    </row>
    <row r="323" spans="1:54">
      <c r="A323" s="834" t="s">
        <v>2342</v>
      </c>
      <c r="B323" s="834">
        <v>320</v>
      </c>
      <c r="C323" s="834" t="s">
        <v>3536</v>
      </c>
      <c r="D323" s="834" t="s">
        <v>1008</v>
      </c>
      <c r="E323" s="852">
        <v>46076.041666666664</v>
      </c>
      <c r="F323" s="834" t="s">
        <v>140</v>
      </c>
      <c r="G323" s="834">
        <v>1</v>
      </c>
      <c r="H323" s="847" t="s">
        <v>3056</v>
      </c>
      <c r="I323" s="834"/>
      <c r="J323" s="834"/>
      <c r="K323" s="136"/>
      <c r="L323" s="834"/>
      <c r="M323" s="834"/>
      <c r="N323" s="834"/>
      <c r="O323" s="848"/>
      <c r="P323" s="834" t="s">
        <v>113</v>
      </c>
      <c r="Q323" s="90" t="s">
        <v>30</v>
      </c>
      <c r="R323" s="848">
        <v>46111</v>
      </c>
      <c r="S323" s="852" t="s">
        <v>3337</v>
      </c>
      <c r="T323" s="852" t="s">
        <v>32</v>
      </c>
      <c r="U323" s="830">
        <v>1</v>
      </c>
      <c r="V323" s="852"/>
      <c r="W323" s="848">
        <v>46111</v>
      </c>
      <c r="X323" s="80" t="s">
        <v>113</v>
      </c>
      <c r="Y323" s="80" t="s">
        <v>113</v>
      </c>
      <c r="Z323" s="80" t="s">
        <v>113</v>
      </c>
      <c r="AA323" s="96"/>
      <c r="AB323" s="96"/>
      <c r="AC323" s="96"/>
      <c r="AD323" s="96"/>
      <c r="AE323" s="96"/>
      <c r="AF323" s="96"/>
      <c r="AG323" s="96"/>
      <c r="AH323" s="96"/>
      <c r="AI323" s="110"/>
      <c r="AJ323" s="96"/>
      <c r="AK323" s="96"/>
      <c r="AL323" s="96"/>
      <c r="AM323" s="110"/>
      <c r="AN323" s="840"/>
      <c r="AO323" s="832"/>
      <c r="AP323" s="875"/>
      <c r="AQ323" s="875"/>
      <c r="AR323" s="875"/>
      <c r="AS323" s="776"/>
      <c r="AT323" s="776"/>
      <c r="AZ323" s="92"/>
      <c r="BA323" s="105"/>
      <c r="BB323">
        <f t="shared" ref="BB323:BB384" si="5">IF(E323&gt;1,1,"")</f>
        <v>1</v>
      </c>
    </row>
    <row r="324" spans="1:54">
      <c r="A324" s="834" t="s">
        <v>2342</v>
      </c>
      <c r="B324" s="834">
        <v>321</v>
      </c>
      <c r="C324" s="834" t="s">
        <v>3537</v>
      </c>
      <c r="D324" s="834" t="s">
        <v>1212</v>
      </c>
      <c r="E324" s="852">
        <v>46076</v>
      </c>
      <c r="F324" s="834" t="s">
        <v>140</v>
      </c>
      <c r="G324" s="834">
        <v>7</v>
      </c>
      <c r="H324" s="847" t="s">
        <v>3056</v>
      </c>
      <c r="I324" s="834"/>
      <c r="J324" s="834"/>
      <c r="K324" s="136"/>
      <c r="L324" s="834"/>
      <c r="M324" s="834"/>
      <c r="N324" s="834"/>
      <c r="O324" s="834"/>
      <c r="P324" s="834" t="s">
        <v>113</v>
      </c>
      <c r="Q324" s="848" t="s">
        <v>30</v>
      </c>
      <c r="R324" s="848">
        <v>46094</v>
      </c>
      <c r="S324" s="852" t="s">
        <v>3337</v>
      </c>
      <c r="T324" s="852" t="s">
        <v>32</v>
      </c>
      <c r="U324" s="834">
        <v>7</v>
      </c>
      <c r="V324" s="852" t="s">
        <v>3337</v>
      </c>
      <c r="W324" s="848">
        <v>46094</v>
      </c>
      <c r="X324" s="80" t="s">
        <v>113</v>
      </c>
      <c r="Y324" s="80" t="s">
        <v>113</v>
      </c>
      <c r="Z324" s="80" t="s">
        <v>113</v>
      </c>
      <c r="AA324" s="96"/>
      <c r="AB324" s="96"/>
      <c r="AC324" s="96"/>
      <c r="AD324" s="96"/>
      <c r="AE324" s="96"/>
      <c r="AF324" s="96"/>
      <c r="AG324" s="96"/>
      <c r="AH324" s="96"/>
      <c r="AI324" s="110"/>
      <c r="AJ324" s="96"/>
      <c r="AK324" s="96"/>
      <c r="AL324" s="96"/>
      <c r="AM324" s="110"/>
      <c r="AN324" s="840"/>
      <c r="AO324" s="832"/>
      <c r="AP324" s="875"/>
      <c r="AQ324" s="875"/>
      <c r="AR324" s="875"/>
      <c r="AS324" s="776"/>
      <c r="AT324" s="776"/>
      <c r="AZ324" s="92"/>
      <c r="BA324" s="105"/>
      <c r="BB324">
        <f t="shared" si="5"/>
        <v>1</v>
      </c>
    </row>
    <row r="325" spans="1:54">
      <c r="A325" s="834" t="s">
        <v>2342</v>
      </c>
      <c r="B325" s="834">
        <v>322</v>
      </c>
      <c r="C325" s="834" t="s">
        <v>3538</v>
      </c>
      <c r="D325" s="834" t="s">
        <v>818</v>
      </c>
      <c r="E325" s="852">
        <v>46076</v>
      </c>
      <c r="F325" s="834" t="s">
        <v>140</v>
      </c>
      <c r="G325" s="834">
        <v>7</v>
      </c>
      <c r="H325" s="847" t="s">
        <v>3056</v>
      </c>
      <c r="I325" s="834"/>
      <c r="J325" s="834"/>
      <c r="K325" s="136"/>
      <c r="L325" s="834"/>
      <c r="M325" s="834"/>
      <c r="N325" s="834"/>
      <c r="O325" s="834"/>
      <c r="P325" s="834" t="s">
        <v>113</v>
      </c>
      <c r="Q325" s="848" t="s">
        <v>30</v>
      </c>
      <c r="R325" s="848">
        <v>46111</v>
      </c>
      <c r="S325" s="852" t="s">
        <v>3337</v>
      </c>
      <c r="T325" s="852" t="s">
        <v>32</v>
      </c>
      <c r="U325" s="834">
        <v>7</v>
      </c>
      <c r="V325" s="852"/>
      <c r="W325" s="848">
        <v>46111</v>
      </c>
      <c r="X325" s="80" t="s">
        <v>113</v>
      </c>
      <c r="Y325" s="80" t="s">
        <v>113</v>
      </c>
      <c r="Z325" s="80" t="s">
        <v>113</v>
      </c>
      <c r="AA325" s="96"/>
      <c r="AB325" s="96"/>
      <c r="AC325" s="96"/>
      <c r="AD325" s="96"/>
      <c r="AE325" s="96"/>
      <c r="AF325" s="96"/>
      <c r="AG325" s="96"/>
      <c r="AH325" s="96"/>
      <c r="AI325" s="110"/>
      <c r="AJ325" s="96"/>
      <c r="AK325" s="96"/>
      <c r="AL325" s="96"/>
      <c r="AM325" s="110"/>
      <c r="AN325" s="840"/>
      <c r="AO325" s="832"/>
      <c r="AP325" s="875"/>
      <c r="AQ325" s="875"/>
      <c r="AR325" s="875"/>
      <c r="AS325" s="776"/>
      <c r="AT325" s="776"/>
      <c r="AZ325" s="92"/>
      <c r="BA325" s="105"/>
      <c r="BB325">
        <f t="shared" si="5"/>
        <v>1</v>
      </c>
    </row>
    <row r="326" spans="1:54">
      <c r="A326" s="834" t="s">
        <v>2342</v>
      </c>
      <c r="B326" s="834">
        <v>323</v>
      </c>
      <c r="C326" s="834" t="s">
        <v>3539</v>
      </c>
      <c r="D326" s="834" t="s">
        <v>3540</v>
      </c>
      <c r="E326" s="852">
        <v>46076.041666666664</v>
      </c>
      <c r="F326" s="834" t="s">
        <v>140</v>
      </c>
      <c r="G326" s="834">
        <v>12</v>
      </c>
      <c r="H326" s="847" t="s">
        <v>3056</v>
      </c>
      <c r="I326" s="834"/>
      <c r="J326" s="834"/>
      <c r="K326" s="136"/>
      <c r="L326" s="834"/>
      <c r="M326" s="834"/>
      <c r="N326" s="834"/>
      <c r="O326" s="834"/>
      <c r="P326" s="834" t="s">
        <v>113</v>
      </c>
      <c r="Q326" s="848" t="s">
        <v>30</v>
      </c>
      <c r="R326" s="848">
        <v>46107</v>
      </c>
      <c r="S326" s="852" t="s">
        <v>3337</v>
      </c>
      <c r="T326" s="852" t="s">
        <v>32</v>
      </c>
      <c r="U326" s="834">
        <v>12</v>
      </c>
      <c r="V326" s="852" t="s">
        <v>3337</v>
      </c>
      <c r="W326" s="848">
        <v>46107</v>
      </c>
      <c r="X326" s="80" t="s">
        <v>113</v>
      </c>
      <c r="Y326" s="80" t="s">
        <v>113</v>
      </c>
      <c r="Z326" s="80" t="s">
        <v>113</v>
      </c>
      <c r="AA326" s="91"/>
      <c r="AB326" s="91"/>
      <c r="AC326" s="96"/>
      <c r="AD326" s="96"/>
      <c r="AE326" s="96"/>
      <c r="AF326" s="96"/>
      <c r="AG326" s="96"/>
      <c r="AH326" s="96"/>
      <c r="AI326" s="110"/>
      <c r="AJ326" s="110"/>
      <c r="AK326" s="110"/>
      <c r="AL326" s="110"/>
      <c r="AM326" s="110"/>
      <c r="AN326" s="840"/>
      <c r="AO326" s="832"/>
      <c r="AP326" s="875"/>
      <c r="AQ326" s="875"/>
      <c r="AR326" s="875"/>
      <c r="AS326" s="776"/>
      <c r="AT326" s="776"/>
      <c r="BA326" s="105"/>
      <c r="BB326">
        <f t="shared" si="5"/>
        <v>1</v>
      </c>
    </row>
    <row r="327" spans="1:54">
      <c r="A327" s="834" t="s">
        <v>2342</v>
      </c>
      <c r="B327" s="834">
        <v>324</v>
      </c>
      <c r="C327" s="834" t="s">
        <v>3541</v>
      </c>
      <c r="D327" s="834" t="s">
        <v>1230</v>
      </c>
      <c r="E327" s="852">
        <v>46076.041666666664</v>
      </c>
      <c r="F327" s="834" t="s">
        <v>140</v>
      </c>
      <c r="G327" s="834">
        <v>6</v>
      </c>
      <c r="H327" s="834" t="s">
        <v>3056</v>
      </c>
      <c r="I327" s="834"/>
      <c r="J327" s="834"/>
      <c r="K327" s="136"/>
      <c r="L327" s="834"/>
      <c r="M327" s="834"/>
      <c r="N327" s="834"/>
      <c r="O327" s="834"/>
      <c r="P327" s="834" t="s">
        <v>113</v>
      </c>
      <c r="Q327" s="848" t="s">
        <v>30</v>
      </c>
      <c r="R327" s="848">
        <v>46107</v>
      </c>
      <c r="S327" s="852" t="s">
        <v>3337</v>
      </c>
      <c r="T327" s="852" t="s">
        <v>32</v>
      </c>
      <c r="U327" s="834">
        <v>6</v>
      </c>
      <c r="V327" s="852" t="s">
        <v>3337</v>
      </c>
      <c r="W327" s="848">
        <v>46107</v>
      </c>
      <c r="X327" s="80" t="s">
        <v>113</v>
      </c>
      <c r="Y327" s="80" t="s">
        <v>113</v>
      </c>
      <c r="Z327" s="80" t="s">
        <v>113</v>
      </c>
      <c r="AA327" s="91"/>
      <c r="AB327" s="91"/>
      <c r="AC327" s="91"/>
      <c r="AD327" s="96"/>
      <c r="AE327" s="96"/>
      <c r="AF327" s="96"/>
      <c r="AG327" s="96"/>
      <c r="AH327" s="96"/>
      <c r="AI327" s="110"/>
      <c r="AJ327" s="96"/>
      <c r="AK327" s="96"/>
      <c r="AL327" s="96"/>
      <c r="AM327" s="110"/>
      <c r="AN327" s="840"/>
      <c r="AO327" s="832"/>
      <c r="AP327" s="875"/>
      <c r="AQ327" s="875"/>
      <c r="AR327" s="875"/>
      <c r="AS327" s="776"/>
      <c r="AT327" s="776"/>
      <c r="AZ327" s="92"/>
      <c r="BA327" s="105"/>
      <c r="BB327">
        <f t="shared" si="5"/>
        <v>1</v>
      </c>
    </row>
    <row r="328" spans="1:54">
      <c r="A328" s="834" t="s">
        <v>2342</v>
      </c>
      <c r="B328" s="834">
        <v>325</v>
      </c>
      <c r="C328" s="834" t="s">
        <v>3542</v>
      </c>
      <c r="D328" s="834" t="s">
        <v>3229</v>
      </c>
      <c r="E328" s="852">
        <v>46076.041666666664</v>
      </c>
      <c r="F328" s="834" t="s">
        <v>140</v>
      </c>
      <c r="G328" s="834">
        <v>7</v>
      </c>
      <c r="H328" s="834" t="s">
        <v>127</v>
      </c>
      <c r="I328" s="834"/>
      <c r="J328" s="834"/>
      <c r="K328" s="136"/>
      <c r="L328" s="834"/>
      <c r="M328" s="834"/>
      <c r="N328" s="834"/>
      <c r="O328" s="834"/>
      <c r="P328" s="834" t="s">
        <v>113</v>
      </c>
      <c r="Q328" s="848" t="s">
        <v>30</v>
      </c>
      <c r="R328" s="848">
        <v>46108</v>
      </c>
      <c r="S328" s="852" t="s">
        <v>3337</v>
      </c>
      <c r="T328" s="852" t="s">
        <v>32</v>
      </c>
      <c r="U328" s="834">
        <v>7</v>
      </c>
      <c r="V328" s="852" t="s">
        <v>3337</v>
      </c>
      <c r="W328" s="848">
        <v>46108</v>
      </c>
      <c r="X328" s="80" t="s">
        <v>113</v>
      </c>
      <c r="Y328" s="80" t="s">
        <v>113</v>
      </c>
      <c r="Z328" s="80" t="s">
        <v>113</v>
      </c>
      <c r="AA328" s="96"/>
      <c r="AB328" s="96"/>
      <c r="AC328" s="96"/>
      <c r="AD328" s="96"/>
      <c r="AE328" s="96"/>
      <c r="AF328" s="96"/>
      <c r="AG328" s="96"/>
      <c r="AH328" s="96"/>
      <c r="AI328" s="110"/>
      <c r="AJ328" s="110"/>
      <c r="AK328" s="110"/>
      <c r="AL328" s="110"/>
      <c r="AM328" s="110"/>
      <c r="AN328" s="840"/>
      <c r="AO328" s="832"/>
      <c r="AP328" s="875"/>
      <c r="AQ328" s="875"/>
      <c r="AR328" s="875"/>
      <c r="AS328" s="776"/>
      <c r="AT328" s="776"/>
      <c r="AZ328" s="92"/>
      <c r="BA328" s="105"/>
      <c r="BB328">
        <f t="shared" si="5"/>
        <v>1</v>
      </c>
    </row>
    <row r="329" spans="1:54">
      <c r="A329" s="834" t="s">
        <v>2342</v>
      </c>
      <c r="B329" s="834">
        <v>326</v>
      </c>
      <c r="C329" s="834" t="s">
        <v>3543</v>
      </c>
      <c r="D329" s="834" t="s">
        <v>1250</v>
      </c>
      <c r="E329" s="852">
        <v>46076</v>
      </c>
      <c r="F329" s="834" t="s">
        <v>140</v>
      </c>
      <c r="G329" s="834">
        <v>10</v>
      </c>
      <c r="H329" s="834" t="s">
        <v>127</v>
      </c>
      <c r="I329" s="834"/>
      <c r="J329" s="834"/>
      <c r="K329" s="136"/>
      <c r="L329" s="834"/>
      <c r="M329" s="834"/>
      <c r="N329" s="834"/>
      <c r="O329" s="834"/>
      <c r="P329" s="834" t="s">
        <v>113</v>
      </c>
      <c r="Q329" s="848" t="s">
        <v>30</v>
      </c>
      <c r="R329" s="848">
        <v>46098</v>
      </c>
      <c r="S329" s="852" t="s">
        <v>1638</v>
      </c>
      <c r="T329" s="852" t="s">
        <v>32</v>
      </c>
      <c r="U329" s="834">
        <v>11</v>
      </c>
      <c r="V329" s="852" t="s">
        <v>1638</v>
      </c>
      <c r="W329" s="848">
        <v>46098</v>
      </c>
      <c r="X329" s="80" t="s">
        <v>113</v>
      </c>
      <c r="Y329" s="80" t="s">
        <v>113</v>
      </c>
      <c r="Z329" s="80" t="s">
        <v>113</v>
      </c>
      <c r="AA329" s="96"/>
      <c r="AB329" s="96"/>
      <c r="AC329" s="96"/>
      <c r="AD329" s="96"/>
      <c r="AE329" s="96"/>
      <c r="AF329" s="96"/>
      <c r="AG329" s="96"/>
      <c r="AH329" s="96"/>
      <c r="AI329" s="110"/>
      <c r="AJ329" s="96"/>
      <c r="AK329" s="96"/>
      <c r="AL329" s="96"/>
      <c r="AM329" s="110"/>
      <c r="AN329" s="840"/>
      <c r="AO329" s="832"/>
      <c r="AP329" s="875"/>
      <c r="AQ329" s="875"/>
      <c r="AR329" s="875"/>
      <c r="AS329" s="776"/>
      <c r="AT329" s="776"/>
      <c r="AZ329" s="92"/>
      <c r="BA329" s="105"/>
      <c r="BB329">
        <f t="shared" si="5"/>
        <v>1</v>
      </c>
    </row>
    <row r="330" spans="1:54">
      <c r="A330" s="834" t="s">
        <v>2342</v>
      </c>
      <c r="B330" s="834">
        <v>327</v>
      </c>
      <c r="C330" s="834" t="s">
        <v>3544</v>
      </c>
      <c r="D330" s="834" t="s">
        <v>1516</v>
      </c>
      <c r="E330" s="852">
        <v>46076.083333333336</v>
      </c>
      <c r="F330" s="834" t="s">
        <v>140</v>
      </c>
      <c r="G330" s="834">
        <v>1</v>
      </c>
      <c r="H330" s="834" t="s">
        <v>3056</v>
      </c>
      <c r="I330" s="834"/>
      <c r="J330" s="834"/>
      <c r="K330" s="136"/>
      <c r="L330" s="834"/>
      <c r="M330" s="834"/>
      <c r="N330" s="834"/>
      <c r="O330" s="834"/>
      <c r="P330" s="834" t="s">
        <v>113</v>
      </c>
      <c r="Q330" s="90" t="s">
        <v>30</v>
      </c>
      <c r="R330" s="848">
        <v>46111</v>
      </c>
      <c r="S330" s="852" t="s">
        <v>47</v>
      </c>
      <c r="T330" s="852" t="s">
        <v>32</v>
      </c>
      <c r="U330" s="834">
        <v>1</v>
      </c>
      <c r="V330" s="852"/>
      <c r="W330" s="848">
        <v>46111</v>
      </c>
      <c r="X330" s="80" t="s">
        <v>113</v>
      </c>
      <c r="Y330" s="80" t="s">
        <v>113</v>
      </c>
      <c r="Z330" s="80" t="s">
        <v>113</v>
      </c>
      <c r="AA330" s="96"/>
      <c r="AB330" s="96"/>
      <c r="AC330" s="96"/>
      <c r="AD330" s="96"/>
      <c r="AE330" s="96"/>
      <c r="AF330" s="96"/>
      <c r="AG330" s="96"/>
      <c r="AH330" s="96"/>
      <c r="AI330" s="110"/>
      <c r="AJ330" s="110"/>
      <c r="AK330" s="110"/>
      <c r="AL330" s="107"/>
      <c r="AM330" s="110"/>
      <c r="AN330" s="840"/>
      <c r="AO330" s="832"/>
      <c r="AP330" s="875"/>
      <c r="AQ330" s="875"/>
      <c r="AR330" s="875"/>
      <c r="AS330" s="776"/>
      <c r="AT330" s="776"/>
      <c r="AZ330" s="92"/>
      <c r="BA330" s="105"/>
      <c r="BB330">
        <f t="shared" si="5"/>
        <v>1</v>
      </c>
    </row>
    <row r="331" spans="1:54">
      <c r="A331" s="834" t="s">
        <v>2342</v>
      </c>
      <c r="B331" s="834">
        <v>328</v>
      </c>
      <c r="C331" s="834" t="s">
        <v>3545</v>
      </c>
      <c r="D331" s="834" t="s">
        <v>3501</v>
      </c>
      <c r="E331" s="852">
        <v>46076.041666666664</v>
      </c>
      <c r="F331" s="834" t="s">
        <v>140</v>
      </c>
      <c r="G331" s="834">
        <v>2</v>
      </c>
      <c r="H331" s="834" t="s">
        <v>3056</v>
      </c>
      <c r="I331" s="834"/>
      <c r="J331" s="834"/>
      <c r="K331" s="136"/>
      <c r="L331" s="834"/>
      <c r="M331" s="834"/>
      <c r="N331" s="834"/>
      <c r="O331" s="834"/>
      <c r="P331" s="834" t="s">
        <v>113</v>
      </c>
      <c r="Q331" s="90" t="s">
        <v>30</v>
      </c>
      <c r="R331" s="848">
        <v>46111</v>
      </c>
      <c r="S331" s="852" t="s">
        <v>47</v>
      </c>
      <c r="T331" s="852" t="s">
        <v>32</v>
      </c>
      <c r="U331" s="834">
        <v>2</v>
      </c>
      <c r="V331" s="852"/>
      <c r="W331" s="848">
        <v>46111</v>
      </c>
      <c r="X331" s="80" t="s">
        <v>113</v>
      </c>
      <c r="Y331" s="80" t="s">
        <v>113</v>
      </c>
      <c r="Z331" s="80" t="s">
        <v>113</v>
      </c>
      <c r="AA331" s="96"/>
      <c r="AB331" s="96"/>
      <c r="AC331" s="96"/>
      <c r="AD331" s="96"/>
      <c r="AE331" s="96"/>
      <c r="AF331" s="96"/>
      <c r="AG331" s="96"/>
      <c r="AH331" s="96"/>
      <c r="AI331" s="110"/>
      <c r="AJ331" s="96"/>
      <c r="AK331" s="96"/>
      <c r="AL331" s="96"/>
      <c r="AM331" s="110"/>
      <c r="AN331" s="840"/>
      <c r="AO331" s="832"/>
      <c r="AP331" s="875"/>
      <c r="AQ331" s="875"/>
      <c r="AR331" s="875"/>
      <c r="AS331" s="776"/>
      <c r="AT331" s="776"/>
      <c r="AZ331" s="92"/>
      <c r="BA331" s="105"/>
      <c r="BB331">
        <f t="shared" si="5"/>
        <v>1</v>
      </c>
    </row>
    <row r="332" spans="1:54">
      <c r="A332" s="834" t="s">
        <v>2342</v>
      </c>
      <c r="B332" s="834">
        <v>329</v>
      </c>
      <c r="C332" s="847" t="s">
        <v>3546</v>
      </c>
      <c r="D332" s="847" t="s">
        <v>3547</v>
      </c>
      <c r="E332" s="880">
        <v>46076.041666666664</v>
      </c>
      <c r="F332" s="834" t="s">
        <v>140</v>
      </c>
      <c r="G332" s="847">
        <v>1</v>
      </c>
      <c r="H332" s="847" t="s">
        <v>1077</v>
      </c>
      <c r="I332" s="847"/>
      <c r="J332" s="834"/>
      <c r="K332" s="136"/>
      <c r="L332" s="834"/>
      <c r="M332" s="847"/>
      <c r="N332" s="847"/>
      <c r="O332" s="847"/>
      <c r="P332" s="834" t="s">
        <v>113</v>
      </c>
      <c r="Q332" s="90" t="s">
        <v>30</v>
      </c>
      <c r="R332" s="848">
        <v>46111</v>
      </c>
      <c r="S332" s="852" t="s">
        <v>47</v>
      </c>
      <c r="T332" s="852" t="s">
        <v>32</v>
      </c>
      <c r="U332" s="834">
        <v>1</v>
      </c>
      <c r="V332" s="852"/>
      <c r="W332" s="848">
        <v>46111</v>
      </c>
      <c r="X332" s="80" t="s">
        <v>113</v>
      </c>
      <c r="Y332" s="80" t="s">
        <v>113</v>
      </c>
      <c r="Z332" s="80" t="s">
        <v>113</v>
      </c>
      <c r="AA332" s="96"/>
      <c r="AB332" s="96"/>
      <c r="AC332" s="96"/>
      <c r="AD332" s="96"/>
      <c r="AE332" s="96"/>
      <c r="AF332" s="96"/>
      <c r="AG332" s="96"/>
      <c r="AH332" s="96"/>
      <c r="AI332" s="110"/>
      <c r="AJ332" s="96"/>
      <c r="AK332" s="96"/>
      <c r="AL332" s="96"/>
      <c r="AM332" s="91"/>
      <c r="AN332" s="840"/>
      <c r="AO332" s="832"/>
      <c r="AP332" s="875"/>
      <c r="AQ332" s="875"/>
      <c r="AR332" s="875"/>
      <c r="AS332" s="776"/>
      <c r="AT332" s="776"/>
      <c r="AZ332" s="105"/>
      <c r="BA332" s="105"/>
      <c r="BB332">
        <f t="shared" si="5"/>
        <v>1</v>
      </c>
    </row>
    <row r="333" spans="1:54">
      <c r="A333" s="834" t="s">
        <v>2342</v>
      </c>
      <c r="B333" s="834">
        <v>330</v>
      </c>
      <c r="C333" s="847" t="s">
        <v>3548</v>
      </c>
      <c r="D333" s="847" t="s">
        <v>1025</v>
      </c>
      <c r="E333" s="880">
        <v>46076</v>
      </c>
      <c r="F333" s="834" t="s">
        <v>140</v>
      </c>
      <c r="G333" s="847">
        <v>1</v>
      </c>
      <c r="H333" s="847" t="s">
        <v>1721</v>
      </c>
      <c r="I333" s="847"/>
      <c r="J333" s="834"/>
      <c r="K333" s="136"/>
      <c r="L333" s="834"/>
      <c r="M333" s="847"/>
      <c r="N333" s="847"/>
      <c r="O333" s="847"/>
      <c r="P333" s="834" t="s">
        <v>113</v>
      </c>
      <c r="Q333" s="90" t="s">
        <v>30</v>
      </c>
      <c r="R333" s="848">
        <v>46111</v>
      </c>
      <c r="S333" s="852" t="s">
        <v>47</v>
      </c>
      <c r="T333" s="852" t="s">
        <v>32</v>
      </c>
      <c r="U333" s="834">
        <v>1</v>
      </c>
      <c r="V333" s="852"/>
      <c r="W333" s="848">
        <v>46111</v>
      </c>
      <c r="X333" s="80" t="s">
        <v>113</v>
      </c>
      <c r="Y333" s="80" t="s">
        <v>113</v>
      </c>
      <c r="Z333" s="80" t="s">
        <v>113</v>
      </c>
      <c r="AA333" s="96"/>
      <c r="AB333" s="96"/>
      <c r="AC333" s="96"/>
      <c r="AD333" s="91"/>
      <c r="AE333" s="96"/>
      <c r="AF333" s="96"/>
      <c r="AG333" s="96"/>
      <c r="AH333" s="96"/>
      <c r="AI333" s="110"/>
      <c r="AJ333" s="107"/>
      <c r="AK333" s="107"/>
      <c r="AL333" s="107"/>
      <c r="AM333" s="91"/>
      <c r="AN333" s="840"/>
      <c r="AO333" s="832"/>
      <c r="AP333" s="875"/>
      <c r="AQ333" s="875"/>
      <c r="AR333" s="875"/>
      <c r="AS333" s="776"/>
      <c r="AT333" s="776"/>
      <c r="BB333">
        <f t="shared" si="5"/>
        <v>1</v>
      </c>
    </row>
    <row r="334" spans="1:54">
      <c r="A334" s="834" t="s">
        <v>2342</v>
      </c>
      <c r="B334" s="834">
        <v>331</v>
      </c>
      <c r="C334" s="847" t="s">
        <v>3549</v>
      </c>
      <c r="D334" s="847" t="s">
        <v>1245</v>
      </c>
      <c r="E334" s="880">
        <v>46076</v>
      </c>
      <c r="F334" s="834" t="s">
        <v>140</v>
      </c>
      <c r="G334" s="847">
        <v>1</v>
      </c>
      <c r="H334" s="847" t="s">
        <v>127</v>
      </c>
      <c r="I334" s="847"/>
      <c r="J334" s="834"/>
      <c r="K334" s="136"/>
      <c r="L334" s="834"/>
      <c r="M334" s="847"/>
      <c r="N334" s="847"/>
      <c r="O334" s="847"/>
      <c r="P334" s="834" t="s">
        <v>113</v>
      </c>
      <c r="Q334" s="90" t="s">
        <v>30</v>
      </c>
      <c r="R334" s="848">
        <v>46111</v>
      </c>
      <c r="S334" s="852" t="s">
        <v>47</v>
      </c>
      <c r="T334" s="852" t="s">
        <v>32</v>
      </c>
      <c r="U334" s="834">
        <v>1</v>
      </c>
      <c r="V334" s="852"/>
      <c r="W334" s="848">
        <v>46111</v>
      </c>
      <c r="X334" s="80" t="s">
        <v>113</v>
      </c>
      <c r="Y334" s="80" t="s">
        <v>113</v>
      </c>
      <c r="Z334" s="80" t="s">
        <v>113</v>
      </c>
      <c r="AA334" s="96"/>
      <c r="AB334" s="96"/>
      <c r="AC334" s="96"/>
      <c r="AD334" s="96"/>
      <c r="AE334" s="96"/>
      <c r="AF334" s="96"/>
      <c r="AG334" s="96"/>
      <c r="AH334" s="96"/>
      <c r="AI334" s="110"/>
      <c r="AJ334" s="110"/>
      <c r="AK334" s="110"/>
      <c r="AL334" s="96"/>
      <c r="AM334" s="91"/>
      <c r="AN334" s="840"/>
      <c r="AO334" s="832"/>
      <c r="AP334" s="875"/>
      <c r="AQ334" s="875"/>
      <c r="AR334" s="875"/>
      <c r="AS334" s="776"/>
      <c r="AT334" s="776"/>
      <c r="BB334">
        <f t="shared" si="5"/>
        <v>1</v>
      </c>
    </row>
    <row r="335" spans="1:54">
      <c r="A335" s="834" t="s">
        <v>2342</v>
      </c>
      <c r="B335" s="834">
        <v>332</v>
      </c>
      <c r="C335" s="847" t="s">
        <v>3550</v>
      </c>
      <c r="D335" s="847" t="s">
        <v>3551</v>
      </c>
      <c r="E335" s="880">
        <v>46076</v>
      </c>
      <c r="F335" s="834" t="s">
        <v>140</v>
      </c>
      <c r="G335" s="847">
        <v>1</v>
      </c>
      <c r="H335" s="847" t="s">
        <v>127</v>
      </c>
      <c r="I335" s="847"/>
      <c r="J335" s="834"/>
      <c r="K335" s="136"/>
      <c r="L335" s="834"/>
      <c r="M335" s="847"/>
      <c r="N335" s="847"/>
      <c r="O335" s="847"/>
      <c r="P335" s="834" t="s">
        <v>113</v>
      </c>
      <c r="Q335" s="90" t="s">
        <v>30</v>
      </c>
      <c r="R335" s="848">
        <v>46111</v>
      </c>
      <c r="S335" s="852" t="s">
        <v>47</v>
      </c>
      <c r="T335" s="852" t="s">
        <v>32</v>
      </c>
      <c r="U335" s="834">
        <v>1</v>
      </c>
      <c r="V335" s="852"/>
      <c r="W335" s="848">
        <v>46111</v>
      </c>
      <c r="X335" s="80" t="s">
        <v>113</v>
      </c>
      <c r="Y335" s="80" t="s">
        <v>113</v>
      </c>
      <c r="Z335" s="80" t="s">
        <v>113</v>
      </c>
      <c r="AA335" s="96"/>
      <c r="AB335" s="96"/>
      <c r="AC335" s="96"/>
      <c r="AD335" s="96"/>
      <c r="AE335" s="96"/>
      <c r="AF335" s="96"/>
      <c r="AG335" s="96"/>
      <c r="AH335" s="96"/>
      <c r="AI335" s="110"/>
      <c r="AJ335" s="90"/>
      <c r="AK335" s="90"/>
      <c r="AL335" s="90"/>
      <c r="AM335" s="91"/>
      <c r="AN335" s="840"/>
      <c r="AO335" s="832"/>
      <c r="AP335" s="875"/>
      <c r="AQ335" s="875"/>
      <c r="AR335" s="875"/>
      <c r="AS335" s="776"/>
      <c r="AT335" s="776"/>
      <c r="AZ335" s="105"/>
      <c r="BA335" s="105"/>
      <c r="BB335">
        <f t="shared" si="5"/>
        <v>1</v>
      </c>
    </row>
    <row r="336" spans="1:54">
      <c r="A336" s="834" t="s">
        <v>2342</v>
      </c>
      <c r="B336" s="834">
        <v>333</v>
      </c>
      <c r="C336" s="847" t="s">
        <v>3552</v>
      </c>
      <c r="D336" s="847" t="s">
        <v>1565</v>
      </c>
      <c r="E336" s="880">
        <v>46076</v>
      </c>
      <c r="F336" s="834" t="s">
        <v>140</v>
      </c>
      <c r="G336" s="847">
        <v>1</v>
      </c>
      <c r="H336" s="847" t="s">
        <v>1721</v>
      </c>
      <c r="I336" s="847"/>
      <c r="J336" s="834"/>
      <c r="K336" s="136"/>
      <c r="L336" s="834"/>
      <c r="M336" s="847"/>
      <c r="N336" s="847"/>
      <c r="O336" s="847"/>
      <c r="P336" s="834" t="s">
        <v>113</v>
      </c>
      <c r="Q336" s="90" t="s">
        <v>30</v>
      </c>
      <c r="R336" s="848">
        <v>46111</v>
      </c>
      <c r="S336" s="852" t="s">
        <v>47</v>
      </c>
      <c r="T336" s="852" t="s">
        <v>32</v>
      </c>
      <c r="U336" s="834">
        <v>1</v>
      </c>
      <c r="V336" s="852"/>
      <c r="W336" s="848">
        <v>46111</v>
      </c>
      <c r="X336" s="80" t="s">
        <v>113</v>
      </c>
      <c r="Y336" s="80" t="s">
        <v>113</v>
      </c>
      <c r="Z336" s="80" t="s">
        <v>113</v>
      </c>
      <c r="AA336" s="96"/>
      <c r="AB336" s="96"/>
      <c r="AC336" s="96"/>
      <c r="AD336" s="96"/>
      <c r="AE336" s="96"/>
      <c r="AF336" s="96"/>
      <c r="AG336" s="96"/>
      <c r="AH336" s="96"/>
      <c r="AI336" s="110"/>
      <c r="AJ336" s="90"/>
      <c r="AK336" s="90"/>
      <c r="AL336" s="90"/>
      <c r="AM336" s="91"/>
      <c r="AN336" s="840"/>
      <c r="AO336" s="832"/>
      <c r="AP336" s="875"/>
      <c r="AQ336" s="875"/>
      <c r="AR336" s="875"/>
      <c r="AS336" s="776"/>
      <c r="AT336" s="776"/>
      <c r="AZ336" s="105"/>
      <c r="BA336" s="105"/>
      <c r="BB336">
        <f t="shared" si="5"/>
        <v>1</v>
      </c>
    </row>
    <row r="337" spans="1:54">
      <c r="A337" s="834" t="s">
        <v>2342</v>
      </c>
      <c r="B337" s="834">
        <v>334</v>
      </c>
      <c r="C337" s="847" t="s">
        <v>3553</v>
      </c>
      <c r="D337" s="847" t="s">
        <v>3554</v>
      </c>
      <c r="E337" s="880">
        <v>46069.041666666664</v>
      </c>
      <c r="F337" s="834" t="s">
        <v>140</v>
      </c>
      <c r="G337" s="847">
        <v>12</v>
      </c>
      <c r="H337" s="847" t="s">
        <v>3056</v>
      </c>
      <c r="I337" s="847"/>
      <c r="J337" s="834"/>
      <c r="K337" s="136"/>
      <c r="L337" s="834"/>
      <c r="M337" s="847"/>
      <c r="N337" s="847"/>
      <c r="O337" s="847"/>
      <c r="P337" s="834" t="s">
        <v>113</v>
      </c>
      <c r="Q337" s="848" t="s">
        <v>30</v>
      </c>
      <c r="R337" s="848">
        <v>46097</v>
      </c>
      <c r="S337" s="852" t="s">
        <v>1638</v>
      </c>
      <c r="T337" s="852" t="s">
        <v>32</v>
      </c>
      <c r="U337" s="834">
        <v>12</v>
      </c>
      <c r="V337" s="834" t="s">
        <v>1638</v>
      </c>
      <c r="W337" s="848">
        <v>46097</v>
      </c>
      <c r="X337" s="80" t="s">
        <v>113</v>
      </c>
      <c r="Y337" s="80" t="s">
        <v>113</v>
      </c>
      <c r="Z337" s="80" t="s">
        <v>113</v>
      </c>
      <c r="AA337" s="96"/>
      <c r="AB337" s="91"/>
      <c r="AC337" s="96"/>
      <c r="AD337" s="96"/>
      <c r="AE337" s="96"/>
      <c r="AF337" s="96"/>
      <c r="AG337" s="96"/>
      <c r="AH337" s="96"/>
      <c r="AI337" s="110"/>
      <c r="AJ337" s="110"/>
      <c r="AK337" s="110"/>
      <c r="AL337" s="107"/>
      <c r="AM337" s="91"/>
      <c r="AN337" s="840"/>
      <c r="AO337" s="832"/>
      <c r="AP337" s="875"/>
      <c r="AQ337" s="875"/>
      <c r="AR337" s="875"/>
      <c r="AS337" s="776"/>
      <c r="AT337" s="776"/>
      <c r="AZ337" s="105"/>
      <c r="BA337" s="105"/>
      <c r="BB337">
        <f t="shared" si="5"/>
        <v>1</v>
      </c>
    </row>
    <row r="338" spans="1:54">
      <c r="A338" s="834" t="s">
        <v>2342</v>
      </c>
      <c r="B338" s="834">
        <v>335</v>
      </c>
      <c r="C338" s="847" t="s">
        <v>3555</v>
      </c>
      <c r="D338" s="847" t="s">
        <v>3556</v>
      </c>
      <c r="E338" s="880">
        <v>46069.041666666664</v>
      </c>
      <c r="F338" s="834" t="s">
        <v>140</v>
      </c>
      <c r="G338" s="847">
        <v>3</v>
      </c>
      <c r="H338" s="847" t="s">
        <v>3056</v>
      </c>
      <c r="I338" s="847"/>
      <c r="J338" s="834"/>
      <c r="K338" s="136"/>
      <c r="L338" s="834"/>
      <c r="M338" s="847"/>
      <c r="N338" s="847"/>
      <c r="O338" s="847"/>
      <c r="P338" s="834" t="s">
        <v>113</v>
      </c>
      <c r="Q338" s="90" t="s">
        <v>30</v>
      </c>
      <c r="R338" s="848">
        <v>46112</v>
      </c>
      <c r="S338" s="852" t="s">
        <v>47</v>
      </c>
      <c r="T338" s="852" t="s">
        <v>32</v>
      </c>
      <c r="U338" s="834">
        <v>3</v>
      </c>
      <c r="V338" s="834"/>
      <c r="W338" s="848">
        <v>46112</v>
      </c>
      <c r="X338" s="80" t="s">
        <v>113</v>
      </c>
      <c r="Y338" s="80" t="s">
        <v>113</v>
      </c>
      <c r="Z338" s="80" t="s">
        <v>113</v>
      </c>
      <c r="AA338" s="96"/>
      <c r="AB338" s="96"/>
      <c r="AC338" s="96"/>
      <c r="AD338" s="96"/>
      <c r="AE338" s="96"/>
      <c r="AF338" s="96"/>
      <c r="AG338" s="96"/>
      <c r="AH338" s="96"/>
      <c r="AI338" s="110"/>
      <c r="AJ338" s="110"/>
      <c r="AK338" s="96"/>
      <c r="AL338" s="96"/>
      <c r="AM338" s="91"/>
      <c r="AN338" s="840"/>
      <c r="AO338" s="832"/>
      <c r="AP338" s="875"/>
      <c r="AQ338" s="875"/>
      <c r="AR338" s="875"/>
      <c r="AS338" s="776"/>
      <c r="AT338" s="776"/>
      <c r="BB338">
        <f t="shared" si="5"/>
        <v>1</v>
      </c>
    </row>
    <row r="339" spans="1:54" s="524" customFormat="1">
      <c r="A339" s="751" t="s">
        <v>2342</v>
      </c>
      <c r="B339" s="834">
        <v>336</v>
      </c>
      <c r="C339" s="886" t="s">
        <v>3557</v>
      </c>
      <c r="D339" s="751" t="s">
        <v>829</v>
      </c>
      <c r="E339" s="887">
        <v>46083</v>
      </c>
      <c r="F339" s="751" t="s">
        <v>140</v>
      </c>
      <c r="G339" s="751">
        <v>23</v>
      </c>
      <c r="H339" s="751" t="s">
        <v>3558</v>
      </c>
      <c r="I339" s="751" t="s">
        <v>3559</v>
      </c>
      <c r="J339" s="751"/>
      <c r="K339" s="521"/>
      <c r="L339" s="751"/>
      <c r="M339" s="751"/>
      <c r="N339" s="751"/>
      <c r="O339" s="751"/>
      <c r="P339" s="751" t="s">
        <v>3560</v>
      </c>
      <c r="Q339" s="888"/>
      <c r="R339" s="888"/>
      <c r="S339" s="599" t="s">
        <v>178</v>
      </c>
      <c r="T339" s="751"/>
      <c r="U339" s="751"/>
      <c r="V339" s="751" t="s">
        <v>3438</v>
      </c>
      <c r="W339" s="888"/>
      <c r="X339" s="534"/>
      <c r="Y339" s="534"/>
      <c r="Z339" s="533"/>
      <c r="AA339" s="534"/>
      <c r="AB339" s="534"/>
      <c r="AC339" s="534"/>
      <c r="AD339" s="534"/>
      <c r="AE339" s="534"/>
      <c r="AF339" s="534"/>
      <c r="AG339" s="534"/>
      <c r="AH339" s="534"/>
      <c r="AI339" s="584"/>
      <c r="AJ339" s="584"/>
      <c r="AK339" s="534"/>
      <c r="AL339" s="534"/>
      <c r="AM339" s="533"/>
      <c r="AN339" s="886"/>
      <c r="AO339" s="628">
        <v>3</v>
      </c>
      <c r="AP339" s="628">
        <v>13</v>
      </c>
      <c r="AQ339" s="629">
        <v>3</v>
      </c>
      <c r="AR339" s="629">
        <v>0</v>
      </c>
      <c r="AS339" s="607">
        <v>4</v>
      </c>
      <c r="AT339" s="607">
        <f>SUM(AO339:AS339)</f>
        <v>23</v>
      </c>
      <c r="AU339" s="608">
        <f>+AO339/AT339*AU$1</f>
        <v>0.39130434782608692</v>
      </c>
      <c r="AV339" s="602">
        <f>+AP339/AT339*AV$1</f>
        <v>1.6956521739130435</v>
      </c>
      <c r="AW339" s="602">
        <f>+AQ339/AT339*AW$1</f>
        <v>0.39130434782608692</v>
      </c>
      <c r="AX339" s="602">
        <f>+AQ339/AT339*AX$1</f>
        <v>0.39130434782608692</v>
      </c>
      <c r="AY339" s="602">
        <f>+AR339/AT339*AY$1</f>
        <v>0</v>
      </c>
      <c r="BB339" s="524">
        <f t="shared" si="5"/>
        <v>1</v>
      </c>
    </row>
    <row r="340" spans="1:54" s="524" customFormat="1">
      <c r="A340" s="751" t="s">
        <v>2342</v>
      </c>
      <c r="B340" s="834">
        <v>337</v>
      </c>
      <c r="C340" s="886" t="s">
        <v>3561</v>
      </c>
      <c r="D340" s="751" t="s">
        <v>3562</v>
      </c>
      <c r="E340" s="887">
        <v>46083</v>
      </c>
      <c r="F340" s="751" t="s">
        <v>140</v>
      </c>
      <c r="G340" s="751">
        <v>1</v>
      </c>
      <c r="H340" s="751" t="s">
        <v>3563</v>
      </c>
      <c r="I340" s="751" t="s">
        <v>1138</v>
      </c>
      <c r="J340" s="751"/>
      <c r="K340" s="521"/>
      <c r="L340" s="751"/>
      <c r="M340" s="751"/>
      <c r="N340" s="751"/>
      <c r="O340" s="751"/>
      <c r="P340" s="751"/>
      <c r="Q340" s="888"/>
      <c r="R340" s="888"/>
      <c r="S340" s="599" t="s">
        <v>178</v>
      </c>
      <c r="T340" s="751"/>
      <c r="U340" s="751"/>
      <c r="V340" s="751" t="s">
        <v>3438</v>
      </c>
      <c r="W340" s="888"/>
      <c r="X340" s="534"/>
      <c r="Y340" s="534"/>
      <c r="Z340" s="533"/>
      <c r="AA340" s="534"/>
      <c r="AB340" s="534"/>
      <c r="AC340" s="534"/>
      <c r="AD340" s="534"/>
      <c r="AE340" s="534"/>
      <c r="AF340" s="534"/>
      <c r="AG340" s="534"/>
      <c r="AH340" s="534"/>
      <c r="AI340" s="584"/>
      <c r="AJ340" s="584"/>
      <c r="AK340" s="534"/>
      <c r="AL340" s="534"/>
      <c r="AM340" s="533"/>
      <c r="AN340" s="886"/>
      <c r="AO340" s="889"/>
      <c r="AP340" s="890"/>
      <c r="AQ340" s="890"/>
      <c r="AR340" s="890"/>
      <c r="AS340" s="525"/>
      <c r="AT340" s="525"/>
      <c r="AW340" s="602"/>
      <c r="AY340" s="603"/>
    </row>
    <row r="341" spans="1:54" s="524" customFormat="1">
      <c r="A341" s="751" t="s">
        <v>2342</v>
      </c>
      <c r="B341" s="834">
        <v>338</v>
      </c>
      <c r="C341" s="886" t="s">
        <v>3564</v>
      </c>
      <c r="D341" s="751" t="s">
        <v>1245</v>
      </c>
      <c r="E341" s="887">
        <v>46083</v>
      </c>
      <c r="F341" s="751" t="s">
        <v>140</v>
      </c>
      <c r="G341" s="751">
        <v>2</v>
      </c>
      <c r="H341" s="751" t="s">
        <v>127</v>
      </c>
      <c r="I341" s="751" t="s">
        <v>3565</v>
      </c>
      <c r="J341" s="751"/>
      <c r="K341" s="521"/>
      <c r="L341" s="751"/>
      <c r="M341" s="751"/>
      <c r="N341" s="751"/>
      <c r="O341" s="751"/>
      <c r="P341" s="751"/>
      <c r="Q341" s="888"/>
      <c r="R341" s="888"/>
      <c r="S341" s="599" t="s">
        <v>178</v>
      </c>
      <c r="T341" s="751"/>
      <c r="U341" s="751"/>
      <c r="V341" s="751" t="s">
        <v>3438</v>
      </c>
      <c r="W341" s="888"/>
      <c r="X341" s="534"/>
      <c r="Y341" s="534"/>
      <c r="Z341" s="533"/>
      <c r="AA341" s="534"/>
      <c r="AB341" s="534"/>
      <c r="AC341" s="534"/>
      <c r="AD341" s="534"/>
      <c r="AE341" s="534"/>
      <c r="AF341" s="534"/>
      <c r="AG341" s="534"/>
      <c r="AH341" s="534"/>
      <c r="AI341" s="584"/>
      <c r="AJ341" s="584"/>
      <c r="AK341" s="534"/>
      <c r="AL341" s="534"/>
      <c r="AM341" s="533"/>
      <c r="AN341" s="886"/>
      <c r="AO341" s="889"/>
      <c r="AP341" s="890"/>
      <c r="AQ341" s="890"/>
      <c r="AR341" s="890"/>
      <c r="AS341" s="525"/>
      <c r="AT341" s="525"/>
      <c r="AW341" s="602"/>
      <c r="AY341" s="603"/>
      <c r="BB341" s="524">
        <f t="shared" si="5"/>
        <v>1</v>
      </c>
    </row>
    <row r="342" spans="1:54" s="524" customFormat="1">
      <c r="A342" s="751" t="s">
        <v>2342</v>
      </c>
      <c r="B342" s="834">
        <v>339</v>
      </c>
      <c r="C342" s="886" t="s">
        <v>3566</v>
      </c>
      <c r="D342" s="887" t="s">
        <v>937</v>
      </c>
      <c r="E342" s="887">
        <v>46083</v>
      </c>
      <c r="F342" s="751" t="s">
        <v>140</v>
      </c>
      <c r="G342" s="751">
        <v>23</v>
      </c>
      <c r="H342" s="751" t="s">
        <v>3464</v>
      </c>
      <c r="I342" s="751" t="s">
        <v>3567</v>
      </c>
      <c r="J342" s="751"/>
      <c r="K342" s="521"/>
      <c r="L342" s="751"/>
      <c r="M342" s="751"/>
      <c r="N342" s="751"/>
      <c r="O342" s="751"/>
      <c r="P342" s="751" t="s">
        <v>3560</v>
      </c>
      <c r="Q342" s="888"/>
      <c r="R342" s="888"/>
      <c r="S342" s="599" t="s">
        <v>178</v>
      </c>
      <c r="T342" s="751"/>
      <c r="U342" s="751"/>
      <c r="V342" s="751" t="s">
        <v>3438</v>
      </c>
      <c r="W342" s="888"/>
      <c r="X342" s="534"/>
      <c r="Y342" s="534"/>
      <c r="Z342" s="533"/>
      <c r="AA342" s="534"/>
      <c r="AB342" s="534"/>
      <c r="AC342" s="534"/>
      <c r="AD342" s="534"/>
      <c r="AE342" s="534"/>
      <c r="AF342" s="534"/>
      <c r="AG342" s="534"/>
      <c r="AH342" s="534"/>
      <c r="AI342" s="584"/>
      <c r="AJ342" s="584"/>
      <c r="AK342" s="534"/>
      <c r="AL342" s="534"/>
      <c r="AM342" s="533"/>
      <c r="AN342" s="886"/>
      <c r="AO342" s="628">
        <v>11</v>
      </c>
      <c r="AP342" s="628">
        <v>7</v>
      </c>
      <c r="AQ342" s="629">
        <v>0</v>
      </c>
      <c r="AR342" s="629">
        <v>0</v>
      </c>
      <c r="AS342" s="607">
        <v>5</v>
      </c>
      <c r="AT342" s="607">
        <f>SUM(AO342:AS342)</f>
        <v>23</v>
      </c>
      <c r="AU342" s="608">
        <f>+AO342/AT342*AU$1</f>
        <v>1.4347826086956523</v>
      </c>
      <c r="AV342" s="602">
        <f>+AP342/AT342*AV$1</f>
        <v>0.91304347826086962</v>
      </c>
      <c r="AW342" s="602">
        <f t="shared" ref="AW342:AW354" si="6">+AQ342/AT342*AW$1</f>
        <v>0</v>
      </c>
      <c r="AX342" s="602">
        <f>+AQ342/AT342*AX$1</f>
        <v>0</v>
      </c>
      <c r="AY342" s="602">
        <f>+AR342/AT342*AY$1</f>
        <v>0</v>
      </c>
      <c r="BB342" s="524">
        <f t="shared" si="5"/>
        <v>1</v>
      </c>
    </row>
    <row r="343" spans="1:54" s="524" customFormat="1">
      <c r="A343" s="751" t="s">
        <v>2342</v>
      </c>
      <c r="B343" s="834">
        <v>340</v>
      </c>
      <c r="C343" s="886" t="s">
        <v>3568</v>
      </c>
      <c r="D343" s="887" t="s">
        <v>3569</v>
      </c>
      <c r="E343" s="887">
        <v>46083</v>
      </c>
      <c r="F343" s="751" t="s">
        <v>140</v>
      </c>
      <c r="G343" s="751">
        <v>9</v>
      </c>
      <c r="H343" s="751" t="s">
        <v>127</v>
      </c>
      <c r="I343" s="751" t="s">
        <v>3565</v>
      </c>
      <c r="J343" s="751"/>
      <c r="K343" s="521"/>
      <c r="L343" s="751"/>
      <c r="M343" s="751"/>
      <c r="N343" s="751"/>
      <c r="O343" s="751"/>
      <c r="P343" s="751"/>
      <c r="Q343" s="888"/>
      <c r="R343" s="888"/>
      <c r="S343" s="599" t="s">
        <v>178</v>
      </c>
      <c r="T343" s="751"/>
      <c r="U343" s="751"/>
      <c r="V343" s="751" t="s">
        <v>3438</v>
      </c>
      <c r="W343" s="888"/>
      <c r="X343" s="534"/>
      <c r="Y343" s="534"/>
      <c r="Z343" s="533"/>
      <c r="AA343" s="534"/>
      <c r="AB343" s="534"/>
      <c r="AC343" s="534"/>
      <c r="AD343" s="534"/>
      <c r="AE343" s="534"/>
      <c r="AF343" s="534"/>
      <c r="AG343" s="534"/>
      <c r="AH343" s="534"/>
      <c r="AI343" s="584"/>
      <c r="AJ343" s="584"/>
      <c r="AK343" s="534"/>
      <c r="AL343" s="534"/>
      <c r="AM343" s="533"/>
      <c r="AN343" s="886"/>
      <c r="AO343" s="889"/>
      <c r="AP343" s="890"/>
      <c r="AQ343" s="890"/>
      <c r="AR343" s="890"/>
      <c r="AS343" s="525"/>
      <c r="AT343" s="525"/>
      <c r="AW343" s="602"/>
      <c r="AY343" s="603"/>
      <c r="BB343" s="524">
        <f t="shared" si="5"/>
        <v>1</v>
      </c>
    </row>
    <row r="344" spans="1:54" s="524" customFormat="1">
      <c r="A344" s="751" t="s">
        <v>2342</v>
      </c>
      <c r="B344" s="834">
        <v>341</v>
      </c>
      <c r="C344" s="886" t="s">
        <v>3570</v>
      </c>
      <c r="D344" s="751" t="s">
        <v>1198</v>
      </c>
      <c r="E344" s="887">
        <v>46083</v>
      </c>
      <c r="F344" s="751" t="s">
        <v>140</v>
      </c>
      <c r="G344" s="751">
        <v>29</v>
      </c>
      <c r="H344" s="751" t="s">
        <v>3464</v>
      </c>
      <c r="I344" s="751" t="s">
        <v>3567</v>
      </c>
      <c r="J344" s="751"/>
      <c r="K344" s="521"/>
      <c r="L344" s="751"/>
      <c r="M344" s="751"/>
      <c r="N344" s="751"/>
      <c r="O344" s="751"/>
      <c r="P344" s="751" t="s">
        <v>3560</v>
      </c>
      <c r="Q344" s="888"/>
      <c r="R344" s="888"/>
      <c r="S344" s="599" t="s">
        <v>178</v>
      </c>
      <c r="T344" s="751"/>
      <c r="U344" s="751"/>
      <c r="V344" s="751" t="s">
        <v>3438</v>
      </c>
      <c r="W344" s="888"/>
      <c r="X344" s="534"/>
      <c r="Y344" s="534"/>
      <c r="Z344" s="533"/>
      <c r="AA344" s="534"/>
      <c r="AB344" s="534"/>
      <c r="AC344" s="534"/>
      <c r="AD344" s="534"/>
      <c r="AE344" s="534"/>
      <c r="AF344" s="534"/>
      <c r="AG344" s="534"/>
      <c r="AH344" s="534"/>
      <c r="AI344" s="584"/>
      <c r="AJ344" s="584"/>
      <c r="AK344" s="534"/>
      <c r="AL344" s="534"/>
      <c r="AM344" s="533"/>
      <c r="AN344" s="886"/>
      <c r="AO344" s="628">
        <v>6</v>
      </c>
      <c r="AP344" s="628">
        <v>4</v>
      </c>
      <c r="AQ344" s="629">
        <v>0</v>
      </c>
      <c r="AR344" s="629">
        <v>0</v>
      </c>
      <c r="AS344" s="607">
        <v>19</v>
      </c>
      <c r="AT344" s="607">
        <f t="shared" ref="AT344:AT345" si="7">SUM(AO344:AS344)</f>
        <v>29</v>
      </c>
      <c r="AU344" s="608">
        <f t="shared" ref="AU344" si="8">+AO344/AT344*AU$1</f>
        <v>0.62068965517241381</v>
      </c>
      <c r="AV344" s="602">
        <f t="shared" ref="AV344:AV345" si="9">+AP344/AT344*AV$1</f>
        <v>0.41379310344827586</v>
      </c>
      <c r="AW344" s="602">
        <f t="shared" si="6"/>
        <v>0</v>
      </c>
      <c r="AX344" s="602">
        <f t="shared" ref="AX344:AX345" si="10">+AQ344/AT344*AX$1</f>
        <v>0</v>
      </c>
      <c r="AY344" s="602">
        <f t="shared" ref="AY344:AY345" si="11">+AR344/AT344*AY$1</f>
        <v>0</v>
      </c>
      <c r="BB344" s="524">
        <f t="shared" si="5"/>
        <v>1</v>
      </c>
    </row>
    <row r="345" spans="1:54" s="524" customFormat="1">
      <c r="A345" s="751" t="s">
        <v>2342</v>
      </c>
      <c r="B345" s="834">
        <v>342</v>
      </c>
      <c r="C345" s="886" t="s">
        <v>3571</v>
      </c>
      <c r="D345" s="751" t="s">
        <v>1208</v>
      </c>
      <c r="E345" s="887">
        <v>46083</v>
      </c>
      <c r="F345" s="751" t="s">
        <v>140</v>
      </c>
      <c r="G345" s="751">
        <v>18</v>
      </c>
      <c r="H345" s="751" t="s">
        <v>3056</v>
      </c>
      <c r="I345" s="751" t="s">
        <v>47</v>
      </c>
      <c r="J345" s="751"/>
      <c r="K345" s="521"/>
      <c r="L345" s="751"/>
      <c r="M345" s="751"/>
      <c r="N345" s="751"/>
      <c r="O345" s="751"/>
      <c r="P345" s="751" t="s">
        <v>3560</v>
      </c>
      <c r="Q345" s="888"/>
      <c r="R345" s="888"/>
      <c r="S345" s="599" t="s">
        <v>47</v>
      </c>
      <c r="T345" s="751"/>
      <c r="U345" s="751">
        <v>18</v>
      </c>
      <c r="V345" s="751"/>
      <c r="W345" s="888">
        <v>46121</v>
      </c>
      <c r="X345" s="534"/>
      <c r="Y345" s="534"/>
      <c r="Z345" s="533"/>
      <c r="AA345" s="534"/>
      <c r="AB345" s="534"/>
      <c r="AC345" s="534"/>
      <c r="AD345" s="534"/>
      <c r="AE345" s="534"/>
      <c r="AF345" s="534"/>
      <c r="AG345" s="534"/>
      <c r="AH345" s="534"/>
      <c r="AI345" s="584"/>
      <c r="AJ345" s="584"/>
      <c r="AK345" s="534"/>
      <c r="AL345" s="534"/>
      <c r="AM345" s="533"/>
      <c r="AN345" s="886"/>
      <c r="AO345" s="628">
        <v>0</v>
      </c>
      <c r="AP345" s="628">
        <v>18</v>
      </c>
      <c r="AQ345" s="629">
        <v>0</v>
      </c>
      <c r="AR345" s="629">
        <v>0</v>
      </c>
      <c r="AS345" s="607">
        <v>0</v>
      </c>
      <c r="AT345" s="607">
        <f t="shared" si="7"/>
        <v>18</v>
      </c>
      <c r="AU345" s="608">
        <f>+AO345/AT345*AU$1</f>
        <v>0</v>
      </c>
      <c r="AV345" s="602">
        <f t="shared" si="9"/>
        <v>3</v>
      </c>
      <c r="AW345" s="602">
        <f t="shared" si="6"/>
        <v>0</v>
      </c>
      <c r="AX345" s="602">
        <f t="shared" si="10"/>
        <v>0</v>
      </c>
      <c r="AY345" s="602">
        <f t="shared" si="11"/>
        <v>0</v>
      </c>
      <c r="BB345" s="524">
        <f t="shared" si="5"/>
        <v>1</v>
      </c>
    </row>
    <row r="346" spans="1:54" s="524" customFormat="1">
      <c r="A346" s="751" t="s">
        <v>2342</v>
      </c>
      <c r="B346" s="834">
        <v>343</v>
      </c>
      <c r="C346" s="886" t="s">
        <v>3572</v>
      </c>
      <c r="D346" s="751" t="s">
        <v>1250</v>
      </c>
      <c r="E346" s="887">
        <v>46083</v>
      </c>
      <c r="F346" s="751" t="s">
        <v>140</v>
      </c>
      <c r="G346" s="751">
        <v>16</v>
      </c>
      <c r="H346" s="751" t="s">
        <v>3573</v>
      </c>
      <c r="I346" s="751" t="s">
        <v>1889</v>
      </c>
      <c r="J346" s="751"/>
      <c r="K346" s="521"/>
      <c r="L346" s="751"/>
      <c r="M346" s="751"/>
      <c r="N346" s="751"/>
      <c r="O346" s="751"/>
      <c r="P346" s="751"/>
      <c r="Q346" s="888"/>
      <c r="R346" s="888"/>
      <c r="S346" s="599" t="s">
        <v>47</v>
      </c>
      <c r="T346" s="751">
        <v>2</v>
      </c>
      <c r="U346" s="751">
        <v>14</v>
      </c>
      <c r="V346" s="751"/>
      <c r="W346" s="888">
        <v>46121</v>
      </c>
      <c r="X346" s="534"/>
      <c r="Y346" s="534"/>
      <c r="Z346" s="533"/>
      <c r="AA346" s="534"/>
      <c r="AB346" s="534"/>
      <c r="AC346" s="534"/>
      <c r="AD346" s="534"/>
      <c r="AE346" s="534"/>
      <c r="AF346" s="534"/>
      <c r="AG346" s="534"/>
      <c r="AH346" s="534"/>
      <c r="AI346" s="584"/>
      <c r="AJ346" s="584"/>
      <c r="AK346" s="534"/>
      <c r="AL346" s="534"/>
      <c r="AM346" s="533"/>
      <c r="AN346" s="886"/>
      <c r="AO346" s="628">
        <v>0</v>
      </c>
      <c r="AP346" s="628">
        <v>3</v>
      </c>
      <c r="AQ346" s="629">
        <v>13</v>
      </c>
      <c r="AR346" s="629">
        <v>0</v>
      </c>
      <c r="AS346" s="607">
        <v>0</v>
      </c>
      <c r="AT346" s="607">
        <f t="shared" ref="AT346" si="12">SUM(AO346:AS346)</f>
        <v>16</v>
      </c>
      <c r="AU346" s="608">
        <f>+AO346/AT346*AU$1</f>
        <v>0</v>
      </c>
      <c r="AV346" s="602">
        <f t="shared" ref="AV346" si="13">+AP346/AT346*AV$1</f>
        <v>0.5625</v>
      </c>
      <c r="AW346" s="602">
        <f t="shared" ref="AW346" si="14">+AQ346/AT346*AW$1</f>
        <v>2.4375</v>
      </c>
      <c r="AX346" s="602">
        <f t="shared" ref="AX346" si="15">+AQ346/AT346*AX$1</f>
        <v>2.4375</v>
      </c>
      <c r="AY346" s="602">
        <f t="shared" ref="AY346" si="16">+AR346/AT346*AY$1</f>
        <v>0</v>
      </c>
      <c r="BB346" s="524">
        <f t="shared" si="5"/>
        <v>1</v>
      </c>
    </row>
    <row r="347" spans="1:54" s="524" customFormat="1">
      <c r="A347" s="751" t="s">
        <v>2342</v>
      </c>
      <c r="B347" s="834">
        <v>344</v>
      </c>
      <c r="C347" s="886" t="s">
        <v>3574</v>
      </c>
      <c r="D347" s="751" t="s">
        <v>3575</v>
      </c>
      <c r="E347" s="887">
        <v>46083</v>
      </c>
      <c r="F347" s="751" t="s">
        <v>140</v>
      </c>
      <c r="G347" s="751">
        <v>4</v>
      </c>
      <c r="H347" s="751" t="s">
        <v>3056</v>
      </c>
      <c r="I347" s="751" t="s">
        <v>47</v>
      </c>
      <c r="J347" s="751"/>
      <c r="K347" s="521"/>
      <c r="L347" s="751"/>
      <c r="M347" s="751"/>
      <c r="N347" s="751"/>
      <c r="O347" s="751"/>
      <c r="P347" s="751"/>
      <c r="Q347" s="888"/>
      <c r="R347" s="888"/>
      <c r="S347" s="599" t="s">
        <v>47</v>
      </c>
      <c r="T347" s="751">
        <v>1</v>
      </c>
      <c r="U347" s="751">
        <v>3</v>
      </c>
      <c r="V347" s="751"/>
      <c r="W347" s="888">
        <v>46125</v>
      </c>
      <c r="X347" s="534"/>
      <c r="Y347" s="534"/>
      <c r="Z347" s="533"/>
      <c r="AA347" s="534"/>
      <c r="AB347" s="534"/>
      <c r="AC347" s="534"/>
      <c r="AD347" s="534"/>
      <c r="AE347" s="534"/>
      <c r="AF347" s="534"/>
      <c r="AG347" s="534"/>
      <c r="AH347" s="534"/>
      <c r="AI347" s="584"/>
      <c r="AJ347" s="584"/>
      <c r="AK347" s="534"/>
      <c r="AL347" s="534"/>
      <c r="AM347" s="533"/>
      <c r="AN347" s="886"/>
      <c r="AO347" s="889"/>
      <c r="AP347" s="889"/>
      <c r="AQ347" s="889"/>
      <c r="AR347" s="889"/>
      <c r="AW347" s="602"/>
      <c r="AY347" s="603"/>
      <c r="BB347" s="524">
        <f t="shared" si="5"/>
        <v>1</v>
      </c>
    </row>
    <row r="348" spans="1:54" s="524" customFormat="1">
      <c r="A348" s="751" t="s">
        <v>2342</v>
      </c>
      <c r="B348" s="834">
        <v>345</v>
      </c>
      <c r="C348" s="886" t="s">
        <v>3576</v>
      </c>
      <c r="D348" s="751" t="s">
        <v>2975</v>
      </c>
      <c r="E348" s="887">
        <v>46083</v>
      </c>
      <c r="F348" s="751" t="s">
        <v>140</v>
      </c>
      <c r="G348" s="751">
        <v>1</v>
      </c>
      <c r="H348" s="751" t="s">
        <v>1721</v>
      </c>
      <c r="I348" s="751" t="s">
        <v>1638</v>
      </c>
      <c r="J348" s="751"/>
      <c r="K348" s="521"/>
      <c r="L348" s="751"/>
      <c r="M348" s="751"/>
      <c r="N348" s="751"/>
      <c r="O348" s="751"/>
      <c r="P348" s="751"/>
      <c r="Q348" s="888"/>
      <c r="R348" s="888"/>
      <c r="S348" s="599" t="s">
        <v>47</v>
      </c>
      <c r="T348" s="751"/>
      <c r="U348" s="751">
        <v>1</v>
      </c>
      <c r="V348" s="751"/>
      <c r="W348" s="888">
        <v>46126</v>
      </c>
      <c r="X348" s="534"/>
      <c r="Y348" s="534"/>
      <c r="Z348" s="533"/>
      <c r="AA348" s="534"/>
      <c r="AB348" s="534"/>
      <c r="AC348" s="534"/>
      <c r="AD348" s="534"/>
      <c r="AE348" s="534"/>
      <c r="AF348" s="534"/>
      <c r="AG348" s="534"/>
      <c r="AH348" s="534"/>
      <c r="AI348" s="584"/>
      <c r="AJ348" s="584"/>
      <c r="AK348" s="534"/>
      <c r="AL348" s="534"/>
      <c r="AM348" s="533"/>
      <c r="AN348" s="886"/>
      <c r="AO348" s="889"/>
      <c r="AP348" s="889"/>
      <c r="AQ348" s="889"/>
      <c r="AR348" s="889"/>
      <c r="AW348" s="602"/>
      <c r="AY348" s="603"/>
      <c r="BB348" s="524">
        <f t="shared" si="5"/>
        <v>1</v>
      </c>
    </row>
    <row r="349" spans="1:54" s="524" customFormat="1">
      <c r="A349" s="751" t="s">
        <v>2342</v>
      </c>
      <c r="B349" s="834">
        <v>346</v>
      </c>
      <c r="C349" s="886" t="s">
        <v>3577</v>
      </c>
      <c r="D349" s="751" t="s">
        <v>1184</v>
      </c>
      <c r="E349" s="887">
        <v>46083</v>
      </c>
      <c r="F349" s="751" t="s">
        <v>140</v>
      </c>
      <c r="G349" s="751">
        <v>13</v>
      </c>
      <c r="H349" s="751" t="s">
        <v>3056</v>
      </c>
      <c r="I349" s="751" t="s">
        <v>47</v>
      </c>
      <c r="J349" s="751"/>
      <c r="K349" s="521"/>
      <c r="L349" s="751"/>
      <c r="M349" s="751"/>
      <c r="N349" s="751"/>
      <c r="O349" s="751"/>
      <c r="P349" s="751"/>
      <c r="Q349" s="888"/>
      <c r="R349" s="888"/>
      <c r="S349" s="599" t="s">
        <v>47</v>
      </c>
      <c r="T349" s="751"/>
      <c r="U349" s="751">
        <v>13</v>
      </c>
      <c r="V349" s="751"/>
      <c r="W349" s="888">
        <v>46126</v>
      </c>
      <c r="X349" s="534"/>
      <c r="Y349" s="534"/>
      <c r="Z349" s="533"/>
      <c r="AA349" s="534"/>
      <c r="AB349" s="534"/>
      <c r="AC349" s="534"/>
      <c r="AD349" s="534"/>
      <c r="AE349" s="534"/>
      <c r="AF349" s="534"/>
      <c r="AG349" s="534"/>
      <c r="AH349" s="534"/>
      <c r="AI349" s="584"/>
      <c r="AJ349" s="584"/>
      <c r="AK349" s="534"/>
      <c r="AL349" s="534"/>
      <c r="AM349" s="533"/>
      <c r="AN349" s="886"/>
      <c r="AO349" s="891"/>
      <c r="AP349" s="891"/>
      <c r="AQ349" s="889"/>
      <c r="AR349" s="889"/>
      <c r="AU349" s="601"/>
      <c r="AV349" s="526"/>
      <c r="AW349" s="602"/>
      <c r="AX349" s="526"/>
      <c r="AY349" s="603"/>
      <c r="BB349" s="524">
        <f t="shared" si="5"/>
        <v>1</v>
      </c>
    </row>
    <row r="350" spans="1:54" s="524" customFormat="1">
      <c r="A350" s="751" t="s">
        <v>2342</v>
      </c>
      <c r="B350" s="834">
        <v>347</v>
      </c>
      <c r="C350" s="886" t="s">
        <v>3578</v>
      </c>
      <c r="D350" s="751" t="s">
        <v>798</v>
      </c>
      <c r="E350" s="887">
        <v>46083</v>
      </c>
      <c r="F350" s="751" t="s">
        <v>140</v>
      </c>
      <c r="G350" s="751">
        <v>16</v>
      </c>
      <c r="H350" s="751" t="s">
        <v>3558</v>
      </c>
      <c r="I350" s="751" t="s">
        <v>3559</v>
      </c>
      <c r="J350" s="751"/>
      <c r="K350" s="521"/>
      <c r="L350" s="751"/>
      <c r="M350" s="751"/>
      <c r="N350" s="751"/>
      <c r="O350" s="751"/>
      <c r="P350" s="751" t="s">
        <v>3560</v>
      </c>
      <c r="Q350" s="888"/>
      <c r="R350" s="888"/>
      <c r="S350" s="599" t="s">
        <v>47</v>
      </c>
      <c r="T350" s="751"/>
      <c r="U350" s="751">
        <v>16</v>
      </c>
      <c r="V350" s="751"/>
      <c r="W350" s="888">
        <v>46115</v>
      </c>
      <c r="X350" s="534"/>
      <c r="Y350" s="534"/>
      <c r="Z350" s="533"/>
      <c r="AA350" s="534"/>
      <c r="AB350" s="534"/>
      <c r="AC350" s="534"/>
      <c r="AD350" s="534"/>
      <c r="AE350" s="534"/>
      <c r="AF350" s="534"/>
      <c r="AG350" s="534"/>
      <c r="AH350" s="534"/>
      <c r="AI350" s="584"/>
      <c r="AJ350" s="584"/>
      <c r="AK350" s="534"/>
      <c r="AL350" s="534"/>
      <c r="AM350" s="533"/>
      <c r="AN350" s="886"/>
      <c r="AO350" s="628">
        <v>0</v>
      </c>
      <c r="AP350" s="628">
        <v>2</v>
      </c>
      <c r="AQ350" s="629">
        <v>10</v>
      </c>
      <c r="AR350" s="629">
        <v>0</v>
      </c>
      <c r="AS350" s="607">
        <v>4</v>
      </c>
      <c r="AT350" s="607">
        <f>SUM(AO350:AS350)</f>
        <v>16</v>
      </c>
      <c r="AU350" s="608">
        <f>+AO350/AT350*AU$1</f>
        <v>0</v>
      </c>
      <c r="AV350" s="602">
        <f>+AP350/AT350*AV$1</f>
        <v>0.375</v>
      </c>
      <c r="AW350" s="602">
        <f t="shared" si="6"/>
        <v>1.875</v>
      </c>
      <c r="AX350" s="602">
        <f>+AQ350/AT350*AX$1</f>
        <v>1.875</v>
      </c>
      <c r="AY350" s="602">
        <f>+AR350/AT350*AY$1</f>
        <v>0</v>
      </c>
      <c r="BB350" s="524">
        <f t="shared" si="5"/>
        <v>1</v>
      </c>
    </row>
    <row r="351" spans="1:54" s="524" customFormat="1">
      <c r="A351" s="751" t="s">
        <v>2342</v>
      </c>
      <c r="B351" s="834">
        <v>348</v>
      </c>
      <c r="C351" s="886" t="s">
        <v>3579</v>
      </c>
      <c r="D351" s="887" t="s">
        <v>779</v>
      </c>
      <c r="E351" s="887">
        <v>46083</v>
      </c>
      <c r="F351" s="751" t="s">
        <v>140</v>
      </c>
      <c r="G351" s="751">
        <v>3</v>
      </c>
      <c r="H351" s="751" t="s">
        <v>1721</v>
      </c>
      <c r="I351" s="751" t="s">
        <v>1638</v>
      </c>
      <c r="J351" s="751"/>
      <c r="K351" s="521"/>
      <c r="L351" s="751"/>
      <c r="M351" s="751"/>
      <c r="N351" s="751"/>
      <c r="O351" s="751"/>
      <c r="P351" s="751"/>
      <c r="Q351" s="888"/>
      <c r="R351" s="888"/>
      <c r="S351" s="599" t="s">
        <v>47</v>
      </c>
      <c r="T351" s="751">
        <v>1</v>
      </c>
      <c r="U351" s="751">
        <v>2</v>
      </c>
      <c r="V351" s="751"/>
      <c r="W351" s="888">
        <v>46126</v>
      </c>
      <c r="X351" s="534"/>
      <c r="Y351" s="534"/>
      <c r="Z351" s="533"/>
      <c r="AA351" s="534"/>
      <c r="AB351" s="534"/>
      <c r="AC351" s="534"/>
      <c r="AD351" s="534"/>
      <c r="AE351" s="534"/>
      <c r="AF351" s="534"/>
      <c r="AG351" s="534"/>
      <c r="AH351" s="534"/>
      <c r="AI351" s="584"/>
      <c r="AJ351" s="584"/>
      <c r="AK351" s="534"/>
      <c r="AL351" s="534"/>
      <c r="AM351" s="533"/>
      <c r="AN351" s="886"/>
      <c r="AO351" s="889"/>
      <c r="AP351" s="889"/>
      <c r="AQ351" s="889"/>
      <c r="AR351" s="889"/>
      <c r="AW351" s="602"/>
      <c r="AY351" s="603"/>
      <c r="BB351" s="524">
        <f t="shared" si="5"/>
        <v>1</v>
      </c>
    </row>
    <row r="352" spans="1:54" s="524" customFormat="1">
      <c r="A352" s="751" t="s">
        <v>2342</v>
      </c>
      <c r="B352" s="834">
        <v>349</v>
      </c>
      <c r="C352" s="886" t="s">
        <v>3580</v>
      </c>
      <c r="D352" s="751" t="s">
        <v>3581</v>
      </c>
      <c r="E352" s="887">
        <v>46083</v>
      </c>
      <c r="F352" s="751" t="s">
        <v>140</v>
      </c>
      <c r="G352" s="751">
        <v>2</v>
      </c>
      <c r="H352" s="751" t="s">
        <v>1721</v>
      </c>
      <c r="I352" s="751" t="s">
        <v>1638</v>
      </c>
      <c r="J352" s="751"/>
      <c r="K352" s="521"/>
      <c r="L352" s="751"/>
      <c r="M352" s="751"/>
      <c r="N352" s="751"/>
      <c r="O352" s="751"/>
      <c r="P352" s="751"/>
      <c r="Q352" s="888"/>
      <c r="R352" s="888"/>
      <c r="S352" s="599" t="s">
        <v>47</v>
      </c>
      <c r="T352" s="751"/>
      <c r="U352" s="751">
        <v>2</v>
      </c>
      <c r="V352" s="751"/>
      <c r="W352" s="888">
        <v>46100</v>
      </c>
      <c r="X352" s="534"/>
      <c r="Y352" s="534"/>
      <c r="Z352" s="533"/>
      <c r="AA352" s="534"/>
      <c r="AB352" s="534"/>
      <c r="AC352" s="534"/>
      <c r="AD352" s="534"/>
      <c r="AE352" s="534"/>
      <c r="AF352" s="534"/>
      <c r="AG352" s="534"/>
      <c r="AH352" s="534"/>
      <c r="AI352" s="584"/>
      <c r="AJ352" s="584"/>
      <c r="AK352" s="534"/>
      <c r="AL352" s="534"/>
      <c r="AM352" s="533"/>
      <c r="AN352" s="886"/>
      <c r="AO352" s="889"/>
      <c r="AP352" s="889"/>
      <c r="AQ352" s="889"/>
      <c r="AR352" s="889"/>
      <c r="AT352" s="600"/>
      <c r="AU352" s="601"/>
      <c r="AV352" s="601"/>
      <c r="AW352" s="602"/>
      <c r="AX352" s="601"/>
      <c r="AY352" s="603"/>
      <c r="BB352" s="524">
        <f t="shared" si="5"/>
        <v>1</v>
      </c>
    </row>
    <row r="353" spans="1:99" s="524" customFormat="1">
      <c r="A353" s="751" t="s">
        <v>2342</v>
      </c>
      <c r="B353" s="834">
        <v>350</v>
      </c>
      <c r="C353" s="886" t="s">
        <v>3582</v>
      </c>
      <c r="D353" s="751" t="s">
        <v>1887</v>
      </c>
      <c r="E353" s="887">
        <v>46083</v>
      </c>
      <c r="F353" s="751" t="s">
        <v>140</v>
      </c>
      <c r="G353" s="751">
        <v>7</v>
      </c>
      <c r="H353" s="751" t="s">
        <v>1077</v>
      </c>
      <c r="I353" s="751" t="s">
        <v>1138</v>
      </c>
      <c r="J353" s="751"/>
      <c r="K353" s="521"/>
      <c r="L353" s="751"/>
      <c r="M353" s="751"/>
      <c r="N353" s="751"/>
      <c r="O353" s="751"/>
      <c r="P353" s="751"/>
      <c r="Q353" s="888"/>
      <c r="R353" s="888"/>
      <c r="S353" s="599" t="s">
        <v>47</v>
      </c>
      <c r="T353" s="751"/>
      <c r="U353" s="751"/>
      <c r="V353" s="751" t="s">
        <v>3438</v>
      </c>
      <c r="W353" s="888"/>
      <c r="X353" s="534"/>
      <c r="Y353" s="534"/>
      <c r="Z353" s="533"/>
      <c r="AA353" s="534"/>
      <c r="AB353" s="534"/>
      <c r="AC353" s="534"/>
      <c r="AD353" s="534"/>
      <c r="AE353" s="534"/>
      <c r="AF353" s="534"/>
      <c r="AG353" s="534"/>
      <c r="AH353" s="534"/>
      <c r="AI353" s="584"/>
      <c r="AJ353" s="584"/>
      <c r="AK353" s="534"/>
      <c r="AL353" s="534"/>
      <c r="AM353" s="533"/>
      <c r="AN353" s="886"/>
      <c r="AO353" s="889"/>
      <c r="AP353" s="889"/>
      <c r="AQ353" s="889"/>
      <c r="AR353" s="889"/>
      <c r="AW353" s="602"/>
      <c r="AY353" s="603"/>
      <c r="BB353" s="524">
        <f t="shared" si="5"/>
        <v>1</v>
      </c>
    </row>
    <row r="354" spans="1:99" s="524" customFormat="1">
      <c r="A354" s="751" t="s">
        <v>2342</v>
      </c>
      <c r="B354" s="834">
        <v>351</v>
      </c>
      <c r="C354" s="886" t="s">
        <v>3583</v>
      </c>
      <c r="D354" s="887" t="s">
        <v>1212</v>
      </c>
      <c r="E354" s="887">
        <v>46083</v>
      </c>
      <c r="F354" s="751" t="s">
        <v>140</v>
      </c>
      <c r="G354" s="751">
        <v>15</v>
      </c>
      <c r="H354" s="751" t="s">
        <v>3056</v>
      </c>
      <c r="I354" s="751" t="s">
        <v>47</v>
      </c>
      <c r="J354" s="751"/>
      <c r="K354" s="521"/>
      <c r="L354" s="751"/>
      <c r="M354" s="751"/>
      <c r="N354" s="751"/>
      <c r="O354" s="751"/>
      <c r="P354" s="751" t="s">
        <v>3560</v>
      </c>
      <c r="Q354" s="888"/>
      <c r="R354" s="888"/>
      <c r="S354" s="599" t="s">
        <v>47</v>
      </c>
      <c r="T354" s="751"/>
      <c r="U354" s="751">
        <v>15</v>
      </c>
      <c r="V354" s="751"/>
      <c r="W354" s="888">
        <v>46120</v>
      </c>
      <c r="X354" s="534"/>
      <c r="Y354" s="534"/>
      <c r="Z354" s="533"/>
      <c r="AA354" s="534"/>
      <c r="AB354" s="534"/>
      <c r="AC354" s="534"/>
      <c r="AD354" s="534"/>
      <c r="AE354" s="534"/>
      <c r="AF354" s="534"/>
      <c r="AG354" s="534"/>
      <c r="AH354" s="534"/>
      <c r="AI354" s="584"/>
      <c r="AJ354" s="584"/>
      <c r="AK354" s="534"/>
      <c r="AL354" s="534"/>
      <c r="AM354" s="533"/>
      <c r="AN354" s="886"/>
      <c r="AO354" s="628">
        <v>0</v>
      </c>
      <c r="AP354" s="628">
        <v>15</v>
      </c>
      <c r="AQ354" s="629">
        <v>0</v>
      </c>
      <c r="AR354" s="629">
        <v>0</v>
      </c>
      <c r="AS354" s="607">
        <v>0</v>
      </c>
      <c r="AT354" s="607">
        <f>SUM(AO354:AS354)</f>
        <v>15</v>
      </c>
      <c r="AU354" s="608">
        <f>+AO354/AT354*AU$1</f>
        <v>0</v>
      </c>
      <c r="AV354" s="602">
        <f>+AP354/AT354*AV$1</f>
        <v>3</v>
      </c>
      <c r="AW354" s="602">
        <f t="shared" si="6"/>
        <v>0</v>
      </c>
      <c r="AX354" s="602">
        <f>+AQ354/AT354*AX$1</f>
        <v>0</v>
      </c>
      <c r="AY354" s="602">
        <f>+AR354/AT354*AY$1</f>
        <v>0</v>
      </c>
      <c r="BB354" s="524">
        <f t="shared" si="5"/>
        <v>1</v>
      </c>
    </row>
    <row r="355" spans="1:99" s="524" customFormat="1">
      <c r="A355" s="751" t="s">
        <v>2342</v>
      </c>
      <c r="B355" s="834">
        <v>352</v>
      </c>
      <c r="C355" s="886" t="s">
        <v>3584</v>
      </c>
      <c r="D355" s="751" t="s">
        <v>3585</v>
      </c>
      <c r="E355" s="887">
        <v>46083</v>
      </c>
      <c r="F355" s="751" t="s">
        <v>140</v>
      </c>
      <c r="G355" s="751">
        <v>2</v>
      </c>
      <c r="H355" s="751" t="s">
        <v>3056</v>
      </c>
      <c r="I355" s="751" t="s">
        <v>47</v>
      </c>
      <c r="J355" s="751"/>
      <c r="K355" s="521"/>
      <c r="L355" s="751"/>
      <c r="M355" s="751"/>
      <c r="N355" s="751"/>
      <c r="O355" s="751"/>
      <c r="P355" s="751"/>
      <c r="Q355" s="888"/>
      <c r="R355" s="888"/>
      <c r="S355" s="599" t="s">
        <v>47</v>
      </c>
      <c r="T355" s="751"/>
      <c r="U355" s="751"/>
      <c r="V355" s="751" t="s">
        <v>3438</v>
      </c>
      <c r="W355" s="888"/>
      <c r="X355" s="534"/>
      <c r="Y355" s="534"/>
      <c r="Z355" s="533"/>
      <c r="AA355" s="534"/>
      <c r="AB355" s="534"/>
      <c r="AC355" s="534"/>
      <c r="AD355" s="534"/>
      <c r="AE355" s="534"/>
      <c r="AF355" s="534"/>
      <c r="AG355" s="534"/>
      <c r="AH355" s="534"/>
      <c r="AI355" s="584"/>
      <c r="AJ355" s="584"/>
      <c r="AK355" s="534"/>
      <c r="AL355" s="534"/>
      <c r="AM355" s="533"/>
      <c r="AN355" s="886"/>
      <c r="AO355" s="630"/>
      <c r="AP355" s="630"/>
      <c r="AQ355" s="630"/>
      <c r="AR355" s="630"/>
      <c r="AS355" s="609"/>
      <c r="AT355" s="609"/>
      <c r="AU355" s="610"/>
      <c r="AV355" s="611"/>
      <c r="AW355" s="602"/>
      <c r="AX355" s="611"/>
      <c r="AY355" s="611"/>
      <c r="BB355" s="524">
        <f t="shared" si="5"/>
        <v>1</v>
      </c>
    </row>
    <row r="356" spans="1:99" s="524" customFormat="1">
      <c r="A356" s="751" t="s">
        <v>2342</v>
      </c>
      <c r="B356" s="834">
        <v>353</v>
      </c>
      <c r="C356" s="886" t="s">
        <v>3586</v>
      </c>
      <c r="D356" s="751" t="s">
        <v>960</v>
      </c>
      <c r="E356" s="887">
        <v>46083</v>
      </c>
      <c r="F356" s="751" t="s">
        <v>140</v>
      </c>
      <c r="G356" s="751">
        <v>3</v>
      </c>
      <c r="H356" s="751" t="s">
        <v>3056</v>
      </c>
      <c r="I356" s="751" t="s">
        <v>47</v>
      </c>
      <c r="J356" s="751"/>
      <c r="K356" s="521"/>
      <c r="L356" s="751"/>
      <c r="M356" s="751"/>
      <c r="N356" s="751"/>
      <c r="O356" s="751"/>
      <c r="P356" s="751"/>
      <c r="Q356" s="888"/>
      <c r="R356" s="888"/>
      <c r="S356" s="599" t="s">
        <v>47</v>
      </c>
      <c r="T356" s="751"/>
      <c r="U356" s="751"/>
      <c r="V356" s="751" t="s">
        <v>3438</v>
      </c>
      <c r="W356" s="888"/>
      <c r="X356" s="534"/>
      <c r="Y356" s="534"/>
      <c r="Z356" s="533"/>
      <c r="AA356" s="534"/>
      <c r="AB356" s="534"/>
      <c r="AC356" s="534"/>
      <c r="AD356" s="534"/>
      <c r="AE356" s="534"/>
      <c r="AF356" s="534"/>
      <c r="AG356" s="534"/>
      <c r="AH356" s="534"/>
      <c r="AI356" s="584"/>
      <c r="AJ356" s="584"/>
      <c r="AK356" s="534"/>
      <c r="AL356" s="534"/>
      <c r="AM356" s="533"/>
      <c r="AN356" s="886"/>
      <c r="AO356" s="889"/>
      <c r="AP356" s="890"/>
      <c r="AQ356" s="890"/>
      <c r="AR356" s="890"/>
      <c r="AS356" s="525"/>
      <c r="AT356" s="525"/>
      <c r="AW356" s="602"/>
      <c r="AY356" s="603"/>
      <c r="BB356" s="524">
        <f t="shared" si="5"/>
        <v>1</v>
      </c>
    </row>
    <row r="357" spans="1:99" s="524" customFormat="1">
      <c r="A357" s="751" t="s">
        <v>2342</v>
      </c>
      <c r="B357" s="834">
        <v>354</v>
      </c>
      <c r="C357" s="886" t="s">
        <v>3587</v>
      </c>
      <c r="D357" s="751" t="s">
        <v>1250</v>
      </c>
      <c r="E357" s="887">
        <v>46083</v>
      </c>
      <c r="F357" s="751" t="s">
        <v>140</v>
      </c>
      <c r="G357" s="751">
        <v>2</v>
      </c>
      <c r="H357" s="751" t="s">
        <v>1076</v>
      </c>
      <c r="I357" s="751" t="s">
        <v>3337</v>
      </c>
      <c r="J357" s="751"/>
      <c r="K357" s="521"/>
      <c r="L357" s="751"/>
      <c r="M357" s="751"/>
      <c r="N357" s="751"/>
      <c r="O357" s="751"/>
      <c r="P357" s="751"/>
      <c r="Q357" s="888"/>
      <c r="R357" s="888"/>
      <c r="S357" s="599" t="s">
        <v>47</v>
      </c>
      <c r="T357" s="751"/>
      <c r="U357" s="751"/>
      <c r="V357" s="751" t="s">
        <v>3438</v>
      </c>
      <c r="W357" s="888"/>
      <c r="X357" s="534"/>
      <c r="Y357" s="534"/>
      <c r="Z357" s="533"/>
      <c r="AA357" s="534"/>
      <c r="AB357" s="534"/>
      <c r="AC357" s="534"/>
      <c r="AD357" s="534"/>
      <c r="AE357" s="534"/>
      <c r="AF357" s="534"/>
      <c r="AG357" s="534"/>
      <c r="AH357" s="534"/>
      <c r="AI357" s="584"/>
      <c r="AJ357" s="584"/>
      <c r="AK357" s="534"/>
      <c r="AL357" s="534"/>
      <c r="AM357" s="533"/>
      <c r="AN357" s="886"/>
      <c r="AO357" s="889"/>
      <c r="AP357" s="889"/>
      <c r="AQ357" s="889"/>
      <c r="AR357" s="889"/>
      <c r="AU357" s="601"/>
      <c r="AV357" s="526"/>
      <c r="AW357" s="602"/>
      <c r="AX357" s="526"/>
      <c r="AY357" s="603"/>
      <c r="BB357" s="524">
        <f t="shared" si="5"/>
        <v>1</v>
      </c>
    </row>
    <row r="358" spans="1:99" s="524" customFormat="1">
      <c r="A358" s="751" t="s">
        <v>2342</v>
      </c>
      <c r="B358" s="834">
        <v>355</v>
      </c>
      <c r="C358" s="886" t="s">
        <v>3588</v>
      </c>
      <c r="D358" s="751" t="s">
        <v>829</v>
      </c>
      <c r="E358" s="887">
        <v>46083</v>
      </c>
      <c r="F358" s="751" t="s">
        <v>140</v>
      </c>
      <c r="G358" s="751">
        <v>6</v>
      </c>
      <c r="H358" s="751" t="s">
        <v>1076</v>
      </c>
      <c r="I358" s="751" t="s">
        <v>3337</v>
      </c>
      <c r="J358" s="751"/>
      <c r="K358" s="521"/>
      <c r="L358" s="751"/>
      <c r="M358" s="751"/>
      <c r="N358" s="751"/>
      <c r="O358" s="751"/>
      <c r="P358" s="751"/>
      <c r="Q358" s="888"/>
      <c r="R358" s="888"/>
      <c r="S358" s="599" t="s">
        <v>47</v>
      </c>
      <c r="T358" s="751"/>
      <c r="U358" s="751"/>
      <c r="V358" s="751" t="s">
        <v>3438</v>
      </c>
      <c r="W358" s="888"/>
      <c r="X358" s="534"/>
      <c r="Y358" s="534"/>
      <c r="Z358" s="533"/>
      <c r="AA358" s="534"/>
      <c r="AB358" s="534"/>
      <c r="AC358" s="534"/>
      <c r="AD358" s="534"/>
      <c r="AE358" s="534"/>
      <c r="AF358" s="534"/>
      <c r="AG358" s="534"/>
      <c r="AH358" s="534"/>
      <c r="AI358" s="584"/>
      <c r="AJ358" s="584"/>
      <c r="AK358" s="534"/>
      <c r="AL358" s="534"/>
      <c r="AM358" s="533"/>
      <c r="AN358" s="886"/>
      <c r="AO358" s="630"/>
      <c r="AP358" s="630"/>
      <c r="AQ358" s="630"/>
      <c r="AR358" s="630"/>
      <c r="AS358" s="609"/>
      <c r="AT358" s="609"/>
      <c r="AU358" s="610"/>
      <c r="AV358" s="611"/>
      <c r="AW358" s="602"/>
      <c r="AX358" s="611"/>
      <c r="AY358" s="611"/>
      <c r="BB358" s="524">
        <f t="shared" si="5"/>
        <v>1</v>
      </c>
    </row>
    <row r="359" spans="1:99" s="524" customFormat="1">
      <c r="A359" s="751" t="s">
        <v>2342</v>
      </c>
      <c r="B359" s="834">
        <v>356</v>
      </c>
      <c r="C359" s="886" t="s">
        <v>3589</v>
      </c>
      <c r="D359" s="751" t="s">
        <v>937</v>
      </c>
      <c r="E359" s="887">
        <v>46083</v>
      </c>
      <c r="F359" s="751" t="s">
        <v>140</v>
      </c>
      <c r="G359" s="751">
        <v>1</v>
      </c>
      <c r="H359" s="751" t="s">
        <v>1076</v>
      </c>
      <c r="I359" s="751" t="s">
        <v>3337</v>
      </c>
      <c r="J359" s="751"/>
      <c r="K359" s="521"/>
      <c r="L359" s="751"/>
      <c r="M359" s="751"/>
      <c r="N359" s="751"/>
      <c r="O359" s="751"/>
      <c r="P359" s="751"/>
      <c r="Q359" s="888"/>
      <c r="R359" s="888"/>
      <c r="S359" s="599" t="s">
        <v>47</v>
      </c>
      <c r="T359" s="751"/>
      <c r="U359" s="751"/>
      <c r="V359" s="751" t="s">
        <v>3438</v>
      </c>
      <c r="W359" s="888"/>
      <c r="X359" s="534"/>
      <c r="Y359" s="534"/>
      <c r="Z359" s="533"/>
      <c r="AA359" s="534"/>
      <c r="AB359" s="534"/>
      <c r="AC359" s="534"/>
      <c r="AD359" s="534"/>
      <c r="AE359" s="534"/>
      <c r="AF359" s="534"/>
      <c r="AG359" s="534"/>
      <c r="AH359" s="534"/>
      <c r="AI359" s="584"/>
      <c r="AJ359" s="584"/>
      <c r="AK359" s="534"/>
      <c r="AL359" s="534"/>
      <c r="AM359" s="533"/>
      <c r="AN359" s="886"/>
      <c r="AO359" s="889"/>
      <c r="AP359" s="890"/>
      <c r="AQ359" s="890"/>
      <c r="AR359" s="890"/>
      <c r="AS359" s="525"/>
      <c r="AT359" s="525"/>
      <c r="AW359" s="602"/>
      <c r="AY359" s="603"/>
      <c r="BB359" s="524">
        <f t="shared" si="5"/>
        <v>1</v>
      </c>
    </row>
    <row r="360" spans="1:99" s="524" customFormat="1">
      <c r="A360" s="751" t="s">
        <v>2342</v>
      </c>
      <c r="B360" s="834">
        <v>357</v>
      </c>
      <c r="C360" s="886" t="s">
        <v>3590</v>
      </c>
      <c r="D360" s="751" t="s">
        <v>1212</v>
      </c>
      <c r="E360" s="887">
        <v>46083</v>
      </c>
      <c r="F360" s="751" t="s">
        <v>140</v>
      </c>
      <c r="G360" s="751">
        <v>1</v>
      </c>
      <c r="H360" s="751" t="s">
        <v>1076</v>
      </c>
      <c r="I360" s="751" t="s">
        <v>3337</v>
      </c>
      <c r="J360" s="751"/>
      <c r="K360" s="521"/>
      <c r="L360" s="751"/>
      <c r="M360" s="751"/>
      <c r="N360" s="751"/>
      <c r="O360" s="751"/>
      <c r="P360" s="751"/>
      <c r="Q360" s="888"/>
      <c r="R360" s="888"/>
      <c r="S360" s="599" t="s">
        <v>47</v>
      </c>
      <c r="T360" s="751"/>
      <c r="U360" s="751"/>
      <c r="V360" s="751" t="s">
        <v>3438</v>
      </c>
      <c r="W360" s="888"/>
      <c r="X360" s="534"/>
      <c r="Y360" s="534"/>
      <c r="Z360" s="533"/>
      <c r="AA360" s="534"/>
      <c r="AB360" s="534"/>
      <c r="AC360" s="534"/>
      <c r="AD360" s="534"/>
      <c r="AE360" s="534"/>
      <c r="AF360" s="534"/>
      <c r="AG360" s="534"/>
      <c r="AH360" s="534"/>
      <c r="AI360" s="584"/>
      <c r="AJ360" s="584"/>
      <c r="AK360" s="534"/>
      <c r="AL360" s="534"/>
      <c r="AM360" s="533"/>
      <c r="AN360" s="886"/>
      <c r="AO360" s="889"/>
      <c r="AP360" s="889"/>
      <c r="AQ360" s="889"/>
      <c r="AR360" s="889"/>
      <c r="AU360" s="601"/>
      <c r="AV360" s="526"/>
      <c r="AW360" s="602"/>
      <c r="AX360" s="526"/>
      <c r="AY360" s="603"/>
      <c r="BB360" s="524">
        <f t="shared" si="5"/>
        <v>1</v>
      </c>
    </row>
    <row r="361" spans="1:99" s="524" customFormat="1">
      <c r="A361" s="751" t="s">
        <v>2342</v>
      </c>
      <c r="B361" s="834">
        <v>358</v>
      </c>
      <c r="C361" s="886" t="s">
        <v>3591</v>
      </c>
      <c r="D361" s="751" t="s">
        <v>1184</v>
      </c>
      <c r="E361" s="887">
        <v>46083</v>
      </c>
      <c r="F361" s="751" t="s">
        <v>140</v>
      </c>
      <c r="G361" s="751">
        <v>1</v>
      </c>
      <c r="H361" s="751" t="s">
        <v>1076</v>
      </c>
      <c r="I361" s="751" t="s">
        <v>3337</v>
      </c>
      <c r="J361" s="751"/>
      <c r="K361" s="521"/>
      <c r="L361" s="751"/>
      <c r="M361" s="751"/>
      <c r="N361" s="751"/>
      <c r="O361" s="751"/>
      <c r="P361" s="751"/>
      <c r="Q361" s="888"/>
      <c r="R361" s="888"/>
      <c r="S361" s="599" t="s">
        <v>47</v>
      </c>
      <c r="T361" s="751"/>
      <c r="U361" s="751"/>
      <c r="V361" s="751" t="s">
        <v>3438</v>
      </c>
      <c r="W361" s="888"/>
      <c r="X361" s="534"/>
      <c r="Y361" s="534"/>
      <c r="Z361" s="533"/>
      <c r="AA361" s="534"/>
      <c r="AB361" s="534"/>
      <c r="AC361" s="534"/>
      <c r="AD361" s="534"/>
      <c r="AE361" s="534"/>
      <c r="AF361" s="534"/>
      <c r="AG361" s="534"/>
      <c r="AH361" s="534"/>
      <c r="AI361" s="584"/>
      <c r="AJ361" s="584"/>
      <c r="AK361" s="534"/>
      <c r="AL361" s="534"/>
      <c r="AM361" s="533"/>
      <c r="AN361" s="886"/>
      <c r="AO361" s="630"/>
      <c r="AP361" s="630"/>
      <c r="AQ361" s="630"/>
      <c r="AR361" s="630"/>
      <c r="AS361" s="609"/>
      <c r="AT361" s="609"/>
      <c r="AU361" s="610"/>
      <c r="AV361" s="611"/>
      <c r="AW361" s="602"/>
      <c r="AX361" s="611"/>
      <c r="AY361" s="611"/>
      <c r="BB361" s="524">
        <f t="shared" si="5"/>
        <v>1</v>
      </c>
    </row>
    <row r="362" spans="1:99" s="524" customFormat="1">
      <c r="A362" s="751" t="s">
        <v>2342</v>
      </c>
      <c r="B362" s="834">
        <v>359</v>
      </c>
      <c r="C362" s="886" t="s">
        <v>3592</v>
      </c>
      <c r="D362" s="751" t="s">
        <v>2512</v>
      </c>
      <c r="E362" s="887">
        <v>46083</v>
      </c>
      <c r="F362" s="751" t="s">
        <v>140</v>
      </c>
      <c r="G362" s="751">
        <v>5</v>
      </c>
      <c r="H362" s="751" t="s">
        <v>1076</v>
      </c>
      <c r="I362" s="751" t="s">
        <v>3337</v>
      </c>
      <c r="J362" s="751"/>
      <c r="K362" s="521"/>
      <c r="L362" s="751"/>
      <c r="M362" s="751"/>
      <c r="N362" s="751"/>
      <c r="O362" s="751"/>
      <c r="P362" s="751"/>
      <c r="Q362" s="888"/>
      <c r="R362" s="888"/>
      <c r="S362" s="599" t="s">
        <v>47</v>
      </c>
      <c r="T362" s="751"/>
      <c r="U362" s="751"/>
      <c r="V362" s="751" t="s">
        <v>3438</v>
      </c>
      <c r="W362" s="888"/>
      <c r="X362" s="534"/>
      <c r="Y362" s="534"/>
      <c r="Z362" s="533"/>
      <c r="AA362" s="534"/>
      <c r="AB362" s="534"/>
      <c r="AC362" s="534"/>
      <c r="AD362" s="534"/>
      <c r="AE362" s="534"/>
      <c r="AF362" s="534"/>
      <c r="AG362" s="534"/>
      <c r="AH362" s="534"/>
      <c r="AI362" s="584"/>
      <c r="AJ362" s="584"/>
      <c r="AK362" s="534"/>
      <c r="AL362" s="534"/>
      <c r="AM362" s="533"/>
      <c r="AN362" s="886"/>
      <c r="AO362" s="889"/>
      <c r="AP362" s="890"/>
      <c r="AQ362" s="890"/>
      <c r="AR362" s="890"/>
      <c r="AS362" s="525"/>
      <c r="AT362" s="525"/>
      <c r="AW362" s="602"/>
      <c r="AY362" s="603"/>
      <c r="BB362" s="524">
        <f t="shared" si="5"/>
        <v>1</v>
      </c>
    </row>
    <row r="363" spans="1:99" ht="18" customHeight="1">
      <c r="A363" s="834" t="s">
        <v>24</v>
      </c>
      <c r="B363" s="834">
        <v>360</v>
      </c>
      <c r="C363" s="834" t="s">
        <v>3593</v>
      </c>
      <c r="D363" s="834" t="s">
        <v>102</v>
      </c>
      <c r="E363" s="852">
        <v>46083</v>
      </c>
      <c r="F363" s="834" t="s">
        <v>412</v>
      </c>
      <c r="G363" s="834">
        <v>10</v>
      </c>
      <c r="H363" s="834" t="s">
        <v>1077</v>
      </c>
      <c r="I363" s="834" t="s">
        <v>1138</v>
      </c>
      <c r="J363" s="834"/>
      <c r="K363" s="136" t="s">
        <v>3063</v>
      </c>
      <c r="L363" s="834" t="s">
        <v>3594</v>
      </c>
      <c r="M363" s="834" t="s">
        <v>3434</v>
      </c>
      <c r="N363" s="834" t="s">
        <v>3434</v>
      </c>
      <c r="O363" s="136" t="s">
        <v>3595</v>
      </c>
      <c r="P363" s="848"/>
      <c r="Q363" s="848"/>
      <c r="R363" s="892"/>
      <c r="S363" s="89" t="s">
        <v>1138</v>
      </c>
      <c r="T363" s="834" t="s">
        <v>32</v>
      </c>
      <c r="U363" s="834">
        <v>10</v>
      </c>
      <c r="V363" s="834"/>
      <c r="W363" s="848">
        <v>46099</v>
      </c>
      <c r="X363" s="80" t="s">
        <v>30</v>
      </c>
      <c r="Y363" s="80" t="s">
        <v>30</v>
      </c>
      <c r="Z363" s="80" t="s">
        <v>30</v>
      </c>
      <c r="AA363" s="80"/>
      <c r="AB363" s="80"/>
      <c r="AC363" s="80"/>
      <c r="AD363" s="80" t="s">
        <v>30</v>
      </c>
      <c r="AE363" s="80" t="s">
        <v>30</v>
      </c>
      <c r="AF363" s="80" t="s">
        <v>30</v>
      </c>
      <c r="AG363" s="91" t="s">
        <v>32</v>
      </c>
      <c r="AH363" s="80" t="s">
        <v>30</v>
      </c>
      <c r="AI363" s="107" t="s">
        <v>30</v>
      </c>
      <c r="AJ363" s="110" t="s">
        <v>32</v>
      </c>
      <c r="AK363" s="110" t="s">
        <v>32</v>
      </c>
      <c r="AL363" s="110" t="s">
        <v>32</v>
      </c>
      <c r="AM363" s="80"/>
      <c r="AN363" s="80"/>
      <c r="AO363" s="832"/>
      <c r="AP363" s="875"/>
      <c r="AQ363" s="875"/>
      <c r="AR363" s="875"/>
      <c r="AS363" s="776"/>
      <c r="AT363" s="776"/>
      <c r="BB363">
        <f t="shared" si="5"/>
        <v>1</v>
      </c>
    </row>
    <row r="364" spans="1:99" s="374" customFormat="1">
      <c r="A364" s="834" t="s">
        <v>24</v>
      </c>
      <c r="B364" s="834">
        <v>361</v>
      </c>
      <c r="C364" s="136" t="s">
        <v>3596</v>
      </c>
      <c r="D364" s="136" t="s">
        <v>102</v>
      </c>
      <c r="E364" s="124">
        <v>46084</v>
      </c>
      <c r="F364" s="136" t="s">
        <v>1478</v>
      </c>
      <c r="G364" s="136">
        <v>10</v>
      </c>
      <c r="H364" s="136" t="s">
        <v>1721</v>
      </c>
      <c r="I364" s="136" t="s">
        <v>1638</v>
      </c>
      <c r="J364" s="136"/>
      <c r="K364" s="136" t="s">
        <v>3063</v>
      </c>
      <c r="L364" s="136" t="s">
        <v>2270</v>
      </c>
      <c r="M364" s="834" t="s">
        <v>3434</v>
      </c>
      <c r="N364" s="834" t="s">
        <v>3434</v>
      </c>
      <c r="O364" s="136" t="s">
        <v>2050</v>
      </c>
      <c r="P364" s="848"/>
      <c r="Q364" s="848"/>
      <c r="R364" s="848"/>
      <c r="S364" s="89" t="s">
        <v>1638</v>
      </c>
      <c r="T364" s="834"/>
      <c r="U364" s="834"/>
      <c r="V364" s="834"/>
      <c r="W364" s="834"/>
      <c r="X364" s="91" t="s">
        <v>32</v>
      </c>
      <c r="Y364" s="80"/>
      <c r="Z364" s="80"/>
      <c r="AA364" s="80"/>
      <c r="AB364" s="80"/>
      <c r="AC364" s="80"/>
      <c r="AD364" s="80" t="s">
        <v>607</v>
      </c>
      <c r="AE364" s="80" t="s">
        <v>607</v>
      </c>
      <c r="AF364" s="80" t="s">
        <v>30</v>
      </c>
      <c r="AG364" s="91" t="s">
        <v>32</v>
      </c>
      <c r="AH364" s="80" t="s">
        <v>30</v>
      </c>
      <c r="AI364" s="108"/>
      <c r="AJ364" s="108"/>
      <c r="AK364" s="108"/>
      <c r="AL364" s="108"/>
      <c r="AM364" s="80"/>
      <c r="AN364" s="80"/>
      <c r="AO364" s="832"/>
      <c r="AP364" s="875"/>
      <c r="AQ364" s="875"/>
      <c r="AR364" s="875"/>
      <c r="AS364" s="776"/>
      <c r="AT364" s="776"/>
      <c r="AU364" s="92"/>
      <c r="AV364" s="92"/>
      <c r="AW364" s="92"/>
      <c r="AX364" s="92"/>
      <c r="AY364"/>
      <c r="AZ364"/>
      <c r="BA364"/>
      <c r="BB364">
        <f t="shared" si="5"/>
        <v>1</v>
      </c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</row>
    <row r="365" spans="1:99" s="374" customFormat="1">
      <c r="A365" s="834" t="s">
        <v>24</v>
      </c>
      <c r="B365" s="834">
        <v>362</v>
      </c>
      <c r="C365" s="136" t="s">
        <v>3597</v>
      </c>
      <c r="D365" s="136" t="s">
        <v>34</v>
      </c>
      <c r="E365" s="124">
        <v>46084</v>
      </c>
      <c r="F365" s="136" t="s">
        <v>77</v>
      </c>
      <c r="G365" s="136">
        <v>6</v>
      </c>
      <c r="H365" s="136" t="s">
        <v>1721</v>
      </c>
      <c r="I365" s="136" t="s">
        <v>1638</v>
      </c>
      <c r="J365" s="136"/>
      <c r="K365" s="136" t="s">
        <v>3058</v>
      </c>
      <c r="L365" s="136" t="s">
        <v>3598</v>
      </c>
      <c r="M365" s="136" t="s">
        <v>3599</v>
      </c>
      <c r="N365" s="136" t="s">
        <v>3599</v>
      </c>
      <c r="O365" s="136" t="s">
        <v>3600</v>
      </c>
      <c r="P365" s="848"/>
      <c r="Q365" s="848"/>
      <c r="R365" s="848"/>
      <c r="S365" s="89" t="s">
        <v>1638</v>
      </c>
      <c r="T365" s="834"/>
      <c r="U365" s="834"/>
      <c r="V365" s="834"/>
      <c r="W365" s="834"/>
      <c r="X365" s="96" t="s">
        <v>30</v>
      </c>
      <c r="Y365" s="80" t="s">
        <v>30</v>
      </c>
      <c r="Z365" s="80" t="s">
        <v>30</v>
      </c>
      <c r="AA365" s="80" t="s">
        <v>607</v>
      </c>
      <c r="AB365" s="80" t="s">
        <v>607</v>
      </c>
      <c r="AC365" s="80" t="s">
        <v>607</v>
      </c>
      <c r="AD365" s="80" t="s">
        <v>30</v>
      </c>
      <c r="AE365" s="80" t="s">
        <v>607</v>
      </c>
      <c r="AF365" s="80" t="s">
        <v>607</v>
      </c>
      <c r="AG365" s="80" t="s">
        <v>607</v>
      </c>
      <c r="AH365" s="80" t="s">
        <v>30</v>
      </c>
      <c r="AI365" s="108" t="s">
        <v>607</v>
      </c>
      <c r="AJ365" s="108" t="s">
        <v>607</v>
      </c>
      <c r="AK365" s="108" t="s">
        <v>607</v>
      </c>
      <c r="AL365" s="108" t="s">
        <v>30</v>
      </c>
      <c r="AM365" s="80"/>
      <c r="AN365" s="80"/>
      <c r="AO365" s="832"/>
      <c r="AP365" s="875"/>
      <c r="AQ365" s="875"/>
      <c r="AR365" s="875"/>
      <c r="AS365" s="776"/>
      <c r="AT365" s="776"/>
      <c r="AU365" s="92"/>
      <c r="AV365" s="92"/>
      <c r="AW365" s="92"/>
      <c r="AX365" s="92"/>
      <c r="AY365"/>
      <c r="AZ365"/>
      <c r="BA365"/>
      <c r="BB365">
        <f t="shared" si="5"/>
        <v>1</v>
      </c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</row>
    <row r="366" spans="1:99" s="524" customFormat="1">
      <c r="A366" s="751" t="s">
        <v>24</v>
      </c>
      <c r="B366" s="834">
        <v>363</v>
      </c>
      <c r="C366" s="751" t="s">
        <v>3601</v>
      </c>
      <c r="D366" s="751" t="s">
        <v>374</v>
      </c>
      <c r="E366" s="887">
        <v>46084</v>
      </c>
      <c r="F366" s="751" t="s">
        <v>3420</v>
      </c>
      <c r="G366" s="751">
        <v>25</v>
      </c>
      <c r="H366" s="751" t="s">
        <v>1076</v>
      </c>
      <c r="I366" s="751" t="s">
        <v>3602</v>
      </c>
      <c r="J366" s="521"/>
      <c r="K366" s="521" t="s">
        <v>3058</v>
      </c>
      <c r="L366" s="521" t="s">
        <v>3603</v>
      </c>
      <c r="M366" s="521" t="s">
        <v>3599</v>
      </c>
      <c r="N366" s="521" t="s">
        <v>3599</v>
      </c>
      <c r="O366" s="521" t="s">
        <v>2083</v>
      </c>
      <c r="P366" s="632" t="s">
        <v>2863</v>
      </c>
      <c r="Q366" s="888"/>
      <c r="R366" s="888"/>
      <c r="S366" s="529" t="s">
        <v>178</v>
      </c>
      <c r="T366" s="751"/>
      <c r="U366" s="751"/>
      <c r="V366" s="751" t="s">
        <v>3438</v>
      </c>
      <c r="W366" s="751"/>
      <c r="X366" s="534" t="s">
        <v>30</v>
      </c>
      <c r="Y366" s="522" t="s">
        <v>30</v>
      </c>
      <c r="Z366" s="522" t="s">
        <v>30</v>
      </c>
      <c r="AA366" s="522" t="s">
        <v>30</v>
      </c>
      <c r="AB366" s="522" t="s">
        <v>30</v>
      </c>
      <c r="AC366" s="522" t="s">
        <v>30</v>
      </c>
      <c r="AD366" s="534" t="s">
        <v>607</v>
      </c>
      <c r="AE366" s="522" t="s">
        <v>30</v>
      </c>
      <c r="AF366" s="522" t="s">
        <v>30</v>
      </c>
      <c r="AG366" s="522" t="s">
        <v>607</v>
      </c>
      <c r="AH366" s="522" t="s">
        <v>607</v>
      </c>
      <c r="AI366" s="523"/>
      <c r="AJ366" s="523"/>
      <c r="AK366" s="523" t="s">
        <v>30</v>
      </c>
      <c r="AL366" s="523" t="s">
        <v>30</v>
      </c>
      <c r="AM366" s="522"/>
      <c r="AN366" s="522"/>
      <c r="AO366" s="889"/>
      <c r="AP366" s="890"/>
      <c r="AQ366" s="890"/>
      <c r="AR366" s="890"/>
      <c r="AS366" s="525"/>
      <c r="AT366" s="525"/>
      <c r="AU366" s="526"/>
      <c r="AV366" s="526"/>
      <c r="AW366" s="526"/>
      <c r="AX366" s="526"/>
      <c r="BB366" s="524">
        <f t="shared" si="5"/>
        <v>1</v>
      </c>
    </row>
    <row r="367" spans="1:99" s="374" customFormat="1">
      <c r="A367" s="834" t="s">
        <v>24</v>
      </c>
      <c r="B367" s="834">
        <v>364</v>
      </c>
      <c r="C367" s="834" t="s">
        <v>3604</v>
      </c>
      <c r="D367" s="834" t="s">
        <v>102</v>
      </c>
      <c r="E367" s="852">
        <v>46086</v>
      </c>
      <c r="F367" s="834" t="s">
        <v>62</v>
      </c>
      <c r="G367" s="834">
        <v>14</v>
      </c>
      <c r="H367" s="834" t="s">
        <v>1077</v>
      </c>
      <c r="I367" s="834" t="s">
        <v>1138</v>
      </c>
      <c r="J367" s="136"/>
      <c r="K367" s="136" t="s">
        <v>3063</v>
      </c>
      <c r="L367" s="136" t="s">
        <v>3193</v>
      </c>
      <c r="M367" s="136" t="s">
        <v>3599</v>
      </c>
      <c r="N367" s="136" t="s">
        <v>3599</v>
      </c>
      <c r="O367" s="136" t="s">
        <v>3605</v>
      </c>
      <c r="P367" s="848"/>
      <c r="Q367" s="848"/>
      <c r="R367" s="848"/>
      <c r="S367" s="89" t="s">
        <v>1138</v>
      </c>
      <c r="T367" s="834" t="s">
        <v>32</v>
      </c>
      <c r="U367" s="834">
        <v>15</v>
      </c>
      <c r="V367" s="834"/>
      <c r="W367" s="852">
        <v>46113</v>
      </c>
      <c r="X367" s="91" t="s">
        <v>32</v>
      </c>
      <c r="Y367" s="80" t="s">
        <v>32</v>
      </c>
      <c r="Z367" s="91" t="s">
        <v>32</v>
      </c>
      <c r="AA367" s="80" t="s">
        <v>30</v>
      </c>
      <c r="AB367" s="80" t="s">
        <v>30</v>
      </c>
      <c r="AC367" s="80" t="s">
        <v>32</v>
      </c>
      <c r="AD367" s="80" t="s">
        <v>607</v>
      </c>
      <c r="AE367" s="80" t="s">
        <v>30</v>
      </c>
      <c r="AF367" s="80" t="s">
        <v>607</v>
      </c>
      <c r="AG367" s="80" t="s">
        <v>607</v>
      </c>
      <c r="AH367" s="80" t="s">
        <v>607</v>
      </c>
      <c r="AI367" s="108"/>
      <c r="AJ367" s="108"/>
      <c r="AK367" s="108"/>
      <c r="AL367" s="108" t="s">
        <v>30</v>
      </c>
      <c r="AM367" s="80"/>
      <c r="AN367" s="80"/>
      <c r="AO367" s="832"/>
      <c r="AP367" s="875"/>
      <c r="AQ367" s="875"/>
      <c r="AR367" s="875"/>
      <c r="AS367" s="776"/>
      <c r="AT367" s="776"/>
      <c r="AU367" s="92"/>
      <c r="AV367" s="92"/>
      <c r="AW367" s="92"/>
      <c r="AX367" s="92"/>
      <c r="AY367"/>
      <c r="AZ367"/>
      <c r="BA367"/>
      <c r="BB367">
        <f t="shared" si="5"/>
        <v>1</v>
      </c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</row>
    <row r="368" spans="1:99" s="374" customFormat="1">
      <c r="A368" s="834" t="s">
        <v>24</v>
      </c>
      <c r="B368" s="834">
        <v>365</v>
      </c>
      <c r="C368" s="834" t="s">
        <v>3606</v>
      </c>
      <c r="D368" s="834" t="s">
        <v>34</v>
      </c>
      <c r="E368" s="852">
        <v>46088</v>
      </c>
      <c r="F368" s="834" t="s">
        <v>1478</v>
      </c>
      <c r="G368" s="834">
        <v>12</v>
      </c>
      <c r="H368" s="834" t="s">
        <v>1721</v>
      </c>
      <c r="I368" s="834" t="s">
        <v>1638</v>
      </c>
      <c r="J368" s="136"/>
      <c r="K368" s="136" t="s">
        <v>3058</v>
      </c>
      <c r="L368" s="136" t="s">
        <v>2102</v>
      </c>
      <c r="M368" s="136" t="s">
        <v>3607</v>
      </c>
      <c r="N368" s="136" t="s">
        <v>3608</v>
      </c>
      <c r="O368" s="376" t="s">
        <v>3609</v>
      </c>
      <c r="P368" s="848"/>
      <c r="Q368" s="848"/>
      <c r="R368" s="848"/>
      <c r="S368" s="89" t="s">
        <v>1638</v>
      </c>
      <c r="T368" s="834"/>
      <c r="U368" s="834"/>
      <c r="V368" s="834"/>
      <c r="W368" s="852">
        <v>46121</v>
      </c>
      <c r="X368" s="96" t="s">
        <v>30</v>
      </c>
      <c r="Y368" s="80" t="s">
        <v>30</v>
      </c>
      <c r="Z368" s="80" t="s">
        <v>30</v>
      </c>
      <c r="AA368" s="80" t="s">
        <v>607</v>
      </c>
      <c r="AB368" s="80" t="s">
        <v>30</v>
      </c>
      <c r="AC368" s="80" t="s">
        <v>607</v>
      </c>
      <c r="AD368" s="80" t="s">
        <v>607</v>
      </c>
      <c r="AE368" s="80" t="s">
        <v>30</v>
      </c>
      <c r="AF368" s="80" t="s">
        <v>30</v>
      </c>
      <c r="AG368" s="80" t="s">
        <v>30</v>
      </c>
      <c r="AH368" s="80" t="s">
        <v>30</v>
      </c>
      <c r="AI368" s="107" t="s">
        <v>607</v>
      </c>
      <c r="AJ368" s="108" t="s">
        <v>30</v>
      </c>
      <c r="AK368" s="108" t="s">
        <v>30</v>
      </c>
      <c r="AL368" s="108" t="s">
        <v>30</v>
      </c>
      <c r="AM368" s="80"/>
      <c r="AN368" s="80"/>
      <c r="AO368" s="832"/>
      <c r="AP368" s="875"/>
      <c r="AQ368" s="875"/>
      <c r="AR368" s="875"/>
      <c r="AS368" s="776"/>
      <c r="AT368" s="776"/>
      <c r="AU368" s="92"/>
      <c r="AV368" s="92"/>
      <c r="AW368" s="92"/>
      <c r="AX368" s="92"/>
      <c r="AY368"/>
      <c r="AZ368"/>
      <c r="BA368"/>
      <c r="BB368">
        <f t="shared" si="5"/>
        <v>1</v>
      </c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</row>
    <row r="369" spans="1:54" s="524" customFormat="1">
      <c r="A369" s="751" t="s">
        <v>24</v>
      </c>
      <c r="B369" s="834">
        <v>366</v>
      </c>
      <c r="C369" s="605" t="s">
        <v>3610</v>
      </c>
      <c r="D369" s="751" t="s">
        <v>34</v>
      </c>
      <c r="E369" s="887">
        <v>46088</v>
      </c>
      <c r="F369" s="751" t="s">
        <v>106</v>
      </c>
      <c r="G369" s="751">
        <v>9</v>
      </c>
      <c r="H369" s="751" t="s">
        <v>127</v>
      </c>
      <c r="I369" s="751" t="s">
        <v>3611</v>
      </c>
      <c r="J369" s="751"/>
      <c r="K369" s="521" t="s">
        <v>3058</v>
      </c>
      <c r="L369" s="751" t="s">
        <v>2092</v>
      </c>
      <c r="M369" s="521" t="s">
        <v>3608</v>
      </c>
      <c r="N369" s="521" t="s">
        <v>3608</v>
      </c>
      <c r="O369" s="521" t="s">
        <v>2050</v>
      </c>
      <c r="P369" s="888"/>
      <c r="Q369" s="888"/>
      <c r="R369" s="888"/>
      <c r="S369" s="529" t="s">
        <v>178</v>
      </c>
      <c r="T369" s="751"/>
      <c r="U369" s="751"/>
      <c r="V369" s="751" t="s">
        <v>3438</v>
      </c>
      <c r="W369" s="751"/>
      <c r="X369" s="534" t="s">
        <v>30</v>
      </c>
      <c r="Y369" s="522" t="s">
        <v>30</v>
      </c>
      <c r="Z369" s="522" t="s">
        <v>30</v>
      </c>
      <c r="AA369" s="522"/>
      <c r="AB369" s="522"/>
      <c r="AC369" s="522"/>
      <c r="AD369" s="522" t="s">
        <v>30</v>
      </c>
      <c r="AE369" s="522" t="s">
        <v>30</v>
      </c>
      <c r="AF369" s="522" t="s">
        <v>607</v>
      </c>
      <c r="AG369" s="522" t="s">
        <v>30</v>
      </c>
      <c r="AH369" s="522" t="s">
        <v>30</v>
      </c>
      <c r="AI369" s="523"/>
      <c r="AJ369" s="584" t="s">
        <v>32</v>
      </c>
      <c r="AK369" s="584" t="s">
        <v>32</v>
      </c>
      <c r="AL369" s="584" t="s">
        <v>32</v>
      </c>
      <c r="AM369" s="522"/>
      <c r="AN369" s="522"/>
      <c r="AO369" s="889"/>
      <c r="AP369" s="890"/>
      <c r="AQ369" s="890"/>
      <c r="AR369" s="890"/>
      <c r="AS369" s="525"/>
      <c r="AT369" s="525"/>
      <c r="AU369" s="526"/>
      <c r="AV369" s="526"/>
      <c r="AW369" s="526"/>
      <c r="AX369" s="526"/>
      <c r="BB369" s="524">
        <f t="shared" si="5"/>
        <v>1</v>
      </c>
    </row>
    <row r="370" spans="1:54">
      <c r="A370" s="834" t="s">
        <v>24</v>
      </c>
      <c r="B370" s="834">
        <v>367</v>
      </c>
      <c r="C370" s="834" t="s">
        <v>3612</v>
      </c>
      <c r="D370" s="834" t="s">
        <v>64</v>
      </c>
      <c r="E370" s="852">
        <v>46088</v>
      </c>
      <c r="F370" s="834" t="s">
        <v>65</v>
      </c>
      <c r="G370" s="834">
        <v>16</v>
      </c>
      <c r="H370" s="834" t="s">
        <v>1076</v>
      </c>
      <c r="I370" s="834" t="s">
        <v>1138</v>
      </c>
      <c r="J370" s="136" t="s">
        <v>3613</v>
      </c>
      <c r="K370" s="136" t="s">
        <v>3058</v>
      </c>
      <c r="L370" s="136" t="s">
        <v>2108</v>
      </c>
      <c r="M370" s="136" t="s">
        <v>3608</v>
      </c>
      <c r="N370" s="136" t="s">
        <v>3608</v>
      </c>
      <c r="O370" s="136" t="s">
        <v>2050</v>
      </c>
      <c r="P370" s="90" t="s">
        <v>2863</v>
      </c>
      <c r="Q370" s="848"/>
      <c r="R370" s="848"/>
      <c r="S370" s="89" t="s">
        <v>1138</v>
      </c>
      <c r="T370" s="834"/>
      <c r="U370" s="834">
        <v>16</v>
      </c>
      <c r="V370" s="834"/>
      <c r="W370" s="852">
        <v>46126</v>
      </c>
      <c r="X370" s="80" t="s">
        <v>30</v>
      </c>
      <c r="Y370" s="80" t="s">
        <v>30</v>
      </c>
      <c r="Z370" s="96" t="s">
        <v>30</v>
      </c>
      <c r="AA370" s="80" t="s">
        <v>607</v>
      </c>
      <c r="AB370" s="80" t="s">
        <v>607</v>
      </c>
      <c r="AC370" s="80" t="s">
        <v>30</v>
      </c>
      <c r="AD370" s="80" t="s">
        <v>30</v>
      </c>
      <c r="AE370" s="80" t="s">
        <v>30</v>
      </c>
      <c r="AF370" s="80" t="s">
        <v>30</v>
      </c>
      <c r="AG370" s="80" t="s">
        <v>30</v>
      </c>
      <c r="AH370" s="80" t="s">
        <v>607</v>
      </c>
      <c r="AI370" s="108" t="s">
        <v>607</v>
      </c>
      <c r="AJ370" s="108" t="s">
        <v>607</v>
      </c>
      <c r="AK370" s="108" t="s">
        <v>607</v>
      </c>
      <c r="AL370" s="108" t="s">
        <v>30</v>
      </c>
      <c r="AM370" s="80"/>
      <c r="AN370" s="80"/>
      <c r="AO370" s="832"/>
      <c r="AP370" s="875"/>
      <c r="AQ370" s="875"/>
      <c r="AR370" s="875"/>
      <c r="AS370" s="776"/>
      <c r="AT370" s="776"/>
      <c r="BB370">
        <f t="shared" si="5"/>
        <v>1</v>
      </c>
    </row>
    <row r="371" spans="1:54" s="524" customFormat="1">
      <c r="A371" s="751" t="s">
        <v>24</v>
      </c>
      <c r="B371" s="834">
        <v>368</v>
      </c>
      <c r="C371" s="751" t="s">
        <v>3614</v>
      </c>
      <c r="D371" s="751" t="s">
        <v>34</v>
      </c>
      <c r="E371" s="887">
        <v>46088</v>
      </c>
      <c r="F371" s="751" t="s">
        <v>506</v>
      </c>
      <c r="G371" s="751">
        <v>18</v>
      </c>
      <c r="H371" s="751" t="s">
        <v>1076</v>
      </c>
      <c r="I371" s="751" t="s">
        <v>3615</v>
      </c>
      <c r="J371" s="521"/>
      <c r="K371" s="521" t="s">
        <v>3058</v>
      </c>
      <c r="L371" s="521" t="s">
        <v>2130</v>
      </c>
      <c r="M371" s="521" t="s">
        <v>3607</v>
      </c>
      <c r="N371" s="521" t="s">
        <v>3607</v>
      </c>
      <c r="O371" s="562" t="s">
        <v>3616</v>
      </c>
      <c r="P371" s="632" t="s">
        <v>2863</v>
      </c>
      <c r="Q371" s="888"/>
      <c r="R371" s="888"/>
      <c r="S371" s="529" t="s">
        <v>178</v>
      </c>
      <c r="T371" s="751"/>
      <c r="U371" s="751"/>
      <c r="V371" s="751" t="s">
        <v>3438</v>
      </c>
      <c r="W371" s="751"/>
      <c r="X371" s="522" t="s">
        <v>30</v>
      </c>
      <c r="Y371" s="522" t="s">
        <v>30</v>
      </c>
      <c r="Z371" s="533" t="s">
        <v>32</v>
      </c>
      <c r="AA371" s="522" t="s">
        <v>30</v>
      </c>
      <c r="AB371" s="522" t="s">
        <v>607</v>
      </c>
      <c r="AC371" s="522" t="s">
        <v>607</v>
      </c>
      <c r="AD371" s="522" t="s">
        <v>607</v>
      </c>
      <c r="AE371" s="522" t="s">
        <v>607</v>
      </c>
      <c r="AF371" s="522" t="s">
        <v>30</v>
      </c>
      <c r="AG371" s="522" t="s">
        <v>607</v>
      </c>
      <c r="AH371" s="522" t="s">
        <v>607</v>
      </c>
      <c r="AI371" s="523"/>
      <c r="AJ371" s="523"/>
      <c r="AK371" s="523" t="s">
        <v>30</v>
      </c>
      <c r="AL371" s="523" t="s">
        <v>30</v>
      </c>
      <c r="AM371" s="522"/>
      <c r="AN371" s="522"/>
      <c r="AO371" s="889"/>
      <c r="AP371" s="890"/>
      <c r="AQ371" s="890"/>
      <c r="AR371" s="890"/>
      <c r="AS371" s="525"/>
      <c r="AT371" s="525"/>
      <c r="AU371" s="526"/>
      <c r="AV371" s="526"/>
      <c r="AW371" s="526"/>
      <c r="AX371" s="526"/>
      <c r="BB371" s="524">
        <f t="shared" si="5"/>
        <v>1</v>
      </c>
    </row>
    <row r="372" spans="1:54" s="524" customFormat="1">
      <c r="A372" s="751" t="s">
        <v>24</v>
      </c>
      <c r="B372" s="834">
        <v>369</v>
      </c>
      <c r="C372" s="751" t="s">
        <v>3617</v>
      </c>
      <c r="D372" s="751" t="s">
        <v>34</v>
      </c>
      <c r="E372" s="887">
        <v>46088</v>
      </c>
      <c r="F372" s="751" t="s">
        <v>506</v>
      </c>
      <c r="G372" s="751">
        <v>2</v>
      </c>
      <c r="H372" s="751" t="s">
        <v>3056</v>
      </c>
      <c r="I372" s="751" t="s">
        <v>47</v>
      </c>
      <c r="J372" s="521"/>
      <c r="K372" s="521" t="s">
        <v>3058</v>
      </c>
      <c r="L372" s="613" t="s">
        <v>401</v>
      </c>
      <c r="M372" s="521"/>
      <c r="N372" s="521"/>
      <c r="O372" s="614" t="s">
        <v>401</v>
      </c>
      <c r="P372" s="888"/>
      <c r="Q372" s="888"/>
      <c r="R372" s="888"/>
      <c r="S372" s="529" t="s">
        <v>3056</v>
      </c>
      <c r="T372" s="751"/>
      <c r="U372" s="751">
        <v>2</v>
      </c>
      <c r="V372" s="751"/>
      <c r="W372" s="887">
        <v>46122</v>
      </c>
      <c r="X372" s="534" t="s">
        <v>30</v>
      </c>
      <c r="Y372" s="522" t="s">
        <v>30</v>
      </c>
      <c r="Z372" s="533" t="s">
        <v>32</v>
      </c>
      <c r="AA372" s="522" t="s">
        <v>30</v>
      </c>
      <c r="AB372" s="522" t="s">
        <v>607</v>
      </c>
      <c r="AC372" s="522" t="s">
        <v>607</v>
      </c>
      <c r="AD372" s="522" t="s">
        <v>30</v>
      </c>
      <c r="AE372" s="522" t="s">
        <v>607</v>
      </c>
      <c r="AF372" s="522" t="s">
        <v>607</v>
      </c>
      <c r="AG372" s="522" t="s">
        <v>607</v>
      </c>
      <c r="AH372" s="522" t="s">
        <v>607</v>
      </c>
      <c r="AI372" s="523"/>
      <c r="AJ372" s="523" t="s">
        <v>607</v>
      </c>
      <c r="AK372" s="523" t="s">
        <v>607</v>
      </c>
      <c r="AL372" s="523" t="s">
        <v>30</v>
      </c>
      <c r="AM372" s="522"/>
      <c r="AN372" s="522"/>
      <c r="AO372" s="889"/>
      <c r="AP372" s="890"/>
      <c r="AQ372" s="890"/>
      <c r="AR372" s="890"/>
      <c r="AS372" s="525"/>
      <c r="AT372" s="525"/>
      <c r="AU372" s="526"/>
      <c r="AV372" s="526"/>
      <c r="AW372" s="526"/>
      <c r="AX372" s="526"/>
      <c r="BB372" s="524">
        <f t="shared" si="5"/>
        <v>1</v>
      </c>
    </row>
    <row r="373" spans="1:54" s="524" customFormat="1">
      <c r="A373" s="751" t="s">
        <v>24</v>
      </c>
      <c r="B373" s="834">
        <v>370</v>
      </c>
      <c r="C373" s="751" t="s">
        <v>3618</v>
      </c>
      <c r="D373" s="751" t="s">
        <v>34</v>
      </c>
      <c r="E373" s="887">
        <v>46088</v>
      </c>
      <c r="F373" s="751" t="s">
        <v>2177</v>
      </c>
      <c r="G373" s="751">
        <v>10</v>
      </c>
      <c r="H373" s="751" t="s">
        <v>1076</v>
      </c>
      <c r="I373" s="751" t="s">
        <v>3602</v>
      </c>
      <c r="J373" s="751"/>
      <c r="K373" s="521" t="s">
        <v>3058</v>
      </c>
      <c r="L373" s="751" t="s">
        <v>2180</v>
      </c>
      <c r="M373" s="521" t="s">
        <v>3607</v>
      </c>
      <c r="N373" s="521" t="s">
        <v>3607</v>
      </c>
      <c r="O373" s="606" t="s">
        <v>3619</v>
      </c>
      <c r="P373" s="888"/>
      <c r="Q373" s="888"/>
      <c r="R373" s="888"/>
      <c r="S373" s="529" t="s">
        <v>178</v>
      </c>
      <c r="T373" s="751"/>
      <c r="U373" s="751"/>
      <c r="V373" s="751" t="s">
        <v>3438</v>
      </c>
      <c r="W373" s="751"/>
      <c r="X373" s="534" t="s">
        <v>30</v>
      </c>
      <c r="Y373" s="522" t="s">
        <v>30</v>
      </c>
      <c r="Z373" s="533" t="s">
        <v>32</v>
      </c>
      <c r="AA373" s="522" t="s">
        <v>30</v>
      </c>
      <c r="AB373" s="522" t="s">
        <v>30</v>
      </c>
      <c r="AC373" s="522" t="s">
        <v>30</v>
      </c>
      <c r="AD373" s="522" t="s">
        <v>607</v>
      </c>
      <c r="AE373" s="522" t="s">
        <v>30</v>
      </c>
      <c r="AF373" s="522" t="s">
        <v>30</v>
      </c>
      <c r="AG373" s="522" t="s">
        <v>30</v>
      </c>
      <c r="AH373" s="522" t="s">
        <v>30</v>
      </c>
      <c r="AI373" s="584" t="s">
        <v>32</v>
      </c>
      <c r="AJ373" s="584" t="s">
        <v>32</v>
      </c>
      <c r="AK373" s="584" t="s">
        <v>32</v>
      </c>
      <c r="AL373" s="584" t="s">
        <v>32</v>
      </c>
      <c r="AM373" s="522"/>
      <c r="AN373" s="522"/>
      <c r="AO373" s="889"/>
      <c r="AP373" s="890"/>
      <c r="AQ373" s="890"/>
      <c r="AR373" s="890"/>
      <c r="AS373" s="525"/>
      <c r="AT373" s="525"/>
      <c r="AU373" s="526"/>
      <c r="AV373" s="526"/>
      <c r="AW373" s="526"/>
      <c r="AX373" s="526"/>
      <c r="BB373" s="524">
        <f t="shared" si="5"/>
        <v>1</v>
      </c>
    </row>
    <row r="374" spans="1:54" s="524" customFormat="1">
      <c r="A374" s="751" t="s">
        <v>24</v>
      </c>
      <c r="B374" s="834">
        <v>371</v>
      </c>
      <c r="C374" s="751" t="s">
        <v>3620</v>
      </c>
      <c r="D374" s="751" t="s">
        <v>83</v>
      </c>
      <c r="E374" s="887">
        <v>46088</v>
      </c>
      <c r="F374" s="751" t="s">
        <v>2221</v>
      </c>
      <c r="G374" s="751">
        <v>10</v>
      </c>
      <c r="H374" s="751" t="s">
        <v>1076</v>
      </c>
      <c r="I374" s="751" t="s">
        <v>3602</v>
      </c>
      <c r="J374" s="751"/>
      <c r="K374" s="521" t="s">
        <v>3063</v>
      </c>
      <c r="L374" s="521" t="s">
        <v>2244</v>
      </c>
      <c r="M374" s="521" t="s">
        <v>3607</v>
      </c>
      <c r="N374" s="521" t="s">
        <v>3621</v>
      </c>
      <c r="O374" s="521" t="s">
        <v>2050</v>
      </c>
      <c r="P374" s="888"/>
      <c r="Q374" s="888"/>
      <c r="R374" s="888"/>
      <c r="S374" s="529" t="s">
        <v>178</v>
      </c>
      <c r="T374" s="751"/>
      <c r="U374" s="751"/>
      <c r="V374" s="751" t="s">
        <v>3438</v>
      </c>
      <c r="W374" s="751"/>
      <c r="X374" s="534" t="s">
        <v>30</v>
      </c>
      <c r="Y374" s="522" t="s">
        <v>30</v>
      </c>
      <c r="Z374" s="522" t="s">
        <v>30</v>
      </c>
      <c r="AA374" s="522" t="s">
        <v>30</v>
      </c>
      <c r="AB374" s="522" t="s">
        <v>30</v>
      </c>
      <c r="AC374" s="522" t="s">
        <v>30</v>
      </c>
      <c r="AD374" s="522" t="s">
        <v>607</v>
      </c>
      <c r="AE374" s="522" t="s">
        <v>607</v>
      </c>
      <c r="AF374" s="522" t="s">
        <v>30</v>
      </c>
      <c r="AG374" s="522" t="s">
        <v>607</v>
      </c>
      <c r="AH374" s="522" t="s">
        <v>607</v>
      </c>
      <c r="AI374" s="584" t="s">
        <v>32</v>
      </c>
      <c r="AJ374" s="523" t="s">
        <v>607</v>
      </c>
      <c r="AK374" s="523" t="s">
        <v>607</v>
      </c>
      <c r="AL374" s="523" t="s">
        <v>607</v>
      </c>
      <c r="AM374" s="522"/>
      <c r="AN374" s="522"/>
      <c r="AO374" s="889"/>
      <c r="AP374" s="890"/>
      <c r="AQ374" s="890"/>
      <c r="AR374" s="890"/>
      <c r="AS374" s="525"/>
      <c r="AT374" s="525"/>
      <c r="AU374" s="526"/>
      <c r="AV374" s="526"/>
      <c r="AW374" s="526"/>
      <c r="AX374" s="526"/>
      <c r="BB374" s="524">
        <f t="shared" si="5"/>
        <v>1</v>
      </c>
    </row>
    <row r="375" spans="1:54" s="524" customFormat="1">
      <c r="A375" s="751" t="s">
        <v>2342</v>
      </c>
      <c r="B375" s="834">
        <v>372</v>
      </c>
      <c r="C375" s="886" t="s">
        <v>3622</v>
      </c>
      <c r="D375" s="751" t="s">
        <v>3623</v>
      </c>
      <c r="E375" s="887">
        <v>46090</v>
      </c>
      <c r="F375" s="751" t="s">
        <v>3624</v>
      </c>
      <c r="G375" s="751">
        <v>30</v>
      </c>
      <c r="H375" s="751" t="s">
        <v>3625</v>
      </c>
      <c r="I375" s="751" t="s">
        <v>3626</v>
      </c>
      <c r="J375" s="751"/>
      <c r="K375" s="521"/>
      <c r="L375" s="521"/>
      <c r="M375" s="521"/>
      <c r="N375" s="521"/>
      <c r="O375" s="521"/>
      <c r="P375" s="888"/>
      <c r="Q375" s="888"/>
      <c r="R375" s="888"/>
      <c r="S375" s="529" t="s">
        <v>47</v>
      </c>
      <c r="T375" s="751"/>
      <c r="U375" s="751"/>
      <c r="V375" s="751" t="s">
        <v>3438</v>
      </c>
      <c r="W375" s="751"/>
      <c r="X375" s="751"/>
      <c r="Y375" s="522"/>
      <c r="Z375" s="522"/>
      <c r="AA375" s="522"/>
      <c r="AB375" s="522"/>
      <c r="AC375" s="522"/>
      <c r="AD375" s="522"/>
      <c r="AE375" s="522"/>
      <c r="AF375" s="522"/>
      <c r="AG375" s="522"/>
      <c r="AH375" s="522"/>
      <c r="AI375" s="523"/>
      <c r="AJ375" s="523"/>
      <c r="AK375" s="523"/>
      <c r="AL375" s="523"/>
      <c r="AM375" s="522"/>
      <c r="AN375" s="522"/>
      <c r="AO375" s="628">
        <v>3</v>
      </c>
      <c r="AP375" s="628">
        <v>17</v>
      </c>
      <c r="AQ375" s="629">
        <v>0</v>
      </c>
      <c r="AR375" s="629">
        <v>10</v>
      </c>
      <c r="AS375" s="607">
        <v>5</v>
      </c>
      <c r="AT375" s="607">
        <f>SUM(AO375:AS375)</f>
        <v>35</v>
      </c>
      <c r="AU375" s="608">
        <f>+AO375/AT375*AU$1</f>
        <v>0.25714285714285712</v>
      </c>
      <c r="AV375" s="602">
        <f>+AP375/AT375*AV$1</f>
        <v>1.4571428571428571</v>
      </c>
      <c r="AW375" s="602">
        <f t="shared" ref="AW375" si="17">+AQ375/AT375*AW$1</f>
        <v>0</v>
      </c>
      <c r="AX375" s="602">
        <f>+AQ375/AT375*AX$1</f>
        <v>0</v>
      </c>
      <c r="AY375" s="602">
        <f>+AR375/AT375*AY$1</f>
        <v>0.8571428571428571</v>
      </c>
      <c r="BB375" s="524">
        <f t="shared" si="5"/>
        <v>1</v>
      </c>
    </row>
    <row r="376" spans="1:54" s="524" customFormat="1">
      <c r="A376" s="751" t="s">
        <v>2342</v>
      </c>
      <c r="B376" s="834">
        <v>373</v>
      </c>
      <c r="C376" s="886" t="s">
        <v>3627</v>
      </c>
      <c r="D376" s="887" t="s">
        <v>1212</v>
      </c>
      <c r="E376" s="887">
        <v>46090</v>
      </c>
      <c r="F376" s="751" t="s">
        <v>3624</v>
      </c>
      <c r="G376" s="751">
        <v>2</v>
      </c>
      <c r="H376" s="751" t="s">
        <v>3056</v>
      </c>
      <c r="I376" s="751" t="s">
        <v>47</v>
      </c>
      <c r="J376" s="751"/>
      <c r="K376" s="521"/>
      <c r="L376" s="521"/>
      <c r="M376" s="521"/>
      <c r="N376" s="521"/>
      <c r="O376" s="521"/>
      <c r="P376" s="888"/>
      <c r="Q376" s="888"/>
      <c r="R376" s="888"/>
      <c r="S376" s="529" t="s">
        <v>47</v>
      </c>
      <c r="T376" s="751"/>
      <c r="U376" s="751"/>
      <c r="V376" s="751" t="s">
        <v>3438</v>
      </c>
      <c r="W376" s="751"/>
      <c r="X376" s="751"/>
      <c r="Y376" s="522"/>
      <c r="Z376" s="522"/>
      <c r="AA376" s="522"/>
      <c r="AB376" s="522"/>
      <c r="AC376" s="522"/>
      <c r="AD376" s="522"/>
      <c r="AE376" s="522"/>
      <c r="AF376" s="522"/>
      <c r="AG376" s="522"/>
      <c r="AH376" s="522"/>
      <c r="AI376" s="523"/>
      <c r="AJ376" s="523"/>
      <c r="AK376" s="523"/>
      <c r="AL376" s="523"/>
      <c r="AM376" s="522"/>
      <c r="AN376" s="522"/>
      <c r="AO376" s="889"/>
      <c r="AP376" s="890"/>
      <c r="AQ376" s="890"/>
      <c r="AR376" s="890"/>
      <c r="AS376" s="525"/>
      <c r="AT376" s="525"/>
      <c r="AU376" s="526"/>
      <c r="AV376" s="526"/>
      <c r="AW376" s="602"/>
      <c r="AX376" s="526"/>
      <c r="BB376" s="524">
        <f t="shared" si="5"/>
        <v>1</v>
      </c>
    </row>
    <row r="377" spans="1:54" s="524" customFormat="1">
      <c r="A377" s="751" t="s">
        <v>2342</v>
      </c>
      <c r="B377" s="834">
        <v>374</v>
      </c>
      <c r="C377" s="886" t="s">
        <v>3628</v>
      </c>
      <c r="D377" s="751" t="s">
        <v>1198</v>
      </c>
      <c r="E377" s="887">
        <v>46090</v>
      </c>
      <c r="F377" s="751" t="s">
        <v>3624</v>
      </c>
      <c r="G377" s="751">
        <v>11</v>
      </c>
      <c r="H377" s="751" t="s">
        <v>3471</v>
      </c>
      <c r="I377" s="751" t="s">
        <v>3629</v>
      </c>
      <c r="J377" s="751"/>
      <c r="K377" s="521"/>
      <c r="L377" s="521"/>
      <c r="M377" s="521"/>
      <c r="N377" s="521"/>
      <c r="O377" s="521"/>
      <c r="P377" s="888"/>
      <c r="Q377" s="888"/>
      <c r="R377" s="888"/>
      <c r="S377" s="529" t="s">
        <v>47</v>
      </c>
      <c r="T377" s="751"/>
      <c r="U377" s="751"/>
      <c r="V377" s="751" t="s">
        <v>3438</v>
      </c>
      <c r="W377" s="751"/>
      <c r="X377" s="751"/>
      <c r="Y377" s="522"/>
      <c r="Z377" s="522"/>
      <c r="AA377" s="522"/>
      <c r="AB377" s="522"/>
      <c r="AC377" s="522"/>
      <c r="AD377" s="522"/>
      <c r="AE377" s="522"/>
      <c r="AF377" s="522"/>
      <c r="AG377" s="522"/>
      <c r="AH377" s="522"/>
      <c r="AI377" s="523"/>
      <c r="AJ377" s="523"/>
      <c r="AK377" s="523"/>
      <c r="AL377" s="523"/>
      <c r="AM377" s="522"/>
      <c r="AN377" s="522"/>
      <c r="AO377" s="889"/>
      <c r="AP377" s="890"/>
      <c r="AQ377" s="890"/>
      <c r="AR377" s="890"/>
      <c r="AS377" s="525"/>
      <c r="AT377" s="525"/>
      <c r="AU377" s="526"/>
      <c r="AV377" s="526"/>
      <c r="AW377" s="602"/>
      <c r="AX377" s="526"/>
      <c r="BB377" s="524">
        <f t="shared" si="5"/>
        <v>1</v>
      </c>
    </row>
    <row r="378" spans="1:54" s="524" customFormat="1">
      <c r="A378" s="751" t="s">
        <v>2342</v>
      </c>
      <c r="B378" s="834">
        <v>375</v>
      </c>
      <c r="C378" s="886" t="s">
        <v>3630</v>
      </c>
      <c r="D378" s="751" t="s">
        <v>798</v>
      </c>
      <c r="E378" s="887">
        <v>46090</v>
      </c>
      <c r="F378" s="751" t="s">
        <v>3624</v>
      </c>
      <c r="G378" s="751">
        <v>9</v>
      </c>
      <c r="H378" s="751" t="s">
        <v>2391</v>
      </c>
      <c r="I378" s="751" t="s">
        <v>3631</v>
      </c>
      <c r="J378" s="751"/>
      <c r="K378" s="521"/>
      <c r="L378" s="521"/>
      <c r="M378" s="521"/>
      <c r="N378" s="521"/>
      <c r="O378" s="521"/>
      <c r="P378" s="888"/>
      <c r="Q378" s="888"/>
      <c r="R378" s="888"/>
      <c r="S378" s="529" t="s">
        <v>178</v>
      </c>
      <c r="T378" s="751"/>
      <c r="U378" s="751"/>
      <c r="V378" s="751" t="s">
        <v>3438</v>
      </c>
      <c r="W378" s="751"/>
      <c r="X378" s="751"/>
      <c r="Y378" s="522"/>
      <c r="Z378" s="522"/>
      <c r="AA378" s="522"/>
      <c r="AB378" s="522"/>
      <c r="AC378" s="522"/>
      <c r="AD378" s="522"/>
      <c r="AE378" s="522"/>
      <c r="AF378" s="522"/>
      <c r="AG378" s="522"/>
      <c r="AH378" s="522"/>
      <c r="AI378" s="523"/>
      <c r="AJ378" s="523"/>
      <c r="AK378" s="523"/>
      <c r="AL378" s="523"/>
      <c r="AM378" s="522"/>
      <c r="AN378" s="522"/>
      <c r="AO378" s="889"/>
      <c r="AP378" s="890"/>
      <c r="AQ378" s="890"/>
      <c r="AR378" s="890"/>
      <c r="AS378" s="525"/>
      <c r="AT378" s="525"/>
      <c r="AU378" s="526"/>
      <c r="AV378" s="526"/>
      <c r="AW378" s="602"/>
      <c r="AX378" s="526"/>
      <c r="BB378" s="524">
        <f t="shared" si="5"/>
        <v>1</v>
      </c>
    </row>
    <row r="379" spans="1:54" s="524" customFormat="1">
      <c r="A379" s="751" t="s">
        <v>2342</v>
      </c>
      <c r="B379" s="834">
        <v>376</v>
      </c>
      <c r="C379" s="886" t="s">
        <v>3632</v>
      </c>
      <c r="D379" s="751" t="s">
        <v>2975</v>
      </c>
      <c r="E379" s="887">
        <v>46090</v>
      </c>
      <c r="F379" s="751" t="s">
        <v>3624</v>
      </c>
      <c r="G379" s="751">
        <v>3</v>
      </c>
      <c r="H379" s="751" t="s">
        <v>1076</v>
      </c>
      <c r="I379" s="751" t="s">
        <v>3337</v>
      </c>
      <c r="J379" s="751"/>
      <c r="K379" s="521"/>
      <c r="L379" s="521"/>
      <c r="M379" s="521"/>
      <c r="N379" s="521"/>
      <c r="O379" s="521"/>
      <c r="P379" s="888"/>
      <c r="Q379" s="888"/>
      <c r="R379" s="888"/>
      <c r="S379" s="529" t="s">
        <v>178</v>
      </c>
      <c r="T379" s="751"/>
      <c r="U379" s="751"/>
      <c r="V379" s="751" t="s">
        <v>3438</v>
      </c>
      <c r="W379" s="751"/>
      <c r="X379" s="751"/>
      <c r="Y379" s="522"/>
      <c r="Z379" s="522"/>
      <c r="AA379" s="522"/>
      <c r="AB379" s="522"/>
      <c r="AC379" s="522"/>
      <c r="AD379" s="522"/>
      <c r="AE379" s="522"/>
      <c r="AF379" s="522"/>
      <c r="AG379" s="522"/>
      <c r="AH379" s="522"/>
      <c r="AI379" s="523"/>
      <c r="AJ379" s="523"/>
      <c r="AK379" s="523"/>
      <c r="AL379" s="523"/>
      <c r="AM379" s="522"/>
      <c r="AN379" s="522"/>
      <c r="AO379" s="889"/>
      <c r="AP379" s="890"/>
      <c r="AQ379" s="890"/>
      <c r="AR379" s="890"/>
      <c r="AS379" s="525"/>
      <c r="AT379" s="525"/>
      <c r="AU379" s="526"/>
      <c r="AV379" s="526"/>
      <c r="AW379" s="602"/>
      <c r="AX379" s="526"/>
      <c r="BB379" s="524">
        <f t="shared" si="5"/>
        <v>1</v>
      </c>
    </row>
    <row r="380" spans="1:54" s="524" customFormat="1">
      <c r="A380" s="751" t="s">
        <v>2342</v>
      </c>
      <c r="B380" s="834">
        <v>377</v>
      </c>
      <c r="C380" s="886" t="s">
        <v>3633</v>
      </c>
      <c r="D380" s="751" t="s">
        <v>829</v>
      </c>
      <c r="E380" s="887">
        <v>46090</v>
      </c>
      <c r="F380" s="751" t="s">
        <v>3624</v>
      </c>
      <c r="G380" s="751">
        <v>16</v>
      </c>
      <c r="H380" s="751" t="s">
        <v>3634</v>
      </c>
      <c r="I380" s="751" t="s">
        <v>1514</v>
      </c>
      <c r="J380" s="751"/>
      <c r="K380" s="521"/>
      <c r="L380" s="521"/>
      <c r="M380" s="521"/>
      <c r="N380" s="521"/>
      <c r="O380" s="521"/>
      <c r="P380" s="751" t="s">
        <v>3560</v>
      </c>
      <c r="Q380" s="888"/>
      <c r="R380" s="888"/>
      <c r="S380" s="529" t="s">
        <v>178</v>
      </c>
      <c r="T380" s="751"/>
      <c r="U380" s="751"/>
      <c r="V380" s="751" t="s">
        <v>3438</v>
      </c>
      <c r="W380" s="751"/>
      <c r="X380" s="751"/>
      <c r="Y380" s="522"/>
      <c r="Z380" s="522"/>
      <c r="AA380" s="522"/>
      <c r="AB380" s="522"/>
      <c r="AC380" s="522"/>
      <c r="AD380" s="522"/>
      <c r="AE380" s="522"/>
      <c r="AF380" s="522"/>
      <c r="AG380" s="522"/>
      <c r="AH380" s="522"/>
      <c r="AI380" s="523"/>
      <c r="AJ380" s="523"/>
      <c r="AK380" s="523"/>
      <c r="AL380" s="523"/>
      <c r="AM380" s="522"/>
      <c r="AN380" s="522"/>
      <c r="AO380" s="628">
        <v>0</v>
      </c>
      <c r="AP380" s="628">
        <v>11</v>
      </c>
      <c r="AQ380" s="629">
        <v>0</v>
      </c>
      <c r="AR380" s="629">
        <v>0</v>
      </c>
      <c r="AS380" s="607">
        <v>5</v>
      </c>
      <c r="AT380" s="607">
        <f>SUM(AO380:AS380)</f>
        <v>16</v>
      </c>
      <c r="AU380" s="608">
        <f>+AO380/AT380*AU$1</f>
        <v>0</v>
      </c>
      <c r="AV380" s="602">
        <f>+AP380/AT380*AV$1</f>
        <v>2.0625</v>
      </c>
      <c r="AW380" s="602">
        <f t="shared" ref="AW380" si="18">+AQ380/AT380*AW$1</f>
        <v>0</v>
      </c>
      <c r="AX380" s="602">
        <f>+AQ380/AT380*AX$1</f>
        <v>0</v>
      </c>
      <c r="AY380" s="602">
        <f>+AR380/AT380*AY$1</f>
        <v>0</v>
      </c>
      <c r="BB380" s="524">
        <f t="shared" si="5"/>
        <v>1</v>
      </c>
    </row>
    <row r="381" spans="1:54" s="524" customFormat="1">
      <c r="A381" s="751" t="s">
        <v>2342</v>
      </c>
      <c r="B381" s="834">
        <v>378</v>
      </c>
      <c r="C381" s="886" t="s">
        <v>3635</v>
      </c>
      <c r="D381" s="751" t="s">
        <v>1574</v>
      </c>
      <c r="E381" s="887">
        <v>46090</v>
      </c>
      <c r="F381" s="751" t="s">
        <v>3624</v>
      </c>
      <c r="G381" s="751">
        <v>2</v>
      </c>
      <c r="H381" s="751" t="s">
        <v>1076</v>
      </c>
      <c r="I381" s="751" t="s">
        <v>3337</v>
      </c>
      <c r="J381" s="751"/>
      <c r="K381" s="521"/>
      <c r="L381" s="521"/>
      <c r="M381" s="521"/>
      <c r="N381" s="521"/>
      <c r="O381" s="521"/>
      <c r="P381" s="888"/>
      <c r="Q381" s="888"/>
      <c r="R381" s="888"/>
      <c r="S381" s="529" t="s">
        <v>178</v>
      </c>
      <c r="T381" s="751"/>
      <c r="U381" s="751"/>
      <c r="V381" s="751" t="s">
        <v>3438</v>
      </c>
      <c r="W381" s="751"/>
      <c r="X381" s="751"/>
      <c r="Y381" s="522"/>
      <c r="Z381" s="522"/>
      <c r="AA381" s="522"/>
      <c r="AB381" s="522"/>
      <c r="AC381" s="522"/>
      <c r="AD381" s="522"/>
      <c r="AE381" s="522"/>
      <c r="AF381" s="522"/>
      <c r="AG381" s="522"/>
      <c r="AH381" s="522"/>
      <c r="AI381" s="523"/>
      <c r="AJ381" s="523"/>
      <c r="AK381" s="523"/>
      <c r="AL381" s="523"/>
      <c r="AM381" s="522"/>
      <c r="AN381" s="522"/>
      <c r="AO381" s="889"/>
      <c r="AP381" s="890"/>
      <c r="AQ381" s="890"/>
      <c r="AR381" s="890"/>
      <c r="AS381" s="525"/>
      <c r="AT381" s="525"/>
      <c r="AU381" s="526"/>
      <c r="AV381" s="526"/>
      <c r="AW381" s="526"/>
      <c r="AX381" s="526"/>
      <c r="BB381" s="524">
        <f t="shared" si="5"/>
        <v>1</v>
      </c>
    </row>
    <row r="382" spans="1:54" s="524" customFormat="1">
      <c r="A382" s="751" t="s">
        <v>2342</v>
      </c>
      <c r="B382" s="834">
        <v>379</v>
      </c>
      <c r="C382" s="886" t="s">
        <v>3636</v>
      </c>
      <c r="D382" s="751" t="s">
        <v>1208</v>
      </c>
      <c r="E382" s="887">
        <v>46090</v>
      </c>
      <c r="F382" s="751" t="s">
        <v>3624</v>
      </c>
      <c r="G382" s="751">
        <v>5</v>
      </c>
      <c r="H382" s="751" t="s">
        <v>3056</v>
      </c>
      <c r="I382" s="751" t="s">
        <v>47</v>
      </c>
      <c r="J382" s="751"/>
      <c r="K382" s="521"/>
      <c r="L382" s="521"/>
      <c r="M382" s="521"/>
      <c r="N382" s="521"/>
      <c r="O382" s="521"/>
      <c r="P382" s="888"/>
      <c r="Q382" s="888"/>
      <c r="R382" s="888"/>
      <c r="S382" s="529" t="s">
        <v>178</v>
      </c>
      <c r="T382" s="751"/>
      <c r="U382" s="751"/>
      <c r="V382" s="751" t="s">
        <v>3438</v>
      </c>
      <c r="W382" s="751"/>
      <c r="X382" s="751"/>
      <c r="Y382" s="522"/>
      <c r="Z382" s="522"/>
      <c r="AA382" s="522"/>
      <c r="AB382" s="522"/>
      <c r="AC382" s="522"/>
      <c r="AD382" s="522"/>
      <c r="AE382" s="522"/>
      <c r="AF382" s="522"/>
      <c r="AG382" s="522"/>
      <c r="AH382" s="522"/>
      <c r="AI382" s="523"/>
      <c r="AJ382" s="523"/>
      <c r="AK382" s="523"/>
      <c r="AL382" s="523"/>
      <c r="AM382" s="522"/>
      <c r="AN382" s="522"/>
      <c r="AO382" s="889"/>
      <c r="AP382" s="890"/>
      <c r="AQ382" s="890"/>
      <c r="AR382" s="890"/>
      <c r="AS382" s="525"/>
      <c r="AT382" s="525"/>
      <c r="AU382" s="526"/>
      <c r="AV382" s="526"/>
      <c r="AW382" s="526"/>
      <c r="AX382" s="526"/>
      <c r="BB382" s="524">
        <f t="shared" si="5"/>
        <v>1</v>
      </c>
    </row>
    <row r="383" spans="1:54" s="524" customFormat="1">
      <c r="A383" s="751" t="s">
        <v>2342</v>
      </c>
      <c r="B383" s="834">
        <v>380</v>
      </c>
      <c r="C383" s="886" t="s">
        <v>3637</v>
      </c>
      <c r="D383" s="751" t="s">
        <v>779</v>
      </c>
      <c r="E383" s="887">
        <v>46090</v>
      </c>
      <c r="F383" s="751" t="s">
        <v>3624</v>
      </c>
      <c r="G383" s="751">
        <v>3</v>
      </c>
      <c r="H383" s="751" t="s">
        <v>3638</v>
      </c>
      <c r="I383" s="751" t="s">
        <v>3639</v>
      </c>
      <c r="J383" s="751"/>
      <c r="K383" s="521"/>
      <c r="L383" s="521"/>
      <c r="M383" s="521"/>
      <c r="N383" s="521"/>
      <c r="O383" s="521"/>
      <c r="P383" s="888"/>
      <c r="Q383" s="888"/>
      <c r="R383" s="888"/>
      <c r="S383" s="529" t="s">
        <v>178</v>
      </c>
      <c r="T383" s="751"/>
      <c r="U383" s="751"/>
      <c r="V383" s="751" t="s">
        <v>3438</v>
      </c>
      <c r="W383" s="751"/>
      <c r="X383" s="751"/>
      <c r="Y383" s="522"/>
      <c r="Z383" s="522"/>
      <c r="AA383" s="522"/>
      <c r="AB383" s="522"/>
      <c r="AC383" s="522"/>
      <c r="AD383" s="522"/>
      <c r="AE383" s="522"/>
      <c r="AF383" s="522"/>
      <c r="AG383" s="522"/>
      <c r="AH383" s="522"/>
      <c r="AI383" s="523"/>
      <c r="AJ383" s="523"/>
      <c r="AK383" s="523"/>
      <c r="AL383" s="523"/>
      <c r="AM383" s="522"/>
      <c r="AN383" s="522"/>
      <c r="AO383" s="889"/>
      <c r="AP383" s="890"/>
      <c r="AQ383" s="890"/>
      <c r="AR383" s="890"/>
      <c r="AS383" s="525"/>
      <c r="AT383" s="525"/>
      <c r="AU383" s="526"/>
      <c r="AV383" s="526"/>
      <c r="AW383" s="526"/>
      <c r="AX383" s="526"/>
      <c r="BB383" s="524">
        <f t="shared" si="5"/>
        <v>1</v>
      </c>
    </row>
    <row r="384" spans="1:54" s="524" customFormat="1">
      <c r="A384" s="751" t="s">
        <v>2342</v>
      </c>
      <c r="B384" s="834">
        <v>381</v>
      </c>
      <c r="C384" s="886" t="s">
        <v>3640</v>
      </c>
      <c r="D384" s="751" t="s">
        <v>1184</v>
      </c>
      <c r="E384" s="887">
        <v>46090</v>
      </c>
      <c r="F384" s="751" t="s">
        <v>3624</v>
      </c>
      <c r="G384" s="751">
        <v>12</v>
      </c>
      <c r="H384" s="751" t="s">
        <v>3638</v>
      </c>
      <c r="I384" s="751" t="s">
        <v>3639</v>
      </c>
      <c r="J384" s="751"/>
      <c r="K384" s="521"/>
      <c r="L384" s="521"/>
      <c r="M384" s="521"/>
      <c r="N384" s="521"/>
      <c r="O384" s="521"/>
      <c r="P384" s="888"/>
      <c r="Q384" s="888"/>
      <c r="R384" s="888"/>
      <c r="S384" s="529" t="s">
        <v>178</v>
      </c>
      <c r="T384" s="751"/>
      <c r="U384" s="751"/>
      <c r="V384" s="751" t="s">
        <v>3438</v>
      </c>
      <c r="W384" s="751"/>
      <c r="X384" s="751"/>
      <c r="Y384" s="522"/>
      <c r="Z384" s="522"/>
      <c r="AA384" s="522"/>
      <c r="AB384" s="522"/>
      <c r="AC384" s="522"/>
      <c r="AD384" s="522"/>
      <c r="AE384" s="522"/>
      <c r="AF384" s="522"/>
      <c r="AG384" s="522"/>
      <c r="AH384" s="522"/>
      <c r="AI384" s="523"/>
      <c r="AJ384" s="523"/>
      <c r="AK384" s="523"/>
      <c r="AL384" s="523"/>
      <c r="AM384" s="522"/>
      <c r="AN384" s="522"/>
      <c r="AO384" s="889"/>
      <c r="AP384" s="890"/>
      <c r="AQ384" s="890"/>
      <c r="AR384" s="890"/>
      <c r="AS384" s="525"/>
      <c r="AT384" s="525"/>
      <c r="AU384" s="526"/>
      <c r="AV384" s="526"/>
      <c r="AW384" s="526"/>
      <c r="AX384" s="526"/>
      <c r="BB384" s="524">
        <f t="shared" si="5"/>
        <v>1</v>
      </c>
    </row>
    <row r="385" spans="1:54" s="524" customFormat="1">
      <c r="A385" s="751" t="s">
        <v>2342</v>
      </c>
      <c r="B385" s="834">
        <v>382</v>
      </c>
      <c r="C385" s="886" t="s">
        <v>3641</v>
      </c>
      <c r="D385" s="751" t="s">
        <v>1544</v>
      </c>
      <c r="E385" s="887">
        <v>46090</v>
      </c>
      <c r="F385" s="751" t="s">
        <v>3624</v>
      </c>
      <c r="G385" s="751">
        <v>4</v>
      </c>
      <c r="H385" s="751" t="s">
        <v>127</v>
      </c>
      <c r="I385" s="751" t="s">
        <v>3565</v>
      </c>
      <c r="J385" s="751"/>
      <c r="K385" s="521"/>
      <c r="L385" s="521"/>
      <c r="M385" s="521"/>
      <c r="N385" s="521"/>
      <c r="O385" s="521"/>
      <c r="P385" s="888"/>
      <c r="Q385" s="888"/>
      <c r="R385" s="888"/>
      <c r="S385" s="529" t="s">
        <v>178</v>
      </c>
      <c r="T385" s="751"/>
      <c r="U385" s="751"/>
      <c r="V385" s="751" t="s">
        <v>3438</v>
      </c>
      <c r="W385" s="751"/>
      <c r="X385" s="751"/>
      <c r="Y385" s="522"/>
      <c r="Z385" s="522"/>
      <c r="AA385" s="522"/>
      <c r="AB385" s="522"/>
      <c r="AC385" s="522"/>
      <c r="AD385" s="522"/>
      <c r="AE385" s="522"/>
      <c r="AF385" s="522"/>
      <c r="AG385" s="522"/>
      <c r="AH385" s="522"/>
      <c r="AI385" s="523"/>
      <c r="AJ385" s="523"/>
      <c r="AK385" s="523"/>
      <c r="AL385" s="523"/>
      <c r="AM385" s="522"/>
      <c r="AN385" s="522"/>
      <c r="AO385" s="889"/>
      <c r="AP385" s="890"/>
      <c r="AQ385" s="890"/>
      <c r="AR385" s="890"/>
      <c r="AS385" s="525"/>
      <c r="AT385" s="525"/>
      <c r="AU385" s="526"/>
      <c r="AV385" s="526"/>
      <c r="AW385" s="526"/>
      <c r="AX385" s="526"/>
      <c r="BB385" s="524">
        <f t="shared" ref="BB385:BB454" si="19">IF(E385&gt;1,1,"")</f>
        <v>1</v>
      </c>
    </row>
    <row r="386" spans="1:54" s="524" customFormat="1">
      <c r="A386" s="751" t="s">
        <v>2342</v>
      </c>
      <c r="B386" s="834">
        <v>383</v>
      </c>
      <c r="C386" s="886" t="s">
        <v>3642</v>
      </c>
      <c r="D386" s="751" t="s">
        <v>2440</v>
      </c>
      <c r="E386" s="887">
        <v>46090</v>
      </c>
      <c r="F386" s="751" t="s">
        <v>3624</v>
      </c>
      <c r="G386" s="751">
        <v>1</v>
      </c>
      <c r="H386" s="751" t="s">
        <v>127</v>
      </c>
      <c r="I386" s="751" t="s">
        <v>3565</v>
      </c>
      <c r="J386" s="751"/>
      <c r="K386" s="521"/>
      <c r="L386" s="521"/>
      <c r="M386" s="521"/>
      <c r="N386" s="521"/>
      <c r="O386" s="521"/>
      <c r="P386" s="888"/>
      <c r="Q386" s="888"/>
      <c r="R386" s="888"/>
      <c r="S386" s="529" t="s">
        <v>178</v>
      </c>
      <c r="T386" s="751"/>
      <c r="U386" s="751"/>
      <c r="V386" s="751" t="s">
        <v>3438</v>
      </c>
      <c r="W386" s="751"/>
      <c r="X386" s="751"/>
      <c r="Y386" s="522"/>
      <c r="Z386" s="522"/>
      <c r="AA386" s="522"/>
      <c r="AB386" s="522"/>
      <c r="AC386" s="522"/>
      <c r="AD386" s="522"/>
      <c r="AE386" s="522"/>
      <c r="AF386" s="522"/>
      <c r="AG386" s="522"/>
      <c r="AH386" s="522"/>
      <c r="AI386" s="523"/>
      <c r="AJ386" s="523"/>
      <c r="AK386" s="523"/>
      <c r="AL386" s="523"/>
      <c r="AM386" s="522"/>
      <c r="AN386" s="522"/>
      <c r="AO386" s="889"/>
      <c r="AP386" s="890"/>
      <c r="AQ386" s="890"/>
      <c r="AR386" s="890"/>
      <c r="AS386" s="525"/>
      <c r="AT386" s="525"/>
      <c r="AU386" s="526"/>
      <c r="AV386" s="526"/>
      <c r="AW386" s="526"/>
      <c r="AX386" s="526"/>
      <c r="BB386" s="524">
        <f t="shared" si="19"/>
        <v>1</v>
      </c>
    </row>
    <row r="387" spans="1:54" s="524" customFormat="1">
      <c r="A387" s="751" t="s">
        <v>2342</v>
      </c>
      <c r="B387" s="834">
        <v>384</v>
      </c>
      <c r="C387" s="886" t="s">
        <v>3643</v>
      </c>
      <c r="D387" s="751" t="s">
        <v>1245</v>
      </c>
      <c r="E387" s="887">
        <v>46090</v>
      </c>
      <c r="F387" s="751" t="s">
        <v>3624</v>
      </c>
      <c r="G387" s="751">
        <v>2</v>
      </c>
      <c r="H387" s="751" t="s">
        <v>1077</v>
      </c>
      <c r="I387" s="751" t="s">
        <v>1138</v>
      </c>
      <c r="J387" s="751"/>
      <c r="K387" s="521"/>
      <c r="L387" s="521"/>
      <c r="M387" s="521"/>
      <c r="N387" s="521"/>
      <c r="O387" s="521"/>
      <c r="P387" s="888"/>
      <c r="Q387" s="888"/>
      <c r="R387" s="888"/>
      <c r="S387" s="529" t="s">
        <v>178</v>
      </c>
      <c r="T387" s="751"/>
      <c r="U387" s="751"/>
      <c r="V387" s="751" t="s">
        <v>3438</v>
      </c>
      <c r="W387" s="751"/>
      <c r="X387" s="751"/>
      <c r="Y387" s="522"/>
      <c r="Z387" s="522"/>
      <c r="AA387" s="522"/>
      <c r="AB387" s="522"/>
      <c r="AC387" s="522"/>
      <c r="AD387" s="522"/>
      <c r="AE387" s="522"/>
      <c r="AF387" s="522"/>
      <c r="AG387" s="522"/>
      <c r="AH387" s="522"/>
      <c r="AI387" s="523"/>
      <c r="AJ387" s="523"/>
      <c r="AK387" s="523"/>
      <c r="AL387" s="523"/>
      <c r="AM387" s="522"/>
      <c r="AN387" s="522"/>
      <c r="AO387" s="889"/>
      <c r="AP387" s="890"/>
      <c r="AQ387" s="890"/>
      <c r="AR387" s="890"/>
      <c r="AS387" s="525"/>
      <c r="AT387" s="525"/>
      <c r="AU387" s="526"/>
      <c r="AV387" s="526"/>
      <c r="AW387" s="526"/>
      <c r="AX387" s="526"/>
      <c r="BB387" s="524">
        <f t="shared" si="19"/>
        <v>1</v>
      </c>
    </row>
    <row r="388" spans="1:54" s="524" customFormat="1">
      <c r="A388" s="751" t="s">
        <v>2342</v>
      </c>
      <c r="B388" s="834">
        <v>385</v>
      </c>
      <c r="C388" s="886" t="s">
        <v>3644</v>
      </c>
      <c r="D388" s="751" t="s">
        <v>3525</v>
      </c>
      <c r="E388" s="887">
        <v>46090</v>
      </c>
      <c r="F388" s="751" t="s">
        <v>3624</v>
      </c>
      <c r="G388" s="751">
        <v>1</v>
      </c>
      <c r="H388" s="751" t="s">
        <v>3056</v>
      </c>
      <c r="I388" s="751" t="s">
        <v>47</v>
      </c>
      <c r="J388" s="751"/>
      <c r="K388" s="521"/>
      <c r="L388" s="521"/>
      <c r="M388" s="521"/>
      <c r="N388" s="521"/>
      <c r="O388" s="521"/>
      <c r="P388" s="888"/>
      <c r="Q388" s="888"/>
      <c r="R388" s="888"/>
      <c r="S388" s="529" t="s">
        <v>178</v>
      </c>
      <c r="T388" s="751"/>
      <c r="U388" s="751"/>
      <c r="V388" s="751" t="s">
        <v>3438</v>
      </c>
      <c r="W388" s="751"/>
      <c r="X388" s="751"/>
      <c r="Y388" s="522"/>
      <c r="Z388" s="522"/>
      <c r="AA388" s="522"/>
      <c r="AB388" s="522"/>
      <c r="AC388" s="522"/>
      <c r="AD388" s="522"/>
      <c r="AE388" s="522"/>
      <c r="AF388" s="522"/>
      <c r="AG388" s="522"/>
      <c r="AH388" s="522"/>
      <c r="AI388" s="523"/>
      <c r="AJ388" s="523"/>
      <c r="AK388" s="523"/>
      <c r="AL388" s="523"/>
      <c r="AM388" s="522"/>
      <c r="AN388" s="522"/>
      <c r="AO388" s="889"/>
      <c r="AP388" s="890"/>
      <c r="AQ388" s="890"/>
      <c r="AR388" s="890"/>
      <c r="AS388" s="525"/>
      <c r="AT388" s="525"/>
      <c r="AU388" s="526"/>
      <c r="AV388" s="526"/>
      <c r="AW388" s="526"/>
      <c r="AX388" s="526"/>
      <c r="BB388" s="524">
        <f t="shared" si="19"/>
        <v>1</v>
      </c>
    </row>
    <row r="389" spans="1:54" s="524" customFormat="1">
      <c r="A389" s="751" t="s">
        <v>2342</v>
      </c>
      <c r="B389" s="834">
        <v>386</v>
      </c>
      <c r="C389" s="886" t="s">
        <v>3645</v>
      </c>
      <c r="D389" s="751" t="s">
        <v>960</v>
      </c>
      <c r="E389" s="887">
        <v>46090</v>
      </c>
      <c r="F389" s="751" t="s">
        <v>3624</v>
      </c>
      <c r="G389" s="751">
        <v>1</v>
      </c>
      <c r="H389" s="751" t="s">
        <v>3056</v>
      </c>
      <c r="I389" s="751" t="s">
        <v>47</v>
      </c>
      <c r="J389" s="751"/>
      <c r="K389" s="521"/>
      <c r="L389" s="521"/>
      <c r="M389" s="521"/>
      <c r="N389" s="521"/>
      <c r="O389" s="521"/>
      <c r="P389" s="888"/>
      <c r="Q389" s="888"/>
      <c r="R389" s="888"/>
      <c r="S389" s="529" t="s">
        <v>47</v>
      </c>
      <c r="T389" s="751"/>
      <c r="U389" s="751"/>
      <c r="V389" s="751" t="s">
        <v>3438</v>
      </c>
      <c r="W389" s="751"/>
      <c r="X389" s="751"/>
      <c r="Y389" s="522"/>
      <c r="Z389" s="522"/>
      <c r="AA389" s="522"/>
      <c r="AB389" s="522"/>
      <c r="AC389" s="522"/>
      <c r="AD389" s="522"/>
      <c r="AE389" s="522"/>
      <c r="AF389" s="522"/>
      <c r="AG389" s="522"/>
      <c r="AH389" s="522"/>
      <c r="AI389" s="523"/>
      <c r="AJ389" s="523"/>
      <c r="AK389" s="523"/>
      <c r="AL389" s="523"/>
      <c r="AM389" s="522"/>
      <c r="AN389" s="522"/>
      <c r="AO389" s="889"/>
      <c r="AP389" s="890"/>
      <c r="AQ389" s="890"/>
      <c r="AR389" s="890"/>
      <c r="AS389" s="525"/>
      <c r="AT389" s="525"/>
      <c r="AU389" s="526"/>
      <c r="AV389" s="526"/>
      <c r="AW389" s="526"/>
      <c r="AX389" s="526"/>
      <c r="BB389" s="524">
        <f t="shared" si="19"/>
        <v>1</v>
      </c>
    </row>
    <row r="390" spans="1:54" s="524" customFormat="1">
      <c r="A390" s="751" t="s">
        <v>2342</v>
      </c>
      <c r="B390" s="834">
        <v>387</v>
      </c>
      <c r="C390" s="886" t="s">
        <v>3646</v>
      </c>
      <c r="D390" s="751" t="s">
        <v>3647</v>
      </c>
      <c r="E390" s="887">
        <v>46090</v>
      </c>
      <c r="F390" s="751" t="s">
        <v>140</v>
      </c>
      <c r="G390" s="751">
        <v>6</v>
      </c>
      <c r="H390" s="751" t="s">
        <v>3056</v>
      </c>
      <c r="I390" s="751" t="s">
        <v>47</v>
      </c>
      <c r="J390" s="751"/>
      <c r="K390" s="521"/>
      <c r="L390" s="521"/>
      <c r="M390" s="521"/>
      <c r="N390" s="521"/>
      <c r="O390" s="521"/>
      <c r="P390" s="888"/>
      <c r="Q390" s="888"/>
      <c r="R390" s="888"/>
      <c r="S390" s="529" t="s">
        <v>47</v>
      </c>
      <c r="T390" s="751"/>
      <c r="U390" s="751"/>
      <c r="V390" s="751" t="s">
        <v>3438</v>
      </c>
      <c r="W390" s="751"/>
      <c r="X390" s="751"/>
      <c r="Y390" s="522"/>
      <c r="Z390" s="522"/>
      <c r="AA390" s="522"/>
      <c r="AB390" s="522"/>
      <c r="AC390" s="522"/>
      <c r="AD390" s="522"/>
      <c r="AE390" s="522"/>
      <c r="AF390" s="522"/>
      <c r="AG390" s="522"/>
      <c r="AH390" s="522"/>
      <c r="AI390" s="523"/>
      <c r="AJ390" s="523"/>
      <c r="AK390" s="523"/>
      <c r="AL390" s="523"/>
      <c r="AM390" s="522"/>
      <c r="AN390" s="522"/>
      <c r="AO390" s="889"/>
      <c r="AP390" s="890"/>
      <c r="AQ390" s="890"/>
      <c r="AR390" s="890"/>
      <c r="AS390" s="525"/>
      <c r="AT390" s="525"/>
      <c r="AU390" s="526"/>
      <c r="AV390" s="526"/>
      <c r="AW390" s="526"/>
      <c r="AX390" s="526"/>
      <c r="BB390" s="524">
        <f t="shared" si="19"/>
        <v>1</v>
      </c>
    </row>
    <row r="391" spans="1:54" s="524" customFormat="1">
      <c r="A391" s="751" t="s">
        <v>2342</v>
      </c>
      <c r="B391" s="834">
        <v>388</v>
      </c>
      <c r="C391" s="886" t="s">
        <v>3648</v>
      </c>
      <c r="D391" s="751" t="s">
        <v>1250</v>
      </c>
      <c r="E391" s="887">
        <v>46090</v>
      </c>
      <c r="F391" s="751" t="s">
        <v>3624</v>
      </c>
      <c r="G391" s="751">
        <v>13</v>
      </c>
      <c r="H391" s="751" t="s">
        <v>3056</v>
      </c>
      <c r="I391" s="751" t="s">
        <v>1138</v>
      </c>
      <c r="J391" s="751"/>
      <c r="K391" s="521"/>
      <c r="L391" s="521"/>
      <c r="M391" s="521"/>
      <c r="N391" s="521"/>
      <c r="O391" s="521"/>
      <c r="P391" s="888"/>
      <c r="Q391" s="888"/>
      <c r="R391" s="888"/>
      <c r="S391" s="529" t="s">
        <v>47</v>
      </c>
      <c r="T391" s="751"/>
      <c r="U391" s="751"/>
      <c r="V391" s="751" t="s">
        <v>3438</v>
      </c>
      <c r="W391" s="751"/>
      <c r="X391" s="751"/>
      <c r="Y391" s="522"/>
      <c r="Z391" s="522"/>
      <c r="AA391" s="522"/>
      <c r="AB391" s="522"/>
      <c r="AC391" s="522"/>
      <c r="AD391" s="522"/>
      <c r="AE391" s="522"/>
      <c r="AF391" s="522"/>
      <c r="AG391" s="522"/>
      <c r="AH391" s="522"/>
      <c r="AI391" s="523"/>
      <c r="AJ391" s="523"/>
      <c r="AK391" s="523"/>
      <c r="AL391" s="523"/>
      <c r="AM391" s="522"/>
      <c r="AN391" s="522"/>
      <c r="AO391" s="889"/>
      <c r="AP391" s="890"/>
      <c r="AQ391" s="890"/>
      <c r="AR391" s="890"/>
      <c r="AS391" s="525"/>
      <c r="AT391" s="525"/>
      <c r="AU391" s="526"/>
      <c r="AV391" s="526"/>
      <c r="AW391" s="526"/>
      <c r="AX391" s="526"/>
      <c r="BB391" s="524">
        <f t="shared" si="19"/>
        <v>1</v>
      </c>
    </row>
    <row r="392" spans="1:54" s="524" customFormat="1">
      <c r="A392" s="751" t="s">
        <v>2342</v>
      </c>
      <c r="B392" s="834">
        <v>389</v>
      </c>
      <c r="C392" s="886" t="s">
        <v>3649</v>
      </c>
      <c r="D392" s="641" t="s">
        <v>3650</v>
      </c>
      <c r="E392" s="887">
        <v>46090</v>
      </c>
      <c r="F392" s="751" t="s">
        <v>3624</v>
      </c>
      <c r="G392" s="751">
        <v>1</v>
      </c>
      <c r="H392" s="751" t="s">
        <v>3056</v>
      </c>
      <c r="I392" s="751" t="s">
        <v>1138</v>
      </c>
      <c r="J392" s="751"/>
      <c r="K392" s="521"/>
      <c r="L392" s="521"/>
      <c r="M392" s="521"/>
      <c r="N392" s="521"/>
      <c r="O392" s="521"/>
      <c r="P392" s="888"/>
      <c r="Q392" s="888"/>
      <c r="R392" s="888"/>
      <c r="S392" s="529" t="s">
        <v>47</v>
      </c>
      <c r="T392" s="751"/>
      <c r="U392" s="751"/>
      <c r="V392" s="751" t="s">
        <v>3438</v>
      </c>
      <c r="W392" s="751"/>
      <c r="X392" s="751"/>
      <c r="Y392" s="522"/>
      <c r="Z392" s="522"/>
      <c r="AA392" s="522"/>
      <c r="AB392" s="522"/>
      <c r="AC392" s="522"/>
      <c r="AD392" s="522"/>
      <c r="AE392" s="522"/>
      <c r="AF392" s="522"/>
      <c r="AG392" s="522"/>
      <c r="AH392" s="522"/>
      <c r="AI392" s="523"/>
      <c r="AJ392" s="523"/>
      <c r="AK392" s="523"/>
      <c r="AL392" s="523"/>
      <c r="AM392" s="522"/>
      <c r="AN392" s="522"/>
      <c r="AO392" s="889"/>
      <c r="AP392" s="890"/>
      <c r="AQ392" s="890"/>
      <c r="AR392" s="890"/>
      <c r="AS392" s="525"/>
      <c r="AT392" s="525"/>
      <c r="AU392" s="526"/>
      <c r="AV392" s="526"/>
      <c r="AW392" s="526"/>
      <c r="AX392" s="526"/>
      <c r="BB392" s="524">
        <f t="shared" si="19"/>
        <v>1</v>
      </c>
    </row>
    <row r="393" spans="1:54" s="524" customFormat="1">
      <c r="A393" s="751" t="s">
        <v>2342</v>
      </c>
      <c r="B393" s="834">
        <v>390</v>
      </c>
      <c r="C393" s="886" t="s">
        <v>3651</v>
      </c>
      <c r="D393" s="641" t="s">
        <v>3652</v>
      </c>
      <c r="E393" s="887">
        <v>46090</v>
      </c>
      <c r="F393" s="751" t="s">
        <v>140</v>
      </c>
      <c r="G393" s="751">
        <v>2</v>
      </c>
      <c r="H393" s="751" t="s">
        <v>3056</v>
      </c>
      <c r="I393" s="751" t="s">
        <v>47</v>
      </c>
      <c r="J393" s="751"/>
      <c r="K393" s="521"/>
      <c r="L393" s="521"/>
      <c r="M393" s="521"/>
      <c r="N393" s="521"/>
      <c r="O393" s="521"/>
      <c r="P393" s="888"/>
      <c r="Q393" s="888"/>
      <c r="R393" s="888"/>
      <c r="S393" s="529" t="s">
        <v>47</v>
      </c>
      <c r="T393" s="751"/>
      <c r="U393" s="751"/>
      <c r="V393" s="751" t="s">
        <v>3438</v>
      </c>
      <c r="W393" s="751"/>
      <c r="X393" s="751"/>
      <c r="Y393" s="522"/>
      <c r="Z393" s="522"/>
      <c r="AA393" s="522"/>
      <c r="AB393" s="522"/>
      <c r="AC393" s="522"/>
      <c r="AD393" s="522"/>
      <c r="AE393" s="522"/>
      <c r="AF393" s="522"/>
      <c r="AG393" s="522"/>
      <c r="AH393" s="522"/>
      <c r="AI393" s="523"/>
      <c r="AJ393" s="523"/>
      <c r="AK393" s="523"/>
      <c r="AL393" s="523"/>
      <c r="AM393" s="522"/>
      <c r="AN393" s="522"/>
      <c r="AO393" s="889"/>
      <c r="AP393" s="890"/>
      <c r="AQ393" s="890"/>
      <c r="AR393" s="890"/>
      <c r="AS393" s="525"/>
      <c r="AT393" s="525"/>
      <c r="AU393" s="526"/>
      <c r="AV393" s="526"/>
      <c r="AW393" s="526"/>
      <c r="AX393" s="526"/>
      <c r="BB393" s="524">
        <f t="shared" si="19"/>
        <v>1</v>
      </c>
    </row>
    <row r="394" spans="1:54" s="524" customFormat="1">
      <c r="A394" s="751" t="s">
        <v>2342</v>
      </c>
      <c r="B394" s="834">
        <v>391</v>
      </c>
      <c r="C394" s="886" t="s">
        <v>3653</v>
      </c>
      <c r="D394" s="751" t="s">
        <v>1184</v>
      </c>
      <c r="E394" s="887">
        <v>46090</v>
      </c>
      <c r="F394" s="751" t="s">
        <v>3624</v>
      </c>
      <c r="G394" s="751">
        <v>7</v>
      </c>
      <c r="H394" s="751" t="s">
        <v>1721</v>
      </c>
      <c r="I394" s="751" t="s">
        <v>1638</v>
      </c>
      <c r="J394" s="751"/>
      <c r="K394" s="521"/>
      <c r="L394" s="521"/>
      <c r="M394" s="521"/>
      <c r="N394" s="521"/>
      <c r="O394" s="521"/>
      <c r="P394" s="888"/>
      <c r="Q394" s="888"/>
      <c r="R394" s="888"/>
      <c r="S394" s="529" t="s">
        <v>47</v>
      </c>
      <c r="T394" s="751"/>
      <c r="U394" s="751"/>
      <c r="V394" s="751" t="s">
        <v>3438</v>
      </c>
      <c r="W394" s="751"/>
      <c r="X394" s="751"/>
      <c r="Y394" s="522"/>
      <c r="Z394" s="522"/>
      <c r="AA394" s="522"/>
      <c r="AB394" s="522"/>
      <c r="AC394" s="522"/>
      <c r="AD394" s="522"/>
      <c r="AE394" s="522"/>
      <c r="AF394" s="522"/>
      <c r="AG394" s="522"/>
      <c r="AH394" s="522"/>
      <c r="AI394" s="523"/>
      <c r="AJ394" s="523"/>
      <c r="AK394" s="523"/>
      <c r="AL394" s="523"/>
      <c r="AM394" s="522"/>
      <c r="AN394" s="522"/>
      <c r="AO394" s="889"/>
      <c r="AP394" s="890"/>
      <c r="AQ394" s="890"/>
      <c r="AR394" s="890"/>
      <c r="AS394" s="525"/>
      <c r="AT394" s="525"/>
      <c r="AU394" s="526"/>
      <c r="AV394" s="526"/>
      <c r="AW394" s="526"/>
      <c r="AX394" s="526"/>
      <c r="BB394" s="524">
        <f t="shared" si="19"/>
        <v>1</v>
      </c>
    </row>
    <row r="395" spans="1:54" s="524" customFormat="1">
      <c r="A395" s="751" t="s">
        <v>2342</v>
      </c>
      <c r="B395" s="834">
        <v>392</v>
      </c>
      <c r="C395" s="886" t="s">
        <v>3654</v>
      </c>
      <c r="D395" s="887" t="s">
        <v>779</v>
      </c>
      <c r="E395" s="887">
        <v>46090</v>
      </c>
      <c r="F395" s="751" t="s">
        <v>3624</v>
      </c>
      <c r="G395" s="751">
        <v>1</v>
      </c>
      <c r="H395" s="751" t="s">
        <v>1721</v>
      </c>
      <c r="I395" s="751" t="s">
        <v>1638</v>
      </c>
      <c r="J395" s="751"/>
      <c r="K395" s="521"/>
      <c r="L395" s="521"/>
      <c r="M395" s="521"/>
      <c r="N395" s="521"/>
      <c r="O395" s="521"/>
      <c r="P395" s="888"/>
      <c r="Q395" s="888"/>
      <c r="R395" s="888"/>
      <c r="S395" s="529" t="s">
        <v>47</v>
      </c>
      <c r="T395" s="751"/>
      <c r="U395" s="751"/>
      <c r="V395" s="751" t="s">
        <v>3438</v>
      </c>
      <c r="W395" s="751"/>
      <c r="X395" s="751"/>
      <c r="Y395" s="522"/>
      <c r="Z395" s="522"/>
      <c r="AA395" s="522"/>
      <c r="AB395" s="522"/>
      <c r="AC395" s="522"/>
      <c r="AD395" s="522"/>
      <c r="AE395" s="522"/>
      <c r="AF395" s="522"/>
      <c r="AG395" s="522"/>
      <c r="AH395" s="522"/>
      <c r="AI395" s="523"/>
      <c r="AJ395" s="523"/>
      <c r="AK395" s="523"/>
      <c r="AL395" s="523"/>
      <c r="AM395" s="522"/>
      <c r="AN395" s="522"/>
      <c r="AO395" s="889"/>
      <c r="AP395" s="890"/>
      <c r="AQ395" s="890"/>
      <c r="AR395" s="890"/>
      <c r="AS395" s="525"/>
      <c r="AT395" s="525"/>
      <c r="AU395" s="526"/>
      <c r="AV395" s="526"/>
      <c r="AW395" s="526"/>
      <c r="AX395" s="526"/>
      <c r="BB395" s="524">
        <f t="shared" si="19"/>
        <v>1</v>
      </c>
    </row>
    <row r="396" spans="1:54" s="524" customFormat="1">
      <c r="A396" s="751" t="s">
        <v>2342</v>
      </c>
      <c r="B396" s="834">
        <v>393</v>
      </c>
      <c r="C396" s="886" t="s">
        <v>3655</v>
      </c>
      <c r="D396" s="751" t="s">
        <v>937</v>
      </c>
      <c r="E396" s="887">
        <v>46090</v>
      </c>
      <c r="F396" s="751" t="s">
        <v>3624</v>
      </c>
      <c r="G396" s="751">
        <v>2</v>
      </c>
      <c r="H396" s="751" t="s">
        <v>1721</v>
      </c>
      <c r="I396" s="751" t="s">
        <v>1638</v>
      </c>
      <c r="J396" s="751"/>
      <c r="K396" s="521"/>
      <c r="L396" s="521"/>
      <c r="M396" s="521"/>
      <c r="N396" s="521"/>
      <c r="O396" s="521"/>
      <c r="P396" s="888"/>
      <c r="Q396" s="888"/>
      <c r="R396" s="888"/>
      <c r="S396" s="529" t="s">
        <v>47</v>
      </c>
      <c r="T396" s="751"/>
      <c r="U396" s="751"/>
      <c r="V396" s="751" t="s">
        <v>3438</v>
      </c>
      <c r="W396" s="751"/>
      <c r="X396" s="751"/>
      <c r="Y396" s="522"/>
      <c r="Z396" s="522"/>
      <c r="AA396" s="522"/>
      <c r="AB396" s="522"/>
      <c r="AC396" s="522"/>
      <c r="AD396" s="522"/>
      <c r="AE396" s="522"/>
      <c r="AF396" s="522"/>
      <c r="AG396" s="522"/>
      <c r="AH396" s="522"/>
      <c r="AI396" s="523"/>
      <c r="AJ396" s="523"/>
      <c r="AK396" s="523"/>
      <c r="AL396" s="523"/>
      <c r="AM396" s="522"/>
      <c r="AN396" s="522"/>
      <c r="AO396" s="889"/>
      <c r="AP396" s="890"/>
      <c r="AQ396" s="890"/>
      <c r="AR396" s="890"/>
      <c r="AS396" s="525"/>
      <c r="AT396" s="525"/>
      <c r="AU396" s="526"/>
      <c r="AV396" s="526"/>
      <c r="AW396" s="526"/>
      <c r="AX396" s="526"/>
      <c r="BB396" s="524">
        <f t="shared" si="19"/>
        <v>1</v>
      </c>
    </row>
    <row r="397" spans="1:54" s="524" customFormat="1">
      <c r="A397" s="751" t="s">
        <v>2342</v>
      </c>
      <c r="B397" s="834">
        <v>394</v>
      </c>
      <c r="C397" s="886" t="s">
        <v>3656</v>
      </c>
      <c r="D397" s="751" t="s">
        <v>829</v>
      </c>
      <c r="E397" s="887">
        <v>46090</v>
      </c>
      <c r="F397" s="751" t="s">
        <v>3624</v>
      </c>
      <c r="G397" s="751">
        <v>1</v>
      </c>
      <c r="H397" s="751" t="s">
        <v>1721</v>
      </c>
      <c r="I397" s="751" t="s">
        <v>1638</v>
      </c>
      <c r="J397" s="751"/>
      <c r="K397" s="521"/>
      <c r="L397" s="521"/>
      <c r="M397" s="521"/>
      <c r="N397" s="521"/>
      <c r="O397" s="521"/>
      <c r="P397" s="888"/>
      <c r="Q397" s="888"/>
      <c r="R397" s="888"/>
      <c r="S397" s="529" t="s">
        <v>47</v>
      </c>
      <c r="T397" s="751"/>
      <c r="U397" s="751"/>
      <c r="V397" s="751" t="s">
        <v>3438</v>
      </c>
      <c r="W397" s="751"/>
      <c r="X397" s="751"/>
      <c r="Y397" s="522"/>
      <c r="Z397" s="522"/>
      <c r="AA397" s="522"/>
      <c r="AB397" s="522"/>
      <c r="AC397" s="522"/>
      <c r="AD397" s="522"/>
      <c r="AE397" s="522"/>
      <c r="AF397" s="522"/>
      <c r="AG397" s="522"/>
      <c r="AH397" s="522"/>
      <c r="AI397" s="523"/>
      <c r="AJ397" s="523"/>
      <c r="AK397" s="523"/>
      <c r="AL397" s="523"/>
      <c r="AM397" s="522"/>
      <c r="AN397" s="522"/>
      <c r="AO397" s="889"/>
      <c r="AP397" s="890"/>
      <c r="AQ397" s="890"/>
      <c r="AR397" s="890"/>
      <c r="AS397" s="525"/>
      <c r="AT397" s="525"/>
      <c r="AU397" s="526"/>
      <c r="AV397" s="526"/>
      <c r="AW397" s="526"/>
      <c r="AX397" s="526"/>
      <c r="BB397" s="524">
        <f t="shared" si="19"/>
        <v>1</v>
      </c>
    </row>
    <row r="398" spans="1:54" s="524" customFormat="1">
      <c r="A398" s="751" t="s">
        <v>24</v>
      </c>
      <c r="B398" s="834">
        <v>395</v>
      </c>
      <c r="C398" s="751" t="s">
        <v>3657</v>
      </c>
      <c r="D398" s="751" t="s">
        <v>34</v>
      </c>
      <c r="E398" s="887">
        <v>46090</v>
      </c>
      <c r="F398" s="751" t="s">
        <v>364</v>
      </c>
      <c r="G398" s="751">
        <v>12</v>
      </c>
      <c r="H398" s="751" t="s">
        <v>1076</v>
      </c>
      <c r="I398" s="751" t="s">
        <v>3337</v>
      </c>
      <c r="J398" s="521"/>
      <c r="K398" s="521" t="s">
        <v>3058</v>
      </c>
      <c r="L398" s="521" t="s">
        <v>2102</v>
      </c>
      <c r="M398" s="521" t="s">
        <v>3607</v>
      </c>
      <c r="N398" s="521" t="s">
        <v>3607</v>
      </c>
      <c r="O398" s="521" t="s">
        <v>2050</v>
      </c>
      <c r="P398" s="888"/>
      <c r="Q398" s="888"/>
      <c r="R398" s="888"/>
      <c r="S398" s="529" t="s">
        <v>36</v>
      </c>
      <c r="T398" s="751"/>
      <c r="U398" s="751">
        <v>12</v>
      </c>
      <c r="V398" s="751"/>
      <c r="W398" s="887">
        <v>46126</v>
      </c>
      <c r="X398" s="534" t="s">
        <v>30</v>
      </c>
      <c r="Y398" s="522" t="s">
        <v>30</v>
      </c>
      <c r="Z398" s="522" t="s">
        <v>30</v>
      </c>
      <c r="AA398" s="522" t="s">
        <v>30</v>
      </c>
      <c r="AB398" s="522" t="s">
        <v>30</v>
      </c>
      <c r="AC398" s="522" t="s">
        <v>607</v>
      </c>
      <c r="AD398" s="522" t="s">
        <v>607</v>
      </c>
      <c r="AE398" s="522" t="s">
        <v>30</v>
      </c>
      <c r="AF398" s="522" t="s">
        <v>607</v>
      </c>
      <c r="AG398" s="522" t="s">
        <v>30</v>
      </c>
      <c r="AH398" s="522" t="s">
        <v>30</v>
      </c>
      <c r="AI398" s="522" t="s">
        <v>30</v>
      </c>
      <c r="AJ398" s="522" t="s">
        <v>30</v>
      </c>
      <c r="AK398" s="522" t="s">
        <v>30</v>
      </c>
      <c r="AL398" s="522" t="s">
        <v>30</v>
      </c>
      <c r="AM398" s="522"/>
      <c r="AN398" s="522"/>
      <c r="AO398" s="889"/>
      <c r="AP398" s="890"/>
      <c r="AQ398" s="890"/>
      <c r="AR398" s="890"/>
      <c r="AS398" s="525"/>
      <c r="AT398" s="525"/>
      <c r="AU398" s="526"/>
      <c r="AV398" s="526"/>
      <c r="AW398" s="526"/>
      <c r="AX398" s="526"/>
      <c r="BB398" s="524">
        <f t="shared" si="19"/>
        <v>1</v>
      </c>
    </row>
    <row r="399" spans="1:54" s="524" customFormat="1">
      <c r="A399" s="751" t="s">
        <v>24</v>
      </c>
      <c r="B399" s="834">
        <v>396</v>
      </c>
      <c r="C399" s="751" t="s">
        <v>3658</v>
      </c>
      <c r="D399" s="751" t="s">
        <v>43</v>
      </c>
      <c r="E399" s="887">
        <v>46090</v>
      </c>
      <c r="F399" s="751" t="s">
        <v>97</v>
      </c>
      <c r="G399" s="751">
        <v>13</v>
      </c>
      <c r="H399" s="751" t="s">
        <v>3056</v>
      </c>
      <c r="I399" s="751" t="s">
        <v>47</v>
      </c>
      <c r="J399" s="521"/>
      <c r="K399" s="521" t="s">
        <v>3063</v>
      </c>
      <c r="L399" s="521" t="s">
        <v>2074</v>
      </c>
      <c r="M399" s="521" t="s">
        <v>3621</v>
      </c>
      <c r="N399" s="521" t="s">
        <v>3621</v>
      </c>
      <c r="O399" s="521" t="s">
        <v>2050</v>
      </c>
      <c r="P399" s="888"/>
      <c r="Q399" s="888"/>
      <c r="R399" s="888"/>
      <c r="S399" s="529" t="s">
        <v>47</v>
      </c>
      <c r="T399" s="751"/>
      <c r="U399" s="751"/>
      <c r="V399" s="751" t="s">
        <v>3438</v>
      </c>
      <c r="W399" s="751"/>
      <c r="X399" s="534" t="s">
        <v>30</v>
      </c>
      <c r="Y399" s="533" t="s">
        <v>32</v>
      </c>
      <c r="Z399" s="533" t="s">
        <v>32</v>
      </c>
      <c r="AA399" s="522" t="s">
        <v>607</v>
      </c>
      <c r="AB399" s="522" t="s">
        <v>30</v>
      </c>
      <c r="AC399" s="522" t="s">
        <v>30</v>
      </c>
      <c r="AD399" s="522" t="s">
        <v>607</v>
      </c>
      <c r="AE399" s="522" t="s">
        <v>30</v>
      </c>
      <c r="AF399" s="522" t="s">
        <v>607</v>
      </c>
      <c r="AG399" s="522" t="s">
        <v>607</v>
      </c>
      <c r="AH399" s="522" t="s">
        <v>607</v>
      </c>
      <c r="AI399" s="584" t="s">
        <v>32</v>
      </c>
      <c r="AJ399" s="523" t="s">
        <v>607</v>
      </c>
      <c r="AK399" s="523" t="s">
        <v>607</v>
      </c>
      <c r="AL399" s="523" t="s">
        <v>30</v>
      </c>
      <c r="AM399" s="522"/>
      <c r="AN399" s="522"/>
      <c r="AO399" s="889"/>
      <c r="AP399" s="890"/>
      <c r="AQ399" s="890"/>
      <c r="AR399" s="890"/>
      <c r="AS399" s="525"/>
      <c r="AT399" s="525"/>
      <c r="AU399" s="526"/>
      <c r="AV399" s="526"/>
      <c r="AW399" s="526"/>
      <c r="AX399" s="526"/>
      <c r="BB399" s="524">
        <f t="shared" si="19"/>
        <v>1</v>
      </c>
    </row>
    <row r="400" spans="1:54" s="612" customFormat="1">
      <c r="A400" s="751" t="s">
        <v>24</v>
      </c>
      <c r="B400" s="834">
        <v>397</v>
      </c>
      <c r="C400" s="521" t="s">
        <v>3659</v>
      </c>
      <c r="D400" s="521" t="s">
        <v>657</v>
      </c>
      <c r="E400" s="548">
        <v>46090</v>
      </c>
      <c r="F400" s="521" t="s">
        <v>439</v>
      </c>
      <c r="G400" s="521">
        <v>13</v>
      </c>
      <c r="H400" s="521" t="s">
        <v>3056</v>
      </c>
      <c r="I400" s="521" t="s">
        <v>47</v>
      </c>
      <c r="J400" s="521"/>
      <c r="K400" s="521" t="s">
        <v>3063</v>
      </c>
      <c r="L400" s="521" t="s">
        <v>2056</v>
      </c>
      <c r="M400" s="521" t="s">
        <v>3607</v>
      </c>
      <c r="N400" s="521" t="s">
        <v>3607</v>
      </c>
      <c r="O400" s="521" t="s">
        <v>2050</v>
      </c>
      <c r="P400" s="568"/>
      <c r="Q400" s="568"/>
      <c r="R400" s="888"/>
      <c r="S400" s="529" t="s">
        <v>47</v>
      </c>
      <c r="T400" s="751"/>
      <c r="U400" s="751">
        <v>14</v>
      </c>
      <c r="V400" s="751"/>
      <c r="W400" s="887">
        <v>46114</v>
      </c>
      <c r="X400" s="533" t="s">
        <v>32</v>
      </c>
      <c r="Y400" s="534" t="s">
        <v>30</v>
      </c>
      <c r="Z400" s="533" t="s">
        <v>32</v>
      </c>
      <c r="AA400" s="534" t="s">
        <v>607</v>
      </c>
      <c r="AB400" s="534" t="s">
        <v>607</v>
      </c>
      <c r="AC400" s="534" t="s">
        <v>607</v>
      </c>
      <c r="AD400" s="534" t="s">
        <v>30</v>
      </c>
      <c r="AE400" s="522" t="s">
        <v>30</v>
      </c>
      <c r="AF400" s="522" t="s">
        <v>607</v>
      </c>
      <c r="AG400" s="522" t="s">
        <v>607</v>
      </c>
      <c r="AH400" s="522" t="s">
        <v>607</v>
      </c>
      <c r="AI400" s="584" t="s">
        <v>32</v>
      </c>
      <c r="AJ400" s="584" t="s">
        <v>32</v>
      </c>
      <c r="AK400" s="584" t="s">
        <v>32</v>
      </c>
      <c r="AL400" s="523" t="s">
        <v>30</v>
      </c>
      <c r="AM400" s="533"/>
      <c r="AN400" s="533"/>
      <c r="AO400" s="889"/>
      <c r="AP400" s="890"/>
      <c r="AQ400" s="890"/>
      <c r="AR400" s="890"/>
      <c r="AS400" s="525"/>
      <c r="AT400" s="525"/>
      <c r="AU400" s="526"/>
      <c r="AV400" s="526"/>
      <c r="AW400" s="526"/>
      <c r="AX400" s="526"/>
      <c r="AY400" s="524"/>
      <c r="BB400" s="524">
        <f t="shared" si="19"/>
        <v>1</v>
      </c>
    </row>
    <row r="401" spans="1:99" s="524" customFormat="1">
      <c r="A401" s="751" t="s">
        <v>24</v>
      </c>
      <c r="B401" s="834">
        <v>398</v>
      </c>
      <c r="C401" s="521" t="s">
        <v>3381</v>
      </c>
      <c r="D401" s="521" t="s">
        <v>34</v>
      </c>
      <c r="E401" s="548">
        <v>46090</v>
      </c>
      <c r="F401" s="521" t="s">
        <v>439</v>
      </c>
      <c r="G401" s="521">
        <v>12</v>
      </c>
      <c r="H401" s="521" t="s">
        <v>1721</v>
      </c>
      <c r="I401" s="521" t="s">
        <v>1638</v>
      </c>
      <c r="J401" s="521"/>
      <c r="K401" s="521" t="s">
        <v>3058</v>
      </c>
      <c r="L401" s="521" t="s">
        <v>2316</v>
      </c>
      <c r="M401" s="521" t="s">
        <v>3607</v>
      </c>
      <c r="N401" s="521" t="s">
        <v>3607</v>
      </c>
      <c r="O401" s="521" t="s">
        <v>2050</v>
      </c>
      <c r="P401" s="888"/>
      <c r="Q401" s="888"/>
      <c r="R401" s="888"/>
      <c r="S401" s="529" t="s">
        <v>3056</v>
      </c>
      <c r="T401" s="751"/>
      <c r="U401" s="751">
        <v>12</v>
      </c>
      <c r="V401" s="751"/>
      <c r="W401" s="887">
        <v>46122</v>
      </c>
      <c r="X401" s="534" t="s">
        <v>30</v>
      </c>
      <c r="Y401" s="534" t="s">
        <v>30</v>
      </c>
      <c r="Z401" s="533" t="s">
        <v>32</v>
      </c>
      <c r="AA401" s="533" t="s">
        <v>32</v>
      </c>
      <c r="AB401" s="533" t="s">
        <v>32</v>
      </c>
      <c r="AC401" s="533" t="s">
        <v>32</v>
      </c>
      <c r="AD401" s="522" t="s">
        <v>607</v>
      </c>
      <c r="AE401" s="522" t="s">
        <v>30</v>
      </c>
      <c r="AF401" s="522" t="s">
        <v>607</v>
      </c>
      <c r="AG401" s="522" t="s">
        <v>607</v>
      </c>
      <c r="AH401" s="522" t="s">
        <v>607</v>
      </c>
      <c r="AI401" s="523" t="s">
        <v>607</v>
      </c>
      <c r="AJ401" s="523" t="s">
        <v>607</v>
      </c>
      <c r="AK401" s="523" t="s">
        <v>607</v>
      </c>
      <c r="AL401" s="523" t="s">
        <v>30</v>
      </c>
      <c r="AM401" s="522"/>
      <c r="AN401" s="522"/>
      <c r="AO401" s="889"/>
      <c r="AP401" s="890"/>
      <c r="AQ401" s="890"/>
      <c r="AR401" s="890"/>
      <c r="AS401" s="525"/>
      <c r="AT401" s="525"/>
      <c r="AU401" s="526"/>
      <c r="AV401" s="526"/>
      <c r="AW401" s="526"/>
      <c r="AX401" s="526"/>
      <c r="BB401" s="524">
        <f t="shared" si="19"/>
        <v>1</v>
      </c>
    </row>
    <row r="402" spans="1:99" s="524" customFormat="1">
      <c r="A402" s="751" t="s">
        <v>24</v>
      </c>
      <c r="B402" s="834">
        <v>399</v>
      </c>
      <c r="C402" s="751" t="s">
        <v>3660</v>
      </c>
      <c r="D402" s="751" t="s">
        <v>3661</v>
      </c>
      <c r="E402" s="887">
        <v>46091</v>
      </c>
      <c r="F402" s="751" t="s">
        <v>3330</v>
      </c>
      <c r="G402" s="751">
        <v>7</v>
      </c>
      <c r="H402" s="751" t="s">
        <v>1077</v>
      </c>
      <c r="I402" s="751" t="s">
        <v>1138</v>
      </c>
      <c r="J402" s="521"/>
      <c r="K402" s="521" t="s">
        <v>3063</v>
      </c>
      <c r="L402" s="521" t="s">
        <v>2640</v>
      </c>
      <c r="M402" s="521" t="s">
        <v>3607</v>
      </c>
      <c r="N402" s="521" t="s">
        <v>3607</v>
      </c>
      <c r="O402" s="521" t="s">
        <v>3662</v>
      </c>
      <c r="P402" s="888"/>
      <c r="Q402" s="888"/>
      <c r="R402" s="888"/>
      <c r="S402" s="529" t="s">
        <v>47</v>
      </c>
      <c r="T402" s="751"/>
      <c r="U402" s="751"/>
      <c r="V402" s="751" t="s">
        <v>3438</v>
      </c>
      <c r="W402" s="751"/>
      <c r="X402" s="533" t="s">
        <v>32</v>
      </c>
      <c r="Y402" s="522" t="s">
        <v>607</v>
      </c>
      <c r="Z402" s="533" t="s">
        <v>32</v>
      </c>
      <c r="AA402" s="533" t="s">
        <v>32</v>
      </c>
      <c r="AB402" s="533" t="s">
        <v>32</v>
      </c>
      <c r="AC402" s="533" t="s">
        <v>32</v>
      </c>
      <c r="AD402" s="522" t="s">
        <v>607</v>
      </c>
      <c r="AE402" s="522" t="s">
        <v>607</v>
      </c>
      <c r="AF402" s="522" t="s">
        <v>607</v>
      </c>
      <c r="AG402" s="522" t="s">
        <v>607</v>
      </c>
      <c r="AH402" s="522" t="s">
        <v>607</v>
      </c>
      <c r="AI402" s="584" t="s">
        <v>32</v>
      </c>
      <c r="AJ402" s="584" t="s">
        <v>32</v>
      </c>
      <c r="AK402" s="584" t="s">
        <v>32</v>
      </c>
      <c r="AL402" s="523" t="s">
        <v>30</v>
      </c>
      <c r="AM402" s="522"/>
      <c r="AN402" s="522"/>
      <c r="AO402" s="889"/>
      <c r="AP402" s="890"/>
      <c r="AQ402" s="890"/>
      <c r="AR402" s="890"/>
      <c r="AS402" s="525"/>
      <c r="AT402" s="525"/>
      <c r="AU402" s="526"/>
      <c r="AV402" s="526"/>
      <c r="AW402" s="526"/>
      <c r="AX402" s="526"/>
      <c r="BB402" s="524">
        <f t="shared" si="19"/>
        <v>1</v>
      </c>
    </row>
    <row r="403" spans="1:99" s="524" customFormat="1">
      <c r="A403" s="751" t="s">
        <v>24</v>
      </c>
      <c r="B403" s="834">
        <v>400</v>
      </c>
      <c r="C403" s="751" t="s">
        <v>3663</v>
      </c>
      <c r="D403" s="751" t="s">
        <v>43</v>
      </c>
      <c r="E403" s="887">
        <v>46093</v>
      </c>
      <c r="F403" s="751" t="s">
        <v>167</v>
      </c>
      <c r="G403" s="751">
        <v>9</v>
      </c>
      <c r="H403" s="751" t="s">
        <v>1721</v>
      </c>
      <c r="I403" s="521" t="s">
        <v>1638</v>
      </c>
      <c r="J403" s="521"/>
      <c r="K403" s="521" t="s">
        <v>3063</v>
      </c>
      <c r="L403" s="521" t="s">
        <v>3376</v>
      </c>
      <c r="M403" s="521" t="s">
        <v>3664</v>
      </c>
      <c r="N403" s="521" t="s">
        <v>3664</v>
      </c>
      <c r="O403" s="521" t="s">
        <v>2050</v>
      </c>
      <c r="P403" s="888"/>
      <c r="Q403" s="888"/>
      <c r="R403" s="888"/>
      <c r="S403" s="529" t="s">
        <v>47</v>
      </c>
      <c r="T403" s="751"/>
      <c r="U403" s="751"/>
      <c r="V403" s="751" t="s">
        <v>3438</v>
      </c>
      <c r="W403" s="751"/>
      <c r="X403" s="533" t="s">
        <v>32</v>
      </c>
      <c r="Y403" s="522" t="s">
        <v>30</v>
      </c>
      <c r="Z403" s="533" t="s">
        <v>32</v>
      </c>
      <c r="AA403" s="522" t="s">
        <v>607</v>
      </c>
      <c r="AB403" s="522" t="s">
        <v>607</v>
      </c>
      <c r="AC403" s="522" t="s">
        <v>607</v>
      </c>
      <c r="AD403" s="522" t="s">
        <v>607</v>
      </c>
      <c r="AE403" s="522" t="s">
        <v>607</v>
      </c>
      <c r="AF403" s="522" t="s">
        <v>607</v>
      </c>
      <c r="AG403" s="522" t="s">
        <v>607</v>
      </c>
      <c r="AH403" s="522" t="s">
        <v>30</v>
      </c>
      <c r="AI403" s="533" t="s">
        <v>32</v>
      </c>
      <c r="AJ403" s="533" t="s">
        <v>32</v>
      </c>
      <c r="AK403" s="533" t="s">
        <v>32</v>
      </c>
      <c r="AL403" s="533" t="s">
        <v>32</v>
      </c>
      <c r="AM403" s="522"/>
      <c r="AN403" s="522"/>
      <c r="AO403" s="889"/>
      <c r="AP403" s="890"/>
      <c r="AQ403" s="890"/>
      <c r="AR403" s="890"/>
      <c r="AS403" s="525"/>
      <c r="AT403" s="525"/>
      <c r="AU403" s="526"/>
      <c r="AV403" s="526"/>
      <c r="AW403" s="526"/>
      <c r="AX403" s="526"/>
      <c r="BB403" s="524">
        <f t="shared" si="19"/>
        <v>1</v>
      </c>
    </row>
    <row r="404" spans="1:99" s="524" customFormat="1">
      <c r="A404" s="751" t="s">
        <v>24</v>
      </c>
      <c r="B404" s="834">
        <v>401</v>
      </c>
      <c r="C404" s="751" t="s">
        <v>3665</v>
      </c>
      <c r="D404" s="751" t="s">
        <v>374</v>
      </c>
      <c r="E404" s="887">
        <v>46093</v>
      </c>
      <c r="F404" s="751" t="s">
        <v>646</v>
      </c>
      <c r="G404" s="751">
        <v>9</v>
      </c>
      <c r="H404" s="751" t="s">
        <v>1077</v>
      </c>
      <c r="I404" s="751" t="s">
        <v>1138</v>
      </c>
      <c r="J404" s="521"/>
      <c r="K404" s="521" t="s">
        <v>3058</v>
      </c>
      <c r="L404" s="604" t="s">
        <v>2135</v>
      </c>
      <c r="M404" s="521" t="s">
        <v>3664</v>
      </c>
      <c r="N404" s="521" t="s">
        <v>3664</v>
      </c>
      <c r="O404" s="521" t="s">
        <v>2050</v>
      </c>
      <c r="P404" s="888"/>
      <c r="Q404" s="888"/>
      <c r="R404" s="888"/>
      <c r="S404" s="529" t="s">
        <v>47</v>
      </c>
      <c r="T404" s="751"/>
      <c r="U404" s="751"/>
      <c r="V404" s="751" t="s">
        <v>3438</v>
      </c>
      <c r="W404" s="751"/>
      <c r="X404" s="533" t="s">
        <v>32</v>
      </c>
      <c r="Y404" s="522" t="s">
        <v>30</v>
      </c>
      <c r="Z404" s="533" t="s">
        <v>32</v>
      </c>
      <c r="AA404" s="533" t="s">
        <v>32</v>
      </c>
      <c r="AB404" s="533" t="s">
        <v>32</v>
      </c>
      <c r="AC404" s="533" t="s">
        <v>32</v>
      </c>
      <c r="AD404" s="522" t="s">
        <v>607</v>
      </c>
      <c r="AE404" s="522" t="s">
        <v>607</v>
      </c>
      <c r="AF404" s="522" t="s">
        <v>607</v>
      </c>
      <c r="AG404" s="522" t="s">
        <v>607</v>
      </c>
      <c r="AH404" s="522" t="s">
        <v>607</v>
      </c>
      <c r="AI404" s="533" t="s">
        <v>32</v>
      </c>
      <c r="AJ404" s="533" t="s">
        <v>32</v>
      </c>
      <c r="AK404" s="533" t="s">
        <v>32</v>
      </c>
      <c r="AL404" s="523" t="s">
        <v>30</v>
      </c>
      <c r="AM404" s="522"/>
      <c r="AN404" s="522"/>
      <c r="AO404" s="889"/>
      <c r="AP404" s="890"/>
      <c r="AQ404" s="890"/>
      <c r="AR404" s="890"/>
      <c r="AS404" s="525"/>
      <c r="AT404" s="525"/>
      <c r="AU404" s="526"/>
      <c r="AV404" s="526"/>
      <c r="AW404" s="526"/>
      <c r="AX404" s="526"/>
      <c r="BB404" s="524">
        <f t="shared" si="19"/>
        <v>1</v>
      </c>
    </row>
    <row r="405" spans="1:99" s="536" customFormat="1">
      <c r="A405" s="521" t="s">
        <v>24</v>
      </c>
      <c r="B405" s="834">
        <v>402</v>
      </c>
      <c r="C405" s="521" t="s">
        <v>3666</v>
      </c>
      <c r="D405" s="521" t="s">
        <v>406</v>
      </c>
      <c r="E405" s="548">
        <v>46093</v>
      </c>
      <c r="F405" s="521" t="s">
        <v>65</v>
      </c>
      <c r="G405" s="521">
        <v>13</v>
      </c>
      <c r="H405" s="521" t="s">
        <v>1077</v>
      </c>
      <c r="I405" s="521" t="s">
        <v>1138</v>
      </c>
      <c r="J405" s="521"/>
      <c r="K405" s="521" t="s">
        <v>3058</v>
      </c>
      <c r="L405" s="604" t="s">
        <v>3667</v>
      </c>
      <c r="M405" s="521" t="s">
        <v>3664</v>
      </c>
      <c r="N405" s="521" t="s">
        <v>3664</v>
      </c>
      <c r="O405" s="521" t="s">
        <v>3668</v>
      </c>
      <c r="P405" s="542"/>
      <c r="Q405" s="542"/>
      <c r="R405" s="888"/>
      <c r="S405" s="529" t="s">
        <v>47</v>
      </c>
      <c r="T405" s="751"/>
      <c r="U405" s="751"/>
      <c r="V405" s="751" t="s">
        <v>3438</v>
      </c>
      <c r="W405" s="751"/>
      <c r="X405" s="522" t="s">
        <v>30</v>
      </c>
      <c r="Y405" s="533" t="s">
        <v>32</v>
      </c>
      <c r="Z405" s="533" t="s">
        <v>32</v>
      </c>
      <c r="AA405" s="522" t="s">
        <v>607</v>
      </c>
      <c r="AB405" s="522" t="s">
        <v>607</v>
      </c>
      <c r="AC405" s="522" t="s">
        <v>607</v>
      </c>
      <c r="AD405" s="533" t="s">
        <v>32</v>
      </c>
      <c r="AE405" s="522" t="s">
        <v>607</v>
      </c>
      <c r="AF405" s="522" t="s">
        <v>607</v>
      </c>
      <c r="AG405" s="522" t="s">
        <v>607</v>
      </c>
      <c r="AH405" s="522" t="s">
        <v>607</v>
      </c>
      <c r="AI405" s="533" t="s">
        <v>32</v>
      </c>
      <c r="AJ405" s="533" t="s">
        <v>32</v>
      </c>
      <c r="AK405" s="533" t="s">
        <v>32</v>
      </c>
      <c r="AL405" s="533" t="s">
        <v>32</v>
      </c>
      <c r="AM405" s="534"/>
      <c r="AN405" s="534"/>
      <c r="AO405" s="889"/>
      <c r="AP405" s="890"/>
      <c r="AQ405" s="890"/>
      <c r="AR405" s="890"/>
      <c r="AS405" s="525"/>
      <c r="AT405" s="525"/>
      <c r="AU405" s="526"/>
      <c r="AV405" s="526"/>
      <c r="AW405" s="526"/>
      <c r="AX405" s="526"/>
      <c r="AY405" s="524"/>
      <c r="BB405" s="524">
        <f t="shared" si="19"/>
        <v>1</v>
      </c>
    </row>
    <row r="406" spans="1:99" s="524" customFormat="1">
      <c r="A406" s="751" t="s">
        <v>24</v>
      </c>
      <c r="B406" s="834">
        <v>403</v>
      </c>
      <c r="C406" s="521" t="s">
        <v>3669</v>
      </c>
      <c r="D406" s="521" t="s">
        <v>374</v>
      </c>
      <c r="E406" s="548">
        <v>46094</v>
      </c>
      <c r="F406" s="521" t="s">
        <v>65</v>
      </c>
      <c r="G406" s="521">
        <v>15</v>
      </c>
      <c r="H406" s="521" t="s">
        <v>1077</v>
      </c>
      <c r="I406" s="521" t="s">
        <v>1138</v>
      </c>
      <c r="J406" s="521"/>
      <c r="K406" s="521" t="s">
        <v>3063</v>
      </c>
      <c r="L406" s="604" t="s">
        <v>2203</v>
      </c>
      <c r="M406" s="521" t="s">
        <v>3670</v>
      </c>
      <c r="N406" s="521" t="s">
        <v>3670</v>
      </c>
      <c r="O406" s="521" t="s">
        <v>3668</v>
      </c>
      <c r="P406" s="632" t="s">
        <v>2863</v>
      </c>
      <c r="Q406" s="888"/>
      <c r="R406" s="888"/>
      <c r="S406" s="529" t="s">
        <v>47</v>
      </c>
      <c r="T406" s="751"/>
      <c r="U406" s="751"/>
      <c r="V406" s="751" t="s">
        <v>3438</v>
      </c>
      <c r="W406" s="751"/>
      <c r="X406" s="533" t="s">
        <v>32</v>
      </c>
      <c r="Y406" s="522" t="s">
        <v>30</v>
      </c>
      <c r="Z406" s="522" t="s">
        <v>30</v>
      </c>
      <c r="AA406" s="522" t="s">
        <v>607</v>
      </c>
      <c r="AB406" s="522" t="s">
        <v>607</v>
      </c>
      <c r="AC406" s="522" t="s">
        <v>607</v>
      </c>
      <c r="AD406" s="522" t="s">
        <v>607</v>
      </c>
      <c r="AE406" s="522" t="s">
        <v>607</v>
      </c>
      <c r="AF406" s="522" t="s">
        <v>607</v>
      </c>
      <c r="AG406" s="522" t="s">
        <v>607</v>
      </c>
      <c r="AH406" s="522" t="s">
        <v>607</v>
      </c>
      <c r="AI406" s="533" t="s">
        <v>32</v>
      </c>
      <c r="AJ406" s="533" t="s">
        <v>32</v>
      </c>
      <c r="AK406" s="533" t="s">
        <v>32</v>
      </c>
      <c r="AL406" s="533" t="s">
        <v>32</v>
      </c>
      <c r="AM406" s="522"/>
      <c r="AN406" s="522"/>
      <c r="AO406" s="889"/>
      <c r="AP406" s="890"/>
      <c r="AQ406" s="890"/>
      <c r="AR406" s="890"/>
      <c r="AS406" s="525"/>
      <c r="AT406" s="525"/>
      <c r="AU406" s="526"/>
      <c r="AV406" s="526"/>
      <c r="AW406" s="526"/>
      <c r="AX406" s="526"/>
      <c r="BB406" s="524">
        <f t="shared" si="19"/>
        <v>1</v>
      </c>
    </row>
    <row r="407" spans="1:99">
      <c r="A407" s="834" t="s">
        <v>24</v>
      </c>
      <c r="B407" s="834">
        <v>404</v>
      </c>
      <c r="C407" s="834" t="s">
        <v>3671</v>
      </c>
      <c r="D407" s="834" t="s">
        <v>43</v>
      </c>
      <c r="E407" s="852">
        <v>46095</v>
      </c>
      <c r="F407" s="834" t="s">
        <v>3672</v>
      </c>
      <c r="G407" s="834">
        <v>21</v>
      </c>
      <c r="H407" s="834" t="s">
        <v>1077</v>
      </c>
      <c r="I407" s="834" t="s">
        <v>1138</v>
      </c>
      <c r="J407" s="136"/>
      <c r="K407" s="136" t="s">
        <v>3058</v>
      </c>
      <c r="L407" s="136" t="s">
        <v>2108</v>
      </c>
      <c r="M407" s="136" t="s">
        <v>3607</v>
      </c>
      <c r="N407" s="136" t="s">
        <v>3607</v>
      </c>
      <c r="O407" s="136" t="s">
        <v>3662</v>
      </c>
      <c r="P407" s="90" t="s">
        <v>2863</v>
      </c>
      <c r="Q407" s="848"/>
      <c r="R407" s="848"/>
      <c r="S407" s="89" t="s">
        <v>1138</v>
      </c>
      <c r="T407" s="834" t="s">
        <v>32</v>
      </c>
      <c r="U407" s="834">
        <v>11</v>
      </c>
      <c r="V407" s="834"/>
      <c r="W407" s="852">
        <v>46121</v>
      </c>
      <c r="X407" s="80" t="s">
        <v>30</v>
      </c>
      <c r="Y407" s="80" t="s">
        <v>30</v>
      </c>
      <c r="Z407" s="80" t="s">
        <v>30</v>
      </c>
      <c r="AA407" s="522" t="s">
        <v>607</v>
      </c>
      <c r="AB407" s="522" t="s">
        <v>607</v>
      </c>
      <c r="AC407" s="522" t="s">
        <v>607</v>
      </c>
      <c r="AD407" s="522" t="s">
        <v>607</v>
      </c>
      <c r="AE407" s="522" t="s">
        <v>607</v>
      </c>
      <c r="AF407" s="522" t="s">
        <v>607</v>
      </c>
      <c r="AG407" s="522" t="s">
        <v>607</v>
      </c>
      <c r="AH407" s="522" t="s">
        <v>607</v>
      </c>
      <c r="AI407" s="522" t="s">
        <v>607</v>
      </c>
      <c r="AJ407" s="522" t="s">
        <v>607</v>
      </c>
      <c r="AK407" s="522" t="s">
        <v>607</v>
      </c>
      <c r="AL407" s="522" t="s">
        <v>607</v>
      </c>
      <c r="AM407" s="80"/>
      <c r="AN407" s="80"/>
      <c r="AO407" s="832"/>
      <c r="AP407" s="875"/>
      <c r="AQ407" s="875"/>
      <c r="AR407" s="875"/>
      <c r="AS407" s="776"/>
      <c r="AT407" s="776"/>
      <c r="BB407">
        <f t="shared" si="19"/>
        <v>1</v>
      </c>
    </row>
    <row r="408" spans="1:99" s="374" customFormat="1">
      <c r="A408" s="834" t="s">
        <v>24</v>
      </c>
      <c r="B408" s="834">
        <v>405</v>
      </c>
      <c r="C408" s="834" t="s">
        <v>3673</v>
      </c>
      <c r="D408" s="834" t="s">
        <v>34</v>
      </c>
      <c r="E408" s="852">
        <v>46095</v>
      </c>
      <c r="F408" s="834" t="s">
        <v>1342</v>
      </c>
      <c r="G408" s="834">
        <v>9</v>
      </c>
      <c r="H408" s="834" t="s">
        <v>2391</v>
      </c>
      <c r="I408" s="834" t="s">
        <v>3631</v>
      </c>
      <c r="J408" s="136"/>
      <c r="K408" s="136" t="s">
        <v>3058</v>
      </c>
      <c r="L408" s="136" t="s">
        <v>2123</v>
      </c>
      <c r="M408" s="136" t="s">
        <v>3674</v>
      </c>
      <c r="N408" s="136" t="s">
        <v>3670</v>
      </c>
      <c r="O408" s="136" t="s">
        <v>3662</v>
      </c>
      <c r="P408" s="848"/>
      <c r="Q408" s="848"/>
      <c r="R408" s="848"/>
      <c r="S408" s="89" t="s">
        <v>1138</v>
      </c>
      <c r="T408" s="834"/>
      <c r="U408" s="834"/>
      <c r="V408" s="834" t="s">
        <v>3438</v>
      </c>
      <c r="W408" s="834"/>
      <c r="X408" s="80" t="s">
        <v>30</v>
      </c>
      <c r="Y408" s="80" t="s">
        <v>30</v>
      </c>
      <c r="Z408" s="80" t="s">
        <v>30</v>
      </c>
      <c r="AA408" s="533" t="s">
        <v>32</v>
      </c>
      <c r="AB408" s="533" t="s">
        <v>32</v>
      </c>
      <c r="AC408" s="91" t="s">
        <v>32</v>
      </c>
      <c r="AD408" s="522" t="s">
        <v>607</v>
      </c>
      <c r="AE408" s="522" t="s">
        <v>607</v>
      </c>
      <c r="AF408" s="522" t="s">
        <v>607</v>
      </c>
      <c r="AG408" s="522" t="s">
        <v>607</v>
      </c>
      <c r="AH408" s="522" t="s">
        <v>607</v>
      </c>
      <c r="AI408" s="522" t="s">
        <v>607</v>
      </c>
      <c r="AJ408" s="522" t="s">
        <v>607</v>
      </c>
      <c r="AK408" s="522" t="s">
        <v>607</v>
      </c>
      <c r="AL408" s="522" t="s">
        <v>607</v>
      </c>
      <c r="AM408" s="80"/>
      <c r="AN408" s="80"/>
      <c r="AO408" s="832"/>
      <c r="AP408" s="875"/>
      <c r="AQ408" s="875"/>
      <c r="AR408" s="875"/>
      <c r="AS408" s="776"/>
      <c r="AT408" s="776"/>
      <c r="AU408" s="92"/>
      <c r="AV408" s="92"/>
      <c r="AW408" s="92"/>
      <c r="AX408" s="92"/>
      <c r="AY408"/>
      <c r="AZ408"/>
      <c r="BA408"/>
      <c r="BB408">
        <f t="shared" si="19"/>
        <v>1</v>
      </c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</row>
    <row r="409" spans="1:99">
      <c r="A409" s="834" t="s">
        <v>24</v>
      </c>
      <c r="B409" s="834">
        <v>406</v>
      </c>
      <c r="C409" s="834" t="s">
        <v>3675</v>
      </c>
      <c r="D409" s="834" t="s">
        <v>34</v>
      </c>
      <c r="E409" s="852">
        <v>46095</v>
      </c>
      <c r="F409" s="834" t="s">
        <v>3676</v>
      </c>
      <c r="G409" s="834">
        <v>16</v>
      </c>
      <c r="H409" s="834" t="s">
        <v>1077</v>
      </c>
      <c r="I409" s="834" t="s">
        <v>1138</v>
      </c>
      <c r="J409" s="136"/>
      <c r="K409" s="136" t="s">
        <v>3058</v>
      </c>
      <c r="L409" s="136" t="s">
        <v>2115</v>
      </c>
      <c r="M409" s="136" t="s">
        <v>3670</v>
      </c>
      <c r="N409" s="136" t="s">
        <v>3670</v>
      </c>
      <c r="O409" s="136" t="s">
        <v>3662</v>
      </c>
      <c r="P409" s="90" t="s">
        <v>2863</v>
      </c>
      <c r="Q409" s="848"/>
      <c r="R409" s="848"/>
      <c r="S409" s="89" t="s">
        <v>1138</v>
      </c>
      <c r="T409" s="834" t="s">
        <v>32</v>
      </c>
      <c r="U409" s="834">
        <v>16</v>
      </c>
      <c r="V409" s="834"/>
      <c r="W409" s="852">
        <v>46105</v>
      </c>
      <c r="X409" s="80" t="s">
        <v>30</v>
      </c>
      <c r="Y409" s="80" t="s">
        <v>30</v>
      </c>
      <c r="Z409" s="80" t="s">
        <v>30</v>
      </c>
      <c r="AA409" s="91" t="s">
        <v>32</v>
      </c>
      <c r="AB409" s="91" t="s">
        <v>32</v>
      </c>
      <c r="AC409" s="91" t="s">
        <v>32</v>
      </c>
      <c r="AD409" s="522" t="s">
        <v>607</v>
      </c>
      <c r="AE409" s="80" t="s">
        <v>30</v>
      </c>
      <c r="AF409" s="80" t="s">
        <v>30</v>
      </c>
      <c r="AG409" s="80" t="s">
        <v>30</v>
      </c>
      <c r="AH409" s="80" t="s">
        <v>30</v>
      </c>
      <c r="AI409" s="522" t="s">
        <v>607</v>
      </c>
      <c r="AJ409" s="522" t="s">
        <v>607</v>
      </c>
      <c r="AK409" s="522" t="s">
        <v>607</v>
      </c>
      <c r="AL409" s="522" t="s">
        <v>607</v>
      </c>
      <c r="AM409" s="80"/>
      <c r="AN409" s="80"/>
      <c r="AO409" s="832"/>
      <c r="AP409" s="875"/>
      <c r="AQ409" s="875"/>
      <c r="AR409" s="875"/>
      <c r="AS409" s="776"/>
      <c r="AT409" s="776"/>
      <c r="BB409">
        <f t="shared" si="19"/>
        <v>1</v>
      </c>
    </row>
    <row r="410" spans="1:99" s="524" customFormat="1">
      <c r="A410" s="751" t="s">
        <v>24</v>
      </c>
      <c r="B410" s="834">
        <v>407</v>
      </c>
      <c r="C410" s="751" t="s">
        <v>3677</v>
      </c>
      <c r="D410" s="751" t="s">
        <v>83</v>
      </c>
      <c r="E410" s="887">
        <v>46095</v>
      </c>
      <c r="F410" s="751" t="s">
        <v>65</v>
      </c>
      <c r="G410" s="751">
        <v>15</v>
      </c>
      <c r="H410" s="751" t="s">
        <v>1721</v>
      </c>
      <c r="I410" s="521" t="s">
        <v>1638</v>
      </c>
      <c r="J410" s="521"/>
      <c r="K410" s="521" t="s">
        <v>3058</v>
      </c>
      <c r="L410" s="604" t="s">
        <v>3678</v>
      </c>
      <c r="M410" s="521" t="s">
        <v>3679</v>
      </c>
      <c r="N410" s="521" t="s">
        <v>3679</v>
      </c>
      <c r="O410" s="521" t="s">
        <v>3680</v>
      </c>
      <c r="P410" s="632" t="s">
        <v>2863</v>
      </c>
      <c r="Q410" s="888"/>
      <c r="R410" s="888"/>
      <c r="S410" s="529" t="s">
        <v>1138</v>
      </c>
      <c r="T410" s="751"/>
      <c r="U410" s="751"/>
      <c r="V410" s="751" t="s">
        <v>3438</v>
      </c>
      <c r="W410" s="751"/>
      <c r="X410" s="533" t="s">
        <v>32</v>
      </c>
      <c r="Y410" s="522" t="s">
        <v>30</v>
      </c>
      <c r="Z410" s="80" t="s">
        <v>30</v>
      </c>
      <c r="AA410" s="91" t="s">
        <v>32</v>
      </c>
      <c r="AB410" s="91" t="s">
        <v>32</v>
      </c>
      <c r="AC410" s="91" t="s">
        <v>32</v>
      </c>
      <c r="AD410" s="522" t="s">
        <v>607</v>
      </c>
      <c r="AE410" s="80" t="s">
        <v>30</v>
      </c>
      <c r="AF410" s="80" t="s">
        <v>30</v>
      </c>
      <c r="AG410" s="80" t="s">
        <v>30</v>
      </c>
      <c r="AH410" s="80" t="s">
        <v>30</v>
      </c>
      <c r="AI410" s="522" t="s">
        <v>607</v>
      </c>
      <c r="AJ410" s="522" t="s">
        <v>607</v>
      </c>
      <c r="AK410" s="522" t="s">
        <v>607</v>
      </c>
      <c r="AL410" s="522" t="s">
        <v>607</v>
      </c>
      <c r="AM410" s="522"/>
      <c r="AN410" s="522"/>
      <c r="AO410" s="889"/>
      <c r="AP410" s="890"/>
      <c r="AQ410" s="890"/>
      <c r="AR410" s="890"/>
      <c r="AS410" s="525"/>
      <c r="AT410" s="525"/>
      <c r="AU410" s="526"/>
      <c r="AV410" s="526"/>
      <c r="AW410" s="526"/>
      <c r="AX410" s="526"/>
      <c r="BB410" s="524">
        <f t="shared" si="19"/>
        <v>1</v>
      </c>
    </row>
    <row r="411" spans="1:99" s="374" customFormat="1">
      <c r="A411" s="834" t="s">
        <v>24</v>
      </c>
      <c r="B411" s="834">
        <v>408</v>
      </c>
      <c r="C411" s="834" t="s">
        <v>3681</v>
      </c>
      <c r="D411" s="834" t="s">
        <v>34</v>
      </c>
      <c r="E411" s="852">
        <v>46095</v>
      </c>
      <c r="F411" s="834" t="s">
        <v>3682</v>
      </c>
      <c r="G411" s="834">
        <v>16</v>
      </c>
      <c r="H411" s="834" t="s">
        <v>1076</v>
      </c>
      <c r="I411" s="834" t="s">
        <v>3337</v>
      </c>
      <c r="J411" s="136"/>
      <c r="K411" s="136" t="s">
        <v>3058</v>
      </c>
      <c r="L411" s="381" t="s">
        <v>3683</v>
      </c>
      <c r="M411" s="136" t="s">
        <v>3679</v>
      </c>
      <c r="N411" s="136" t="s">
        <v>3679</v>
      </c>
      <c r="O411" s="136" t="s">
        <v>3684</v>
      </c>
      <c r="P411" s="90" t="s">
        <v>2863</v>
      </c>
      <c r="Q411" s="848"/>
      <c r="R411" s="848"/>
      <c r="S411" s="89" t="s">
        <v>1138</v>
      </c>
      <c r="T411" s="834"/>
      <c r="U411" s="834"/>
      <c r="V411" s="834" t="s">
        <v>3438</v>
      </c>
      <c r="W411" s="834"/>
      <c r="X411" s="96" t="s">
        <v>30</v>
      </c>
      <c r="Y411" s="522" t="s">
        <v>30</v>
      </c>
      <c r="Z411" s="80" t="s">
        <v>30</v>
      </c>
      <c r="AA411" s="522" t="s">
        <v>607</v>
      </c>
      <c r="AB411" s="522" t="s">
        <v>607</v>
      </c>
      <c r="AC411" s="522" t="s">
        <v>607</v>
      </c>
      <c r="AD411" s="522" t="s">
        <v>607</v>
      </c>
      <c r="AE411" s="80" t="s">
        <v>30</v>
      </c>
      <c r="AF411" s="80" t="s">
        <v>30</v>
      </c>
      <c r="AG411" s="80" t="s">
        <v>30</v>
      </c>
      <c r="AH411" s="80" t="s">
        <v>30</v>
      </c>
      <c r="AI411" s="522" t="s">
        <v>607</v>
      </c>
      <c r="AJ411" s="522" t="s">
        <v>607</v>
      </c>
      <c r="AK411" s="522" t="s">
        <v>607</v>
      </c>
      <c r="AL411" s="522" t="s">
        <v>607</v>
      </c>
      <c r="AM411" s="80"/>
      <c r="AN411" s="80"/>
      <c r="AO411" s="832"/>
      <c r="AP411" s="875"/>
      <c r="AQ411" s="875"/>
      <c r="AR411" s="875"/>
      <c r="AS411" s="776"/>
      <c r="AT411" s="776"/>
      <c r="AU411" s="92"/>
      <c r="AV411" s="92"/>
      <c r="AW411" s="92"/>
      <c r="AX411" s="92"/>
      <c r="AY411"/>
      <c r="AZ411"/>
      <c r="BA411"/>
      <c r="BB411">
        <f t="shared" si="19"/>
        <v>1</v>
      </c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</row>
    <row r="412" spans="1:99">
      <c r="A412" s="834" t="s">
        <v>24</v>
      </c>
      <c r="B412" s="834">
        <v>409</v>
      </c>
      <c r="C412" s="834" t="s">
        <v>3685</v>
      </c>
      <c r="D412" s="834" t="s">
        <v>34</v>
      </c>
      <c r="E412" s="852">
        <v>46095</v>
      </c>
      <c r="F412" s="834" t="s">
        <v>614</v>
      </c>
      <c r="G412" s="834">
        <v>34</v>
      </c>
      <c r="H412" s="834" t="s">
        <v>1721</v>
      </c>
      <c r="I412" s="136" t="s">
        <v>1638</v>
      </c>
      <c r="J412" s="136"/>
      <c r="K412" s="136" t="s">
        <v>3058</v>
      </c>
      <c r="L412" s="136" t="s">
        <v>2052</v>
      </c>
      <c r="M412" s="136" t="s">
        <v>3664</v>
      </c>
      <c r="N412" s="136" t="s">
        <v>3664</v>
      </c>
      <c r="O412" s="373" t="s">
        <v>3686</v>
      </c>
      <c r="P412" s="90" t="s">
        <v>2863</v>
      </c>
      <c r="Q412" s="848"/>
      <c r="R412" s="848"/>
      <c r="S412" s="89" t="s">
        <v>1138</v>
      </c>
      <c r="T412" s="834"/>
      <c r="U412" s="834"/>
      <c r="V412" s="834" t="s">
        <v>3438</v>
      </c>
      <c r="W412" s="834"/>
      <c r="X412" s="80" t="s">
        <v>30</v>
      </c>
      <c r="Y412" s="80" t="s">
        <v>30</v>
      </c>
      <c r="Z412" s="91" t="s">
        <v>32</v>
      </c>
      <c r="AA412" s="80" t="s">
        <v>30</v>
      </c>
      <c r="AB412" s="80" t="s">
        <v>30</v>
      </c>
      <c r="AC412" s="80" t="s">
        <v>30</v>
      </c>
      <c r="AD412" s="80" t="s">
        <v>30</v>
      </c>
      <c r="AE412" s="80" t="s">
        <v>30</v>
      </c>
      <c r="AF412" s="80" t="s">
        <v>30</v>
      </c>
      <c r="AG412" s="80" t="s">
        <v>30</v>
      </c>
      <c r="AH412" s="80" t="s">
        <v>30</v>
      </c>
      <c r="AI412" s="522" t="s">
        <v>607</v>
      </c>
      <c r="AJ412" s="522" t="s">
        <v>607</v>
      </c>
      <c r="AK412" s="522" t="s">
        <v>607</v>
      </c>
      <c r="AL412" s="522" t="s">
        <v>607</v>
      </c>
      <c r="AM412" s="80"/>
      <c r="AN412" s="80"/>
      <c r="AO412" s="832"/>
      <c r="AP412" s="875"/>
      <c r="AQ412" s="875"/>
      <c r="AR412" s="875"/>
      <c r="AS412" s="776"/>
      <c r="AT412" s="776"/>
      <c r="BB412">
        <f t="shared" si="19"/>
        <v>1</v>
      </c>
    </row>
    <row r="413" spans="1:99">
      <c r="A413" s="834" t="s">
        <v>24</v>
      </c>
      <c r="B413" s="834">
        <v>410</v>
      </c>
      <c r="C413" s="834" t="s">
        <v>3687</v>
      </c>
      <c r="D413" s="834" t="s">
        <v>34</v>
      </c>
      <c r="E413" s="852">
        <v>46095</v>
      </c>
      <c r="F413" s="834" t="s">
        <v>670</v>
      </c>
      <c r="G413" s="834">
        <v>11</v>
      </c>
      <c r="H413" s="834" t="s">
        <v>1721</v>
      </c>
      <c r="I413" s="834" t="s">
        <v>1638</v>
      </c>
      <c r="J413" s="136"/>
      <c r="K413" s="136" t="s">
        <v>3058</v>
      </c>
      <c r="L413" s="136" t="s">
        <v>3688</v>
      </c>
      <c r="M413" s="136" t="s">
        <v>3679</v>
      </c>
      <c r="N413" s="136" t="s">
        <v>3679</v>
      </c>
      <c r="O413" s="376" t="s">
        <v>3689</v>
      </c>
      <c r="P413" s="848"/>
      <c r="Q413" s="848"/>
      <c r="R413" s="848"/>
      <c r="S413" s="89" t="s">
        <v>1138</v>
      </c>
      <c r="T413" s="834"/>
      <c r="U413" s="834">
        <v>11</v>
      </c>
      <c r="V413" s="834"/>
      <c r="W413" s="852">
        <v>46126</v>
      </c>
      <c r="X413" s="80" t="s">
        <v>30</v>
      </c>
      <c r="Y413" s="80" t="s">
        <v>30</v>
      </c>
      <c r="Z413" s="80" t="s">
        <v>30</v>
      </c>
      <c r="AA413" s="80" t="s">
        <v>30</v>
      </c>
      <c r="AB413" s="80" t="s">
        <v>30</v>
      </c>
      <c r="AC413" s="80" t="s">
        <v>30</v>
      </c>
      <c r="AD413" s="80" t="s">
        <v>30</v>
      </c>
      <c r="AE413" s="80" t="s">
        <v>30</v>
      </c>
      <c r="AF413" s="80" t="s">
        <v>30</v>
      </c>
      <c r="AG413" s="80" t="s">
        <v>30</v>
      </c>
      <c r="AH413" s="80" t="s">
        <v>30</v>
      </c>
      <c r="AI413" s="522" t="s">
        <v>607</v>
      </c>
      <c r="AJ413" s="522" t="s">
        <v>607</v>
      </c>
      <c r="AK413" s="522" t="s">
        <v>607</v>
      </c>
      <c r="AL413" s="522" t="s">
        <v>607</v>
      </c>
      <c r="AM413" s="80"/>
      <c r="AN413" s="80"/>
      <c r="AO413" s="832"/>
      <c r="AP413" s="875"/>
      <c r="AQ413" s="875"/>
      <c r="AR413" s="875"/>
      <c r="AS413" s="776"/>
      <c r="AT413" s="776"/>
      <c r="BB413">
        <f t="shared" si="19"/>
        <v>1</v>
      </c>
    </row>
    <row r="414" spans="1:99">
      <c r="A414" s="834" t="s">
        <v>24</v>
      </c>
      <c r="B414" s="834">
        <v>411</v>
      </c>
      <c r="C414" s="834" t="s">
        <v>3690</v>
      </c>
      <c r="D414" s="834" t="s">
        <v>34</v>
      </c>
      <c r="E414" s="852">
        <v>46095</v>
      </c>
      <c r="F414" s="834" t="s">
        <v>77</v>
      </c>
      <c r="G414" s="834">
        <v>7</v>
      </c>
      <c r="H414" s="834" t="s">
        <v>1721</v>
      </c>
      <c r="I414" s="834" t="s">
        <v>1638</v>
      </c>
      <c r="J414" s="136"/>
      <c r="K414" s="136" t="s">
        <v>3058</v>
      </c>
      <c r="L414" s="136" t="s">
        <v>2126</v>
      </c>
      <c r="M414" s="136" t="s">
        <v>3691</v>
      </c>
      <c r="N414" s="136" t="s">
        <v>3691</v>
      </c>
      <c r="O414" s="376" t="s">
        <v>3692</v>
      </c>
      <c r="P414" s="848"/>
      <c r="Q414" s="848"/>
      <c r="R414" s="848"/>
      <c r="S414" s="89" t="s">
        <v>1138</v>
      </c>
      <c r="T414" s="834"/>
      <c r="U414" s="834"/>
      <c r="V414" s="834" t="s">
        <v>3438</v>
      </c>
      <c r="W414" s="834"/>
      <c r="X414" s="96" t="s">
        <v>30</v>
      </c>
      <c r="Y414" s="80" t="s">
        <v>30</v>
      </c>
      <c r="Z414" s="91" t="s">
        <v>32</v>
      </c>
      <c r="AA414" s="80" t="s">
        <v>30</v>
      </c>
      <c r="AB414" s="80" t="s">
        <v>30</v>
      </c>
      <c r="AC414" s="80" t="s">
        <v>30</v>
      </c>
      <c r="AD414" s="80" t="s">
        <v>30</v>
      </c>
      <c r="AE414" s="80" t="s">
        <v>30</v>
      </c>
      <c r="AF414" s="80" t="s">
        <v>30</v>
      </c>
      <c r="AG414" s="80" t="s">
        <v>30</v>
      </c>
      <c r="AH414" s="80" t="s">
        <v>30</v>
      </c>
      <c r="AI414" s="522" t="s">
        <v>607</v>
      </c>
      <c r="AJ414" s="522" t="s">
        <v>607</v>
      </c>
      <c r="AK414" s="522" t="s">
        <v>607</v>
      </c>
      <c r="AL414" s="522" t="s">
        <v>607</v>
      </c>
      <c r="AM414" s="80"/>
      <c r="AN414" s="80"/>
      <c r="AO414" s="832"/>
      <c r="AP414" s="875"/>
      <c r="AQ414" s="875"/>
      <c r="AR414" s="875"/>
      <c r="AS414" s="776"/>
      <c r="AT414" s="776"/>
      <c r="BB414">
        <f t="shared" si="19"/>
        <v>1</v>
      </c>
    </row>
    <row r="415" spans="1:99">
      <c r="A415" s="834" t="s">
        <v>24</v>
      </c>
      <c r="B415" s="834">
        <v>412</v>
      </c>
      <c r="C415" s="834" t="s">
        <v>3693</v>
      </c>
      <c r="D415" s="834" t="s">
        <v>34</v>
      </c>
      <c r="E415" s="852">
        <v>46095</v>
      </c>
      <c r="F415" s="834" t="s">
        <v>77</v>
      </c>
      <c r="G415" s="834">
        <v>6</v>
      </c>
      <c r="H415" s="834" t="s">
        <v>2391</v>
      </c>
      <c r="I415" s="834" t="s">
        <v>3631</v>
      </c>
      <c r="J415" s="136"/>
      <c r="K415" s="136" t="s">
        <v>3058</v>
      </c>
      <c r="L415" s="217" t="s">
        <v>401</v>
      </c>
      <c r="M415" s="136" t="s">
        <v>3691</v>
      </c>
      <c r="N415" s="136" t="s">
        <v>3691</v>
      </c>
      <c r="O415" s="382" t="s">
        <v>401</v>
      </c>
      <c r="P415" s="848"/>
      <c r="Q415" s="848"/>
      <c r="R415" s="848"/>
      <c r="S415" s="89" t="s">
        <v>1138</v>
      </c>
      <c r="T415" s="834"/>
      <c r="U415" s="834"/>
      <c r="V415" s="834" t="s">
        <v>3438</v>
      </c>
      <c r="W415" s="834"/>
      <c r="X415" s="96" t="s">
        <v>30</v>
      </c>
      <c r="Y415" s="80" t="s">
        <v>30</v>
      </c>
      <c r="Z415" s="91" t="s">
        <v>32</v>
      </c>
      <c r="AA415" s="80" t="s">
        <v>30</v>
      </c>
      <c r="AB415" s="80" t="s">
        <v>30</v>
      </c>
      <c r="AC415" s="80" t="s">
        <v>30</v>
      </c>
      <c r="AD415" s="80" t="s">
        <v>30</v>
      </c>
      <c r="AE415" s="80" t="s">
        <v>30</v>
      </c>
      <c r="AF415" s="80" t="s">
        <v>30</v>
      </c>
      <c r="AG415" s="80" t="s">
        <v>30</v>
      </c>
      <c r="AH415" s="80" t="s">
        <v>30</v>
      </c>
      <c r="AI415" s="522" t="s">
        <v>607</v>
      </c>
      <c r="AJ415" s="522" t="s">
        <v>607</v>
      </c>
      <c r="AK415" s="522" t="s">
        <v>607</v>
      </c>
      <c r="AL415" s="522" t="s">
        <v>607</v>
      </c>
      <c r="AM415" s="80"/>
      <c r="AN415" s="80"/>
      <c r="AO415" s="832"/>
      <c r="AP415" s="875"/>
      <c r="AQ415" s="875"/>
      <c r="AR415" s="875"/>
      <c r="AS415" s="776"/>
      <c r="AT415" s="776"/>
      <c r="BB415">
        <f t="shared" si="19"/>
        <v>1</v>
      </c>
    </row>
    <row r="416" spans="1:99" s="374" customFormat="1">
      <c r="A416" s="834" t="s">
        <v>24</v>
      </c>
      <c r="B416" s="834">
        <v>413</v>
      </c>
      <c r="C416" s="834" t="s">
        <v>3694</v>
      </c>
      <c r="D416" s="834" t="s">
        <v>102</v>
      </c>
      <c r="E416" s="124">
        <v>46095</v>
      </c>
      <c r="F416" s="136" t="s">
        <v>3695</v>
      </c>
      <c r="G416" s="834">
        <v>12</v>
      </c>
      <c r="H416" s="834" t="s">
        <v>1077</v>
      </c>
      <c r="I416" s="834" t="s">
        <v>1138</v>
      </c>
      <c r="J416" s="136" t="s">
        <v>3696</v>
      </c>
      <c r="K416" s="136" t="s">
        <v>3058</v>
      </c>
      <c r="L416" s="136" t="s">
        <v>2135</v>
      </c>
      <c r="M416" s="136" t="s">
        <v>3691</v>
      </c>
      <c r="N416" s="136" t="s">
        <v>3691</v>
      </c>
      <c r="O416" s="136" t="s">
        <v>2050</v>
      </c>
      <c r="P416" s="848" t="s">
        <v>32</v>
      </c>
      <c r="Q416" s="848"/>
      <c r="R416" s="848"/>
      <c r="S416" s="89" t="s">
        <v>1138</v>
      </c>
      <c r="T416" s="834" t="s">
        <v>32</v>
      </c>
      <c r="U416" s="834">
        <v>10</v>
      </c>
      <c r="V416" s="834"/>
      <c r="W416" s="852">
        <v>46113</v>
      </c>
      <c r="X416" s="89" t="s">
        <v>30</v>
      </c>
      <c r="Y416" s="80" t="s">
        <v>30</v>
      </c>
      <c r="Z416" s="80" t="s">
        <v>30</v>
      </c>
      <c r="AA416" s="80" t="s">
        <v>30</v>
      </c>
      <c r="AB416" s="80" t="s">
        <v>30</v>
      </c>
      <c r="AC416" s="80" t="s">
        <v>30</v>
      </c>
      <c r="AD416" s="80" t="s">
        <v>30</v>
      </c>
      <c r="AE416" s="80" t="s">
        <v>30</v>
      </c>
      <c r="AF416" s="80" t="s">
        <v>30</v>
      </c>
      <c r="AG416" s="80" t="s">
        <v>30</v>
      </c>
      <c r="AH416" s="80" t="s">
        <v>30</v>
      </c>
      <c r="AI416" s="522" t="s">
        <v>607</v>
      </c>
      <c r="AJ416" s="522" t="s">
        <v>607</v>
      </c>
      <c r="AK416" s="522" t="s">
        <v>607</v>
      </c>
      <c r="AL416" s="522" t="s">
        <v>607</v>
      </c>
      <c r="AM416" s="80"/>
      <c r="AN416" s="80"/>
      <c r="AO416" s="832"/>
      <c r="AP416" s="875"/>
      <c r="AQ416" s="875"/>
      <c r="AR416" s="875"/>
      <c r="AS416" s="776"/>
      <c r="AT416" s="776"/>
      <c r="AU416" s="92"/>
      <c r="AV416" s="92"/>
      <c r="AW416" s="92"/>
      <c r="AX416" s="92"/>
      <c r="AY416"/>
      <c r="AZ416"/>
      <c r="BA416"/>
      <c r="BB416">
        <f t="shared" si="19"/>
        <v>1</v>
      </c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</row>
    <row r="417" spans="1:99" s="374" customFormat="1" ht="15" customHeight="1">
      <c r="A417" s="834" t="s">
        <v>24</v>
      </c>
      <c r="B417" s="834">
        <v>414</v>
      </c>
      <c r="C417" s="834" t="s">
        <v>3697</v>
      </c>
      <c r="D417" s="834" t="s">
        <v>34</v>
      </c>
      <c r="E417" s="852">
        <v>46095</v>
      </c>
      <c r="F417" s="834" t="s">
        <v>1124</v>
      </c>
      <c r="G417" s="834">
        <v>9</v>
      </c>
      <c r="H417" s="834" t="s">
        <v>2391</v>
      </c>
      <c r="I417" s="834" t="s">
        <v>3631</v>
      </c>
      <c r="J417" s="380" t="s">
        <v>3698</v>
      </c>
      <c r="K417" s="136" t="s">
        <v>3058</v>
      </c>
      <c r="L417" s="136" t="s">
        <v>3699</v>
      </c>
      <c r="M417" s="136" t="s">
        <v>3679</v>
      </c>
      <c r="N417" s="136" t="s">
        <v>3679</v>
      </c>
      <c r="O417" s="136" t="s">
        <v>110</v>
      </c>
      <c r="P417" s="848"/>
      <c r="Q417" s="848"/>
      <c r="R417" s="848"/>
      <c r="S417" s="89" t="s">
        <v>1138</v>
      </c>
      <c r="T417" s="834"/>
      <c r="U417" s="834"/>
      <c r="V417" s="834" t="s">
        <v>3438</v>
      </c>
      <c r="W417" s="834"/>
      <c r="X417" s="89" t="s">
        <v>30</v>
      </c>
      <c r="Y417" s="80"/>
      <c r="Z417" s="91"/>
      <c r="AA417" s="80"/>
      <c r="AB417" s="80" t="s">
        <v>30</v>
      </c>
      <c r="AC417" s="80" t="s">
        <v>30</v>
      </c>
      <c r="AD417" s="80" t="s">
        <v>30</v>
      </c>
      <c r="AE417" s="80" t="s">
        <v>30</v>
      </c>
      <c r="AF417" s="80" t="s">
        <v>30</v>
      </c>
      <c r="AG417" s="80" t="s">
        <v>30</v>
      </c>
      <c r="AH417" s="80" t="s">
        <v>30</v>
      </c>
      <c r="AI417" s="533" t="s">
        <v>32</v>
      </c>
      <c r="AJ417" s="533" t="s">
        <v>32</v>
      </c>
      <c r="AK417" s="533" t="s">
        <v>32</v>
      </c>
      <c r="AL417" s="533" t="s">
        <v>32</v>
      </c>
      <c r="AM417" s="80"/>
      <c r="AN417" s="80"/>
      <c r="AO417" s="832"/>
      <c r="AP417" s="875"/>
      <c r="AQ417" s="875"/>
      <c r="AR417" s="875"/>
      <c r="AS417" s="776"/>
      <c r="AT417" s="776"/>
      <c r="AU417" s="92"/>
      <c r="AV417" s="92"/>
      <c r="AW417" s="92"/>
      <c r="AX417" s="92"/>
      <c r="AY417"/>
      <c r="AZ417"/>
      <c r="BA417"/>
      <c r="BB417">
        <f t="shared" si="19"/>
        <v>1</v>
      </c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</row>
    <row r="418" spans="1:99" s="374" customFormat="1" ht="15" customHeight="1">
      <c r="A418" s="834" t="s">
        <v>2342</v>
      </c>
      <c r="B418" s="834">
        <v>415</v>
      </c>
      <c r="C418" s="840" t="s">
        <v>3700</v>
      </c>
      <c r="D418" s="834" t="s">
        <v>937</v>
      </c>
      <c r="E418" s="852">
        <v>46097</v>
      </c>
      <c r="F418" s="834" t="s">
        <v>3624</v>
      </c>
      <c r="G418" s="834">
        <v>14</v>
      </c>
      <c r="H418" s="834" t="s">
        <v>3471</v>
      </c>
      <c r="I418" s="834" t="s">
        <v>3701</v>
      </c>
      <c r="J418" s="380" t="s">
        <v>3702</v>
      </c>
      <c r="K418" s="380"/>
      <c r="L418" s="136"/>
      <c r="M418" s="136"/>
      <c r="N418" s="136"/>
      <c r="O418" s="136"/>
      <c r="P418" s="848"/>
      <c r="Q418" s="848"/>
      <c r="R418" s="848"/>
      <c r="S418" s="89" t="s">
        <v>3337</v>
      </c>
      <c r="T418" s="834"/>
      <c r="U418" s="834">
        <v>14</v>
      </c>
      <c r="V418" s="834"/>
      <c r="W418" s="852">
        <v>46121</v>
      </c>
      <c r="X418" s="834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108"/>
      <c r="AJ418" s="108"/>
      <c r="AK418" s="108"/>
      <c r="AL418" s="108"/>
      <c r="AM418" s="80"/>
      <c r="AN418" s="80"/>
      <c r="AO418" s="832"/>
      <c r="AP418" s="875"/>
      <c r="AQ418" s="875"/>
      <c r="AR418" s="875"/>
      <c r="AS418" s="776"/>
      <c r="AT418" s="776"/>
      <c r="AU418" s="92"/>
      <c r="AV418" s="92"/>
      <c r="AW418" s="92"/>
      <c r="AX418" s="92"/>
      <c r="AY418"/>
      <c r="AZ418"/>
      <c r="BA418"/>
      <c r="BB418">
        <f t="shared" si="19"/>
        <v>1</v>
      </c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</row>
    <row r="419" spans="1:99" s="374" customFormat="1" ht="15" customHeight="1">
      <c r="A419" s="834" t="s">
        <v>2342</v>
      </c>
      <c r="B419" s="834">
        <v>416</v>
      </c>
      <c r="C419" s="840" t="s">
        <v>3703</v>
      </c>
      <c r="D419" s="834" t="s">
        <v>829</v>
      </c>
      <c r="E419" s="852">
        <v>46097</v>
      </c>
      <c r="F419" s="834" t="s">
        <v>3624</v>
      </c>
      <c r="G419" s="834">
        <v>44</v>
      </c>
      <c r="H419" s="834" t="s">
        <v>3704</v>
      </c>
      <c r="I419" s="834" t="s">
        <v>3705</v>
      </c>
      <c r="J419" s="380" t="s">
        <v>3706</v>
      </c>
      <c r="K419" s="380"/>
      <c r="L419" s="136"/>
      <c r="M419" s="136"/>
      <c r="N419" s="136"/>
      <c r="O419" s="136"/>
      <c r="P419" s="834" t="s">
        <v>3560</v>
      </c>
      <c r="Q419" s="848"/>
      <c r="R419" s="848"/>
      <c r="S419" s="89" t="s">
        <v>3337</v>
      </c>
      <c r="T419" s="834"/>
      <c r="U419" s="834"/>
      <c r="V419" s="834" t="s">
        <v>3438</v>
      </c>
      <c r="W419" s="834"/>
      <c r="X419" s="834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108"/>
      <c r="AJ419" s="108"/>
      <c r="AK419" s="108"/>
      <c r="AL419" s="108"/>
      <c r="AM419" s="80"/>
      <c r="AN419" s="80"/>
      <c r="AO419" s="99">
        <v>2</v>
      </c>
      <c r="AP419" s="99">
        <v>3</v>
      </c>
      <c r="AQ419" s="633">
        <v>0</v>
      </c>
      <c r="AR419" s="633">
        <v>0</v>
      </c>
      <c r="AS419" s="510">
        <v>39</v>
      </c>
      <c r="AT419" s="510">
        <f>SUM(AO419:AS419)</f>
        <v>44</v>
      </c>
      <c r="AU419" s="511">
        <f>+AO419/AT419*AU$1</f>
        <v>0.13636363636363635</v>
      </c>
      <c r="AV419" s="512">
        <f>+AP419/AT419*AV$1</f>
        <v>0.20454545454545453</v>
      </c>
      <c r="AW419" s="510"/>
      <c r="AX419" s="512">
        <f>+AQ419/AT419*AX$1</f>
        <v>0</v>
      </c>
      <c r="AY419" s="512">
        <f>+AR419/AT419*AY$1</f>
        <v>0</v>
      </c>
      <c r="AZ419"/>
      <c r="BA419"/>
      <c r="BB419">
        <f t="shared" si="19"/>
        <v>1</v>
      </c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</row>
    <row r="420" spans="1:99" s="374" customFormat="1" ht="15" customHeight="1">
      <c r="A420" s="834" t="s">
        <v>2342</v>
      </c>
      <c r="B420" s="834">
        <v>417</v>
      </c>
      <c r="C420" s="840" t="s">
        <v>3707</v>
      </c>
      <c r="D420" s="834" t="s">
        <v>3708</v>
      </c>
      <c r="E420" s="852">
        <v>46097</v>
      </c>
      <c r="F420" s="834" t="s">
        <v>3624</v>
      </c>
      <c r="G420" s="834">
        <v>1</v>
      </c>
      <c r="H420" s="834" t="s">
        <v>127</v>
      </c>
      <c r="I420" s="834" t="s">
        <v>178</v>
      </c>
      <c r="J420" s="380"/>
      <c r="K420" s="380"/>
      <c r="L420" s="136"/>
      <c r="M420" s="136"/>
      <c r="N420" s="136"/>
      <c r="O420" s="136"/>
      <c r="P420" s="848"/>
      <c r="Q420" s="848"/>
      <c r="R420" s="848"/>
      <c r="S420" s="89" t="s">
        <v>36</v>
      </c>
      <c r="T420" s="834"/>
      <c r="U420" s="834"/>
      <c r="V420" s="834" t="s">
        <v>3438</v>
      </c>
      <c r="W420" s="834"/>
      <c r="X420" s="834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108"/>
      <c r="AJ420" s="108"/>
      <c r="AK420" s="108"/>
      <c r="AL420" s="108"/>
      <c r="AM420" s="80"/>
      <c r="AN420" s="80"/>
      <c r="AO420" s="832"/>
      <c r="AP420" s="875"/>
      <c r="AQ420" s="875"/>
      <c r="AR420" s="875"/>
      <c r="AS420" s="776"/>
      <c r="AT420" s="776"/>
      <c r="AU420" s="92"/>
      <c r="AV420" s="92"/>
      <c r="AW420" s="92"/>
      <c r="AX420" s="92"/>
      <c r="AY420"/>
      <c r="AZ420"/>
      <c r="BA420"/>
      <c r="BB420">
        <f t="shared" si="19"/>
        <v>1</v>
      </c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</row>
    <row r="421" spans="1:99" s="374" customFormat="1" ht="15" customHeight="1">
      <c r="A421" s="834" t="s">
        <v>2342</v>
      </c>
      <c r="B421" s="834">
        <v>418</v>
      </c>
      <c r="C421" s="840" t="s">
        <v>3709</v>
      </c>
      <c r="D421" s="834" t="s">
        <v>1198</v>
      </c>
      <c r="E421" s="852">
        <v>46097</v>
      </c>
      <c r="F421" s="834" t="s">
        <v>3624</v>
      </c>
      <c r="G421" s="834">
        <v>4</v>
      </c>
      <c r="H421" s="834" t="s">
        <v>3056</v>
      </c>
      <c r="I421" s="834" t="s">
        <v>47</v>
      </c>
      <c r="J421" s="380"/>
      <c r="K421" s="380"/>
      <c r="L421" s="136"/>
      <c r="M421" s="136"/>
      <c r="N421" s="136"/>
      <c r="O421" s="136"/>
      <c r="P421" s="848"/>
      <c r="Q421" s="848"/>
      <c r="R421" s="848"/>
      <c r="S421" s="89" t="s">
        <v>36</v>
      </c>
      <c r="T421" s="834"/>
      <c r="U421" s="834"/>
      <c r="V421" s="834" t="s">
        <v>3438</v>
      </c>
      <c r="W421" s="834"/>
      <c r="X421" s="834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108"/>
      <c r="AJ421" s="108"/>
      <c r="AK421" s="108"/>
      <c r="AL421" s="108"/>
      <c r="AM421" s="80"/>
      <c r="AN421" s="80"/>
      <c r="AO421" s="832"/>
      <c r="AP421" s="875"/>
      <c r="AQ421" s="875"/>
      <c r="AR421" s="875"/>
      <c r="AS421" s="776"/>
      <c r="AT421" s="776"/>
      <c r="AU421" s="92"/>
      <c r="AV421" s="92"/>
      <c r="AW421" s="92"/>
      <c r="AX421" s="92"/>
      <c r="AY421"/>
      <c r="AZ421"/>
      <c r="BA421"/>
      <c r="BB421">
        <f t="shared" si="19"/>
        <v>1</v>
      </c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</row>
    <row r="422" spans="1:99" s="374" customFormat="1" ht="15" customHeight="1">
      <c r="A422" s="834" t="s">
        <v>2342</v>
      </c>
      <c r="B422" s="834">
        <v>419</v>
      </c>
      <c r="C422" s="840" t="s">
        <v>3710</v>
      </c>
      <c r="D422" s="834" t="s">
        <v>818</v>
      </c>
      <c r="E422" s="852">
        <v>46097</v>
      </c>
      <c r="F422" s="834" t="s">
        <v>3624</v>
      </c>
      <c r="G422" s="834">
        <v>2</v>
      </c>
      <c r="H422" s="834" t="s">
        <v>3056</v>
      </c>
      <c r="I422" s="834" t="s">
        <v>47</v>
      </c>
      <c r="J422" s="380"/>
      <c r="K422" s="380"/>
      <c r="L422" s="136"/>
      <c r="M422" s="136"/>
      <c r="N422" s="136"/>
      <c r="O422" s="136"/>
      <c r="P422" s="848"/>
      <c r="Q422" s="848"/>
      <c r="R422" s="848"/>
      <c r="S422" s="89" t="s">
        <v>36</v>
      </c>
      <c r="T422" s="834"/>
      <c r="U422" s="834"/>
      <c r="V422" s="834" t="s">
        <v>3438</v>
      </c>
      <c r="W422" s="834"/>
      <c r="X422" s="834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108"/>
      <c r="AJ422" s="108"/>
      <c r="AK422" s="108"/>
      <c r="AL422" s="108"/>
      <c r="AM422" s="80"/>
      <c r="AN422" s="80"/>
      <c r="AO422" s="832"/>
      <c r="AP422" s="875"/>
      <c r="AQ422" s="875"/>
      <c r="AR422" s="875"/>
      <c r="AS422" s="776"/>
      <c r="AT422" s="776"/>
      <c r="AU422" s="92"/>
      <c r="AV422" s="92"/>
      <c r="AW422" s="92"/>
      <c r="AX422" s="92"/>
      <c r="AY422"/>
      <c r="AZ422"/>
      <c r="BA422"/>
      <c r="BB422">
        <f t="shared" si="19"/>
        <v>1</v>
      </c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</row>
    <row r="423" spans="1:99" s="374" customFormat="1" ht="15" customHeight="1">
      <c r="A423" s="834" t="s">
        <v>2342</v>
      </c>
      <c r="B423" s="834">
        <v>420</v>
      </c>
      <c r="C423" s="840" t="s">
        <v>3711</v>
      </c>
      <c r="D423" s="834" t="s">
        <v>1184</v>
      </c>
      <c r="E423" s="852">
        <v>46097</v>
      </c>
      <c r="F423" s="834" t="s">
        <v>3624</v>
      </c>
      <c r="G423" s="834">
        <v>2</v>
      </c>
      <c r="H423" s="834" t="s">
        <v>3056</v>
      </c>
      <c r="I423" s="834" t="s">
        <v>47</v>
      </c>
      <c r="J423" s="380"/>
      <c r="K423" s="380"/>
      <c r="L423" s="136"/>
      <c r="M423" s="136"/>
      <c r="N423" s="136"/>
      <c r="O423" s="136"/>
      <c r="P423" s="848"/>
      <c r="Q423" s="848"/>
      <c r="R423" s="848"/>
      <c r="S423" s="89" t="s">
        <v>36</v>
      </c>
      <c r="T423" s="834"/>
      <c r="U423" s="834"/>
      <c r="V423" s="834" t="s">
        <v>3438</v>
      </c>
      <c r="W423" s="834"/>
      <c r="X423" s="834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108"/>
      <c r="AJ423" s="108"/>
      <c r="AK423" s="108"/>
      <c r="AL423" s="108"/>
      <c r="AM423" s="80"/>
      <c r="AN423" s="80"/>
      <c r="AO423" s="832"/>
      <c r="AP423" s="875"/>
      <c r="AQ423" s="875"/>
      <c r="AR423" s="875"/>
      <c r="AS423" s="776"/>
      <c r="AT423" s="776"/>
      <c r="AU423" s="92"/>
      <c r="AV423" s="92"/>
      <c r="AW423" s="92"/>
      <c r="AX423" s="92"/>
      <c r="AY423"/>
      <c r="AZ423"/>
      <c r="BA423"/>
      <c r="BB423">
        <f t="shared" si="19"/>
        <v>1</v>
      </c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</row>
    <row r="424" spans="1:99" s="374" customFormat="1" ht="15" customHeight="1">
      <c r="A424" s="834" t="s">
        <v>2342</v>
      </c>
      <c r="B424" s="834">
        <v>421</v>
      </c>
      <c r="C424" s="840" t="s">
        <v>3712</v>
      </c>
      <c r="D424" s="834" t="s">
        <v>1245</v>
      </c>
      <c r="E424" s="852">
        <v>46097</v>
      </c>
      <c r="F424" s="834" t="s">
        <v>3624</v>
      </c>
      <c r="G424" s="834">
        <v>1</v>
      </c>
      <c r="H424" s="834" t="s">
        <v>1077</v>
      </c>
      <c r="I424" s="834" t="s">
        <v>1138</v>
      </c>
      <c r="J424" s="380"/>
      <c r="K424" s="380"/>
      <c r="L424" s="136"/>
      <c r="M424" s="136"/>
      <c r="N424" s="136"/>
      <c r="O424" s="136"/>
      <c r="P424" s="848"/>
      <c r="Q424" s="848"/>
      <c r="R424" s="848"/>
      <c r="S424" s="89" t="s">
        <v>36</v>
      </c>
      <c r="T424" s="834"/>
      <c r="U424" s="834"/>
      <c r="V424" s="834" t="s">
        <v>3438</v>
      </c>
      <c r="W424" s="834"/>
      <c r="X424" s="834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108"/>
      <c r="AJ424" s="108"/>
      <c r="AK424" s="108"/>
      <c r="AL424" s="108"/>
      <c r="AM424" s="80"/>
      <c r="AN424" s="80"/>
      <c r="AO424" s="832"/>
      <c r="AP424" s="875"/>
      <c r="AQ424" s="875"/>
      <c r="AR424" s="875"/>
      <c r="AS424" s="776"/>
      <c r="AT424" s="776"/>
      <c r="AU424" s="92"/>
      <c r="AV424" s="92"/>
      <c r="AW424" s="92"/>
      <c r="AX424" s="92"/>
      <c r="AY424"/>
      <c r="AZ424"/>
      <c r="BA424"/>
      <c r="BB424">
        <f t="shared" si="19"/>
        <v>1</v>
      </c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</row>
    <row r="425" spans="1:99" s="374" customFormat="1" ht="15" customHeight="1">
      <c r="A425" s="834" t="s">
        <v>2342</v>
      </c>
      <c r="B425" s="834">
        <v>422</v>
      </c>
      <c r="C425" s="840" t="s">
        <v>3713</v>
      </c>
      <c r="D425" s="834" t="s">
        <v>1887</v>
      </c>
      <c r="E425" s="852">
        <v>46097</v>
      </c>
      <c r="F425" s="834" t="s">
        <v>3624</v>
      </c>
      <c r="G425" s="834">
        <v>1</v>
      </c>
      <c r="H425" s="834" t="s">
        <v>3056</v>
      </c>
      <c r="I425" s="834" t="s">
        <v>47</v>
      </c>
      <c r="J425" s="380"/>
      <c r="K425" s="380"/>
      <c r="L425" s="136"/>
      <c r="M425" s="136"/>
      <c r="N425" s="136"/>
      <c r="O425" s="136"/>
      <c r="P425" s="848"/>
      <c r="Q425" s="848"/>
      <c r="R425" s="848"/>
      <c r="S425" s="89" t="s">
        <v>36</v>
      </c>
      <c r="T425" s="834"/>
      <c r="U425" s="834"/>
      <c r="V425" s="834" t="s">
        <v>3438</v>
      </c>
      <c r="W425" s="834"/>
      <c r="X425" s="834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108"/>
      <c r="AJ425" s="108"/>
      <c r="AK425" s="108"/>
      <c r="AL425" s="108"/>
      <c r="AM425" s="80"/>
      <c r="AN425" s="80"/>
      <c r="AO425" s="832"/>
      <c r="AP425" s="875"/>
      <c r="AQ425" s="875"/>
      <c r="AR425" s="875"/>
      <c r="AS425" s="776"/>
      <c r="AT425" s="776"/>
      <c r="AU425" s="92"/>
      <c r="AV425" s="92"/>
      <c r="AW425" s="92"/>
      <c r="AX425" s="92"/>
      <c r="AY425"/>
      <c r="AZ425"/>
      <c r="BA425"/>
      <c r="BB425">
        <f t="shared" si="19"/>
        <v>1</v>
      </c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</row>
    <row r="426" spans="1:99" s="374" customFormat="1" ht="15" customHeight="1">
      <c r="A426" s="834" t="s">
        <v>2342</v>
      </c>
      <c r="B426" s="834">
        <v>423</v>
      </c>
      <c r="C426" s="840" t="s">
        <v>3714</v>
      </c>
      <c r="D426" s="834" t="s">
        <v>1424</v>
      </c>
      <c r="E426" s="852">
        <v>46097</v>
      </c>
      <c r="F426" s="834" t="s">
        <v>3624</v>
      </c>
      <c r="G426" s="834">
        <v>1</v>
      </c>
      <c r="H426" s="834" t="s">
        <v>3056</v>
      </c>
      <c r="I426" s="834" t="s">
        <v>47</v>
      </c>
      <c r="J426" s="380"/>
      <c r="K426" s="380"/>
      <c r="L426" s="136"/>
      <c r="M426" s="136"/>
      <c r="N426" s="136"/>
      <c r="O426" s="136"/>
      <c r="P426" s="848"/>
      <c r="Q426" s="848"/>
      <c r="R426" s="848"/>
      <c r="S426" s="89" t="s">
        <v>36</v>
      </c>
      <c r="T426" s="834"/>
      <c r="U426" s="834"/>
      <c r="V426" s="834" t="s">
        <v>3438</v>
      </c>
      <c r="W426" s="834"/>
      <c r="X426" s="834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108"/>
      <c r="AJ426" s="108"/>
      <c r="AK426" s="108"/>
      <c r="AL426" s="108"/>
      <c r="AM426" s="80"/>
      <c r="AN426" s="80"/>
      <c r="AO426" s="832"/>
      <c r="AP426" s="875"/>
      <c r="AQ426" s="875"/>
      <c r="AR426" s="875"/>
      <c r="AS426" s="776"/>
      <c r="AT426" s="776"/>
      <c r="AU426" s="92"/>
      <c r="AV426" s="92"/>
      <c r="AW426" s="92"/>
      <c r="AX426" s="92"/>
      <c r="AY426"/>
      <c r="AZ426"/>
      <c r="BA426"/>
      <c r="BB426">
        <f t="shared" si="19"/>
        <v>1</v>
      </c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</row>
    <row r="427" spans="1:99" s="374" customFormat="1" ht="15" customHeight="1">
      <c r="A427" s="834" t="s">
        <v>2342</v>
      </c>
      <c r="B427" s="834">
        <v>424</v>
      </c>
      <c r="C427" s="840" t="s">
        <v>3715</v>
      </c>
      <c r="D427" s="834" t="s">
        <v>1212</v>
      </c>
      <c r="E427" s="852">
        <v>46097</v>
      </c>
      <c r="F427" s="834" t="s">
        <v>3624</v>
      </c>
      <c r="G427" s="834">
        <v>2</v>
      </c>
      <c r="H427" s="834" t="s">
        <v>3056</v>
      </c>
      <c r="I427" s="834" t="s">
        <v>47</v>
      </c>
      <c r="J427" s="380"/>
      <c r="K427" s="380"/>
      <c r="L427" s="136"/>
      <c r="M427" s="136"/>
      <c r="N427" s="136"/>
      <c r="O427" s="136"/>
      <c r="P427" s="848"/>
      <c r="Q427" s="848"/>
      <c r="R427" s="848"/>
      <c r="S427" s="89" t="s">
        <v>36</v>
      </c>
      <c r="T427" s="834"/>
      <c r="U427" s="834"/>
      <c r="V427" s="834" t="s">
        <v>3438</v>
      </c>
      <c r="W427" s="834"/>
      <c r="X427" s="834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108"/>
      <c r="AJ427" s="108"/>
      <c r="AK427" s="108"/>
      <c r="AL427" s="108"/>
      <c r="AM427" s="80"/>
      <c r="AN427" s="80"/>
      <c r="AO427" s="832"/>
      <c r="AP427" s="875"/>
      <c r="AQ427" s="875"/>
      <c r="AR427" s="875"/>
      <c r="AS427" s="776"/>
      <c r="AT427" s="776"/>
      <c r="AU427" s="92"/>
      <c r="AV427" s="92"/>
      <c r="AW427" s="92"/>
      <c r="AX427" s="92"/>
      <c r="AY427"/>
      <c r="AZ427"/>
      <c r="BA427"/>
      <c r="BB427">
        <f t="shared" si="19"/>
        <v>1</v>
      </c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</row>
    <row r="428" spans="1:99" s="374" customFormat="1" ht="15" customHeight="1">
      <c r="A428" s="834" t="s">
        <v>2342</v>
      </c>
      <c r="B428" s="834">
        <v>425</v>
      </c>
      <c r="C428" s="840" t="s">
        <v>3716</v>
      </c>
      <c r="D428" s="834" t="s">
        <v>308</v>
      </c>
      <c r="E428" s="852">
        <v>46097</v>
      </c>
      <c r="F428" s="834" t="s">
        <v>3624</v>
      </c>
      <c r="G428" s="834">
        <v>1</v>
      </c>
      <c r="H428" s="834" t="s">
        <v>3056</v>
      </c>
      <c r="I428" s="834" t="s">
        <v>47</v>
      </c>
      <c r="J428" s="380"/>
      <c r="K428" s="380"/>
      <c r="L428" s="136"/>
      <c r="M428" s="136"/>
      <c r="N428" s="136"/>
      <c r="O428" s="136"/>
      <c r="P428" s="848"/>
      <c r="Q428" s="848"/>
      <c r="R428" s="848"/>
      <c r="S428" s="89" t="s">
        <v>36</v>
      </c>
      <c r="T428" s="834"/>
      <c r="U428" s="834"/>
      <c r="V428" s="834" t="s">
        <v>3438</v>
      </c>
      <c r="W428" s="834"/>
      <c r="X428" s="834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108"/>
      <c r="AJ428" s="108"/>
      <c r="AK428" s="108"/>
      <c r="AL428" s="108"/>
      <c r="AM428" s="80"/>
      <c r="AN428" s="80"/>
      <c r="AO428" s="832"/>
      <c r="AP428" s="875"/>
      <c r="AQ428" s="875"/>
      <c r="AR428" s="875"/>
      <c r="AS428" s="776"/>
      <c r="AT428" s="776"/>
      <c r="AU428" s="92"/>
      <c r="AV428" s="92"/>
      <c r="AW428" s="92"/>
      <c r="AX428" s="92"/>
      <c r="AY428"/>
      <c r="AZ428"/>
      <c r="BA428"/>
      <c r="BB428">
        <f t="shared" si="19"/>
        <v>1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</row>
    <row r="429" spans="1:99" s="374" customFormat="1" ht="15" customHeight="1">
      <c r="A429" s="834" t="s">
        <v>2342</v>
      </c>
      <c r="B429" s="834">
        <v>426</v>
      </c>
      <c r="C429" s="840" t="s">
        <v>3717</v>
      </c>
      <c r="D429" s="834" t="s">
        <v>3718</v>
      </c>
      <c r="E429" s="852">
        <v>46097</v>
      </c>
      <c r="F429" s="834" t="s">
        <v>3624</v>
      </c>
      <c r="G429" s="834">
        <v>1</v>
      </c>
      <c r="H429" s="834" t="s">
        <v>3056</v>
      </c>
      <c r="I429" s="834" t="s">
        <v>47</v>
      </c>
      <c r="J429" s="380"/>
      <c r="K429" s="380"/>
      <c r="L429" s="136"/>
      <c r="M429" s="136"/>
      <c r="N429" s="136"/>
      <c r="O429" s="136"/>
      <c r="P429" s="848"/>
      <c r="Q429" s="848"/>
      <c r="R429" s="848"/>
      <c r="S429" s="89" t="s">
        <v>36</v>
      </c>
      <c r="T429" s="834"/>
      <c r="U429" s="834"/>
      <c r="V429" s="834" t="s">
        <v>3438</v>
      </c>
      <c r="W429" s="834"/>
      <c r="X429" s="834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108"/>
      <c r="AJ429" s="108"/>
      <c r="AK429" s="108"/>
      <c r="AL429" s="108"/>
      <c r="AM429" s="80"/>
      <c r="AN429" s="80"/>
      <c r="AO429" s="832"/>
      <c r="AP429" s="875"/>
      <c r="AQ429" s="875"/>
      <c r="AR429" s="875"/>
      <c r="AS429" s="776"/>
      <c r="AT429" s="776"/>
      <c r="AU429" s="92"/>
      <c r="AV429" s="92"/>
      <c r="AW429" s="92"/>
      <c r="AX429" s="92"/>
      <c r="AY429"/>
      <c r="AZ429"/>
      <c r="BA429"/>
      <c r="BB429">
        <f t="shared" si="19"/>
        <v>1</v>
      </c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</row>
    <row r="430" spans="1:99" s="374" customFormat="1" ht="15" customHeight="1">
      <c r="A430" s="834" t="s">
        <v>2342</v>
      </c>
      <c r="B430" s="834">
        <v>427</v>
      </c>
      <c r="C430" s="840" t="s">
        <v>3719</v>
      </c>
      <c r="D430" s="834" t="s">
        <v>1025</v>
      </c>
      <c r="E430" s="852">
        <v>46097</v>
      </c>
      <c r="F430" s="834" t="s">
        <v>3624</v>
      </c>
      <c r="G430" s="834">
        <v>1</v>
      </c>
      <c r="H430" s="834" t="s">
        <v>127</v>
      </c>
      <c r="I430" s="834" t="s">
        <v>178</v>
      </c>
      <c r="J430" s="380"/>
      <c r="K430" s="380"/>
      <c r="L430" s="136"/>
      <c r="M430" s="136"/>
      <c r="N430" s="136"/>
      <c r="O430" s="136"/>
      <c r="P430" s="848"/>
      <c r="Q430" s="848"/>
      <c r="R430" s="848"/>
      <c r="S430" s="89" t="s">
        <v>36</v>
      </c>
      <c r="T430" s="834"/>
      <c r="U430" s="834"/>
      <c r="V430" s="834" t="s">
        <v>3438</v>
      </c>
      <c r="W430" s="834"/>
      <c r="X430" s="834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108"/>
      <c r="AJ430" s="108"/>
      <c r="AK430" s="108"/>
      <c r="AL430" s="108"/>
      <c r="AM430" s="80"/>
      <c r="AN430" s="80"/>
      <c r="AO430" s="832"/>
      <c r="AP430" s="875"/>
      <c r="AQ430" s="875"/>
      <c r="AR430" s="875"/>
      <c r="AS430" s="776"/>
      <c r="AT430" s="776"/>
      <c r="AU430" s="92"/>
      <c r="AV430" s="92"/>
      <c r="AW430" s="92"/>
      <c r="AX430" s="92"/>
      <c r="AY430"/>
      <c r="AZ430"/>
      <c r="BA430"/>
      <c r="BB430">
        <f t="shared" si="19"/>
        <v>1</v>
      </c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</row>
    <row r="431" spans="1:99" s="374" customFormat="1" ht="15" customHeight="1">
      <c r="A431" s="834" t="s">
        <v>2342</v>
      </c>
      <c r="B431" s="834">
        <v>428</v>
      </c>
      <c r="C431" s="840" t="s">
        <v>3720</v>
      </c>
      <c r="D431" s="834" t="s">
        <v>971</v>
      </c>
      <c r="E431" s="852">
        <v>46097</v>
      </c>
      <c r="F431" s="834" t="s">
        <v>3624</v>
      </c>
      <c r="G431" s="834">
        <v>2</v>
      </c>
      <c r="H431" s="834" t="s">
        <v>3634</v>
      </c>
      <c r="I431" s="834" t="s">
        <v>1514</v>
      </c>
      <c r="J431" s="380" t="s">
        <v>3721</v>
      </c>
      <c r="K431" s="380"/>
      <c r="L431" s="136"/>
      <c r="M431" s="136"/>
      <c r="N431" s="136"/>
      <c r="O431" s="136"/>
      <c r="P431" s="848"/>
      <c r="Q431" s="848"/>
      <c r="R431" s="848"/>
      <c r="S431" s="89" t="s">
        <v>36</v>
      </c>
      <c r="T431" s="834"/>
      <c r="U431" s="834"/>
      <c r="V431" s="834" t="s">
        <v>3438</v>
      </c>
      <c r="W431" s="834"/>
      <c r="X431" s="834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108"/>
      <c r="AJ431" s="108"/>
      <c r="AK431" s="108"/>
      <c r="AL431" s="108"/>
      <c r="AM431" s="80"/>
      <c r="AN431" s="80"/>
      <c r="AO431" s="832"/>
      <c r="AP431" s="875"/>
      <c r="AQ431" s="875"/>
      <c r="AR431" s="875"/>
      <c r="AS431" s="776"/>
      <c r="AT431" s="776"/>
      <c r="AU431" s="92"/>
      <c r="AV431" s="92"/>
      <c r="AW431" s="92"/>
      <c r="AX431" s="92"/>
      <c r="AY431"/>
      <c r="AZ431"/>
      <c r="BA431"/>
      <c r="BB431">
        <f t="shared" si="19"/>
        <v>1</v>
      </c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</row>
    <row r="432" spans="1:99" s="374" customFormat="1" ht="15" customHeight="1">
      <c r="A432" s="834" t="s">
        <v>2342</v>
      </c>
      <c r="B432" s="834">
        <v>429</v>
      </c>
      <c r="C432" s="840" t="s">
        <v>3722</v>
      </c>
      <c r="D432" s="834" t="s">
        <v>3723</v>
      </c>
      <c r="E432" s="852">
        <v>46097</v>
      </c>
      <c r="F432" s="834" t="s">
        <v>3624</v>
      </c>
      <c r="G432" s="834">
        <v>1</v>
      </c>
      <c r="H432" s="834" t="s">
        <v>1076</v>
      </c>
      <c r="I432" s="834" t="s">
        <v>3337</v>
      </c>
      <c r="J432" s="380"/>
      <c r="K432" s="380"/>
      <c r="L432" s="136"/>
      <c r="M432" s="136"/>
      <c r="N432" s="136"/>
      <c r="O432" s="136"/>
      <c r="P432" s="848"/>
      <c r="Q432" s="848"/>
      <c r="R432" s="848"/>
      <c r="S432" s="89" t="s">
        <v>36</v>
      </c>
      <c r="T432" s="834"/>
      <c r="U432" s="834"/>
      <c r="V432" s="834" t="s">
        <v>3438</v>
      </c>
      <c r="W432" s="834"/>
      <c r="X432" s="834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108"/>
      <c r="AJ432" s="108"/>
      <c r="AK432" s="108"/>
      <c r="AL432" s="108"/>
      <c r="AM432" s="80"/>
      <c r="AN432" s="80"/>
      <c r="AO432" s="832"/>
      <c r="AP432" s="875"/>
      <c r="AQ432" s="875"/>
      <c r="AR432" s="875"/>
      <c r="AS432" s="776"/>
      <c r="AT432" s="776"/>
      <c r="AU432" s="92"/>
      <c r="AV432" s="92"/>
      <c r="AW432" s="92"/>
      <c r="AX432" s="92"/>
      <c r="AY432"/>
      <c r="AZ432"/>
      <c r="BA432"/>
      <c r="BB432">
        <f t="shared" si="19"/>
        <v>1</v>
      </c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</row>
    <row r="433" spans="1:99" s="374" customFormat="1" ht="15" customHeight="1">
      <c r="A433" s="834" t="s">
        <v>2342</v>
      </c>
      <c r="B433" s="834">
        <v>430</v>
      </c>
      <c r="C433" s="840" t="s">
        <v>3724</v>
      </c>
      <c r="D433" s="642" t="s">
        <v>3725</v>
      </c>
      <c r="E433" s="852">
        <v>46097</v>
      </c>
      <c r="F433" s="834" t="s">
        <v>3624</v>
      </c>
      <c r="G433" s="834">
        <v>1</v>
      </c>
      <c r="H433" s="834" t="s">
        <v>1076</v>
      </c>
      <c r="I433" s="834" t="s">
        <v>3337</v>
      </c>
      <c r="J433" s="380"/>
      <c r="K433" s="380"/>
      <c r="L433" s="136"/>
      <c r="M433" s="136"/>
      <c r="N433" s="136"/>
      <c r="O433" s="136"/>
      <c r="P433" s="848"/>
      <c r="Q433" s="848"/>
      <c r="R433" s="848"/>
      <c r="S433" s="89" t="s">
        <v>36</v>
      </c>
      <c r="T433" s="834"/>
      <c r="U433" s="834"/>
      <c r="V433" s="834" t="s">
        <v>3438</v>
      </c>
      <c r="W433" s="834"/>
      <c r="X433" s="834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108"/>
      <c r="AJ433" s="108"/>
      <c r="AK433" s="108"/>
      <c r="AL433" s="108"/>
      <c r="AM433" s="80"/>
      <c r="AN433" s="80"/>
      <c r="AO433" s="832"/>
      <c r="AP433" s="875"/>
      <c r="AQ433" s="875"/>
      <c r="AR433" s="875"/>
      <c r="AS433" s="776"/>
      <c r="AT433" s="776"/>
      <c r="AU433" s="92"/>
      <c r="AV433" s="92"/>
      <c r="AW433" s="92"/>
      <c r="AX433" s="92"/>
      <c r="AY433"/>
      <c r="AZ433"/>
      <c r="BA433"/>
      <c r="BB433">
        <f t="shared" si="19"/>
        <v>1</v>
      </c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</row>
    <row r="434" spans="1:99" s="374" customFormat="1" ht="15" customHeight="1">
      <c r="A434" s="834" t="s">
        <v>2342</v>
      </c>
      <c r="B434" s="834">
        <v>431</v>
      </c>
      <c r="C434" s="840" t="s">
        <v>3726</v>
      </c>
      <c r="D434" s="834" t="s">
        <v>1544</v>
      </c>
      <c r="E434" s="852">
        <v>46097</v>
      </c>
      <c r="F434" s="834" t="s">
        <v>3624</v>
      </c>
      <c r="G434" s="834">
        <v>4</v>
      </c>
      <c r="H434" s="834" t="s">
        <v>127</v>
      </c>
      <c r="I434" s="834" t="s">
        <v>178</v>
      </c>
      <c r="J434" s="380"/>
      <c r="K434" s="380"/>
      <c r="L434" s="136"/>
      <c r="M434" s="136"/>
      <c r="N434" s="136"/>
      <c r="O434" s="136"/>
      <c r="P434" s="848"/>
      <c r="Q434" s="848"/>
      <c r="R434" s="848"/>
      <c r="S434" s="89" t="s">
        <v>36</v>
      </c>
      <c r="T434" s="834"/>
      <c r="U434" s="834"/>
      <c r="V434" s="834" t="s">
        <v>3438</v>
      </c>
      <c r="W434" s="834"/>
      <c r="X434" s="834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108"/>
      <c r="AJ434" s="108"/>
      <c r="AK434" s="108"/>
      <c r="AL434" s="108"/>
      <c r="AM434" s="80"/>
      <c r="AN434" s="80"/>
      <c r="AO434" s="832"/>
      <c r="AP434" s="875"/>
      <c r="AQ434" s="875"/>
      <c r="AR434" s="875"/>
      <c r="AS434" s="776"/>
      <c r="AT434" s="776"/>
      <c r="AU434" s="92"/>
      <c r="AV434" s="92"/>
      <c r="AW434" s="92"/>
      <c r="AX434" s="92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</row>
    <row r="435" spans="1:99" s="374" customFormat="1" ht="14.25" customHeight="1">
      <c r="A435" s="834" t="s">
        <v>2342</v>
      </c>
      <c r="B435" s="834">
        <v>432</v>
      </c>
      <c r="C435" s="840" t="s">
        <v>3727</v>
      </c>
      <c r="D435" s="834" t="s">
        <v>779</v>
      </c>
      <c r="E435" s="852">
        <v>46097</v>
      </c>
      <c r="F435" s="834" t="s">
        <v>3624</v>
      </c>
      <c r="G435" s="834">
        <v>2</v>
      </c>
      <c r="H435" s="834" t="s">
        <v>1076</v>
      </c>
      <c r="I435" s="834" t="s">
        <v>3337</v>
      </c>
      <c r="J435" s="380"/>
      <c r="K435" s="380"/>
      <c r="L435" s="136"/>
      <c r="M435" s="136"/>
      <c r="N435" s="136"/>
      <c r="O435" s="136"/>
      <c r="P435" s="848"/>
      <c r="Q435" s="848"/>
      <c r="R435" s="848"/>
      <c r="S435" s="89" t="s">
        <v>36</v>
      </c>
      <c r="T435" s="834"/>
      <c r="U435" s="834"/>
      <c r="V435" s="834" t="s">
        <v>3438</v>
      </c>
      <c r="W435" s="834"/>
      <c r="X435" s="834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108"/>
      <c r="AJ435" s="108"/>
      <c r="AK435" s="108"/>
      <c r="AL435" s="108"/>
      <c r="AM435" s="80"/>
      <c r="AN435" s="80"/>
      <c r="AO435" s="832"/>
      <c r="AP435" s="875"/>
      <c r="AQ435" s="875"/>
      <c r="AR435" s="875"/>
      <c r="AS435" s="776"/>
      <c r="AT435" s="776"/>
      <c r="AU435" s="92"/>
      <c r="AV435" s="92"/>
      <c r="AW435" s="92"/>
      <c r="AX435" s="92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</row>
    <row r="436" spans="1:99" s="374" customFormat="1" ht="15" customHeight="1">
      <c r="A436" s="834" t="s">
        <v>2342</v>
      </c>
      <c r="B436" s="834">
        <v>433</v>
      </c>
      <c r="C436" s="840" t="s">
        <v>3728</v>
      </c>
      <c r="D436" s="834" t="s">
        <v>865</v>
      </c>
      <c r="E436" s="852">
        <v>46097</v>
      </c>
      <c r="F436" s="834" t="s">
        <v>3624</v>
      </c>
      <c r="G436" s="834">
        <v>2</v>
      </c>
      <c r="H436" s="834" t="s">
        <v>1721</v>
      </c>
      <c r="I436" s="834" t="s">
        <v>1638</v>
      </c>
      <c r="J436" s="380"/>
      <c r="K436" s="380"/>
      <c r="L436" s="136"/>
      <c r="M436" s="136"/>
      <c r="N436" s="136"/>
      <c r="O436" s="136"/>
      <c r="P436" s="848"/>
      <c r="Q436" s="848"/>
      <c r="R436" s="848"/>
      <c r="S436" s="89" t="s">
        <v>36</v>
      </c>
      <c r="T436" s="834"/>
      <c r="U436" s="834"/>
      <c r="V436" s="834" t="s">
        <v>3438</v>
      </c>
      <c r="W436" s="834"/>
      <c r="X436" s="834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108"/>
      <c r="AJ436" s="108"/>
      <c r="AK436" s="108"/>
      <c r="AL436" s="108"/>
      <c r="AM436" s="80"/>
      <c r="AN436" s="80"/>
      <c r="AO436" s="832"/>
      <c r="AP436" s="875"/>
      <c r="AQ436" s="875"/>
      <c r="AR436" s="875"/>
      <c r="AS436" s="776"/>
      <c r="AT436" s="776"/>
      <c r="AU436" s="92"/>
      <c r="AV436" s="92"/>
      <c r="AW436" s="92"/>
      <c r="AX436" s="92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</row>
    <row r="437" spans="1:99" s="374" customFormat="1" ht="15" customHeight="1">
      <c r="A437" s="834" t="s">
        <v>2342</v>
      </c>
      <c r="B437" s="834">
        <v>434</v>
      </c>
      <c r="C437" s="840" t="s">
        <v>3729</v>
      </c>
      <c r="D437" s="834" t="s">
        <v>779</v>
      </c>
      <c r="E437" s="852">
        <v>46097</v>
      </c>
      <c r="F437" s="834" t="s">
        <v>3624</v>
      </c>
      <c r="G437" s="834">
        <v>1</v>
      </c>
      <c r="H437" s="834" t="s">
        <v>1721</v>
      </c>
      <c r="I437" s="834" t="s">
        <v>1638</v>
      </c>
      <c r="J437" s="380"/>
      <c r="K437" s="380"/>
      <c r="L437" s="136"/>
      <c r="M437" s="136"/>
      <c r="N437" s="136"/>
      <c r="O437" s="136"/>
      <c r="P437" s="848"/>
      <c r="Q437" s="848"/>
      <c r="R437" s="848"/>
      <c r="S437" s="89" t="s">
        <v>36</v>
      </c>
      <c r="T437" s="834"/>
      <c r="U437" s="834"/>
      <c r="V437" s="834" t="s">
        <v>3438</v>
      </c>
      <c r="W437" s="834"/>
      <c r="X437" s="834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108"/>
      <c r="AJ437" s="108"/>
      <c r="AK437" s="108"/>
      <c r="AL437" s="108"/>
      <c r="AM437" s="80"/>
      <c r="AN437" s="80"/>
      <c r="AO437" s="832"/>
      <c r="AP437" s="875"/>
      <c r="AQ437" s="875"/>
      <c r="AR437" s="875"/>
      <c r="AS437" s="776"/>
      <c r="AT437" s="776"/>
      <c r="AU437" s="92"/>
      <c r="AV437" s="92"/>
      <c r="AW437" s="92"/>
      <c r="AX437" s="92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</row>
    <row r="438" spans="1:99" s="374" customFormat="1" ht="15" customHeight="1">
      <c r="A438" s="834" t="s">
        <v>2342</v>
      </c>
      <c r="B438" s="834">
        <v>435</v>
      </c>
      <c r="C438" s="840" t="s">
        <v>3730</v>
      </c>
      <c r="D438" s="834" t="s">
        <v>829</v>
      </c>
      <c r="E438" s="852">
        <v>46097</v>
      </c>
      <c r="F438" s="834" t="s">
        <v>3624</v>
      </c>
      <c r="G438" s="834">
        <v>5</v>
      </c>
      <c r="H438" s="834" t="s">
        <v>1721</v>
      </c>
      <c r="I438" s="834" t="s">
        <v>1638</v>
      </c>
      <c r="J438" s="380"/>
      <c r="K438" s="380"/>
      <c r="L438" s="136"/>
      <c r="M438" s="136"/>
      <c r="N438" s="136"/>
      <c r="O438" s="136"/>
      <c r="P438" s="848"/>
      <c r="Q438" s="848"/>
      <c r="R438" s="848"/>
      <c r="S438" s="89" t="s">
        <v>36</v>
      </c>
      <c r="T438" s="834"/>
      <c r="U438" s="834"/>
      <c r="V438" s="834" t="s">
        <v>3438</v>
      </c>
      <c r="W438" s="834"/>
      <c r="X438" s="834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108"/>
      <c r="AJ438" s="108"/>
      <c r="AK438" s="108"/>
      <c r="AL438" s="108"/>
      <c r="AM438" s="80"/>
      <c r="AN438" s="80"/>
      <c r="AO438" s="832"/>
      <c r="AP438" s="875"/>
      <c r="AQ438" s="875"/>
      <c r="AR438" s="875"/>
      <c r="AS438" s="776"/>
      <c r="AT438" s="776"/>
      <c r="AU438" s="92"/>
      <c r="AV438" s="92"/>
      <c r="AW438" s="92"/>
      <c r="AX438" s="92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</row>
    <row r="439" spans="1:99" s="374" customFormat="1" ht="15" customHeight="1">
      <c r="A439" s="834" t="s">
        <v>2342</v>
      </c>
      <c r="B439" s="834">
        <v>436</v>
      </c>
      <c r="C439" s="840" t="s">
        <v>3731</v>
      </c>
      <c r="D439" s="834" t="s">
        <v>3732</v>
      </c>
      <c r="E439" s="852">
        <v>46097</v>
      </c>
      <c r="F439" s="834" t="s">
        <v>3624</v>
      </c>
      <c r="G439" s="834">
        <v>2</v>
      </c>
      <c r="H439" s="834" t="s">
        <v>1721</v>
      </c>
      <c r="I439" s="834" t="s">
        <v>1638</v>
      </c>
      <c r="J439" s="380"/>
      <c r="K439" s="380"/>
      <c r="L439" s="136"/>
      <c r="M439" s="136"/>
      <c r="N439" s="136"/>
      <c r="O439" s="136"/>
      <c r="P439" s="848"/>
      <c r="Q439" s="848"/>
      <c r="R439" s="848"/>
      <c r="S439" s="89" t="s">
        <v>36</v>
      </c>
      <c r="T439" s="834"/>
      <c r="U439" s="834"/>
      <c r="V439" s="834" t="s">
        <v>3438</v>
      </c>
      <c r="W439" s="834"/>
      <c r="X439" s="834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108"/>
      <c r="AJ439" s="108"/>
      <c r="AK439" s="108"/>
      <c r="AL439" s="108"/>
      <c r="AM439" s="80"/>
      <c r="AN439" s="80"/>
      <c r="AO439" s="832"/>
      <c r="AP439" s="875"/>
      <c r="AQ439" s="875"/>
      <c r="AR439" s="875"/>
      <c r="AS439" s="776"/>
      <c r="AT439" s="776"/>
      <c r="AU439" s="92"/>
      <c r="AV439" s="92"/>
      <c r="AW439" s="92"/>
      <c r="AX439" s="92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</row>
    <row r="440" spans="1:99" s="374" customFormat="1" ht="15" customHeight="1">
      <c r="A440" s="834" t="s">
        <v>2342</v>
      </c>
      <c r="B440" s="834">
        <v>437</v>
      </c>
      <c r="C440" s="840" t="s">
        <v>3733</v>
      </c>
      <c r="D440" s="834" t="s">
        <v>1184</v>
      </c>
      <c r="E440" s="852">
        <v>46097</v>
      </c>
      <c r="F440" s="834" t="s">
        <v>3624</v>
      </c>
      <c r="G440" s="834">
        <v>2</v>
      </c>
      <c r="H440" s="834" t="s">
        <v>1721</v>
      </c>
      <c r="I440" s="834" t="s">
        <v>1638</v>
      </c>
      <c r="J440" s="380"/>
      <c r="K440" s="380"/>
      <c r="L440" s="136"/>
      <c r="M440" s="136"/>
      <c r="N440" s="136"/>
      <c r="O440" s="136"/>
      <c r="P440" s="848"/>
      <c r="Q440" s="848"/>
      <c r="R440" s="848"/>
      <c r="S440" s="89" t="s">
        <v>36</v>
      </c>
      <c r="T440" s="834"/>
      <c r="U440" s="834"/>
      <c r="V440" s="834" t="s">
        <v>3438</v>
      </c>
      <c r="W440" s="834"/>
      <c r="X440" s="834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108"/>
      <c r="AJ440" s="108"/>
      <c r="AK440" s="108"/>
      <c r="AL440" s="108"/>
      <c r="AM440" s="80"/>
      <c r="AN440" s="80"/>
      <c r="AO440" s="832"/>
      <c r="AP440" s="875"/>
      <c r="AQ440" s="875"/>
      <c r="AR440" s="875"/>
      <c r="AS440" s="776"/>
      <c r="AT440" s="776"/>
      <c r="AU440" s="92"/>
      <c r="AV440" s="92"/>
      <c r="AW440" s="92"/>
      <c r="AX440" s="92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</row>
    <row r="441" spans="1:99" s="374" customFormat="1" ht="15" customHeight="1">
      <c r="A441" s="834" t="s">
        <v>24</v>
      </c>
      <c r="B441" s="834">
        <v>438</v>
      </c>
      <c r="C441" s="840" t="s">
        <v>3620</v>
      </c>
      <c r="D441" s="834" t="s">
        <v>1754</v>
      </c>
      <c r="E441" s="852">
        <v>46097</v>
      </c>
      <c r="F441" s="834" t="s">
        <v>3734</v>
      </c>
      <c r="G441" s="834">
        <v>13</v>
      </c>
      <c r="H441" s="834" t="s">
        <v>1755</v>
      </c>
      <c r="I441" s="834" t="s">
        <v>3735</v>
      </c>
      <c r="J441" s="380"/>
      <c r="K441" s="380"/>
      <c r="L441" s="136"/>
      <c r="M441" s="136"/>
      <c r="N441" s="136"/>
      <c r="O441" s="136"/>
      <c r="P441" s="848"/>
      <c r="Q441" s="848"/>
      <c r="R441" s="848"/>
      <c r="S441" s="89" t="s">
        <v>3337</v>
      </c>
      <c r="T441" s="834"/>
      <c r="U441" s="834"/>
      <c r="V441" s="834" t="s">
        <v>3438</v>
      </c>
      <c r="W441" s="834"/>
      <c r="X441" s="96" t="s">
        <v>113</v>
      </c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108"/>
      <c r="AJ441" s="108"/>
      <c r="AK441" s="108"/>
      <c r="AL441" s="108"/>
      <c r="AM441" s="80"/>
      <c r="AN441" s="80"/>
      <c r="AO441" s="832"/>
      <c r="AP441" s="875"/>
      <c r="AQ441" s="875"/>
      <c r="AR441" s="875"/>
      <c r="AS441" s="776"/>
      <c r="AT441" s="776"/>
      <c r="AU441" s="92"/>
      <c r="AV441" s="92"/>
      <c r="AW441" s="92"/>
      <c r="AX441" s="92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</row>
    <row r="442" spans="1:99" s="374" customFormat="1" ht="14.25" customHeight="1">
      <c r="A442" s="834" t="s">
        <v>24</v>
      </c>
      <c r="B442" s="834">
        <v>439</v>
      </c>
      <c r="C442" s="840" t="s">
        <v>3736</v>
      </c>
      <c r="D442" s="834" t="s">
        <v>50</v>
      </c>
      <c r="E442" s="852">
        <v>46097</v>
      </c>
      <c r="F442" s="834" t="s">
        <v>97</v>
      </c>
      <c r="G442" s="834">
        <v>13</v>
      </c>
      <c r="H442" s="834" t="s">
        <v>3056</v>
      </c>
      <c r="I442" s="834" t="s">
        <v>47</v>
      </c>
      <c r="J442" s="380"/>
      <c r="K442" s="136" t="s">
        <v>3063</v>
      </c>
      <c r="L442" s="136" t="s">
        <v>3737</v>
      </c>
      <c r="M442" s="136" t="s">
        <v>3738</v>
      </c>
      <c r="N442" s="136" t="s">
        <v>3738</v>
      </c>
      <c r="O442" s="136" t="s">
        <v>3739</v>
      </c>
      <c r="P442" s="848"/>
      <c r="Q442" s="848"/>
      <c r="R442" s="848"/>
      <c r="S442" s="89" t="s">
        <v>3337</v>
      </c>
      <c r="T442" s="834"/>
      <c r="U442" s="834"/>
      <c r="V442" s="834" t="s">
        <v>3438</v>
      </c>
      <c r="W442" s="834"/>
      <c r="X442" s="96" t="s">
        <v>30</v>
      </c>
      <c r="Y442" s="91" t="s">
        <v>32</v>
      </c>
      <c r="Z442" s="91" t="s">
        <v>32</v>
      </c>
      <c r="AA442" s="91" t="s">
        <v>32</v>
      </c>
      <c r="AB442" s="91" t="s">
        <v>32</v>
      </c>
      <c r="AC442" s="91" t="s">
        <v>32</v>
      </c>
      <c r="AD442" s="80" t="s">
        <v>30</v>
      </c>
      <c r="AE442" s="80" t="s">
        <v>30</v>
      </c>
      <c r="AF442" s="80" t="s">
        <v>30</v>
      </c>
      <c r="AG442" s="80" t="s">
        <v>30</v>
      </c>
      <c r="AH442" s="80" t="s">
        <v>30</v>
      </c>
      <c r="AI442" s="91" t="s">
        <v>32</v>
      </c>
      <c r="AJ442" s="91" t="s">
        <v>32</v>
      </c>
      <c r="AK442" s="91" t="s">
        <v>32</v>
      </c>
      <c r="AL442" s="91" t="s">
        <v>32</v>
      </c>
      <c r="AM442" s="80"/>
      <c r="AN442" s="80"/>
      <c r="AO442" s="832"/>
      <c r="AP442" s="875"/>
      <c r="AQ442" s="875"/>
      <c r="AR442" s="875"/>
      <c r="AS442" s="776"/>
      <c r="AT442" s="776"/>
      <c r="AU442" s="92"/>
      <c r="AV442" s="92"/>
      <c r="AW442" s="92"/>
      <c r="AX442" s="92"/>
      <c r="AY442"/>
      <c r="AZ442"/>
      <c r="BA442"/>
      <c r="BB442">
        <f t="shared" si="19"/>
        <v>1</v>
      </c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</row>
    <row r="443" spans="1:99" s="374" customFormat="1" ht="15" customHeight="1">
      <c r="A443" s="834" t="s">
        <v>24</v>
      </c>
      <c r="B443" s="834">
        <v>440</v>
      </c>
      <c r="C443" s="840" t="s">
        <v>3740</v>
      </c>
      <c r="D443" s="834" t="s">
        <v>3741</v>
      </c>
      <c r="E443" s="852">
        <v>46097</v>
      </c>
      <c r="F443" s="834" t="s">
        <v>202</v>
      </c>
      <c r="G443" s="834">
        <v>8</v>
      </c>
      <c r="H443" s="834" t="s">
        <v>3056</v>
      </c>
      <c r="I443" s="834" t="s">
        <v>47</v>
      </c>
      <c r="J443" s="380"/>
      <c r="K443" s="136" t="s">
        <v>3058</v>
      </c>
      <c r="L443" s="136" t="s">
        <v>3742</v>
      </c>
      <c r="M443" s="136" t="s">
        <v>3738</v>
      </c>
      <c r="N443" s="136" t="s">
        <v>3738</v>
      </c>
      <c r="O443" s="136" t="s">
        <v>3743</v>
      </c>
      <c r="P443" s="848"/>
      <c r="Q443" s="848"/>
      <c r="R443" s="848"/>
      <c r="S443" s="89" t="s">
        <v>3337</v>
      </c>
      <c r="T443" s="834"/>
      <c r="U443" s="834"/>
      <c r="V443" s="834" t="s">
        <v>3438</v>
      </c>
      <c r="W443" s="834"/>
      <c r="X443" s="96" t="s">
        <v>30</v>
      </c>
      <c r="Y443" s="80" t="s">
        <v>30</v>
      </c>
      <c r="Z443" s="91" t="s">
        <v>32</v>
      </c>
      <c r="AA443" s="91" t="s">
        <v>32</v>
      </c>
      <c r="AB443" s="80" t="s">
        <v>30</v>
      </c>
      <c r="AC443" s="80" t="s">
        <v>30</v>
      </c>
      <c r="AD443" s="80" t="s">
        <v>30</v>
      </c>
      <c r="AE443" s="80" t="s">
        <v>30</v>
      </c>
      <c r="AF443" s="80" t="s">
        <v>30</v>
      </c>
      <c r="AG443" s="80" t="s">
        <v>30</v>
      </c>
      <c r="AH443" s="80" t="s">
        <v>30</v>
      </c>
      <c r="AI443" s="91" t="s">
        <v>32</v>
      </c>
      <c r="AJ443" s="91" t="s">
        <v>32</v>
      </c>
      <c r="AK443" s="91" t="s">
        <v>32</v>
      </c>
      <c r="AL443" s="91" t="s">
        <v>32</v>
      </c>
      <c r="AM443" s="80"/>
      <c r="AN443" s="80"/>
      <c r="AO443" s="832"/>
      <c r="AP443" s="875"/>
      <c r="AQ443" s="875"/>
      <c r="AR443" s="875"/>
      <c r="AS443" s="776"/>
      <c r="AT443" s="776"/>
      <c r="AU443" s="92"/>
      <c r="AV443" s="92"/>
      <c r="AW443" s="92"/>
      <c r="AX443" s="92"/>
      <c r="AY443"/>
      <c r="AZ443"/>
      <c r="BA443"/>
      <c r="BB443">
        <f t="shared" si="19"/>
        <v>1</v>
      </c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</row>
    <row r="444" spans="1:99" s="374" customFormat="1" ht="15" customHeight="1">
      <c r="A444" s="834" t="s">
        <v>24</v>
      </c>
      <c r="B444" s="834">
        <v>441</v>
      </c>
      <c r="C444" s="840" t="s">
        <v>3744</v>
      </c>
      <c r="D444" s="834" t="s">
        <v>64</v>
      </c>
      <c r="E444" s="852">
        <v>46098</v>
      </c>
      <c r="F444" s="834" t="s">
        <v>439</v>
      </c>
      <c r="G444" s="834">
        <v>42</v>
      </c>
      <c r="H444" s="834" t="s">
        <v>3056</v>
      </c>
      <c r="I444" s="834" t="s">
        <v>47</v>
      </c>
      <c r="J444" s="380" t="s">
        <v>3745</v>
      </c>
      <c r="K444" s="136" t="s">
        <v>3063</v>
      </c>
      <c r="L444" s="136" t="s">
        <v>2056</v>
      </c>
      <c r="M444" s="136" t="s">
        <v>3746</v>
      </c>
      <c r="N444" s="136" t="s">
        <v>3746</v>
      </c>
      <c r="O444" s="136" t="s">
        <v>3743</v>
      </c>
      <c r="P444" s="90" t="s">
        <v>2863</v>
      </c>
      <c r="Q444" s="848"/>
      <c r="R444" s="848"/>
      <c r="S444" s="89" t="s">
        <v>3337</v>
      </c>
      <c r="T444" s="834"/>
      <c r="U444" s="834"/>
      <c r="V444" s="834" t="s">
        <v>3438</v>
      </c>
      <c r="W444" s="834"/>
      <c r="X444" s="91" t="s">
        <v>32</v>
      </c>
      <c r="Y444" s="91" t="s">
        <v>32</v>
      </c>
      <c r="Z444" s="91" t="s">
        <v>32</v>
      </c>
      <c r="AA444" s="80" t="s">
        <v>30</v>
      </c>
      <c r="AB444" s="80" t="s">
        <v>30</v>
      </c>
      <c r="AC444" s="80" t="s">
        <v>30</v>
      </c>
      <c r="AD444" s="91" t="s">
        <v>32</v>
      </c>
      <c r="AE444" s="80" t="s">
        <v>30</v>
      </c>
      <c r="AF444" s="80" t="s">
        <v>30</v>
      </c>
      <c r="AG444" s="80" t="s">
        <v>30</v>
      </c>
      <c r="AH444" s="80" t="s">
        <v>30</v>
      </c>
      <c r="AI444" s="91" t="s">
        <v>32</v>
      </c>
      <c r="AJ444" s="91" t="s">
        <v>32</v>
      </c>
      <c r="AK444" s="91" t="s">
        <v>32</v>
      </c>
      <c r="AL444" s="91" t="s">
        <v>32</v>
      </c>
      <c r="AM444" s="80"/>
      <c r="AN444" s="80"/>
      <c r="AO444" s="832"/>
      <c r="AP444" s="875"/>
      <c r="AQ444" s="875"/>
      <c r="AR444" s="875"/>
      <c r="AS444" s="776"/>
      <c r="AT444" s="776"/>
      <c r="AU444" s="92"/>
      <c r="AV444" s="92"/>
      <c r="AW444" s="92"/>
      <c r="AX444" s="92"/>
      <c r="AY444"/>
      <c r="AZ444"/>
      <c r="BA444"/>
      <c r="BB444">
        <f t="shared" si="19"/>
        <v>1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</row>
    <row r="445" spans="1:99" s="374" customFormat="1" ht="15" customHeight="1">
      <c r="A445" s="834" t="s">
        <v>24</v>
      </c>
      <c r="B445" s="834">
        <v>442</v>
      </c>
      <c r="C445" s="840" t="s">
        <v>3747</v>
      </c>
      <c r="D445" s="834" t="s">
        <v>50</v>
      </c>
      <c r="E445" s="852">
        <v>46098</v>
      </c>
      <c r="F445" s="834" t="s">
        <v>3748</v>
      </c>
      <c r="G445" s="834">
        <v>24</v>
      </c>
      <c r="H445" s="834" t="s">
        <v>1077</v>
      </c>
      <c r="I445" s="834" t="s">
        <v>1138</v>
      </c>
      <c r="J445" s="380"/>
      <c r="K445" s="136" t="s">
        <v>3063</v>
      </c>
      <c r="L445" s="136" t="s">
        <v>3749</v>
      </c>
      <c r="M445" s="136" t="s">
        <v>3746</v>
      </c>
      <c r="N445" s="136" t="s">
        <v>3746</v>
      </c>
      <c r="O445" s="136" t="s">
        <v>3750</v>
      </c>
      <c r="P445" s="90" t="s">
        <v>2863</v>
      </c>
      <c r="Q445" s="848"/>
      <c r="R445" s="848"/>
      <c r="S445" s="89" t="s">
        <v>3337</v>
      </c>
      <c r="T445" s="834"/>
      <c r="U445" s="834"/>
      <c r="V445" s="834" t="s">
        <v>3438</v>
      </c>
      <c r="W445" s="834"/>
      <c r="X445" s="91" t="s">
        <v>32</v>
      </c>
      <c r="Y445" s="80" t="s">
        <v>607</v>
      </c>
      <c r="Z445" s="91" t="s">
        <v>32</v>
      </c>
      <c r="AA445" s="80" t="s">
        <v>30</v>
      </c>
      <c r="AB445" s="80" t="s">
        <v>30</v>
      </c>
      <c r="AC445" s="80" t="s">
        <v>30</v>
      </c>
      <c r="AD445" s="80" t="s">
        <v>30</v>
      </c>
      <c r="AE445" s="80" t="s">
        <v>30</v>
      </c>
      <c r="AF445" s="80" t="s">
        <v>30</v>
      </c>
      <c r="AG445" s="80" t="s">
        <v>30</v>
      </c>
      <c r="AH445" s="80" t="s">
        <v>30</v>
      </c>
      <c r="AI445" s="91" t="s">
        <v>32</v>
      </c>
      <c r="AJ445" s="91" t="s">
        <v>32</v>
      </c>
      <c r="AK445" s="91" t="s">
        <v>32</v>
      </c>
      <c r="AL445" s="91" t="s">
        <v>32</v>
      </c>
      <c r="AM445" s="80"/>
      <c r="AN445" s="80"/>
      <c r="AO445" s="832"/>
      <c r="AP445" s="875"/>
      <c r="AQ445" s="875"/>
      <c r="AR445" s="875"/>
      <c r="AS445" s="776"/>
      <c r="AT445" s="776"/>
      <c r="AU445" s="92"/>
      <c r="AV445" s="92"/>
      <c r="AW445" s="92"/>
      <c r="AX445" s="92"/>
      <c r="AY445"/>
      <c r="AZ445"/>
      <c r="BA445"/>
      <c r="BB445">
        <f t="shared" si="19"/>
        <v>1</v>
      </c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</row>
    <row r="446" spans="1:99" s="374" customFormat="1" ht="15" customHeight="1">
      <c r="A446" s="834" t="s">
        <v>24</v>
      </c>
      <c r="B446" s="834">
        <v>443</v>
      </c>
      <c r="C446" s="840" t="s">
        <v>3751</v>
      </c>
      <c r="D446" s="834" t="s">
        <v>3362</v>
      </c>
      <c r="E446" s="852">
        <v>46098</v>
      </c>
      <c r="F446" s="834" t="s">
        <v>395</v>
      </c>
      <c r="G446" s="834">
        <v>10</v>
      </c>
      <c r="H446" s="834" t="s">
        <v>3056</v>
      </c>
      <c r="I446" s="834" t="s">
        <v>47</v>
      </c>
      <c r="J446" s="380"/>
      <c r="K446" s="136" t="s">
        <v>3063</v>
      </c>
      <c r="L446" s="136" t="s">
        <v>3752</v>
      </c>
      <c r="M446" s="136" t="s">
        <v>3738</v>
      </c>
      <c r="N446" s="136" t="s">
        <v>3738</v>
      </c>
      <c r="O446" s="136" t="s">
        <v>3743</v>
      </c>
      <c r="P446" s="848"/>
      <c r="Q446" s="848"/>
      <c r="R446" s="848"/>
      <c r="S446" s="89" t="s">
        <v>3337</v>
      </c>
      <c r="T446" s="834"/>
      <c r="U446" s="834">
        <v>11</v>
      </c>
      <c r="V446" s="834"/>
      <c r="W446" s="852">
        <v>46121</v>
      </c>
      <c r="X446" s="89" t="s">
        <v>30</v>
      </c>
      <c r="Y446" s="80" t="s">
        <v>607</v>
      </c>
      <c r="Z446" s="80" t="s">
        <v>30</v>
      </c>
      <c r="AA446" s="91" t="s">
        <v>32</v>
      </c>
      <c r="AB446" s="91" t="s">
        <v>32</v>
      </c>
      <c r="AC446" s="91" t="s">
        <v>32</v>
      </c>
      <c r="AD446" s="80" t="s">
        <v>607</v>
      </c>
      <c r="AE446" s="80" t="s">
        <v>30</v>
      </c>
      <c r="AF446" s="80" t="s">
        <v>30</v>
      </c>
      <c r="AG446" s="80" t="s">
        <v>30</v>
      </c>
      <c r="AH446" s="80" t="s">
        <v>30</v>
      </c>
      <c r="AI446" s="91" t="s">
        <v>32</v>
      </c>
      <c r="AJ446" s="108" t="s">
        <v>30</v>
      </c>
      <c r="AK446" s="108" t="s">
        <v>30</v>
      </c>
      <c r="AL446" s="91" t="s">
        <v>32</v>
      </c>
      <c r="AM446" s="80"/>
      <c r="AN446" s="80"/>
      <c r="AO446" s="832"/>
      <c r="AP446" s="875"/>
      <c r="AQ446" s="875"/>
      <c r="AR446" s="875"/>
      <c r="AS446" s="776"/>
      <c r="AT446" s="776"/>
      <c r="AU446" s="92"/>
      <c r="AV446" s="92"/>
      <c r="AW446" s="92"/>
      <c r="AX446" s="92"/>
      <c r="AY446"/>
      <c r="AZ446"/>
      <c r="BA446"/>
      <c r="BB446">
        <f t="shared" si="19"/>
        <v>1</v>
      </c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</row>
    <row r="447" spans="1:99" s="374" customFormat="1" ht="15" customHeight="1">
      <c r="A447" s="834" t="s">
        <v>24</v>
      </c>
      <c r="B447" s="834">
        <v>444</v>
      </c>
      <c r="C447" s="840" t="s">
        <v>3753</v>
      </c>
      <c r="D447" s="834" t="s">
        <v>1362</v>
      </c>
      <c r="E447" s="852">
        <v>46099</v>
      </c>
      <c r="F447" s="834" t="s">
        <v>1611</v>
      </c>
      <c r="G447" s="834">
        <v>10</v>
      </c>
      <c r="H447" s="834" t="s">
        <v>1077</v>
      </c>
      <c r="I447" s="834" t="s">
        <v>1138</v>
      </c>
      <c r="J447" s="380"/>
      <c r="K447" s="136" t="s">
        <v>3058</v>
      </c>
      <c r="L447" s="136" t="s">
        <v>3754</v>
      </c>
      <c r="M447" s="136" t="s">
        <v>3746</v>
      </c>
      <c r="N447" s="136" t="s">
        <v>3746</v>
      </c>
      <c r="O447" s="136" t="s">
        <v>3755</v>
      </c>
      <c r="P447" s="848"/>
      <c r="Q447" s="848"/>
      <c r="R447" s="848"/>
      <c r="S447" s="89" t="s">
        <v>3337</v>
      </c>
      <c r="T447" s="834"/>
      <c r="U447" s="834"/>
      <c r="V447" s="834" t="s">
        <v>3438</v>
      </c>
      <c r="W447" s="834"/>
      <c r="X447" s="89" t="s">
        <v>30</v>
      </c>
      <c r="Y447" s="80" t="s">
        <v>607</v>
      </c>
      <c r="Z447" s="80" t="s">
        <v>30</v>
      </c>
      <c r="AA447" s="80" t="s">
        <v>30</v>
      </c>
      <c r="AB447" s="80" t="s">
        <v>30</v>
      </c>
      <c r="AC447" s="80" t="s">
        <v>30</v>
      </c>
      <c r="AD447" s="80" t="s">
        <v>607</v>
      </c>
      <c r="AE447" s="80" t="s">
        <v>30</v>
      </c>
      <c r="AF447" s="80" t="s">
        <v>30</v>
      </c>
      <c r="AG447" s="80" t="s">
        <v>30</v>
      </c>
      <c r="AH447" s="80" t="s">
        <v>30</v>
      </c>
      <c r="AI447" s="108" t="s">
        <v>30</v>
      </c>
      <c r="AJ447" s="108" t="s">
        <v>30</v>
      </c>
      <c r="AK447" s="108" t="s">
        <v>30</v>
      </c>
      <c r="AL447" s="108" t="s">
        <v>30</v>
      </c>
      <c r="AM447" s="80"/>
      <c r="AN447" s="80"/>
      <c r="AO447" s="832"/>
      <c r="AP447" s="875"/>
      <c r="AQ447" s="875"/>
      <c r="AR447" s="875"/>
      <c r="AS447" s="776"/>
      <c r="AT447" s="776"/>
      <c r="AU447" s="92"/>
      <c r="AV447" s="92"/>
      <c r="AW447" s="92"/>
      <c r="AX447" s="92"/>
      <c r="AY447"/>
      <c r="AZ447"/>
      <c r="BA447"/>
      <c r="BB447">
        <f t="shared" si="19"/>
        <v>1</v>
      </c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</row>
    <row r="448" spans="1:99" s="374" customFormat="1" ht="15" customHeight="1">
      <c r="A448" s="834" t="s">
        <v>24</v>
      </c>
      <c r="B448" s="834">
        <v>445</v>
      </c>
      <c r="C448" s="840" t="s">
        <v>3756</v>
      </c>
      <c r="D448" s="834" t="s">
        <v>3757</v>
      </c>
      <c r="E448" s="852">
        <v>46099</v>
      </c>
      <c r="F448" s="834" t="s">
        <v>1611</v>
      </c>
      <c r="G448" s="834">
        <v>13</v>
      </c>
      <c r="H448" s="834" t="s">
        <v>1077</v>
      </c>
      <c r="I448" s="834" t="s">
        <v>1138</v>
      </c>
      <c r="J448" s="380"/>
      <c r="K448" s="136" t="s">
        <v>3058</v>
      </c>
      <c r="L448" s="136" t="s">
        <v>3754</v>
      </c>
      <c r="M448" s="136" t="s">
        <v>3746</v>
      </c>
      <c r="N448" s="136" t="s">
        <v>3746</v>
      </c>
      <c r="O448" s="136" t="s">
        <v>3755</v>
      </c>
      <c r="P448" s="848"/>
      <c r="Q448" s="848"/>
      <c r="R448" s="848"/>
      <c r="S448" s="89" t="s">
        <v>3337</v>
      </c>
      <c r="T448" s="834"/>
      <c r="U448" s="834"/>
      <c r="V448" s="834" t="s">
        <v>3438</v>
      </c>
      <c r="W448" s="834"/>
      <c r="X448" s="89" t="s">
        <v>30</v>
      </c>
      <c r="Y448" s="89" t="s">
        <v>30</v>
      </c>
      <c r="Z448" s="80" t="s">
        <v>607</v>
      </c>
      <c r="AA448" s="80" t="s">
        <v>30</v>
      </c>
      <c r="AB448" s="80" t="s">
        <v>30</v>
      </c>
      <c r="AC448" s="80" t="s">
        <v>30</v>
      </c>
      <c r="AD448" s="80" t="s">
        <v>30</v>
      </c>
      <c r="AE448" s="80" t="s">
        <v>607</v>
      </c>
      <c r="AF448" s="80" t="s">
        <v>30</v>
      </c>
      <c r="AG448" s="80" t="s">
        <v>30</v>
      </c>
      <c r="AH448" s="80" t="s">
        <v>30</v>
      </c>
      <c r="AI448" s="80" t="s">
        <v>30</v>
      </c>
      <c r="AJ448" s="108" t="s">
        <v>30</v>
      </c>
      <c r="AK448" s="108" t="s">
        <v>30</v>
      </c>
      <c r="AL448" s="108" t="s">
        <v>30</v>
      </c>
      <c r="AM448" s="108"/>
      <c r="AN448" s="80"/>
      <c r="AO448" s="832"/>
      <c r="AP448" s="875"/>
      <c r="AQ448" s="875"/>
      <c r="AR448" s="875"/>
      <c r="AS448" s="776"/>
      <c r="AT448" s="776"/>
      <c r="AU448" s="92"/>
      <c r="AV448" s="92"/>
      <c r="AW448" s="92"/>
      <c r="AX448" s="92"/>
      <c r="AY448"/>
      <c r="AZ448"/>
      <c r="BA448"/>
      <c r="BB448">
        <f t="shared" si="19"/>
        <v>1</v>
      </c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</row>
    <row r="449" spans="1:99" s="374" customFormat="1" ht="15" customHeight="1">
      <c r="A449" s="834" t="s">
        <v>24</v>
      </c>
      <c r="B449" s="834">
        <v>446</v>
      </c>
      <c r="C449" s="840" t="s">
        <v>3758</v>
      </c>
      <c r="D449" s="834" t="s">
        <v>43</v>
      </c>
      <c r="E449" s="852">
        <v>46100</v>
      </c>
      <c r="F449" s="834" t="s">
        <v>3759</v>
      </c>
      <c r="G449" s="834">
        <v>13</v>
      </c>
      <c r="H449" s="834" t="s">
        <v>127</v>
      </c>
      <c r="I449" s="834" t="s">
        <v>178</v>
      </c>
      <c r="J449" s="380"/>
      <c r="K449" s="136" t="s">
        <v>3063</v>
      </c>
      <c r="L449" s="136" t="s">
        <v>3760</v>
      </c>
      <c r="M449" s="136" t="s">
        <v>3761</v>
      </c>
      <c r="N449" s="136" t="s">
        <v>3761</v>
      </c>
      <c r="O449" s="136" t="s">
        <v>3750</v>
      </c>
      <c r="P449" s="848"/>
      <c r="Q449" s="848"/>
      <c r="R449" s="848"/>
      <c r="S449" s="89" t="s">
        <v>3337</v>
      </c>
      <c r="T449" s="834"/>
      <c r="U449" s="834"/>
      <c r="V449" s="834" t="s">
        <v>3438</v>
      </c>
      <c r="W449" s="834"/>
      <c r="X449" s="91" t="s">
        <v>32</v>
      </c>
      <c r="Y449" s="80"/>
      <c r="Z449" s="80"/>
      <c r="AA449" s="80"/>
      <c r="AB449" s="80"/>
      <c r="AC449" s="80"/>
      <c r="AD449" s="80" t="s">
        <v>607</v>
      </c>
      <c r="AE449" s="80" t="s">
        <v>607</v>
      </c>
      <c r="AF449" s="80" t="s">
        <v>30</v>
      </c>
      <c r="AG449" s="80" t="s">
        <v>30</v>
      </c>
      <c r="AH449" s="80" t="s">
        <v>30</v>
      </c>
      <c r="AI449" s="108"/>
      <c r="AJ449" s="108"/>
      <c r="AK449" s="108"/>
      <c r="AL449" s="108"/>
      <c r="AM449" s="80"/>
      <c r="AN449" s="80"/>
      <c r="AO449" s="832"/>
      <c r="AP449" s="875"/>
      <c r="AQ449" s="875"/>
      <c r="AR449" s="875"/>
      <c r="AS449" s="776"/>
      <c r="AT449" s="776"/>
      <c r="AU449" s="92"/>
      <c r="AV449" s="92"/>
      <c r="AW449" s="92"/>
      <c r="AX449" s="92"/>
      <c r="AY449"/>
      <c r="AZ449"/>
      <c r="BA449"/>
      <c r="BB449">
        <f t="shared" si="19"/>
        <v>1</v>
      </c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</row>
    <row r="450" spans="1:99" s="374" customFormat="1" ht="15" customHeight="1">
      <c r="A450" s="834" t="s">
        <v>24</v>
      </c>
      <c r="B450" s="834">
        <v>447</v>
      </c>
      <c r="C450" s="840" t="s">
        <v>3762</v>
      </c>
      <c r="D450" s="834" t="s">
        <v>3741</v>
      </c>
      <c r="E450" s="852">
        <v>46100</v>
      </c>
      <c r="F450" s="834" t="s">
        <v>206</v>
      </c>
      <c r="G450" s="834">
        <v>18</v>
      </c>
      <c r="H450" s="834" t="s">
        <v>1721</v>
      </c>
      <c r="I450" s="834" t="s">
        <v>1638</v>
      </c>
      <c r="J450" s="380" t="s">
        <v>3763</v>
      </c>
      <c r="K450" s="136" t="s">
        <v>3058</v>
      </c>
      <c r="L450" s="136" t="s">
        <v>2264</v>
      </c>
      <c r="M450" s="136" t="s">
        <v>3764</v>
      </c>
      <c r="N450" s="136" t="s">
        <v>3764</v>
      </c>
      <c r="O450" s="136" t="s">
        <v>3743</v>
      </c>
      <c r="P450" s="90" t="s">
        <v>2863</v>
      </c>
      <c r="Q450" s="848"/>
      <c r="R450" s="848"/>
      <c r="S450" s="89" t="s">
        <v>3337</v>
      </c>
      <c r="T450" s="834"/>
      <c r="U450" s="834"/>
      <c r="V450" s="834" t="s">
        <v>3438</v>
      </c>
      <c r="W450" s="834"/>
      <c r="X450" s="96" t="s">
        <v>30</v>
      </c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108"/>
      <c r="AJ450" s="108"/>
      <c r="AK450" s="108"/>
      <c r="AL450" s="108"/>
      <c r="AM450" s="80"/>
      <c r="AN450" s="80"/>
      <c r="AO450" s="832"/>
      <c r="AP450" s="875"/>
      <c r="AQ450" s="875"/>
      <c r="AR450" s="875"/>
      <c r="AS450" s="776"/>
      <c r="AT450" s="776"/>
      <c r="AU450" s="92"/>
      <c r="AV450" s="92"/>
      <c r="AW450" s="92"/>
      <c r="AX450" s="92"/>
      <c r="AY450"/>
      <c r="AZ450"/>
      <c r="BA450"/>
      <c r="BB450">
        <f t="shared" ref="BB450" si="20">IF(E450&gt;1,1,"")</f>
        <v>1</v>
      </c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</row>
    <row r="451" spans="1:99" s="374" customFormat="1" ht="15" customHeight="1">
      <c r="A451" s="834" t="s">
        <v>24</v>
      </c>
      <c r="B451" s="834">
        <v>448</v>
      </c>
      <c r="C451" s="840" t="s">
        <v>3765</v>
      </c>
      <c r="D451" s="834" t="s">
        <v>43</v>
      </c>
      <c r="E451" s="852">
        <v>46101</v>
      </c>
      <c r="F451" s="834" t="s">
        <v>3759</v>
      </c>
      <c r="G451" s="834">
        <v>13</v>
      </c>
      <c r="H451" s="834" t="s">
        <v>127</v>
      </c>
      <c r="I451" s="834" t="s">
        <v>178</v>
      </c>
      <c r="J451" s="380"/>
      <c r="K451" s="136" t="s">
        <v>3063</v>
      </c>
      <c r="L451" s="136" t="s">
        <v>3760</v>
      </c>
      <c r="M451" s="136" t="s">
        <v>3761</v>
      </c>
      <c r="N451" s="136" t="s">
        <v>3761</v>
      </c>
      <c r="O451" s="136" t="s">
        <v>3750</v>
      </c>
      <c r="P451" s="848"/>
      <c r="Q451" s="848"/>
      <c r="R451" s="848"/>
      <c r="S451" s="89" t="s">
        <v>3337</v>
      </c>
      <c r="T451" s="834"/>
      <c r="U451" s="834"/>
      <c r="V451" s="834" t="s">
        <v>3438</v>
      </c>
      <c r="W451" s="834"/>
      <c r="X451" s="80" t="s">
        <v>30</v>
      </c>
      <c r="Y451" s="80" t="s">
        <v>30</v>
      </c>
      <c r="Z451" s="80"/>
      <c r="AA451" s="80"/>
      <c r="AB451" s="80"/>
      <c r="AC451" s="80"/>
      <c r="AD451" s="80"/>
      <c r="AE451" s="80"/>
      <c r="AF451" s="80"/>
      <c r="AG451" s="80"/>
      <c r="AH451" s="80"/>
      <c r="AI451" s="108"/>
      <c r="AJ451" s="108"/>
      <c r="AK451" s="108"/>
      <c r="AL451" s="108"/>
      <c r="AM451" s="80"/>
      <c r="AN451" s="80"/>
      <c r="AO451" s="832"/>
      <c r="AP451" s="875"/>
      <c r="AQ451" s="875"/>
      <c r="AR451" s="875"/>
      <c r="AS451" s="776"/>
      <c r="AT451" s="776"/>
      <c r="AU451" s="92"/>
      <c r="AV451" s="92"/>
      <c r="AW451" s="92"/>
      <c r="AX451" s="92"/>
      <c r="AY451"/>
      <c r="AZ451"/>
      <c r="BA451"/>
      <c r="BB451">
        <f t="shared" si="19"/>
        <v>1</v>
      </c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</row>
    <row r="452" spans="1:99" s="374" customFormat="1" ht="15" customHeight="1">
      <c r="A452" s="834" t="s">
        <v>24</v>
      </c>
      <c r="B452" s="834">
        <v>449</v>
      </c>
      <c r="C452" s="840" t="s">
        <v>3766</v>
      </c>
      <c r="D452" s="834" t="s">
        <v>43</v>
      </c>
      <c r="E452" s="852">
        <v>46101</v>
      </c>
      <c r="F452" s="834" t="s">
        <v>2014</v>
      </c>
      <c r="G452" s="834">
        <v>17</v>
      </c>
      <c r="H452" s="834" t="s">
        <v>1077</v>
      </c>
      <c r="I452" s="834" t="s">
        <v>1138</v>
      </c>
      <c r="J452" s="380"/>
      <c r="K452" s="136" t="s">
        <v>3063</v>
      </c>
      <c r="L452" s="136" t="s">
        <v>2296</v>
      </c>
      <c r="M452" s="136" t="s">
        <v>3761</v>
      </c>
      <c r="N452" s="136" t="s">
        <v>3767</v>
      </c>
      <c r="O452" s="136" t="s">
        <v>3750</v>
      </c>
      <c r="P452" s="90" t="s">
        <v>2863</v>
      </c>
      <c r="Q452" s="848"/>
      <c r="R452" s="848"/>
      <c r="S452" s="89" t="s">
        <v>3337</v>
      </c>
      <c r="T452" s="834"/>
      <c r="U452" s="834"/>
      <c r="V452" s="834" t="s">
        <v>3438</v>
      </c>
      <c r="W452" s="834"/>
      <c r="X452" s="91" t="s">
        <v>32</v>
      </c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108"/>
      <c r="AJ452" s="108"/>
      <c r="AK452" s="108"/>
      <c r="AL452" s="108"/>
      <c r="AM452" s="80"/>
      <c r="AN452" s="80"/>
      <c r="AO452" s="832"/>
      <c r="AP452" s="875"/>
      <c r="AQ452" s="875"/>
      <c r="AR452" s="875"/>
      <c r="AS452" s="776"/>
      <c r="AT452" s="776"/>
      <c r="AU452" s="92"/>
      <c r="AV452" s="92"/>
      <c r="AW452" s="92"/>
      <c r="AX452" s="92"/>
      <c r="AY452"/>
      <c r="AZ452"/>
      <c r="BA452"/>
      <c r="BB452">
        <f t="shared" si="19"/>
        <v>1</v>
      </c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</row>
    <row r="453" spans="1:99" s="524" customFormat="1">
      <c r="A453" s="751" t="s">
        <v>24</v>
      </c>
      <c r="B453" s="834">
        <v>450</v>
      </c>
      <c r="C453" s="751" t="s">
        <v>3768</v>
      </c>
      <c r="D453" s="751" t="s">
        <v>34</v>
      </c>
      <c r="E453" s="887">
        <v>46102</v>
      </c>
      <c r="F453" s="751" t="s">
        <v>3769</v>
      </c>
      <c r="G453" s="751">
        <v>12</v>
      </c>
      <c r="H453" s="751" t="s">
        <v>127</v>
      </c>
      <c r="I453" s="751" t="s">
        <v>178</v>
      </c>
      <c r="J453" s="521"/>
      <c r="K453" s="521" t="s">
        <v>3058</v>
      </c>
      <c r="L453" s="521" t="s">
        <v>3770</v>
      </c>
      <c r="M453" s="521" t="s">
        <v>3764</v>
      </c>
      <c r="N453" s="521" t="s">
        <v>3764</v>
      </c>
      <c r="O453" s="521" t="s">
        <v>3662</v>
      </c>
      <c r="P453" s="888"/>
      <c r="Q453" s="888"/>
      <c r="R453" s="888"/>
      <c r="S453" s="529" t="s">
        <v>178</v>
      </c>
      <c r="T453" s="751"/>
      <c r="U453" s="751"/>
      <c r="V453" s="751" t="s">
        <v>3438</v>
      </c>
      <c r="W453" s="751"/>
      <c r="X453" s="534" t="s">
        <v>30</v>
      </c>
      <c r="Y453" s="522" t="s">
        <v>30</v>
      </c>
      <c r="Z453" s="522"/>
      <c r="AA453" s="522"/>
      <c r="AB453" s="522"/>
      <c r="AC453" s="522"/>
      <c r="AD453" s="522"/>
      <c r="AE453" s="522"/>
      <c r="AF453" s="522"/>
      <c r="AG453" s="522"/>
      <c r="AH453" s="522"/>
      <c r="AI453" s="523"/>
      <c r="AJ453" s="523"/>
      <c r="AK453" s="523"/>
      <c r="AL453" s="523"/>
      <c r="AM453" s="522"/>
      <c r="AN453" s="522"/>
      <c r="AO453" s="889"/>
      <c r="AP453" s="890"/>
      <c r="AQ453" s="890"/>
      <c r="AR453" s="890"/>
      <c r="AS453" s="525"/>
      <c r="AT453" s="525"/>
      <c r="AU453" s="526"/>
      <c r="AV453" s="526"/>
      <c r="AW453" s="526"/>
      <c r="AX453" s="526"/>
      <c r="BB453" s="524">
        <f t="shared" si="19"/>
        <v>1</v>
      </c>
    </row>
    <row r="454" spans="1:99" s="524" customFormat="1">
      <c r="A454" s="751" t="s">
        <v>24</v>
      </c>
      <c r="B454" s="834">
        <v>451</v>
      </c>
      <c r="C454" s="521" t="s">
        <v>3771</v>
      </c>
      <c r="D454" s="521" t="s">
        <v>34</v>
      </c>
      <c r="E454" s="548">
        <v>46102</v>
      </c>
      <c r="F454" s="521" t="s">
        <v>206</v>
      </c>
      <c r="G454" s="521">
        <v>9</v>
      </c>
      <c r="H454" s="521" t="s">
        <v>127</v>
      </c>
      <c r="I454" s="521" t="s">
        <v>178</v>
      </c>
      <c r="J454" s="521"/>
      <c r="K454" s="521" t="s">
        <v>3058</v>
      </c>
      <c r="L454" s="521" t="s">
        <v>2085</v>
      </c>
      <c r="M454" s="751" t="s">
        <v>3772</v>
      </c>
      <c r="N454" s="751" t="s">
        <v>3772</v>
      </c>
      <c r="O454" s="562" t="s">
        <v>3773</v>
      </c>
      <c r="P454" s="542"/>
      <c r="Q454" s="888"/>
      <c r="R454" s="888"/>
      <c r="S454" s="529" t="s">
        <v>178</v>
      </c>
      <c r="T454" s="751"/>
      <c r="U454" s="751"/>
      <c r="V454" s="751" t="s">
        <v>3438</v>
      </c>
      <c r="W454" s="751"/>
      <c r="X454" s="534" t="s">
        <v>30</v>
      </c>
      <c r="Y454" s="522" t="s">
        <v>30</v>
      </c>
      <c r="Z454" s="522"/>
      <c r="AA454" s="522"/>
      <c r="AB454" s="522"/>
      <c r="AC454" s="522"/>
      <c r="AD454" s="522"/>
      <c r="AE454" s="522"/>
      <c r="AF454" s="522"/>
      <c r="AG454" s="522"/>
      <c r="AH454" s="522"/>
      <c r="AI454" s="523"/>
      <c r="AJ454" s="523"/>
      <c r="AK454" s="523"/>
      <c r="AL454" s="523"/>
      <c r="AM454" s="522"/>
      <c r="AN454" s="522"/>
      <c r="AO454" s="889"/>
      <c r="AP454" s="890"/>
      <c r="AQ454" s="890"/>
      <c r="AR454" s="890"/>
      <c r="AS454" s="525"/>
      <c r="AT454" s="525"/>
      <c r="AU454" s="526"/>
      <c r="AV454" s="526"/>
      <c r="AW454" s="526"/>
      <c r="AX454" s="526"/>
      <c r="BB454" s="524">
        <f t="shared" si="19"/>
        <v>1</v>
      </c>
    </row>
    <row r="455" spans="1:99" s="374" customFormat="1">
      <c r="A455" s="834" t="s">
        <v>24</v>
      </c>
      <c r="B455" s="834">
        <v>452</v>
      </c>
      <c r="C455" s="136" t="s">
        <v>3774</v>
      </c>
      <c r="D455" s="136" t="s">
        <v>34</v>
      </c>
      <c r="E455" s="124">
        <v>46102</v>
      </c>
      <c r="F455" s="136" t="s">
        <v>206</v>
      </c>
      <c r="G455" s="136">
        <v>4</v>
      </c>
      <c r="H455" s="136" t="s">
        <v>1721</v>
      </c>
      <c r="I455" s="136" t="s">
        <v>1638</v>
      </c>
      <c r="J455" s="136"/>
      <c r="K455" s="136" t="s">
        <v>3058</v>
      </c>
      <c r="L455" s="136" t="s">
        <v>2085</v>
      </c>
      <c r="M455" s="834" t="s">
        <v>3772</v>
      </c>
      <c r="N455" s="834" t="s">
        <v>3772</v>
      </c>
      <c r="O455" s="376" t="s">
        <v>3773</v>
      </c>
      <c r="P455" s="400"/>
      <c r="Q455" s="848"/>
      <c r="R455" s="848"/>
      <c r="S455" s="89" t="s">
        <v>1638</v>
      </c>
      <c r="T455" s="834"/>
      <c r="U455" s="834"/>
      <c r="V455" s="834"/>
      <c r="W455" s="834"/>
      <c r="X455" s="96" t="s">
        <v>30</v>
      </c>
      <c r="Y455" s="80" t="s">
        <v>30</v>
      </c>
      <c r="Z455" s="80"/>
      <c r="AA455" s="80"/>
      <c r="AB455" s="80"/>
      <c r="AC455" s="80"/>
      <c r="AD455" s="80"/>
      <c r="AE455" s="80"/>
      <c r="AF455" s="80"/>
      <c r="AG455" s="80"/>
      <c r="AH455" s="80"/>
      <c r="AI455" s="108"/>
      <c r="AJ455" s="108"/>
      <c r="AK455" s="108"/>
      <c r="AL455" s="108"/>
      <c r="AM455" s="80"/>
      <c r="AN455" s="80"/>
      <c r="AO455" s="832"/>
      <c r="AP455" s="875"/>
      <c r="AQ455" s="875"/>
      <c r="AR455" s="875"/>
      <c r="AS455" s="776"/>
      <c r="AT455" s="776"/>
      <c r="AU455" s="92"/>
      <c r="AV455" s="92"/>
      <c r="AW455" s="92"/>
      <c r="AX455" s="92"/>
      <c r="AY455"/>
      <c r="AZ455"/>
      <c r="BA455"/>
      <c r="BB455">
        <f t="shared" ref="BB455" si="21">IF(E455&gt;1,1,"")</f>
        <v>1</v>
      </c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</row>
    <row r="456" spans="1:99" s="374" customFormat="1">
      <c r="A456" s="834" t="s">
        <v>24</v>
      </c>
      <c r="B456" s="834">
        <v>453</v>
      </c>
      <c r="C456" s="834" t="s">
        <v>3775</v>
      </c>
      <c r="D456" s="834" t="s">
        <v>34</v>
      </c>
      <c r="E456" s="852">
        <v>46102</v>
      </c>
      <c r="F456" s="834" t="s">
        <v>1165</v>
      </c>
      <c r="G456" s="834">
        <v>12</v>
      </c>
      <c r="H456" s="834" t="s">
        <v>1721</v>
      </c>
      <c r="I456" s="834" t="s">
        <v>1638</v>
      </c>
      <c r="J456" s="98"/>
      <c r="K456" s="136" t="s">
        <v>3058</v>
      </c>
      <c r="L456" s="834" t="s">
        <v>3776</v>
      </c>
      <c r="M456" s="834" t="s">
        <v>3777</v>
      </c>
      <c r="N456" s="834" t="s">
        <v>3777</v>
      </c>
      <c r="O456" s="136" t="s">
        <v>2083</v>
      </c>
      <c r="P456" s="848"/>
      <c r="Q456" s="848"/>
      <c r="R456" s="848"/>
      <c r="S456" s="89" t="s">
        <v>1638</v>
      </c>
      <c r="T456" s="834"/>
      <c r="U456" s="834"/>
      <c r="V456" s="834"/>
      <c r="W456" s="834"/>
      <c r="X456" s="96" t="s">
        <v>30</v>
      </c>
      <c r="Y456" s="80" t="s">
        <v>30</v>
      </c>
      <c r="Z456" s="80"/>
      <c r="AA456" s="80"/>
      <c r="AB456" s="80"/>
      <c r="AC456" s="80"/>
      <c r="AD456" s="80"/>
      <c r="AE456" s="80"/>
      <c r="AF456" s="80"/>
      <c r="AG456" s="80"/>
      <c r="AH456" s="80"/>
      <c r="AI456" s="108"/>
      <c r="AJ456" s="108"/>
      <c r="AK456" s="108"/>
      <c r="AL456" s="108"/>
      <c r="AM456" s="80"/>
      <c r="AN456" s="80"/>
      <c r="AO456" s="832"/>
      <c r="AP456" s="875"/>
      <c r="AQ456" s="875"/>
      <c r="AR456" s="875"/>
      <c r="AS456" s="776"/>
      <c r="AT456" s="776"/>
      <c r="AU456" s="92"/>
      <c r="AV456" s="92"/>
      <c r="AW456" s="92"/>
      <c r="AX456" s="92"/>
      <c r="AY456"/>
      <c r="AZ456"/>
      <c r="BA456"/>
      <c r="BB456">
        <f t="shared" ref="BB456:BB556" si="22">IF(E456&gt;1,1,"")</f>
        <v>1</v>
      </c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</row>
    <row r="457" spans="1:99" s="374" customFormat="1" ht="16.5" customHeight="1">
      <c r="A457" s="834" t="s">
        <v>24</v>
      </c>
      <c r="B457" s="834">
        <v>454</v>
      </c>
      <c r="C457" s="834" t="s">
        <v>3778</v>
      </c>
      <c r="D457" s="834" t="s">
        <v>34</v>
      </c>
      <c r="E457" s="852">
        <v>46102</v>
      </c>
      <c r="F457" s="834" t="s">
        <v>1943</v>
      </c>
      <c r="G457" s="834">
        <v>11</v>
      </c>
      <c r="H457" s="834" t="s">
        <v>1721</v>
      </c>
      <c r="I457" s="834" t="s">
        <v>1638</v>
      </c>
      <c r="J457" s="834"/>
      <c r="K457" s="136" t="s">
        <v>3058</v>
      </c>
      <c r="L457" s="834" t="s">
        <v>3779</v>
      </c>
      <c r="M457" s="834" t="s">
        <v>3777</v>
      </c>
      <c r="N457" s="834" t="s">
        <v>3764</v>
      </c>
      <c r="O457" s="136" t="s">
        <v>2083</v>
      </c>
      <c r="P457" s="848"/>
      <c r="Q457" s="848"/>
      <c r="R457" s="848"/>
      <c r="S457" s="89" t="s">
        <v>1638</v>
      </c>
      <c r="T457" s="834"/>
      <c r="U457" s="834"/>
      <c r="V457" s="834"/>
      <c r="W457" s="834"/>
      <c r="X457" s="96" t="s">
        <v>30</v>
      </c>
      <c r="Y457" s="80" t="s">
        <v>30</v>
      </c>
      <c r="Z457" s="80"/>
      <c r="AA457" s="80" t="s">
        <v>30</v>
      </c>
      <c r="AB457" s="80" t="s">
        <v>30</v>
      </c>
      <c r="AC457" s="80" t="s">
        <v>30</v>
      </c>
      <c r="AD457" s="80"/>
      <c r="AE457" s="80"/>
      <c r="AF457" s="80"/>
      <c r="AG457" s="80"/>
      <c r="AH457" s="80"/>
      <c r="AI457" s="108"/>
      <c r="AJ457" s="108"/>
      <c r="AK457" s="108"/>
      <c r="AL457" s="108"/>
      <c r="AM457" s="80"/>
      <c r="AN457" s="80"/>
      <c r="AO457" s="832"/>
      <c r="AP457" s="875"/>
      <c r="AQ457" s="875"/>
      <c r="AR457" s="875"/>
      <c r="AS457" s="776"/>
      <c r="AT457" s="776"/>
      <c r="AU457" s="92"/>
      <c r="AV457" s="92"/>
      <c r="AW457" s="92"/>
      <c r="AX457" s="92"/>
      <c r="AY457"/>
      <c r="AZ457"/>
      <c r="BA457"/>
      <c r="BB457">
        <f t="shared" si="22"/>
        <v>1</v>
      </c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</row>
    <row r="458" spans="1:99" s="524" customFormat="1">
      <c r="A458" s="751" t="s">
        <v>24</v>
      </c>
      <c r="B458" s="834">
        <v>455</v>
      </c>
      <c r="C458" s="751" t="s">
        <v>3780</v>
      </c>
      <c r="D458" s="751" t="s">
        <v>374</v>
      </c>
      <c r="E458" s="887">
        <v>46102</v>
      </c>
      <c r="F458" s="751" t="s">
        <v>3781</v>
      </c>
      <c r="G458" s="751">
        <v>12</v>
      </c>
      <c r="H458" s="751" t="s">
        <v>3056</v>
      </c>
      <c r="I458" s="751" t="s">
        <v>47</v>
      </c>
      <c r="J458" s="521" t="s">
        <v>3782</v>
      </c>
      <c r="K458" s="521" t="s">
        <v>3058</v>
      </c>
      <c r="L458" s="521" t="s">
        <v>2092</v>
      </c>
      <c r="M458" s="751" t="s">
        <v>3777</v>
      </c>
      <c r="N458" s="751" t="s">
        <v>3777</v>
      </c>
      <c r="O458" s="521" t="s">
        <v>2050</v>
      </c>
      <c r="P458" s="888"/>
      <c r="Q458" s="888"/>
      <c r="R458" s="888"/>
      <c r="S458" s="529" t="s">
        <v>47</v>
      </c>
      <c r="T458" s="751"/>
      <c r="U458" s="751"/>
      <c r="V458" s="751" t="s">
        <v>3438</v>
      </c>
      <c r="W458" s="751"/>
      <c r="X458" s="534" t="s">
        <v>30</v>
      </c>
      <c r="Y458" s="522"/>
      <c r="Z458" s="522"/>
      <c r="AA458" s="522"/>
      <c r="AB458" s="522"/>
      <c r="AC458" s="522"/>
      <c r="AD458" s="522"/>
      <c r="AE458" s="522"/>
      <c r="AF458" s="522"/>
      <c r="AG458" s="522"/>
      <c r="AH458" s="522"/>
      <c r="AI458" s="523"/>
      <c r="AJ458" s="523"/>
      <c r="AK458" s="523"/>
      <c r="AL458" s="523"/>
      <c r="AM458" s="522"/>
      <c r="AN458" s="522"/>
      <c r="AO458" s="889"/>
      <c r="AP458" s="890"/>
      <c r="AQ458" s="890"/>
      <c r="AR458" s="890"/>
      <c r="AS458" s="525"/>
      <c r="AT458" s="525"/>
      <c r="AU458" s="526"/>
      <c r="AV458" s="526"/>
      <c r="AW458" s="526"/>
      <c r="AX458" s="526"/>
      <c r="BB458" s="524">
        <f t="shared" si="22"/>
        <v>1</v>
      </c>
    </row>
    <row r="459" spans="1:99" s="374" customFormat="1">
      <c r="A459" s="834" t="s">
        <v>24</v>
      </c>
      <c r="B459" s="834">
        <v>456</v>
      </c>
      <c r="C459" s="834" t="s">
        <v>3783</v>
      </c>
      <c r="D459" s="834" t="s">
        <v>83</v>
      </c>
      <c r="E459" s="852">
        <v>46102</v>
      </c>
      <c r="F459" s="834" t="s">
        <v>614</v>
      </c>
      <c r="G459" s="834">
        <v>19</v>
      </c>
      <c r="H459" s="834" t="s">
        <v>1077</v>
      </c>
      <c r="I459" s="834" t="s">
        <v>1138</v>
      </c>
      <c r="J459" s="136" t="s">
        <v>3784</v>
      </c>
      <c r="K459" s="136" t="s">
        <v>3058</v>
      </c>
      <c r="L459" s="136" t="s">
        <v>3785</v>
      </c>
      <c r="M459" s="834" t="s">
        <v>3772</v>
      </c>
      <c r="N459" s="834" t="s">
        <v>3772</v>
      </c>
      <c r="O459" s="136" t="s">
        <v>3739</v>
      </c>
      <c r="P459" s="90" t="s">
        <v>2863</v>
      </c>
      <c r="Q459" s="848"/>
      <c r="R459" s="848"/>
      <c r="S459" s="89" t="s">
        <v>1138</v>
      </c>
      <c r="T459" s="834" t="s">
        <v>32</v>
      </c>
      <c r="U459" s="834">
        <v>19</v>
      </c>
      <c r="V459" s="834"/>
      <c r="W459" s="852">
        <v>46113</v>
      </c>
      <c r="X459" s="89" t="s">
        <v>30</v>
      </c>
      <c r="Y459" s="80" t="s">
        <v>30</v>
      </c>
      <c r="Z459" s="80" t="s">
        <v>30</v>
      </c>
      <c r="AA459" s="80"/>
      <c r="AB459" s="80"/>
      <c r="AC459" s="80"/>
      <c r="AD459" s="80"/>
      <c r="AE459" s="80"/>
      <c r="AF459" s="80"/>
      <c r="AG459" s="80"/>
      <c r="AH459" s="80"/>
      <c r="AI459" s="108"/>
      <c r="AJ459" s="108"/>
      <c r="AK459" s="108"/>
      <c r="AL459" s="108"/>
      <c r="AM459" s="80"/>
      <c r="AN459" s="80"/>
      <c r="AO459" s="832"/>
      <c r="AP459" s="875"/>
      <c r="AQ459" s="875"/>
      <c r="AR459" s="875"/>
      <c r="AS459" s="776"/>
      <c r="AT459" s="776"/>
      <c r="AU459" s="92"/>
      <c r="AV459" s="92"/>
      <c r="AW459" s="92"/>
      <c r="AX459" s="92"/>
      <c r="AY459"/>
      <c r="AZ459"/>
      <c r="BA459"/>
      <c r="BB459">
        <f t="shared" si="22"/>
        <v>1</v>
      </c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</row>
    <row r="460" spans="1:99" s="374" customFormat="1">
      <c r="A460" s="834" t="s">
        <v>24</v>
      </c>
      <c r="B460" s="834">
        <v>457</v>
      </c>
      <c r="C460" s="136" t="s">
        <v>3786</v>
      </c>
      <c r="D460" s="834" t="s">
        <v>34</v>
      </c>
      <c r="E460" s="852">
        <v>46102</v>
      </c>
      <c r="F460" s="834" t="s">
        <v>3787</v>
      </c>
      <c r="G460" s="834">
        <v>10</v>
      </c>
      <c r="H460" s="834" t="s">
        <v>1077</v>
      </c>
      <c r="I460" s="834" t="s">
        <v>1138</v>
      </c>
      <c r="J460" s="89" t="s">
        <v>3788</v>
      </c>
      <c r="K460" s="136" t="s">
        <v>3058</v>
      </c>
      <c r="L460" s="136" t="s">
        <v>2135</v>
      </c>
      <c r="M460" s="834" t="s">
        <v>3772</v>
      </c>
      <c r="N460" s="834" t="s">
        <v>3772</v>
      </c>
      <c r="O460" s="136" t="s">
        <v>2083</v>
      </c>
      <c r="P460" s="848"/>
      <c r="Q460" s="848"/>
      <c r="R460" s="848"/>
      <c r="S460" s="89" t="s">
        <v>1138</v>
      </c>
      <c r="T460" s="834"/>
      <c r="U460" s="834"/>
      <c r="V460" s="834" t="s">
        <v>3438</v>
      </c>
      <c r="W460" s="834"/>
      <c r="X460" s="80" t="s">
        <v>30</v>
      </c>
      <c r="Y460" s="80" t="s">
        <v>30</v>
      </c>
      <c r="Z460" s="91"/>
      <c r="AA460" s="80"/>
      <c r="AB460" s="80"/>
      <c r="AC460" s="80"/>
      <c r="AD460" s="80"/>
      <c r="AE460" s="80"/>
      <c r="AF460" s="80"/>
      <c r="AG460" s="80"/>
      <c r="AH460" s="80"/>
      <c r="AI460" s="108"/>
      <c r="AJ460" s="108"/>
      <c r="AK460" s="108"/>
      <c r="AL460" s="108"/>
      <c r="AM460" s="80"/>
      <c r="AN460" s="80"/>
      <c r="AO460" s="832"/>
      <c r="AP460" s="875"/>
      <c r="AQ460" s="875"/>
      <c r="AR460" s="875"/>
      <c r="AS460" s="776"/>
      <c r="AT460" s="776"/>
      <c r="AU460" s="92"/>
      <c r="AV460" s="92"/>
      <c r="AW460" s="92"/>
      <c r="AX460" s="92"/>
      <c r="AY460"/>
      <c r="AZ460"/>
      <c r="BA460"/>
      <c r="BB460">
        <f t="shared" si="22"/>
        <v>1</v>
      </c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</row>
    <row r="461" spans="1:99" s="524" customFormat="1">
      <c r="A461" s="751" t="s">
        <v>24</v>
      </c>
      <c r="B461" s="834">
        <v>458</v>
      </c>
      <c r="C461" s="521" t="s">
        <v>3789</v>
      </c>
      <c r="D461" s="521" t="s">
        <v>34</v>
      </c>
      <c r="E461" s="548">
        <v>46102</v>
      </c>
      <c r="F461" s="521" t="s">
        <v>1972</v>
      </c>
      <c r="G461" s="521">
        <v>7</v>
      </c>
      <c r="H461" s="521" t="s">
        <v>1721</v>
      </c>
      <c r="I461" s="521" t="s">
        <v>127</v>
      </c>
      <c r="J461" s="521"/>
      <c r="K461" s="521" t="s">
        <v>3058</v>
      </c>
      <c r="L461" s="521" t="s">
        <v>3603</v>
      </c>
      <c r="M461" s="751" t="s">
        <v>3772</v>
      </c>
      <c r="N461" s="751" t="s">
        <v>3772</v>
      </c>
      <c r="O461" s="521" t="s">
        <v>2050</v>
      </c>
      <c r="P461" s="888"/>
      <c r="Q461" s="888"/>
      <c r="R461" s="888"/>
      <c r="S461" s="529" t="s">
        <v>178</v>
      </c>
      <c r="T461" s="751"/>
      <c r="U461" s="751"/>
      <c r="V461" s="751" t="s">
        <v>3438</v>
      </c>
      <c r="W461" s="751"/>
      <c r="X461" s="534" t="s">
        <v>30</v>
      </c>
      <c r="Y461" s="522" t="s">
        <v>30</v>
      </c>
      <c r="Z461" s="522"/>
      <c r="AA461" s="522"/>
      <c r="AB461" s="522"/>
      <c r="AC461" s="522"/>
      <c r="AD461" s="522"/>
      <c r="AE461" s="522"/>
      <c r="AF461" s="522"/>
      <c r="AG461" s="522"/>
      <c r="AH461" s="522"/>
      <c r="AI461" s="523"/>
      <c r="AJ461" s="523"/>
      <c r="AK461" s="523"/>
      <c r="AL461" s="523"/>
      <c r="AM461" s="522"/>
      <c r="AN461" s="522"/>
      <c r="AO461" s="889"/>
      <c r="AP461" s="890"/>
      <c r="AQ461" s="890"/>
      <c r="AR461" s="890"/>
      <c r="AS461" s="525"/>
      <c r="AT461" s="525"/>
      <c r="AU461" s="526"/>
      <c r="AV461" s="526"/>
      <c r="AW461" s="526"/>
      <c r="AX461" s="526"/>
      <c r="BB461" s="524">
        <f t="shared" si="22"/>
        <v>1</v>
      </c>
    </row>
    <row r="462" spans="1:99" s="374" customFormat="1">
      <c r="A462" s="834" t="s">
        <v>24</v>
      </c>
      <c r="B462" s="834">
        <v>459</v>
      </c>
      <c r="C462" s="136" t="s">
        <v>3790</v>
      </c>
      <c r="D462" s="834" t="s">
        <v>34</v>
      </c>
      <c r="E462" s="852">
        <v>46102</v>
      </c>
      <c r="F462" s="834" t="s">
        <v>3791</v>
      </c>
      <c r="G462" s="834">
        <v>2</v>
      </c>
      <c r="H462" s="834" t="s">
        <v>1076</v>
      </c>
      <c r="I462" s="834" t="s">
        <v>3337</v>
      </c>
      <c r="J462" s="834"/>
      <c r="K462" s="136" t="s">
        <v>3058</v>
      </c>
      <c r="L462" s="136" t="s">
        <v>2123</v>
      </c>
      <c r="M462" s="834" t="s">
        <v>3767</v>
      </c>
      <c r="N462" s="834" t="s">
        <v>3767</v>
      </c>
      <c r="O462" s="634" t="s">
        <v>3792</v>
      </c>
      <c r="P462" s="848"/>
      <c r="Q462" s="848"/>
      <c r="R462" s="848"/>
      <c r="S462" s="89" t="s">
        <v>3337</v>
      </c>
      <c r="T462" s="834"/>
      <c r="U462" s="834">
        <v>2</v>
      </c>
      <c r="V462" s="834"/>
      <c r="W462" s="852">
        <v>46126</v>
      </c>
      <c r="X462" s="96" t="s">
        <v>30</v>
      </c>
      <c r="Y462" s="80"/>
      <c r="Z462" s="91" t="s">
        <v>32</v>
      </c>
      <c r="AA462" s="80"/>
      <c r="AB462" s="80"/>
      <c r="AC462" s="80"/>
      <c r="AD462" s="80"/>
      <c r="AE462" s="80"/>
      <c r="AF462" s="80"/>
      <c r="AG462" s="80"/>
      <c r="AH462" s="80"/>
      <c r="AI462" s="108"/>
      <c r="AJ462" s="108"/>
      <c r="AK462" s="108"/>
      <c r="AL462" s="108"/>
      <c r="AM462" s="80"/>
      <c r="AN462" s="80"/>
      <c r="AO462" s="832"/>
      <c r="AP462" s="875"/>
      <c r="AQ462" s="875"/>
      <c r="AR462" s="875"/>
      <c r="AS462" s="776"/>
      <c r="AT462" s="776"/>
      <c r="AU462" s="92"/>
      <c r="AV462" s="92"/>
      <c r="AW462" s="92"/>
      <c r="AX462" s="92"/>
      <c r="AY462"/>
      <c r="AZ462"/>
      <c r="BA462"/>
      <c r="BB462">
        <f t="shared" si="22"/>
        <v>1</v>
      </c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</row>
    <row r="463" spans="1:99" s="374" customFormat="1">
      <c r="A463" s="834" t="s">
        <v>24</v>
      </c>
      <c r="B463" s="834">
        <v>460</v>
      </c>
      <c r="C463" s="136" t="s">
        <v>3793</v>
      </c>
      <c r="D463" s="834" t="s">
        <v>34</v>
      </c>
      <c r="E463" s="852">
        <v>46102</v>
      </c>
      <c r="F463" s="838" t="s">
        <v>401</v>
      </c>
      <c r="G463" s="834">
        <v>9</v>
      </c>
      <c r="H463" s="834" t="s">
        <v>1721</v>
      </c>
      <c r="I463" s="834" t="s">
        <v>1638</v>
      </c>
      <c r="J463" s="834"/>
      <c r="K463" s="136" t="s">
        <v>3058</v>
      </c>
      <c r="L463" s="136" t="s">
        <v>2123</v>
      </c>
      <c r="M463" s="834" t="s">
        <v>3767</v>
      </c>
      <c r="N463" s="834" t="s">
        <v>3767</v>
      </c>
      <c r="O463" s="21" t="s">
        <v>401</v>
      </c>
      <c r="P463" s="848"/>
      <c r="Q463" s="848"/>
      <c r="R463" s="848"/>
      <c r="S463" s="89" t="s">
        <v>1638</v>
      </c>
      <c r="T463" s="834"/>
      <c r="U463" s="834"/>
      <c r="V463" s="834"/>
      <c r="W463" s="834"/>
      <c r="X463" s="96" t="s">
        <v>30</v>
      </c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108"/>
      <c r="AJ463" s="108"/>
      <c r="AK463" s="108"/>
      <c r="AL463" s="108"/>
      <c r="AM463" s="80"/>
      <c r="AN463" s="80"/>
      <c r="AO463" s="832"/>
      <c r="AP463" s="875"/>
      <c r="AQ463" s="875"/>
      <c r="AR463" s="875"/>
      <c r="AS463" s="776"/>
      <c r="AT463" s="776"/>
      <c r="AU463" s="92"/>
      <c r="AV463" s="92"/>
      <c r="AW463" s="92"/>
      <c r="AX463" s="92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</row>
    <row r="464" spans="1:99" s="374" customFormat="1">
      <c r="A464" s="834" t="s">
        <v>24</v>
      </c>
      <c r="B464" s="834">
        <v>461</v>
      </c>
      <c r="C464" s="136" t="s">
        <v>3421</v>
      </c>
      <c r="D464" s="834" t="s">
        <v>34</v>
      </c>
      <c r="E464" s="852">
        <v>46102</v>
      </c>
      <c r="F464" s="834" t="s">
        <v>324</v>
      </c>
      <c r="G464" s="834">
        <v>11</v>
      </c>
      <c r="H464" s="834" t="s">
        <v>1721</v>
      </c>
      <c r="I464" s="834" t="s">
        <v>1638</v>
      </c>
      <c r="J464" s="136"/>
      <c r="K464" s="136" t="s">
        <v>3058</v>
      </c>
      <c r="L464" s="136" t="s">
        <v>3794</v>
      </c>
      <c r="M464" s="834" t="s">
        <v>3772</v>
      </c>
      <c r="N464" s="834" t="s">
        <v>3767</v>
      </c>
      <c r="O464" s="136" t="s">
        <v>2083</v>
      </c>
      <c r="P464" s="848"/>
      <c r="Q464" s="848"/>
      <c r="R464" s="848"/>
      <c r="S464" s="89" t="s">
        <v>1638</v>
      </c>
      <c r="T464" s="834"/>
      <c r="U464" s="834"/>
      <c r="V464" s="834"/>
      <c r="W464" s="834"/>
      <c r="X464" s="96" t="s">
        <v>30</v>
      </c>
      <c r="Y464" s="80" t="s">
        <v>30</v>
      </c>
      <c r="Z464" s="80"/>
      <c r="AA464" s="80"/>
      <c r="AB464" s="80"/>
      <c r="AC464" s="80"/>
      <c r="AD464" s="80"/>
      <c r="AE464" s="80"/>
      <c r="AF464" s="80"/>
      <c r="AG464" s="80"/>
      <c r="AH464" s="80"/>
      <c r="AI464" s="108"/>
      <c r="AJ464" s="108"/>
      <c r="AK464" s="108"/>
      <c r="AL464" s="108"/>
      <c r="AM464" s="80"/>
      <c r="AN464" s="80"/>
      <c r="AO464" s="832"/>
      <c r="AP464" s="875"/>
      <c r="AQ464" s="875"/>
      <c r="AR464" s="875"/>
      <c r="AS464" s="776"/>
      <c r="AT464" s="776"/>
      <c r="AU464" s="92"/>
      <c r="AV464" s="92"/>
      <c r="AW464" s="92"/>
      <c r="AX464" s="92"/>
      <c r="AY464"/>
      <c r="AZ464"/>
      <c r="BA464"/>
      <c r="BB464">
        <f t="shared" si="22"/>
        <v>1</v>
      </c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</row>
    <row r="465" spans="1:99" s="374" customFormat="1">
      <c r="A465" s="834" t="s">
        <v>24</v>
      </c>
      <c r="B465" s="834">
        <v>462</v>
      </c>
      <c r="C465" s="136" t="s">
        <v>3795</v>
      </c>
      <c r="D465" s="834" t="s">
        <v>34</v>
      </c>
      <c r="E465" s="852">
        <v>46102</v>
      </c>
      <c r="F465" s="834" t="s">
        <v>324</v>
      </c>
      <c r="G465" s="834">
        <v>8</v>
      </c>
      <c r="H465" s="834" t="s">
        <v>2391</v>
      </c>
      <c r="I465" s="834" t="s">
        <v>3631</v>
      </c>
      <c r="J465" s="136"/>
      <c r="K465" s="136" t="s">
        <v>3058</v>
      </c>
      <c r="L465" s="136" t="s">
        <v>3794</v>
      </c>
      <c r="M465" s="834" t="s">
        <v>3772</v>
      </c>
      <c r="N465" s="834" t="s">
        <v>3767</v>
      </c>
      <c r="O465" s="217" t="s">
        <v>401</v>
      </c>
      <c r="P465" s="848"/>
      <c r="Q465" s="848"/>
      <c r="R465" s="848"/>
      <c r="S465" s="89" t="s">
        <v>1138</v>
      </c>
      <c r="T465" s="834"/>
      <c r="U465" s="834"/>
      <c r="V465" s="834" t="s">
        <v>3438</v>
      </c>
      <c r="W465" s="834"/>
      <c r="X465" s="96" t="s">
        <v>30</v>
      </c>
      <c r="Y465" s="80" t="s">
        <v>30</v>
      </c>
      <c r="Z465" s="91"/>
      <c r="AA465" s="80"/>
      <c r="AB465" s="80"/>
      <c r="AC465" s="80"/>
      <c r="AD465" s="80"/>
      <c r="AE465" s="80"/>
      <c r="AF465" s="80"/>
      <c r="AG465" s="80"/>
      <c r="AH465" s="80"/>
      <c r="AI465" s="108"/>
      <c r="AJ465" s="108"/>
      <c r="AK465" s="108"/>
      <c r="AL465" s="108"/>
      <c r="AM465" s="80"/>
      <c r="AN465" s="80"/>
      <c r="AO465" s="832"/>
      <c r="AP465" s="875"/>
      <c r="AQ465" s="875"/>
      <c r="AR465" s="875"/>
      <c r="AS465" s="776"/>
      <c r="AT465" s="776"/>
      <c r="AU465" s="92"/>
      <c r="AV465" s="92"/>
      <c r="AW465" s="92"/>
      <c r="AX465" s="92"/>
      <c r="AY465"/>
      <c r="AZ465"/>
      <c r="BA465"/>
      <c r="BB465">
        <f t="shared" si="22"/>
        <v>1</v>
      </c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</row>
    <row r="466" spans="1:99" s="374" customFormat="1">
      <c r="A466" s="834" t="s">
        <v>24</v>
      </c>
      <c r="B466" s="834">
        <v>463</v>
      </c>
      <c r="C466" s="136" t="s">
        <v>3796</v>
      </c>
      <c r="D466" s="834" t="s">
        <v>34</v>
      </c>
      <c r="E466" s="852">
        <v>46102</v>
      </c>
      <c r="F466" s="834" t="s">
        <v>1342</v>
      </c>
      <c r="G466" s="834">
        <v>9</v>
      </c>
      <c r="H466" s="834" t="s">
        <v>1721</v>
      </c>
      <c r="I466" s="834" t="s">
        <v>1638</v>
      </c>
      <c r="J466" s="136" t="s">
        <v>3797</v>
      </c>
      <c r="K466" s="136" t="s">
        <v>3058</v>
      </c>
      <c r="L466" s="136" t="s">
        <v>2098</v>
      </c>
      <c r="M466" s="136" t="s">
        <v>3764</v>
      </c>
      <c r="N466" s="136" t="s">
        <v>3764</v>
      </c>
      <c r="O466" s="643" t="s">
        <v>3798</v>
      </c>
      <c r="P466" s="848"/>
      <c r="Q466" s="848"/>
      <c r="R466" s="848"/>
      <c r="S466" s="89" t="s">
        <v>1638</v>
      </c>
      <c r="T466" s="834"/>
      <c r="U466" s="834"/>
      <c r="V466" s="834"/>
      <c r="W466" s="834"/>
      <c r="X466" s="96" t="s">
        <v>30</v>
      </c>
      <c r="Y466" s="80" t="s">
        <v>30</v>
      </c>
      <c r="Z466" s="80"/>
      <c r="AA466" s="80"/>
      <c r="AB466" s="80"/>
      <c r="AC466" s="80"/>
      <c r="AD466" s="80"/>
      <c r="AE466" s="80"/>
      <c r="AF466" s="80"/>
      <c r="AG466" s="80"/>
      <c r="AH466" s="80"/>
      <c r="AI466" s="108"/>
      <c r="AJ466" s="108"/>
      <c r="AK466" s="108"/>
      <c r="AL466" s="108"/>
      <c r="AM466" s="80"/>
      <c r="AN466" s="80"/>
      <c r="AO466" s="832"/>
      <c r="AP466" s="875"/>
      <c r="AQ466" s="875"/>
      <c r="AR466" s="875"/>
      <c r="AS466" s="776"/>
      <c r="AT466" s="776"/>
      <c r="AU466" s="92"/>
      <c r="AV466" s="92"/>
      <c r="AW466" s="92"/>
      <c r="AX466" s="92"/>
      <c r="AY466"/>
      <c r="AZ466"/>
      <c r="BA466"/>
      <c r="BB466">
        <f t="shared" si="22"/>
        <v>1</v>
      </c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</row>
    <row r="467" spans="1:99" s="374" customFormat="1">
      <c r="A467" s="834" t="s">
        <v>24</v>
      </c>
      <c r="B467" s="834">
        <v>464</v>
      </c>
      <c r="C467" s="136" t="s">
        <v>3799</v>
      </c>
      <c r="D467" s="834" t="s">
        <v>34</v>
      </c>
      <c r="E467" s="852">
        <v>46102</v>
      </c>
      <c r="F467" s="834" t="s">
        <v>1342</v>
      </c>
      <c r="G467" s="834">
        <v>4</v>
      </c>
      <c r="H467" s="834" t="s">
        <v>1077</v>
      </c>
      <c r="I467" s="834" t="s">
        <v>1138</v>
      </c>
      <c r="J467" s="136"/>
      <c r="K467" s="136" t="s">
        <v>3058</v>
      </c>
      <c r="L467" s="217" t="s">
        <v>401</v>
      </c>
      <c r="M467" s="136" t="s">
        <v>3764</v>
      </c>
      <c r="N467" s="136" t="s">
        <v>3764</v>
      </c>
      <c r="O467" s="217" t="s">
        <v>401</v>
      </c>
      <c r="P467" s="848"/>
      <c r="Q467" s="848"/>
      <c r="R467" s="848"/>
      <c r="S467" s="89" t="s">
        <v>1138</v>
      </c>
      <c r="T467" s="834"/>
      <c r="U467" s="834"/>
      <c r="V467" s="834" t="s">
        <v>3438</v>
      </c>
      <c r="W467" s="834"/>
      <c r="X467" s="96" t="s">
        <v>30</v>
      </c>
      <c r="Y467" s="80" t="s">
        <v>30</v>
      </c>
      <c r="Z467" s="91"/>
      <c r="AA467" s="80"/>
      <c r="AB467" s="80"/>
      <c r="AC467" s="80"/>
      <c r="AD467" s="80"/>
      <c r="AE467" s="80"/>
      <c r="AF467" s="80"/>
      <c r="AG467" s="80"/>
      <c r="AH467" s="80"/>
      <c r="AI467" s="108"/>
      <c r="AJ467" s="108"/>
      <c r="AK467" s="108"/>
      <c r="AL467" s="108"/>
      <c r="AM467" s="80"/>
      <c r="AN467" s="80"/>
      <c r="AO467" s="832"/>
      <c r="AP467" s="875"/>
      <c r="AQ467" s="875"/>
      <c r="AR467" s="875"/>
      <c r="AS467" s="776"/>
      <c r="AT467" s="776"/>
      <c r="AU467" s="92"/>
      <c r="AV467" s="92"/>
      <c r="AW467" s="92"/>
      <c r="AX467" s="92"/>
      <c r="AY467"/>
      <c r="AZ467"/>
      <c r="BA467"/>
      <c r="BB467">
        <f t="shared" si="22"/>
        <v>1</v>
      </c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</row>
    <row r="468" spans="1:99" s="374" customFormat="1">
      <c r="A468" s="834" t="s">
        <v>24</v>
      </c>
      <c r="B468" s="834">
        <v>465</v>
      </c>
      <c r="C468" s="136" t="s">
        <v>3800</v>
      </c>
      <c r="D468" s="834" t="s">
        <v>178</v>
      </c>
      <c r="E468" s="852">
        <v>46102</v>
      </c>
      <c r="F468" s="834" t="s">
        <v>65</v>
      </c>
      <c r="G468" s="834">
        <v>7</v>
      </c>
      <c r="H468" s="834" t="s">
        <v>1721</v>
      </c>
      <c r="I468" s="834" t="s">
        <v>1638</v>
      </c>
      <c r="J468" s="136"/>
      <c r="K468" s="136" t="s">
        <v>3058</v>
      </c>
      <c r="L468" s="834" t="s">
        <v>2052</v>
      </c>
      <c r="M468" s="834" t="s">
        <v>3767</v>
      </c>
      <c r="N468" s="834" t="s">
        <v>3767</v>
      </c>
      <c r="O468" s="136" t="s">
        <v>3801</v>
      </c>
      <c r="P468" s="848"/>
      <c r="Q468" s="848"/>
      <c r="R468" s="848"/>
      <c r="S468" s="89" t="s">
        <v>1638</v>
      </c>
      <c r="T468" s="834"/>
      <c r="U468" s="834"/>
      <c r="V468" s="834"/>
      <c r="W468" s="834"/>
      <c r="X468" s="80" t="s">
        <v>30</v>
      </c>
      <c r="Y468" s="80" t="s">
        <v>30</v>
      </c>
      <c r="Z468" s="80"/>
      <c r="AA468" s="80"/>
      <c r="AB468" s="80"/>
      <c r="AC468" s="80"/>
      <c r="AD468" s="80"/>
      <c r="AE468" s="80"/>
      <c r="AF468" s="80"/>
      <c r="AG468" s="80"/>
      <c r="AH468" s="80"/>
      <c r="AI468" s="108"/>
      <c r="AJ468" s="108"/>
      <c r="AK468" s="108"/>
      <c r="AL468" s="108"/>
      <c r="AM468" s="80"/>
      <c r="AN468" s="80"/>
      <c r="AO468" s="832"/>
      <c r="AP468" s="875"/>
      <c r="AQ468" s="875"/>
      <c r="AR468" s="875"/>
      <c r="AS468" s="776"/>
      <c r="AT468" s="776"/>
      <c r="AU468" s="92"/>
      <c r="AV468" s="92"/>
      <c r="AW468" s="92"/>
      <c r="AX468" s="92"/>
      <c r="AY468"/>
      <c r="AZ468"/>
      <c r="BA468"/>
      <c r="BB468">
        <f t="shared" si="22"/>
        <v>1</v>
      </c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</row>
    <row r="469" spans="1:99" s="374" customFormat="1">
      <c r="A469" s="834" t="s">
        <v>24</v>
      </c>
      <c r="B469" s="834">
        <v>466</v>
      </c>
      <c r="C469" s="136" t="s">
        <v>3802</v>
      </c>
      <c r="D469" s="834" t="s">
        <v>178</v>
      </c>
      <c r="E469" s="852">
        <v>46102</v>
      </c>
      <c r="F469" s="834" t="s">
        <v>65</v>
      </c>
      <c r="G469" s="834">
        <v>3</v>
      </c>
      <c r="H469" s="834" t="s">
        <v>1077</v>
      </c>
      <c r="I469" s="834" t="s">
        <v>1138</v>
      </c>
      <c r="J469" s="136"/>
      <c r="K469" s="136" t="s">
        <v>3058</v>
      </c>
      <c r="L469" s="834" t="s">
        <v>2052</v>
      </c>
      <c r="M469" s="834" t="s">
        <v>3767</v>
      </c>
      <c r="N469" s="834" t="s">
        <v>3767</v>
      </c>
      <c r="O469" s="136" t="s">
        <v>3801</v>
      </c>
      <c r="P469" s="848"/>
      <c r="Q469" s="848"/>
      <c r="R469" s="848"/>
      <c r="S469" s="89" t="s">
        <v>1138</v>
      </c>
      <c r="T469" s="834"/>
      <c r="U469" s="834">
        <v>3</v>
      </c>
      <c r="V469" s="834"/>
      <c r="W469" s="852">
        <v>46113</v>
      </c>
      <c r="X469" s="80" t="s">
        <v>30</v>
      </c>
      <c r="Y469" s="80" t="s">
        <v>30</v>
      </c>
      <c r="Z469" s="80" t="s">
        <v>30</v>
      </c>
      <c r="AA469" s="80"/>
      <c r="AB469" s="80"/>
      <c r="AC469" s="80"/>
      <c r="AD469" s="80"/>
      <c r="AE469" s="80"/>
      <c r="AF469" s="80"/>
      <c r="AG469" s="80"/>
      <c r="AH469" s="80"/>
      <c r="AI469" s="108"/>
      <c r="AJ469" s="108"/>
      <c r="AK469" s="108"/>
      <c r="AL469" s="108"/>
      <c r="AM469" s="80"/>
      <c r="AN469" s="80"/>
      <c r="AO469" s="832"/>
      <c r="AP469" s="875"/>
      <c r="AQ469" s="875"/>
      <c r="AR469" s="875"/>
      <c r="AS469" s="776"/>
      <c r="AT469" s="776"/>
      <c r="AU469" s="92"/>
      <c r="AV469" s="92"/>
      <c r="AW469" s="92"/>
      <c r="AX469" s="92"/>
      <c r="AY469"/>
      <c r="AZ469"/>
      <c r="BA469"/>
      <c r="BB469">
        <f t="shared" si="22"/>
        <v>1</v>
      </c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</row>
    <row r="470" spans="1:99" s="374" customFormat="1">
      <c r="A470" s="834" t="s">
        <v>24</v>
      </c>
      <c r="B470" s="834">
        <v>467</v>
      </c>
      <c r="C470" s="834" t="s">
        <v>3803</v>
      </c>
      <c r="D470" s="834" t="s">
        <v>34</v>
      </c>
      <c r="E470" s="852">
        <v>46102</v>
      </c>
      <c r="F470" s="834" t="s">
        <v>272</v>
      </c>
      <c r="G470" s="834">
        <v>23</v>
      </c>
      <c r="H470" s="834" t="s">
        <v>1076</v>
      </c>
      <c r="I470" s="834" t="s">
        <v>3337</v>
      </c>
      <c r="J470" s="136"/>
      <c r="K470" s="136" t="s">
        <v>3058</v>
      </c>
      <c r="L470" s="136" t="s">
        <v>2325</v>
      </c>
      <c r="M470" s="136" t="s">
        <v>3777</v>
      </c>
      <c r="N470" s="136" t="s">
        <v>3761</v>
      </c>
      <c r="O470" s="376" t="s">
        <v>3804</v>
      </c>
      <c r="P470" s="90" t="s">
        <v>2863</v>
      </c>
      <c r="Q470" s="848"/>
      <c r="R470" s="848"/>
      <c r="S470" s="89" t="s">
        <v>3337</v>
      </c>
      <c r="T470" s="834"/>
      <c r="U470" s="834"/>
      <c r="V470" s="834" t="s">
        <v>3438</v>
      </c>
      <c r="W470" s="834"/>
      <c r="X470" s="80" t="s">
        <v>30</v>
      </c>
      <c r="Y470" s="80"/>
      <c r="Z470" s="80"/>
      <c r="AA470" s="80" t="s">
        <v>30</v>
      </c>
      <c r="AB470" s="80" t="s">
        <v>30</v>
      </c>
      <c r="AC470" s="80" t="s">
        <v>30</v>
      </c>
      <c r="AD470" s="80" t="s">
        <v>30</v>
      </c>
      <c r="AE470" s="80" t="s">
        <v>30</v>
      </c>
      <c r="AF470" s="80" t="s">
        <v>30</v>
      </c>
      <c r="AG470" s="80" t="s">
        <v>30</v>
      </c>
      <c r="AH470" s="80" t="s">
        <v>30</v>
      </c>
      <c r="AI470" s="108" t="s">
        <v>32</v>
      </c>
      <c r="AJ470" s="108" t="s">
        <v>32</v>
      </c>
      <c r="AK470" s="108" t="s">
        <v>32</v>
      </c>
      <c r="AL470" s="108" t="s">
        <v>1091</v>
      </c>
      <c r="AM470" s="80" t="s">
        <v>32</v>
      </c>
      <c r="AN470" s="80"/>
      <c r="AO470" s="832"/>
      <c r="AP470" s="875"/>
      <c r="AQ470" s="875"/>
      <c r="AR470" s="875"/>
      <c r="AS470" s="776"/>
      <c r="AT470" s="776"/>
      <c r="AU470" s="92"/>
      <c r="AV470" s="92"/>
      <c r="AW470" s="92"/>
      <c r="AX470" s="92"/>
      <c r="AY470"/>
      <c r="AZ470"/>
      <c r="BA470"/>
      <c r="BB470">
        <f t="shared" ref="BB470" si="23">IF(E470&gt;1,1,"")</f>
        <v>1</v>
      </c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</row>
    <row r="471" spans="1:99" s="374" customFormat="1">
      <c r="A471" s="834" t="s">
        <v>2342</v>
      </c>
      <c r="B471" s="834">
        <v>468</v>
      </c>
      <c r="C471" s="840" t="s">
        <v>3805</v>
      </c>
      <c r="D471" s="834" t="s">
        <v>1245</v>
      </c>
      <c r="E471" s="852">
        <v>46104</v>
      </c>
      <c r="F471" s="834" t="s">
        <v>3624</v>
      </c>
      <c r="G471" s="834">
        <v>1</v>
      </c>
      <c r="H471" s="834" t="s">
        <v>1077</v>
      </c>
      <c r="I471" s="834" t="s">
        <v>1138</v>
      </c>
      <c r="J471" s="136"/>
      <c r="K471" s="136"/>
      <c r="L471" s="834"/>
      <c r="M471" s="834"/>
      <c r="N471" s="834"/>
      <c r="O471" s="136"/>
      <c r="P471" s="848"/>
      <c r="Q471" s="848"/>
      <c r="R471" s="848"/>
      <c r="S471" s="89" t="s">
        <v>3337</v>
      </c>
      <c r="T471" s="834"/>
      <c r="U471" s="834">
        <v>1</v>
      </c>
      <c r="V471" s="834"/>
      <c r="W471" s="852">
        <v>46125</v>
      </c>
      <c r="X471" s="834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108"/>
      <c r="AJ471" s="108"/>
      <c r="AK471" s="108"/>
      <c r="AL471" s="108"/>
      <c r="AM471" s="80"/>
      <c r="AN471" s="80"/>
      <c r="AO471" s="832"/>
      <c r="AP471" s="875"/>
      <c r="AQ471" s="875"/>
      <c r="AR471" s="875"/>
      <c r="AS471" s="776"/>
      <c r="AT471" s="776"/>
      <c r="AU471" s="92"/>
      <c r="AV471" s="92"/>
      <c r="AW471" s="92"/>
      <c r="AX471" s="92"/>
      <c r="AY471"/>
      <c r="AZ471"/>
      <c r="BA471"/>
      <c r="BB471">
        <f t="shared" si="22"/>
        <v>1</v>
      </c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</row>
    <row r="472" spans="1:99" s="374" customFormat="1">
      <c r="A472" s="834" t="s">
        <v>2342</v>
      </c>
      <c r="B472" s="834">
        <v>469</v>
      </c>
      <c r="C472" s="840" t="s">
        <v>3806</v>
      </c>
      <c r="D472" s="834" t="s">
        <v>3807</v>
      </c>
      <c r="E472" s="852">
        <v>46104</v>
      </c>
      <c r="F472" s="834" t="s">
        <v>3624</v>
      </c>
      <c r="G472" s="834">
        <v>7</v>
      </c>
      <c r="H472" s="834" t="s">
        <v>1076</v>
      </c>
      <c r="I472" s="834" t="s">
        <v>3337</v>
      </c>
      <c r="J472" s="136"/>
      <c r="K472" s="136"/>
      <c r="L472" s="834"/>
      <c r="M472" s="834"/>
      <c r="N472" s="834"/>
      <c r="O472" s="136"/>
      <c r="P472" s="848"/>
      <c r="Q472" s="848"/>
      <c r="R472" s="848"/>
      <c r="S472" s="89" t="s">
        <v>3337</v>
      </c>
      <c r="T472" s="834"/>
      <c r="U472" s="834">
        <v>7</v>
      </c>
      <c r="V472" s="834"/>
      <c r="W472" s="852">
        <v>46113</v>
      </c>
      <c r="X472" s="834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108"/>
      <c r="AJ472" s="108"/>
      <c r="AK472" s="108"/>
      <c r="AL472" s="108"/>
      <c r="AM472" s="80"/>
      <c r="AN472" s="80"/>
      <c r="AO472" s="832"/>
      <c r="AP472" s="875"/>
      <c r="AQ472" s="875"/>
      <c r="AR472" s="875"/>
      <c r="AS472" s="776"/>
      <c r="AT472" s="776"/>
      <c r="AU472" s="92"/>
      <c r="AV472" s="92"/>
      <c r="AW472" s="92"/>
      <c r="AX472" s="9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</row>
    <row r="473" spans="1:99" s="374" customFormat="1">
      <c r="A473" s="834" t="s">
        <v>2342</v>
      </c>
      <c r="B473" s="834">
        <v>470</v>
      </c>
      <c r="C473" s="840" t="s">
        <v>3808</v>
      </c>
      <c r="D473" s="834" t="s">
        <v>779</v>
      </c>
      <c r="E473" s="852">
        <v>46104</v>
      </c>
      <c r="F473" s="834" t="s">
        <v>3624</v>
      </c>
      <c r="G473" s="834">
        <v>6</v>
      </c>
      <c r="H473" s="834" t="s">
        <v>1790</v>
      </c>
      <c r="I473" s="834" t="s">
        <v>3809</v>
      </c>
      <c r="J473" s="136"/>
      <c r="K473" s="136"/>
      <c r="L473" s="834"/>
      <c r="M473" s="834"/>
      <c r="N473" s="834"/>
      <c r="O473" s="136"/>
      <c r="P473" s="848"/>
      <c r="Q473" s="848"/>
      <c r="R473" s="848"/>
      <c r="S473" s="89" t="s">
        <v>1638</v>
      </c>
      <c r="T473" s="834"/>
      <c r="U473" s="834">
        <v>6</v>
      </c>
      <c r="V473" s="834"/>
      <c r="W473" s="852">
        <v>46119</v>
      </c>
      <c r="X473" s="834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108"/>
      <c r="AJ473" s="108"/>
      <c r="AK473" s="108"/>
      <c r="AL473" s="108"/>
      <c r="AM473" s="80"/>
      <c r="AN473" s="80"/>
      <c r="AO473" s="832"/>
      <c r="AP473" s="875"/>
      <c r="AQ473" s="875"/>
      <c r="AR473" s="875"/>
      <c r="AS473" s="776"/>
      <c r="AT473" s="776"/>
      <c r="AU473" s="92"/>
      <c r="AV473" s="92"/>
      <c r="AW473" s="92"/>
      <c r="AX473" s="92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</row>
    <row r="474" spans="1:99" s="374" customFormat="1">
      <c r="A474" s="834" t="s">
        <v>2342</v>
      </c>
      <c r="B474" s="834">
        <v>471</v>
      </c>
      <c r="C474" s="840" t="s">
        <v>3810</v>
      </c>
      <c r="D474" s="834" t="s">
        <v>1184</v>
      </c>
      <c r="E474" s="852">
        <v>46104</v>
      </c>
      <c r="F474" s="834" t="s">
        <v>3624</v>
      </c>
      <c r="G474" s="834">
        <v>4</v>
      </c>
      <c r="H474" s="834" t="s">
        <v>3056</v>
      </c>
      <c r="I474" s="834" t="s">
        <v>47</v>
      </c>
      <c r="J474" s="136"/>
      <c r="K474" s="136"/>
      <c r="L474" s="834"/>
      <c r="M474" s="834"/>
      <c r="N474" s="834"/>
      <c r="O474" s="136"/>
      <c r="P474" s="848"/>
      <c r="Q474" s="848"/>
      <c r="R474" s="848"/>
      <c r="S474" s="89" t="s">
        <v>3337</v>
      </c>
      <c r="T474" s="834"/>
      <c r="U474" s="834">
        <v>4</v>
      </c>
      <c r="V474" s="834"/>
      <c r="W474" s="852">
        <v>46125</v>
      </c>
      <c r="X474" s="834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108"/>
      <c r="AJ474" s="108"/>
      <c r="AK474" s="108"/>
      <c r="AL474" s="108"/>
      <c r="AM474" s="80"/>
      <c r="AN474" s="80"/>
      <c r="AO474" s="832"/>
      <c r="AP474" s="875"/>
      <c r="AQ474" s="875"/>
      <c r="AR474" s="875"/>
      <c r="AS474" s="776"/>
      <c r="AT474" s="776"/>
      <c r="AU474" s="92"/>
      <c r="AV474" s="92"/>
      <c r="AW474" s="92"/>
      <c r="AX474" s="92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</row>
    <row r="475" spans="1:99" s="374" customFormat="1">
      <c r="A475" s="834" t="s">
        <v>2342</v>
      </c>
      <c r="B475" s="834">
        <v>472</v>
      </c>
      <c r="C475" s="840" t="s">
        <v>3811</v>
      </c>
      <c r="D475" s="834" t="s">
        <v>829</v>
      </c>
      <c r="E475" s="852">
        <v>46104</v>
      </c>
      <c r="F475" s="834" t="s">
        <v>3624</v>
      </c>
      <c r="G475" s="834">
        <v>41</v>
      </c>
      <c r="H475" s="834" t="s">
        <v>3492</v>
      </c>
      <c r="I475" s="834" t="s">
        <v>1670</v>
      </c>
      <c r="J475" s="136"/>
      <c r="K475" s="136"/>
      <c r="L475" s="834"/>
      <c r="M475" s="834"/>
      <c r="N475" s="834"/>
      <c r="O475" s="136"/>
      <c r="P475" s="834" t="s">
        <v>3560</v>
      </c>
      <c r="Q475" s="848"/>
      <c r="R475" s="848"/>
      <c r="S475" s="89" t="s">
        <v>3337</v>
      </c>
      <c r="T475" s="834"/>
      <c r="U475" s="834"/>
      <c r="V475" s="834" t="s">
        <v>3438</v>
      </c>
      <c r="W475" s="834"/>
      <c r="X475" s="834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108"/>
      <c r="AJ475" s="108"/>
      <c r="AK475" s="108"/>
      <c r="AL475" s="108"/>
      <c r="AM475" s="80"/>
      <c r="AN475" s="80"/>
      <c r="AO475" s="99">
        <v>0</v>
      </c>
      <c r="AP475" s="99">
        <v>29</v>
      </c>
      <c r="AQ475" s="633">
        <v>0</v>
      </c>
      <c r="AR475" s="633">
        <v>0</v>
      </c>
      <c r="AS475" s="510">
        <v>12</v>
      </c>
      <c r="AT475" s="510">
        <f>SUM(AO475:AS475)</f>
        <v>41</v>
      </c>
      <c r="AU475" s="511">
        <f>+AO475/AT475*AU$1</f>
        <v>0</v>
      </c>
      <c r="AV475" s="512">
        <f>+AP475/AT475*AV$1</f>
        <v>2.1219512195121952</v>
      </c>
      <c r="AW475" s="510"/>
      <c r="AX475" s="512">
        <f>+AQ475/AT475*AX$1</f>
        <v>0</v>
      </c>
      <c r="AY475" s="512">
        <f>+AR475/AT475*AY$1</f>
        <v>0</v>
      </c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</row>
    <row r="476" spans="1:99" s="374" customFormat="1">
      <c r="A476" s="834" t="s">
        <v>2342</v>
      </c>
      <c r="B476" s="834">
        <v>473</v>
      </c>
      <c r="C476" s="840" t="s">
        <v>3812</v>
      </c>
      <c r="D476" s="834" t="s">
        <v>937</v>
      </c>
      <c r="E476" s="852">
        <v>46104</v>
      </c>
      <c r="F476" s="834" t="s">
        <v>3624</v>
      </c>
      <c r="G476" s="834">
        <v>3</v>
      </c>
      <c r="H476" s="834" t="s">
        <v>3056</v>
      </c>
      <c r="I476" s="834" t="s">
        <v>47</v>
      </c>
      <c r="J476" s="136"/>
      <c r="K476" s="136"/>
      <c r="L476" s="834"/>
      <c r="M476" s="834"/>
      <c r="N476" s="834"/>
      <c r="O476" s="136"/>
      <c r="P476" s="848"/>
      <c r="Q476" s="848"/>
      <c r="R476" s="848"/>
      <c r="S476" s="89" t="s">
        <v>3337</v>
      </c>
      <c r="T476" s="834"/>
      <c r="U476" s="834"/>
      <c r="V476" s="834" t="s">
        <v>3438</v>
      </c>
      <c r="W476" s="834"/>
      <c r="X476" s="834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108"/>
      <c r="AJ476" s="108"/>
      <c r="AK476" s="108"/>
      <c r="AL476" s="108"/>
      <c r="AM476" s="80"/>
      <c r="AN476" s="80"/>
      <c r="AO476" s="832"/>
      <c r="AP476" s="875"/>
      <c r="AQ476" s="875"/>
      <c r="AR476" s="875"/>
      <c r="AS476" s="776"/>
      <c r="AT476" s="776"/>
      <c r="AU476" s="92"/>
      <c r="AV476" s="92"/>
      <c r="AW476" s="92"/>
      <c r="AX476" s="92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</row>
    <row r="477" spans="1:99" s="374" customFormat="1">
      <c r="A477" s="834" t="s">
        <v>2342</v>
      </c>
      <c r="B477" s="834">
        <v>474</v>
      </c>
      <c r="C477" s="840" t="s">
        <v>3813</v>
      </c>
      <c r="D477" s="834" t="s">
        <v>3814</v>
      </c>
      <c r="E477" s="852">
        <v>46104</v>
      </c>
      <c r="F477" s="834" t="s">
        <v>3624</v>
      </c>
      <c r="G477" s="834">
        <v>1</v>
      </c>
      <c r="H477" s="834" t="s">
        <v>3056</v>
      </c>
      <c r="I477" s="834" t="s">
        <v>47</v>
      </c>
      <c r="J477" s="136"/>
      <c r="K477" s="136"/>
      <c r="L477" s="834"/>
      <c r="M477" s="834"/>
      <c r="N477" s="834"/>
      <c r="O477" s="136"/>
      <c r="P477" s="848"/>
      <c r="Q477" s="848"/>
      <c r="R477" s="848"/>
      <c r="S477" s="89" t="s">
        <v>3337</v>
      </c>
      <c r="T477" s="834"/>
      <c r="U477" s="834"/>
      <c r="V477" s="834" t="s">
        <v>3438</v>
      </c>
      <c r="W477" s="834"/>
      <c r="X477" s="834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108"/>
      <c r="AJ477" s="108"/>
      <c r="AK477" s="108"/>
      <c r="AL477" s="108"/>
      <c r="AM477" s="80"/>
      <c r="AN477" s="80"/>
      <c r="AO477" s="832"/>
      <c r="AP477" s="875"/>
      <c r="AQ477" s="875"/>
      <c r="AR477" s="875"/>
      <c r="AS477" s="776"/>
      <c r="AT477" s="776"/>
      <c r="AU477" s="92"/>
      <c r="AV477" s="92"/>
      <c r="AW477" s="92"/>
      <c r="AX477" s="92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</row>
    <row r="478" spans="1:99" s="374" customFormat="1" ht="15.75" customHeight="1">
      <c r="A478" s="834" t="s">
        <v>2342</v>
      </c>
      <c r="B478" s="834">
        <v>475</v>
      </c>
      <c r="C478" s="840" t="s">
        <v>3815</v>
      </c>
      <c r="D478" s="642" t="s">
        <v>3503</v>
      </c>
      <c r="E478" s="852">
        <v>46104</v>
      </c>
      <c r="F478" s="834" t="s">
        <v>3624</v>
      </c>
      <c r="G478" s="834">
        <v>17</v>
      </c>
      <c r="H478" s="834" t="s">
        <v>3056</v>
      </c>
      <c r="I478" s="834" t="s">
        <v>47</v>
      </c>
      <c r="J478" s="136"/>
      <c r="K478" s="136"/>
      <c r="L478" s="834"/>
      <c r="M478" s="834"/>
      <c r="N478" s="834"/>
      <c r="O478" s="136"/>
      <c r="P478" s="834" t="s">
        <v>3560</v>
      </c>
      <c r="Q478" s="848"/>
      <c r="R478" s="848"/>
      <c r="S478" s="89" t="s">
        <v>3337</v>
      </c>
      <c r="T478" s="834"/>
      <c r="U478" s="834"/>
      <c r="V478" s="834" t="s">
        <v>3438</v>
      </c>
      <c r="W478" s="834"/>
      <c r="X478" s="834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108"/>
      <c r="AJ478" s="108"/>
      <c r="AK478" s="108"/>
      <c r="AL478" s="108"/>
      <c r="AM478" s="80"/>
      <c r="AN478" s="80"/>
      <c r="AO478" s="99">
        <v>0</v>
      </c>
      <c r="AP478" s="99">
        <v>17</v>
      </c>
      <c r="AQ478" s="633">
        <v>0</v>
      </c>
      <c r="AR478" s="633">
        <v>0</v>
      </c>
      <c r="AS478" s="510">
        <v>0</v>
      </c>
      <c r="AT478" s="510">
        <f>SUM(AO478:AS478)</f>
        <v>17</v>
      </c>
      <c r="AU478" s="511">
        <f>+AO478/AT478*AU$1</f>
        <v>0</v>
      </c>
      <c r="AV478" s="512">
        <f>+AP478/AT478*AV$1</f>
        <v>3</v>
      </c>
      <c r="AW478" s="510"/>
      <c r="AX478" s="512">
        <f>+AQ478/AT478*AX$1</f>
        <v>0</v>
      </c>
      <c r="AY478" s="512">
        <f>+AR478/AT478*AY$1</f>
        <v>0</v>
      </c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</row>
    <row r="479" spans="1:99" s="374" customFormat="1">
      <c r="A479" s="834" t="s">
        <v>2342</v>
      </c>
      <c r="B479" s="834">
        <v>476</v>
      </c>
      <c r="C479" s="840" t="s">
        <v>3816</v>
      </c>
      <c r="D479" s="834" t="s">
        <v>1574</v>
      </c>
      <c r="E479" s="852">
        <v>46104</v>
      </c>
      <c r="F479" s="834" t="s">
        <v>3624</v>
      </c>
      <c r="G479" s="834">
        <v>1</v>
      </c>
      <c r="H479" s="834" t="s">
        <v>1076</v>
      </c>
      <c r="I479" s="834" t="s">
        <v>3337</v>
      </c>
      <c r="J479" s="136"/>
      <c r="K479" s="136"/>
      <c r="L479" s="834"/>
      <c r="M479" s="834"/>
      <c r="N479" s="834"/>
      <c r="O479" s="136"/>
      <c r="P479" s="848"/>
      <c r="Q479" s="848"/>
      <c r="R479" s="848"/>
      <c r="S479" s="89" t="s">
        <v>1638</v>
      </c>
      <c r="T479" s="834"/>
      <c r="U479" s="834"/>
      <c r="V479" s="834" t="s">
        <v>3438</v>
      </c>
      <c r="W479" s="834"/>
      <c r="X479" s="834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108"/>
      <c r="AJ479" s="108"/>
      <c r="AK479" s="108"/>
      <c r="AL479" s="108"/>
      <c r="AM479" s="80"/>
      <c r="AN479" s="80"/>
      <c r="AO479" s="832"/>
      <c r="AP479" s="875"/>
      <c r="AQ479" s="875"/>
      <c r="AR479" s="875"/>
      <c r="AS479" s="776"/>
      <c r="AT479" s="776"/>
      <c r="AU479" s="92"/>
      <c r="AV479" s="92"/>
      <c r="AW479" s="92"/>
      <c r="AX479" s="92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</row>
    <row r="480" spans="1:99" s="374" customFormat="1">
      <c r="A480" s="834" t="s">
        <v>2342</v>
      </c>
      <c r="B480" s="834">
        <v>477</v>
      </c>
      <c r="C480" s="840" t="s">
        <v>3817</v>
      </c>
      <c r="D480" s="834" t="s">
        <v>3818</v>
      </c>
      <c r="E480" s="852">
        <v>46104</v>
      </c>
      <c r="F480" s="834" t="s">
        <v>3624</v>
      </c>
      <c r="G480" s="834">
        <v>2</v>
      </c>
      <c r="H480" s="834" t="s">
        <v>3056</v>
      </c>
      <c r="I480" s="834" t="s">
        <v>47</v>
      </c>
      <c r="J480" s="136"/>
      <c r="K480" s="136"/>
      <c r="L480" s="834"/>
      <c r="M480" s="834"/>
      <c r="N480" s="834"/>
      <c r="O480" s="136"/>
      <c r="P480" s="848"/>
      <c r="Q480" s="848"/>
      <c r="R480" s="848"/>
      <c r="S480" s="89" t="s">
        <v>1638</v>
      </c>
      <c r="T480" s="834"/>
      <c r="U480" s="834">
        <v>2</v>
      </c>
      <c r="V480" s="834"/>
      <c r="W480" s="852">
        <v>46113</v>
      </c>
      <c r="X480" s="834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108"/>
      <c r="AJ480" s="108"/>
      <c r="AK480" s="108"/>
      <c r="AL480" s="108"/>
      <c r="AM480" s="80"/>
      <c r="AN480" s="80"/>
      <c r="AO480" s="832"/>
      <c r="AP480" s="875"/>
      <c r="AQ480" s="875"/>
      <c r="AR480" s="875"/>
      <c r="AS480" s="776"/>
      <c r="AT480" s="776"/>
      <c r="AU480" s="92"/>
      <c r="AV480" s="92"/>
      <c r="AW480" s="92"/>
      <c r="AX480" s="92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</row>
    <row r="481" spans="1:99" s="374" customFormat="1">
      <c r="A481" s="834" t="s">
        <v>2342</v>
      </c>
      <c r="B481" s="834">
        <v>478</v>
      </c>
      <c r="C481" s="840" t="s">
        <v>3819</v>
      </c>
      <c r="D481" s="834" t="s">
        <v>3820</v>
      </c>
      <c r="E481" s="852">
        <v>46104</v>
      </c>
      <c r="F481" s="834" t="s">
        <v>3624</v>
      </c>
      <c r="G481" s="834">
        <v>8</v>
      </c>
      <c r="H481" s="834" t="s">
        <v>1077</v>
      </c>
      <c r="I481" s="834" t="s">
        <v>1138</v>
      </c>
      <c r="J481" s="136"/>
      <c r="K481" s="136"/>
      <c r="L481" s="834"/>
      <c r="M481" s="834"/>
      <c r="N481" s="834"/>
      <c r="O481" s="136"/>
      <c r="P481" s="848"/>
      <c r="Q481" s="848"/>
      <c r="R481" s="848"/>
      <c r="S481" s="89" t="s">
        <v>1638</v>
      </c>
      <c r="T481" s="834"/>
      <c r="U481" s="834"/>
      <c r="V481" s="834" t="s">
        <v>3438</v>
      </c>
      <c r="W481" s="834"/>
      <c r="X481" s="834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108"/>
      <c r="AJ481" s="108"/>
      <c r="AK481" s="108"/>
      <c r="AL481" s="108"/>
      <c r="AM481" s="80"/>
      <c r="AN481" s="80"/>
      <c r="AO481" s="832"/>
      <c r="AP481" s="875"/>
      <c r="AQ481" s="875"/>
      <c r="AR481" s="875"/>
      <c r="AS481" s="776"/>
      <c r="AT481" s="776"/>
      <c r="AU481" s="92"/>
      <c r="AV481" s="92"/>
      <c r="AW481" s="92"/>
      <c r="AX481" s="92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</row>
    <row r="482" spans="1:99" s="374" customFormat="1">
      <c r="A482" s="834" t="s">
        <v>2342</v>
      </c>
      <c r="B482" s="834">
        <v>479</v>
      </c>
      <c r="C482" s="840" t="s">
        <v>3821</v>
      </c>
      <c r="D482" s="834" t="s">
        <v>1198</v>
      </c>
      <c r="E482" s="852">
        <v>46104</v>
      </c>
      <c r="F482" s="834" t="s">
        <v>3624</v>
      </c>
      <c r="G482" s="834">
        <v>19</v>
      </c>
      <c r="H482" s="834" t="s">
        <v>1076</v>
      </c>
      <c r="I482" s="834" t="s">
        <v>3337</v>
      </c>
      <c r="J482" s="136"/>
      <c r="K482" s="136"/>
      <c r="L482" s="136"/>
      <c r="M482" s="136"/>
      <c r="N482" s="136"/>
      <c r="O482" s="376"/>
      <c r="P482" s="848"/>
      <c r="Q482" s="848"/>
      <c r="R482" s="848"/>
      <c r="S482" s="89" t="s">
        <v>1638</v>
      </c>
      <c r="T482" s="834"/>
      <c r="U482" s="834"/>
      <c r="V482" s="834" t="s">
        <v>3438</v>
      </c>
      <c r="W482" s="834"/>
      <c r="X482" s="834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108"/>
      <c r="AJ482" s="108"/>
      <c r="AK482" s="108"/>
      <c r="AL482" s="108"/>
      <c r="AM482" s="80"/>
      <c r="AN482" s="80"/>
      <c r="AO482" s="99">
        <v>0</v>
      </c>
      <c r="AP482" s="99">
        <v>0</v>
      </c>
      <c r="AQ482" s="633">
        <v>0</v>
      </c>
      <c r="AR482" s="633">
        <v>18</v>
      </c>
      <c r="AS482" s="510">
        <v>1</v>
      </c>
      <c r="AT482" s="510">
        <f>SUM(AO482:AS482)</f>
        <v>19</v>
      </c>
      <c r="AU482" s="511">
        <f>+AO482/AT482*AU$1</f>
        <v>0</v>
      </c>
      <c r="AV482" s="512">
        <f>+AP482/AT482*AV$1</f>
        <v>0</v>
      </c>
      <c r="AW482" s="510"/>
      <c r="AX482" s="512">
        <f>+AQ482/AT482*AX$1</f>
        <v>0</v>
      </c>
      <c r="AY482" s="512">
        <f>+AR482/AT482*AY$1</f>
        <v>2.8421052631578947</v>
      </c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</row>
    <row r="483" spans="1:99" s="374" customFormat="1">
      <c r="A483" s="834" t="s">
        <v>2342</v>
      </c>
      <c r="B483" s="834">
        <v>480</v>
      </c>
      <c r="C483" s="840" t="s">
        <v>3822</v>
      </c>
      <c r="D483" s="834" t="s">
        <v>2963</v>
      </c>
      <c r="E483" s="852">
        <v>46104</v>
      </c>
      <c r="F483" s="834" t="s">
        <v>3624</v>
      </c>
      <c r="G483" s="834">
        <v>3</v>
      </c>
      <c r="H483" s="834" t="s">
        <v>3056</v>
      </c>
      <c r="I483" s="834" t="s">
        <v>47</v>
      </c>
      <c r="J483" s="136"/>
      <c r="K483" s="136"/>
      <c r="L483" s="136"/>
      <c r="M483" s="136"/>
      <c r="N483" s="136"/>
      <c r="O483" s="376"/>
      <c r="P483" s="848"/>
      <c r="Q483" s="848"/>
      <c r="R483" s="848"/>
      <c r="S483" s="89" t="s">
        <v>1638</v>
      </c>
      <c r="T483" s="834"/>
      <c r="U483" s="834"/>
      <c r="V483" s="834" t="s">
        <v>3438</v>
      </c>
      <c r="W483" s="834"/>
      <c r="X483" s="834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108"/>
      <c r="AJ483" s="108"/>
      <c r="AK483" s="108"/>
      <c r="AL483" s="108"/>
      <c r="AM483" s="80"/>
      <c r="AN483" s="80"/>
      <c r="AO483" s="832"/>
      <c r="AP483" s="875"/>
      <c r="AQ483" s="875"/>
      <c r="AR483" s="875"/>
      <c r="AS483" s="776"/>
      <c r="AT483" s="776"/>
      <c r="AU483" s="92"/>
      <c r="AV483" s="92"/>
      <c r="AW483" s="92"/>
      <c r="AX483" s="92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</row>
    <row r="484" spans="1:99" s="374" customFormat="1">
      <c r="A484" s="834" t="s">
        <v>2342</v>
      </c>
      <c r="B484" s="834">
        <v>481</v>
      </c>
      <c r="C484" s="840" t="s">
        <v>3823</v>
      </c>
      <c r="D484" s="834" t="s">
        <v>818</v>
      </c>
      <c r="E484" s="852">
        <v>46104</v>
      </c>
      <c r="F484" s="834" t="s">
        <v>3624</v>
      </c>
      <c r="G484" s="834">
        <v>1</v>
      </c>
      <c r="H484" s="834" t="s">
        <v>3056</v>
      </c>
      <c r="I484" s="834" t="s">
        <v>47</v>
      </c>
      <c r="J484" s="136"/>
      <c r="K484" s="136"/>
      <c r="L484" s="136"/>
      <c r="M484" s="136"/>
      <c r="N484" s="136"/>
      <c r="O484" s="376"/>
      <c r="P484" s="848"/>
      <c r="Q484" s="848"/>
      <c r="R484" s="848"/>
      <c r="S484" s="89" t="s">
        <v>1638</v>
      </c>
      <c r="T484" s="834"/>
      <c r="U484" s="834">
        <v>1</v>
      </c>
      <c r="V484" s="834"/>
      <c r="W484" s="852">
        <v>46113</v>
      </c>
      <c r="X484" s="834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108"/>
      <c r="AJ484" s="108"/>
      <c r="AK484" s="108"/>
      <c r="AL484" s="108"/>
      <c r="AM484" s="80"/>
      <c r="AN484" s="80"/>
      <c r="AO484" s="832"/>
      <c r="AP484" s="875"/>
      <c r="AQ484" s="875"/>
      <c r="AR484" s="875"/>
      <c r="AS484" s="776"/>
      <c r="AT484" s="776"/>
      <c r="AU484" s="92"/>
      <c r="AV484" s="92"/>
      <c r="AW484" s="92"/>
      <c r="AX484" s="92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</row>
    <row r="485" spans="1:99" s="374" customFormat="1">
      <c r="A485" s="834" t="s">
        <v>2342</v>
      </c>
      <c r="B485" s="834">
        <v>482</v>
      </c>
      <c r="C485" s="840" t="s">
        <v>3824</v>
      </c>
      <c r="D485" s="834" t="s">
        <v>3525</v>
      </c>
      <c r="E485" s="852">
        <v>46104</v>
      </c>
      <c r="F485" s="834" t="s">
        <v>3624</v>
      </c>
      <c r="G485" s="834">
        <v>1</v>
      </c>
      <c r="H485" s="834" t="s">
        <v>3056</v>
      </c>
      <c r="I485" s="834" t="s">
        <v>47</v>
      </c>
      <c r="J485" s="136"/>
      <c r="K485" s="136"/>
      <c r="L485" s="136"/>
      <c r="M485" s="136"/>
      <c r="N485" s="136"/>
      <c r="O485" s="376"/>
      <c r="P485" s="848"/>
      <c r="Q485" s="848"/>
      <c r="R485" s="848"/>
      <c r="S485" s="89" t="s">
        <v>1638</v>
      </c>
      <c r="T485" s="834"/>
      <c r="U485" s="834">
        <v>1</v>
      </c>
      <c r="V485" s="834"/>
      <c r="W485" s="852">
        <v>46113</v>
      </c>
      <c r="X485" s="834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108"/>
      <c r="AJ485" s="108"/>
      <c r="AK485" s="108"/>
      <c r="AL485" s="108"/>
      <c r="AM485" s="80"/>
      <c r="AN485" s="80"/>
      <c r="AO485" s="832"/>
      <c r="AP485" s="875"/>
      <c r="AQ485" s="875"/>
      <c r="AR485" s="875"/>
      <c r="AS485" s="776"/>
      <c r="AT485" s="776"/>
      <c r="AU485" s="92"/>
      <c r="AV485" s="92"/>
      <c r="AW485" s="92"/>
      <c r="AX485" s="92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</row>
    <row r="486" spans="1:99" s="374" customFormat="1">
      <c r="A486" s="834" t="s">
        <v>2342</v>
      </c>
      <c r="B486" s="834">
        <v>483</v>
      </c>
      <c r="C486" s="840" t="s">
        <v>3825</v>
      </c>
      <c r="D486" s="834" t="s">
        <v>1887</v>
      </c>
      <c r="E486" s="852">
        <v>46104</v>
      </c>
      <c r="F486" s="834" t="s">
        <v>3624</v>
      </c>
      <c r="G486" s="834">
        <v>6</v>
      </c>
      <c r="H486" s="834" t="s">
        <v>3826</v>
      </c>
      <c r="I486" s="834" t="s">
        <v>3827</v>
      </c>
      <c r="J486" s="136"/>
      <c r="K486" s="136"/>
      <c r="L486" s="136"/>
      <c r="M486" s="136"/>
      <c r="N486" s="136"/>
      <c r="O486" s="376"/>
      <c r="P486" s="848"/>
      <c r="Q486" s="848"/>
      <c r="R486" s="848"/>
      <c r="S486" s="89" t="s">
        <v>1638</v>
      </c>
      <c r="T486" s="834"/>
      <c r="U486" s="834">
        <v>6</v>
      </c>
      <c r="V486" s="834"/>
      <c r="W486" s="852">
        <v>46119</v>
      </c>
      <c r="X486" s="834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108"/>
      <c r="AJ486" s="108"/>
      <c r="AK486" s="108"/>
      <c r="AL486" s="108"/>
      <c r="AM486" s="80"/>
      <c r="AN486" s="80"/>
      <c r="AO486" s="832"/>
      <c r="AP486" s="875"/>
      <c r="AQ486" s="875"/>
      <c r="AR486" s="875"/>
      <c r="AS486" s="776"/>
      <c r="AT486" s="776"/>
      <c r="AU486" s="92"/>
      <c r="AV486" s="92"/>
      <c r="AW486" s="92"/>
      <c r="AX486" s="92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</row>
    <row r="487" spans="1:99" s="374" customFormat="1">
      <c r="A487" s="834" t="s">
        <v>2342</v>
      </c>
      <c r="B487" s="834">
        <v>484</v>
      </c>
      <c r="C487" s="840" t="s">
        <v>3828</v>
      </c>
      <c r="D487" s="834" t="s">
        <v>2975</v>
      </c>
      <c r="E487" s="852">
        <v>46104</v>
      </c>
      <c r="F487" s="834" t="s">
        <v>3624</v>
      </c>
      <c r="G487" s="834">
        <v>4</v>
      </c>
      <c r="H487" s="834" t="s">
        <v>1076</v>
      </c>
      <c r="I487" s="834" t="s">
        <v>3337</v>
      </c>
      <c r="J487" s="136"/>
      <c r="K487" s="136"/>
      <c r="L487" s="136"/>
      <c r="M487" s="136"/>
      <c r="N487" s="136"/>
      <c r="O487" s="376"/>
      <c r="P487" s="848"/>
      <c r="Q487" s="848"/>
      <c r="R487" s="848"/>
      <c r="S487" s="89" t="s">
        <v>1638</v>
      </c>
      <c r="T487" s="834"/>
      <c r="U487" s="834">
        <v>4</v>
      </c>
      <c r="V487" s="834"/>
      <c r="W487" s="852">
        <v>46119</v>
      </c>
      <c r="X487" s="834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108"/>
      <c r="AJ487" s="108"/>
      <c r="AK487" s="108"/>
      <c r="AL487" s="108"/>
      <c r="AM487" s="80"/>
      <c r="AN487" s="80"/>
      <c r="AO487" s="832"/>
      <c r="AP487" s="875"/>
      <c r="AQ487" s="875"/>
      <c r="AR487" s="875"/>
      <c r="AS487" s="776"/>
      <c r="AT487" s="776"/>
      <c r="AU487" s="92"/>
      <c r="AV487" s="92"/>
      <c r="AW487" s="92"/>
      <c r="AX487" s="92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</row>
    <row r="488" spans="1:99" s="374" customFormat="1">
      <c r="A488" s="834" t="s">
        <v>2342</v>
      </c>
      <c r="B488" s="834">
        <v>485</v>
      </c>
      <c r="C488" s="840" t="s">
        <v>3829</v>
      </c>
      <c r="D488" s="834" t="s">
        <v>969</v>
      </c>
      <c r="E488" s="852">
        <v>46104</v>
      </c>
      <c r="F488" s="834" t="s">
        <v>3624</v>
      </c>
      <c r="G488" s="834">
        <v>4</v>
      </c>
      <c r="H488" s="834" t="s">
        <v>1076</v>
      </c>
      <c r="I488" s="834" t="s">
        <v>3337</v>
      </c>
      <c r="J488" s="136"/>
      <c r="K488" s="136"/>
      <c r="L488" s="136"/>
      <c r="M488" s="136"/>
      <c r="N488" s="136"/>
      <c r="O488" s="376"/>
      <c r="P488" s="848"/>
      <c r="Q488" s="848"/>
      <c r="R488" s="848"/>
      <c r="S488" s="89" t="s">
        <v>1638</v>
      </c>
      <c r="T488" s="834"/>
      <c r="U488" s="834">
        <v>4</v>
      </c>
      <c r="V488" s="834"/>
      <c r="W488" s="852">
        <v>46119</v>
      </c>
      <c r="X488" s="834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108"/>
      <c r="AJ488" s="108"/>
      <c r="AK488" s="108"/>
      <c r="AL488" s="108"/>
      <c r="AM488" s="80"/>
      <c r="AN488" s="80"/>
      <c r="AO488" s="832"/>
      <c r="AP488" s="875"/>
      <c r="AQ488" s="875"/>
      <c r="AR488" s="875"/>
      <c r="AS488" s="776"/>
      <c r="AT488" s="776"/>
      <c r="AU488" s="92"/>
      <c r="AV488" s="92"/>
      <c r="AW488" s="92"/>
      <c r="AX488" s="92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</row>
    <row r="489" spans="1:99" s="374" customFormat="1">
      <c r="A489" s="834" t="s">
        <v>2342</v>
      </c>
      <c r="B489" s="834">
        <v>486</v>
      </c>
      <c r="C489" s="840" t="s">
        <v>3830</v>
      </c>
      <c r="D489" s="834" t="s">
        <v>798</v>
      </c>
      <c r="E489" s="852">
        <v>46104</v>
      </c>
      <c r="F489" s="834" t="s">
        <v>3624</v>
      </c>
      <c r="G489" s="834">
        <v>20</v>
      </c>
      <c r="H489" s="834" t="s">
        <v>1721</v>
      </c>
      <c r="I489" s="834" t="s">
        <v>1638</v>
      </c>
      <c r="J489" s="136"/>
      <c r="K489" s="136"/>
      <c r="L489" s="136"/>
      <c r="M489" s="136"/>
      <c r="N489" s="136"/>
      <c r="O489" s="376"/>
      <c r="P489" s="834" t="s">
        <v>3560</v>
      </c>
      <c r="Q489" s="848"/>
      <c r="R489" s="848"/>
      <c r="S489" s="89" t="s">
        <v>1638</v>
      </c>
      <c r="T489" s="834"/>
      <c r="U489" s="834"/>
      <c r="V489" s="834" t="s">
        <v>3438</v>
      </c>
      <c r="W489" s="834"/>
      <c r="X489" s="834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108"/>
      <c r="AJ489" s="108"/>
      <c r="AK489" s="108"/>
      <c r="AL489" s="108"/>
      <c r="AM489" s="80"/>
      <c r="AN489" s="80"/>
      <c r="AO489" s="99">
        <v>0</v>
      </c>
      <c r="AP489" s="99">
        <v>0</v>
      </c>
      <c r="AQ489" s="633">
        <v>20</v>
      </c>
      <c r="AR489" s="633">
        <v>0</v>
      </c>
      <c r="AS489" s="510">
        <v>0</v>
      </c>
      <c r="AT489" s="510">
        <f>SUM(AO489:AS489)</f>
        <v>20</v>
      </c>
      <c r="AU489" s="511">
        <f>+AO489/AT489*AU$1</f>
        <v>0</v>
      </c>
      <c r="AV489" s="512">
        <f>+AP489/AT489*AV$1</f>
        <v>0</v>
      </c>
      <c r="AW489" s="510"/>
      <c r="AX489" s="512">
        <f>+AQ489/AT489*AX$1</f>
        <v>3</v>
      </c>
      <c r="AY489" s="512">
        <f>+AR489/AT489*AY$1</f>
        <v>0</v>
      </c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</row>
    <row r="490" spans="1:99" s="374" customFormat="1">
      <c r="A490" s="834" t="s">
        <v>2342</v>
      </c>
      <c r="B490" s="834">
        <v>487</v>
      </c>
      <c r="C490" s="840" t="s">
        <v>3831</v>
      </c>
      <c r="D490" s="834" t="s">
        <v>1250</v>
      </c>
      <c r="E490" s="852">
        <v>46104</v>
      </c>
      <c r="F490" s="834" t="s">
        <v>3624</v>
      </c>
      <c r="G490" s="834">
        <v>1</v>
      </c>
      <c r="H490" s="834" t="s">
        <v>1721</v>
      </c>
      <c r="I490" s="834" t="s">
        <v>1638</v>
      </c>
      <c r="J490" s="136"/>
      <c r="K490" s="136"/>
      <c r="L490" s="136"/>
      <c r="M490" s="136"/>
      <c r="N490" s="136"/>
      <c r="O490" s="376"/>
      <c r="P490" s="848"/>
      <c r="Q490" s="848"/>
      <c r="R490" s="848"/>
      <c r="S490" s="89" t="s">
        <v>1638</v>
      </c>
      <c r="T490" s="834"/>
      <c r="U490" s="834">
        <v>1</v>
      </c>
      <c r="V490" s="834"/>
      <c r="W490" s="852">
        <v>46113</v>
      </c>
      <c r="X490" s="834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108"/>
      <c r="AJ490" s="108"/>
      <c r="AK490" s="108"/>
      <c r="AL490" s="108"/>
      <c r="AM490" s="80"/>
      <c r="AN490" s="80"/>
      <c r="AO490" s="832"/>
      <c r="AP490" s="875"/>
      <c r="AQ490" s="875"/>
      <c r="AR490" s="875"/>
      <c r="AS490" s="776"/>
      <c r="AT490" s="776"/>
      <c r="AU490" s="92"/>
      <c r="AV490" s="92"/>
      <c r="AW490" s="92"/>
      <c r="AX490" s="92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</row>
    <row r="491" spans="1:99" s="374" customFormat="1">
      <c r="A491" s="834" t="s">
        <v>2342</v>
      </c>
      <c r="B491" s="834">
        <v>488</v>
      </c>
      <c r="C491" s="840" t="s">
        <v>3832</v>
      </c>
      <c r="D491" s="834" t="s">
        <v>829</v>
      </c>
      <c r="E491" s="852">
        <v>46104</v>
      </c>
      <c r="F491" s="834" t="s">
        <v>3624</v>
      </c>
      <c r="G491" s="834">
        <v>3</v>
      </c>
      <c r="H491" s="834" t="s">
        <v>1721</v>
      </c>
      <c r="I491" s="834" t="s">
        <v>1638</v>
      </c>
      <c r="J491" s="136"/>
      <c r="K491" s="136"/>
      <c r="L491" s="136"/>
      <c r="M491" s="136"/>
      <c r="N491" s="136"/>
      <c r="O491" s="376"/>
      <c r="P491" s="848"/>
      <c r="Q491" s="848"/>
      <c r="R491" s="848"/>
      <c r="S491" s="89" t="s">
        <v>1638</v>
      </c>
      <c r="T491" s="834"/>
      <c r="U491" s="834">
        <v>3</v>
      </c>
      <c r="V491" s="834"/>
      <c r="W491" s="852">
        <v>46113</v>
      </c>
      <c r="X491" s="834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108"/>
      <c r="AJ491" s="108"/>
      <c r="AK491" s="108"/>
      <c r="AL491" s="108"/>
      <c r="AM491" s="80"/>
      <c r="AN491" s="80"/>
      <c r="AO491" s="832"/>
      <c r="AP491" s="875"/>
      <c r="AQ491" s="875"/>
      <c r="AR491" s="875"/>
      <c r="AS491" s="776"/>
      <c r="AT491" s="776"/>
      <c r="AU491" s="92"/>
      <c r="AV491" s="92"/>
      <c r="AW491" s="92"/>
      <c r="AX491" s="92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</row>
    <row r="492" spans="1:99" s="374" customFormat="1">
      <c r="A492" s="834" t="s">
        <v>2342</v>
      </c>
      <c r="B492" s="834">
        <v>489</v>
      </c>
      <c r="C492" s="840" t="s">
        <v>3833</v>
      </c>
      <c r="D492" s="834" t="s">
        <v>3834</v>
      </c>
      <c r="E492" s="852">
        <v>46104</v>
      </c>
      <c r="F492" s="834" t="s">
        <v>3624</v>
      </c>
      <c r="G492" s="834">
        <v>7</v>
      </c>
      <c r="H492" s="834" t="s">
        <v>1721</v>
      </c>
      <c r="I492" s="834" t="s">
        <v>1638</v>
      </c>
      <c r="J492" s="136"/>
      <c r="K492" s="136"/>
      <c r="L492" s="136"/>
      <c r="M492" s="136"/>
      <c r="N492" s="136"/>
      <c r="O492" s="376"/>
      <c r="P492" s="848"/>
      <c r="Q492" s="848"/>
      <c r="R492" s="848"/>
      <c r="S492" s="89" t="s">
        <v>1638</v>
      </c>
      <c r="T492" s="834"/>
      <c r="U492" s="834"/>
      <c r="V492" s="834" t="s">
        <v>3438</v>
      </c>
      <c r="W492" s="834"/>
      <c r="X492" s="834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108"/>
      <c r="AJ492" s="108"/>
      <c r="AK492" s="108"/>
      <c r="AL492" s="108"/>
      <c r="AM492" s="80"/>
      <c r="AN492" s="80"/>
      <c r="AO492" s="832"/>
      <c r="AP492" s="875"/>
      <c r="AQ492" s="875"/>
      <c r="AR492" s="875"/>
      <c r="AS492" s="776"/>
      <c r="AT492" s="776"/>
      <c r="AU492" s="92"/>
      <c r="AV492" s="92"/>
      <c r="AW492" s="92"/>
      <c r="AX492" s="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</row>
    <row r="493" spans="1:99" s="374" customFormat="1">
      <c r="A493" s="834" t="s">
        <v>2342</v>
      </c>
      <c r="B493" s="834">
        <v>490</v>
      </c>
      <c r="C493" s="840" t="s">
        <v>3835</v>
      </c>
      <c r="D493" s="834" t="s">
        <v>1184</v>
      </c>
      <c r="E493" s="852">
        <v>46104</v>
      </c>
      <c r="F493" s="834" t="s">
        <v>3624</v>
      </c>
      <c r="G493" s="834">
        <v>1</v>
      </c>
      <c r="H493" s="834" t="s">
        <v>1721</v>
      </c>
      <c r="I493" s="834" t="s">
        <v>1638</v>
      </c>
      <c r="J493" s="136"/>
      <c r="K493" s="136"/>
      <c r="L493" s="136"/>
      <c r="M493" s="136"/>
      <c r="N493" s="136"/>
      <c r="O493" s="376"/>
      <c r="P493" s="848"/>
      <c r="Q493" s="848"/>
      <c r="R493" s="848"/>
      <c r="S493" s="89" t="s">
        <v>1638</v>
      </c>
      <c r="T493" s="834"/>
      <c r="U493" s="834">
        <v>1</v>
      </c>
      <c r="V493" s="834"/>
      <c r="W493" s="852">
        <v>46119</v>
      </c>
      <c r="X493" s="834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108"/>
      <c r="AJ493" s="108"/>
      <c r="AK493" s="108"/>
      <c r="AL493" s="108"/>
      <c r="AM493" s="80"/>
      <c r="AN493" s="80"/>
      <c r="AO493" s="832"/>
      <c r="AP493" s="875"/>
      <c r="AQ493" s="875"/>
      <c r="AR493" s="875"/>
      <c r="AS493" s="776"/>
      <c r="AT493" s="776"/>
      <c r="AU493" s="92"/>
      <c r="AV493" s="92"/>
      <c r="AW493" s="92"/>
      <c r="AX493" s="92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</row>
    <row r="494" spans="1:99" s="374" customFormat="1" ht="18" customHeight="1">
      <c r="A494" s="834" t="s">
        <v>24</v>
      </c>
      <c r="B494" s="834">
        <v>491</v>
      </c>
      <c r="C494" s="834" t="s">
        <v>3836</v>
      </c>
      <c r="D494" s="834" t="s">
        <v>374</v>
      </c>
      <c r="E494" s="852">
        <v>46104</v>
      </c>
      <c r="F494" s="834" t="s">
        <v>2257</v>
      </c>
      <c r="G494" s="834">
        <v>14</v>
      </c>
      <c r="H494" s="834" t="s">
        <v>1076</v>
      </c>
      <c r="I494" s="834" t="s">
        <v>3337</v>
      </c>
      <c r="J494" s="136"/>
      <c r="K494" s="136" t="s">
        <v>3063</v>
      </c>
      <c r="L494" s="136" t="s">
        <v>2113</v>
      </c>
      <c r="M494" s="834" t="s">
        <v>3767</v>
      </c>
      <c r="N494" s="834" t="s">
        <v>3767</v>
      </c>
      <c r="O494" s="376" t="s">
        <v>3837</v>
      </c>
      <c r="P494" s="848"/>
      <c r="Q494" s="848"/>
      <c r="R494" s="848"/>
      <c r="S494" s="89" t="s">
        <v>1638</v>
      </c>
      <c r="T494" s="834"/>
      <c r="U494" s="834"/>
      <c r="V494" s="834"/>
      <c r="W494" s="834"/>
      <c r="X494" s="91" t="s">
        <v>32</v>
      </c>
      <c r="Y494" s="80" t="s">
        <v>30</v>
      </c>
      <c r="Z494" s="80"/>
      <c r="AA494" s="80"/>
      <c r="AB494" s="80"/>
      <c r="AC494" s="80"/>
      <c r="AD494" s="80"/>
      <c r="AE494" s="80"/>
      <c r="AF494" s="80"/>
      <c r="AG494" s="80"/>
      <c r="AH494" s="80"/>
      <c r="AI494" s="108"/>
      <c r="AJ494" s="108"/>
      <c r="AK494" s="108"/>
      <c r="AL494" s="108"/>
      <c r="AM494" s="80"/>
      <c r="AN494" s="80"/>
      <c r="AO494" s="832"/>
      <c r="AP494" s="875"/>
      <c r="AQ494" s="875"/>
      <c r="AR494" s="875"/>
      <c r="AS494" s="776"/>
      <c r="AT494" s="776"/>
      <c r="AU494" s="92"/>
      <c r="AV494" s="92"/>
      <c r="AW494" s="92"/>
      <c r="AX494" s="92"/>
      <c r="AY494"/>
      <c r="AZ494"/>
      <c r="BA494"/>
      <c r="BB494">
        <f t="shared" si="22"/>
        <v>1</v>
      </c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</row>
    <row r="495" spans="1:99" s="524" customFormat="1">
      <c r="A495" s="751" t="s">
        <v>24</v>
      </c>
      <c r="B495" s="834">
        <v>492</v>
      </c>
      <c r="C495" s="751" t="s">
        <v>3838</v>
      </c>
      <c r="D495" s="751" t="s">
        <v>43</v>
      </c>
      <c r="E495" s="887">
        <v>46106</v>
      </c>
      <c r="F495" s="751" t="s">
        <v>885</v>
      </c>
      <c r="G495" s="751">
        <v>8</v>
      </c>
      <c r="H495" s="751" t="s">
        <v>3056</v>
      </c>
      <c r="I495" s="751" t="s">
        <v>47</v>
      </c>
      <c r="J495" s="583"/>
      <c r="K495" s="521" t="s">
        <v>3063</v>
      </c>
      <c r="L495" s="521" t="s">
        <v>3839</v>
      </c>
      <c r="M495" s="521" t="s">
        <v>3840</v>
      </c>
      <c r="N495" s="521" t="s">
        <v>3840</v>
      </c>
      <c r="O495" s="521" t="s">
        <v>3605</v>
      </c>
      <c r="P495" s="888"/>
      <c r="Q495" s="888"/>
      <c r="R495" s="888"/>
      <c r="S495" s="529" t="s">
        <v>47</v>
      </c>
      <c r="T495" s="751"/>
      <c r="U495" s="751"/>
      <c r="V495" s="751" t="s">
        <v>3438</v>
      </c>
      <c r="W495" s="751"/>
      <c r="X495" s="533" t="s">
        <v>32</v>
      </c>
      <c r="Y495" s="522"/>
      <c r="Z495" s="522"/>
      <c r="AA495" s="522"/>
      <c r="AB495" s="522"/>
      <c r="AC495" s="522"/>
      <c r="AD495" s="522"/>
      <c r="AE495" s="522"/>
      <c r="AF495" s="522"/>
      <c r="AG495" s="522"/>
      <c r="AH495" s="522"/>
      <c r="AI495" s="523"/>
      <c r="AJ495" s="523"/>
      <c r="AK495" s="523"/>
      <c r="AL495" s="523"/>
      <c r="AM495" s="522"/>
      <c r="AN495" s="522"/>
      <c r="AO495" s="889"/>
      <c r="AP495" s="890"/>
      <c r="AQ495" s="890"/>
      <c r="AR495" s="890"/>
      <c r="AS495" s="525"/>
      <c r="AT495" s="525"/>
      <c r="AU495" s="526"/>
      <c r="AV495" s="526"/>
      <c r="AW495" s="526"/>
      <c r="AX495" s="526"/>
      <c r="BB495" s="524">
        <f t="shared" si="22"/>
        <v>1</v>
      </c>
    </row>
    <row r="496" spans="1:99" s="524" customFormat="1">
      <c r="A496" s="751" t="s">
        <v>24</v>
      </c>
      <c r="B496" s="834">
        <v>493</v>
      </c>
      <c r="C496" s="751" t="s">
        <v>3841</v>
      </c>
      <c r="D496" s="751" t="s">
        <v>657</v>
      </c>
      <c r="E496" s="887">
        <v>46107</v>
      </c>
      <c r="F496" s="751" t="s">
        <v>202</v>
      </c>
      <c r="G496" s="751">
        <v>8</v>
      </c>
      <c r="H496" s="751" t="s">
        <v>3056</v>
      </c>
      <c r="I496" s="751" t="s">
        <v>47</v>
      </c>
      <c r="J496" s="521" t="s">
        <v>3842</v>
      </c>
      <c r="K496" s="521" t="s">
        <v>3063</v>
      </c>
      <c r="L496" s="521" t="s">
        <v>2056</v>
      </c>
      <c r="M496" s="521" t="s">
        <v>3840</v>
      </c>
      <c r="N496" s="521" t="s">
        <v>3840</v>
      </c>
      <c r="O496" s="521" t="s">
        <v>2050</v>
      </c>
      <c r="P496" s="888"/>
      <c r="Q496" s="888"/>
      <c r="R496" s="888"/>
      <c r="S496" s="529" t="s">
        <v>47</v>
      </c>
      <c r="T496" s="751"/>
      <c r="U496" s="751"/>
      <c r="V496" s="751" t="s">
        <v>3438</v>
      </c>
      <c r="W496" s="751"/>
      <c r="X496" s="533" t="s">
        <v>32</v>
      </c>
      <c r="Y496" s="522"/>
      <c r="Z496" s="522"/>
      <c r="AA496" s="522"/>
      <c r="AB496" s="522"/>
      <c r="AC496" s="522"/>
      <c r="AD496" s="522"/>
      <c r="AE496" s="522"/>
      <c r="AF496" s="522"/>
      <c r="AG496" s="522"/>
      <c r="AH496" s="522"/>
      <c r="AI496" s="523"/>
      <c r="AJ496" s="523"/>
      <c r="AK496" s="523"/>
      <c r="AL496" s="523"/>
      <c r="AM496" s="522"/>
      <c r="AN496" s="522"/>
      <c r="AO496" s="889"/>
      <c r="AP496" s="890"/>
      <c r="AQ496" s="890"/>
      <c r="AR496" s="890"/>
      <c r="AS496" s="525"/>
      <c r="AT496" s="525"/>
      <c r="AU496" s="526"/>
      <c r="AV496" s="526"/>
      <c r="AW496" s="526"/>
      <c r="AX496" s="526"/>
      <c r="BB496" s="524">
        <f t="shared" si="22"/>
        <v>1</v>
      </c>
    </row>
    <row r="497" spans="1:99" s="524" customFormat="1">
      <c r="A497" s="751" t="s">
        <v>24</v>
      </c>
      <c r="B497" s="834">
        <v>494</v>
      </c>
      <c r="C497" s="751" t="s">
        <v>3843</v>
      </c>
      <c r="D497" s="751" t="s">
        <v>50</v>
      </c>
      <c r="E497" s="887">
        <v>46107</v>
      </c>
      <c r="F497" s="751" t="s">
        <v>885</v>
      </c>
      <c r="G497" s="751">
        <v>18</v>
      </c>
      <c r="H497" s="751" t="s">
        <v>3056</v>
      </c>
      <c r="I497" s="751" t="s">
        <v>47</v>
      </c>
      <c r="J497" s="521"/>
      <c r="K497" s="521" t="s">
        <v>3058</v>
      </c>
      <c r="L497" s="521" t="s">
        <v>2695</v>
      </c>
      <c r="M497" s="521" t="s">
        <v>3840</v>
      </c>
      <c r="N497" s="521" t="s">
        <v>3840</v>
      </c>
      <c r="O497" s="521" t="s">
        <v>2050</v>
      </c>
      <c r="P497" s="632" t="s">
        <v>2863</v>
      </c>
      <c r="Q497" s="888"/>
      <c r="R497" s="888"/>
      <c r="S497" s="529" t="s">
        <v>36</v>
      </c>
      <c r="T497" s="751"/>
      <c r="U497" s="751">
        <v>17</v>
      </c>
      <c r="V497" s="751"/>
      <c r="W497" s="887">
        <v>46126</v>
      </c>
      <c r="X497" s="534" t="s">
        <v>30</v>
      </c>
      <c r="Y497" s="522"/>
      <c r="Z497" s="533" t="s">
        <v>32</v>
      </c>
      <c r="AA497" s="522"/>
      <c r="AB497" s="522"/>
      <c r="AC497" s="522"/>
      <c r="AD497" s="522"/>
      <c r="AE497" s="522"/>
      <c r="AF497" s="522"/>
      <c r="AG497" s="522"/>
      <c r="AH497" s="522"/>
      <c r="AI497" s="523"/>
      <c r="AJ497" s="523"/>
      <c r="AK497" s="523"/>
      <c r="AL497" s="523"/>
      <c r="AM497" s="522"/>
      <c r="AN497" s="522"/>
      <c r="AO497" s="889"/>
      <c r="AP497" s="890"/>
      <c r="AQ497" s="890"/>
      <c r="AR497" s="890"/>
      <c r="AS497" s="525"/>
      <c r="AT497" s="525"/>
      <c r="AU497" s="526"/>
      <c r="AV497" s="526"/>
      <c r="AW497" s="526"/>
      <c r="AX497" s="526"/>
      <c r="BB497" s="524">
        <f t="shared" si="22"/>
        <v>1</v>
      </c>
    </row>
    <row r="498" spans="1:99" s="524" customFormat="1">
      <c r="A498" s="751" t="s">
        <v>24</v>
      </c>
      <c r="B498" s="834">
        <v>495</v>
      </c>
      <c r="C498" s="751" t="s">
        <v>3844</v>
      </c>
      <c r="D498" s="751" t="s">
        <v>129</v>
      </c>
      <c r="E498" s="887">
        <v>46108</v>
      </c>
      <c r="F498" s="751" t="s">
        <v>737</v>
      </c>
      <c r="G498" s="751">
        <v>12</v>
      </c>
      <c r="H498" s="751" t="s">
        <v>3056</v>
      </c>
      <c r="I498" s="751" t="s">
        <v>47</v>
      </c>
      <c r="J498" s="521"/>
      <c r="K498" s="521" t="s">
        <v>3063</v>
      </c>
      <c r="L498" s="521" t="s">
        <v>3845</v>
      </c>
      <c r="M498" s="521" t="s">
        <v>3840</v>
      </c>
      <c r="N498" s="521" t="s">
        <v>3840</v>
      </c>
      <c r="O498" s="521" t="s">
        <v>2083</v>
      </c>
      <c r="P498" s="888"/>
      <c r="Q498" s="888"/>
      <c r="R498" s="888"/>
      <c r="S498" s="529" t="s">
        <v>47</v>
      </c>
      <c r="T498" s="751"/>
      <c r="U498" s="751"/>
      <c r="V498" s="751" t="s">
        <v>3438</v>
      </c>
      <c r="W498" s="751"/>
      <c r="X498" s="534" t="s">
        <v>30</v>
      </c>
      <c r="Y498" s="522"/>
      <c r="Z498" s="522"/>
      <c r="AA498" s="522"/>
      <c r="AB498" s="522"/>
      <c r="AC498" s="522"/>
      <c r="AD498" s="522"/>
      <c r="AE498" s="522"/>
      <c r="AF498" s="522"/>
      <c r="AG498" s="522"/>
      <c r="AH498" s="522"/>
      <c r="AI498" s="523"/>
      <c r="AJ498" s="523"/>
      <c r="AK498" s="523"/>
      <c r="AL498" s="523"/>
      <c r="AM498" s="522"/>
      <c r="AN498" s="522"/>
      <c r="AO498" s="889"/>
      <c r="AP498" s="890"/>
      <c r="AQ498" s="890"/>
      <c r="AR498" s="890"/>
      <c r="AS498" s="525"/>
      <c r="AT498" s="525"/>
      <c r="AU498" s="526"/>
      <c r="AV498" s="526"/>
      <c r="AW498" s="526"/>
      <c r="AX498" s="526"/>
      <c r="BB498" s="524">
        <f t="shared" si="22"/>
        <v>1</v>
      </c>
    </row>
    <row r="499" spans="1:99" s="374" customFormat="1">
      <c r="A499" s="834" t="s">
        <v>24</v>
      </c>
      <c r="B499" s="834">
        <v>496</v>
      </c>
      <c r="C499" s="834" t="s">
        <v>3846</v>
      </c>
      <c r="D499" s="834" t="s">
        <v>50</v>
      </c>
      <c r="E499" s="852">
        <v>46108</v>
      </c>
      <c r="F499" s="834" t="s">
        <v>395</v>
      </c>
      <c r="G499" s="834">
        <v>12</v>
      </c>
      <c r="H499" s="834" t="s">
        <v>3056</v>
      </c>
      <c r="I499" s="834" t="s">
        <v>47</v>
      </c>
      <c r="J499" s="136" t="s">
        <v>3847</v>
      </c>
      <c r="K499" s="136" t="s">
        <v>3063</v>
      </c>
      <c r="L499" s="136" t="s">
        <v>2056</v>
      </c>
      <c r="M499" s="136" t="s">
        <v>3840</v>
      </c>
      <c r="N499" s="136" t="s">
        <v>3840</v>
      </c>
      <c r="O499" s="136" t="s">
        <v>3848</v>
      </c>
      <c r="P499" s="848"/>
      <c r="Q499" s="848"/>
      <c r="R499" s="848"/>
      <c r="S499" s="89" t="s">
        <v>36</v>
      </c>
      <c r="T499" s="834"/>
      <c r="U499" s="834"/>
      <c r="V499" s="834" t="s">
        <v>3438</v>
      </c>
      <c r="W499" s="834"/>
      <c r="X499" s="91" t="s">
        <v>32</v>
      </c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108"/>
      <c r="AJ499" s="108"/>
      <c r="AK499" s="108"/>
      <c r="AL499" s="108"/>
      <c r="AM499" s="80"/>
      <c r="AN499" s="80"/>
      <c r="AO499" s="832"/>
      <c r="AP499" s="875"/>
      <c r="AQ499" s="875"/>
      <c r="AR499" s="875"/>
      <c r="AS499" s="776"/>
      <c r="AT499" s="776"/>
      <c r="AU499" s="92"/>
      <c r="AV499" s="92"/>
      <c r="AW499" s="92"/>
      <c r="AX499" s="92"/>
      <c r="AY499"/>
      <c r="AZ499"/>
      <c r="BA499"/>
      <c r="BB499">
        <f t="shared" si="22"/>
        <v>1</v>
      </c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</row>
    <row r="500" spans="1:99" s="536" customFormat="1">
      <c r="A500" s="751" t="s">
        <v>24</v>
      </c>
      <c r="B500" s="834">
        <v>497</v>
      </c>
      <c r="C500" s="521" t="s">
        <v>3849</v>
      </c>
      <c r="D500" s="521" t="s">
        <v>43</v>
      </c>
      <c r="E500" s="548">
        <v>46108</v>
      </c>
      <c r="F500" s="521" t="s">
        <v>97</v>
      </c>
      <c r="G500" s="521">
        <v>16</v>
      </c>
      <c r="H500" s="521" t="s">
        <v>127</v>
      </c>
      <c r="I500" s="521" t="s">
        <v>178</v>
      </c>
      <c r="J500" s="521"/>
      <c r="K500" s="521" t="s">
        <v>3063</v>
      </c>
      <c r="L500" s="521" t="s">
        <v>2578</v>
      </c>
      <c r="M500" s="521" t="s">
        <v>3850</v>
      </c>
      <c r="N500" s="521" t="s">
        <v>3850</v>
      </c>
      <c r="O500" s="521" t="s">
        <v>2050</v>
      </c>
      <c r="P500" s="632" t="s">
        <v>2863</v>
      </c>
      <c r="Q500" s="542"/>
      <c r="R500" s="542"/>
      <c r="S500" s="530" t="s">
        <v>178</v>
      </c>
      <c r="T500" s="521"/>
      <c r="U500" s="521"/>
      <c r="V500" s="751" t="s">
        <v>3438</v>
      </c>
      <c r="W500" s="521"/>
      <c r="X500" s="533" t="s">
        <v>32</v>
      </c>
      <c r="Y500" s="534"/>
      <c r="Z500" s="534"/>
      <c r="AA500" s="534"/>
      <c r="AB500" s="534"/>
      <c r="AC500" s="534"/>
      <c r="AD500" s="534"/>
      <c r="AE500" s="534"/>
      <c r="AF500" s="534"/>
      <c r="AG500" s="534"/>
      <c r="AH500" s="534"/>
      <c r="AI500" s="535"/>
      <c r="AJ500" s="535"/>
      <c r="AK500" s="535"/>
      <c r="AL500" s="535"/>
      <c r="AM500" s="534"/>
      <c r="AN500" s="534"/>
      <c r="AO500" s="889"/>
      <c r="AP500" s="890"/>
      <c r="AQ500" s="890"/>
      <c r="AR500" s="890"/>
      <c r="AS500" s="525"/>
      <c r="AT500" s="525"/>
      <c r="AU500" s="526"/>
      <c r="AV500" s="526"/>
      <c r="AW500" s="526"/>
      <c r="AX500" s="526"/>
      <c r="AY500" s="524"/>
    </row>
    <row r="501" spans="1:99" s="524" customFormat="1">
      <c r="A501" s="751" t="s">
        <v>24</v>
      </c>
      <c r="B501" s="834">
        <v>498</v>
      </c>
      <c r="C501" s="751" t="s">
        <v>3851</v>
      </c>
      <c r="D501" s="751" t="s">
        <v>83</v>
      </c>
      <c r="E501" s="887">
        <v>46109</v>
      </c>
      <c r="F501" s="751" t="s">
        <v>439</v>
      </c>
      <c r="G501" s="751">
        <v>11</v>
      </c>
      <c r="H501" s="751" t="s">
        <v>127</v>
      </c>
      <c r="I501" s="751" t="s">
        <v>28</v>
      </c>
      <c r="J501" s="558"/>
      <c r="K501" s="521" t="s">
        <v>3058</v>
      </c>
      <c r="L501" s="521" t="s">
        <v>2087</v>
      </c>
      <c r="M501" s="521" t="s">
        <v>3850</v>
      </c>
      <c r="N501" s="521" t="s">
        <v>3850</v>
      </c>
      <c r="O501" s="521" t="s">
        <v>2050</v>
      </c>
      <c r="P501" s="888"/>
      <c r="Q501" s="888"/>
      <c r="R501" s="888"/>
      <c r="S501" s="529" t="s">
        <v>178</v>
      </c>
      <c r="T501" s="751"/>
      <c r="U501" s="751"/>
      <c r="V501" s="751" t="s">
        <v>3438</v>
      </c>
      <c r="W501" s="751"/>
      <c r="X501" s="534" t="s">
        <v>30</v>
      </c>
      <c r="Y501" s="522" t="s">
        <v>30</v>
      </c>
      <c r="Z501" s="522"/>
      <c r="AA501" s="522"/>
      <c r="AB501" s="522"/>
      <c r="AC501" s="522"/>
      <c r="AD501" s="522"/>
      <c r="AE501" s="522"/>
      <c r="AF501" s="522"/>
      <c r="AG501" s="522"/>
      <c r="AH501" s="522"/>
      <c r="AI501" s="523"/>
      <c r="AJ501" s="523"/>
      <c r="AK501" s="523"/>
      <c r="AL501" s="523"/>
      <c r="AM501" s="522"/>
      <c r="AN501" s="522"/>
      <c r="AO501" s="889"/>
      <c r="AP501" s="890"/>
      <c r="AQ501" s="890"/>
      <c r="AR501" s="890"/>
      <c r="AS501" s="525"/>
      <c r="AT501" s="525"/>
      <c r="AU501" s="526"/>
      <c r="AV501" s="526"/>
      <c r="AW501" s="526"/>
      <c r="AX501" s="526"/>
      <c r="BB501" s="524">
        <f t="shared" si="22"/>
        <v>1</v>
      </c>
    </row>
    <row r="502" spans="1:99" s="374" customFormat="1">
      <c r="A502" s="834" t="s">
        <v>24</v>
      </c>
      <c r="B502" s="834">
        <v>499</v>
      </c>
      <c r="C502" s="834" t="s">
        <v>3852</v>
      </c>
      <c r="D502" s="834" t="s">
        <v>99</v>
      </c>
      <c r="E502" s="852">
        <v>46109</v>
      </c>
      <c r="F502" s="834" t="s">
        <v>646</v>
      </c>
      <c r="G502" s="834">
        <v>10</v>
      </c>
      <c r="H502" s="834" t="s">
        <v>1077</v>
      </c>
      <c r="I502" s="834" t="s">
        <v>1138</v>
      </c>
      <c r="J502" s="136"/>
      <c r="K502" s="136" t="s">
        <v>3058</v>
      </c>
      <c r="L502" s="136" t="s">
        <v>2115</v>
      </c>
      <c r="M502" s="136" t="s">
        <v>3850</v>
      </c>
      <c r="N502" s="136" t="s">
        <v>3850</v>
      </c>
      <c r="O502" s="136" t="s">
        <v>2050</v>
      </c>
      <c r="P502" s="848"/>
      <c r="Q502" s="848"/>
      <c r="R502" s="848"/>
      <c r="S502" s="89" t="s">
        <v>1138</v>
      </c>
      <c r="T502" s="834"/>
      <c r="U502" s="834">
        <v>10</v>
      </c>
      <c r="V502" s="834"/>
      <c r="W502" s="852">
        <v>46113</v>
      </c>
      <c r="X502" s="380" t="s">
        <v>30</v>
      </c>
      <c r="Y502" s="80" t="s">
        <v>30</v>
      </c>
      <c r="Z502" s="80" t="s">
        <v>30</v>
      </c>
      <c r="AA502" s="80"/>
      <c r="AB502" s="80"/>
      <c r="AC502" s="80"/>
      <c r="AD502" s="80"/>
      <c r="AE502" s="80"/>
      <c r="AF502" s="80"/>
      <c r="AG502" s="80"/>
      <c r="AH502" s="80"/>
      <c r="AI502" s="108"/>
      <c r="AJ502" s="108"/>
      <c r="AK502" s="108"/>
      <c r="AL502" s="108"/>
      <c r="AM502" s="80"/>
      <c r="AN502" s="80"/>
      <c r="AO502" s="832"/>
      <c r="AP502" s="875"/>
      <c r="AQ502" s="875"/>
      <c r="AR502" s="875"/>
      <c r="AS502" s="776"/>
      <c r="AT502" s="776"/>
      <c r="AU502" s="92"/>
      <c r="AV502" s="92"/>
      <c r="AW502" s="92"/>
      <c r="AX502" s="92"/>
      <c r="AY502"/>
      <c r="AZ502"/>
      <c r="BA502"/>
      <c r="BB502">
        <f t="shared" si="22"/>
        <v>1</v>
      </c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</row>
    <row r="503" spans="1:99">
      <c r="A503" s="834" t="s">
        <v>24</v>
      </c>
      <c r="B503" s="834">
        <v>500</v>
      </c>
      <c r="C503" s="834" t="s">
        <v>3853</v>
      </c>
      <c r="D503" s="834" t="s">
        <v>374</v>
      </c>
      <c r="E503" s="852">
        <v>46109</v>
      </c>
      <c r="F503" s="834" t="s">
        <v>324</v>
      </c>
      <c r="G503" s="834">
        <v>11</v>
      </c>
      <c r="H503" s="834" t="s">
        <v>2391</v>
      </c>
      <c r="I503" s="834" t="s">
        <v>3631</v>
      </c>
      <c r="J503" s="136"/>
      <c r="K503" s="136" t="s">
        <v>3058</v>
      </c>
      <c r="L503" s="136" t="s">
        <v>2126</v>
      </c>
      <c r="M503" s="136" t="s">
        <v>3854</v>
      </c>
      <c r="N503" s="136" t="s">
        <v>3854</v>
      </c>
      <c r="O503" s="136" t="s">
        <v>3855</v>
      </c>
      <c r="P503" s="848"/>
      <c r="Q503" s="848"/>
      <c r="R503" s="848"/>
      <c r="S503" s="89" t="s">
        <v>1138</v>
      </c>
      <c r="T503" s="834"/>
      <c r="U503" s="834"/>
      <c r="V503" s="834" t="s">
        <v>3438</v>
      </c>
      <c r="W503" s="834"/>
      <c r="X503" s="96" t="s">
        <v>30</v>
      </c>
      <c r="Y503" s="80" t="s">
        <v>30</v>
      </c>
      <c r="Z503" s="91"/>
      <c r="AA503" s="80"/>
      <c r="AB503" s="80"/>
      <c r="AC503" s="80"/>
      <c r="AD503" s="80"/>
      <c r="AE503" s="80"/>
      <c r="AF503" s="80"/>
      <c r="AG503" s="80"/>
      <c r="AH503" s="80"/>
      <c r="AI503" s="108"/>
      <c r="AJ503" s="108"/>
      <c r="AK503" s="108"/>
      <c r="AL503" s="108"/>
      <c r="AM503" s="80"/>
      <c r="AN503" s="80"/>
      <c r="AO503" s="832"/>
      <c r="AP503" s="875"/>
      <c r="AQ503" s="875"/>
      <c r="AR503" s="875"/>
      <c r="AS503" s="776"/>
      <c r="AT503" s="776"/>
      <c r="BB503">
        <f t="shared" si="22"/>
        <v>1</v>
      </c>
    </row>
    <row r="504" spans="1:99" s="374" customFormat="1">
      <c r="A504" s="834" t="s">
        <v>24</v>
      </c>
      <c r="B504" s="834">
        <v>501</v>
      </c>
      <c r="C504" s="834" t="s">
        <v>3856</v>
      </c>
      <c r="D504" s="834" t="s">
        <v>34</v>
      </c>
      <c r="E504" s="852">
        <v>46109</v>
      </c>
      <c r="F504" s="834" t="s">
        <v>737</v>
      </c>
      <c r="G504" s="834">
        <v>39</v>
      </c>
      <c r="H504" s="834" t="s">
        <v>1077</v>
      </c>
      <c r="I504" s="834" t="s">
        <v>1138</v>
      </c>
      <c r="J504" s="136"/>
      <c r="K504" s="136" t="s">
        <v>3058</v>
      </c>
      <c r="L504" s="136" t="s">
        <v>2180</v>
      </c>
      <c r="M504" s="136" t="s">
        <v>3850</v>
      </c>
      <c r="N504" s="136" t="s">
        <v>3850</v>
      </c>
      <c r="O504" s="376" t="s">
        <v>3857</v>
      </c>
      <c r="P504" s="90" t="s">
        <v>2863</v>
      </c>
      <c r="Q504" s="848"/>
      <c r="R504" s="848"/>
      <c r="S504" s="89" t="s">
        <v>1138</v>
      </c>
      <c r="T504" s="834"/>
      <c r="U504" s="834"/>
      <c r="V504" s="834" t="s">
        <v>3438</v>
      </c>
      <c r="W504" s="834"/>
      <c r="X504" s="96" t="s">
        <v>30</v>
      </c>
      <c r="Y504" s="80"/>
      <c r="Z504" s="91"/>
      <c r="AA504" s="80"/>
      <c r="AB504" s="80"/>
      <c r="AC504" s="80"/>
      <c r="AD504" s="80"/>
      <c r="AE504" s="80"/>
      <c r="AF504" s="80"/>
      <c r="AG504" s="80"/>
      <c r="AH504" s="80"/>
      <c r="AI504" s="108"/>
      <c r="AJ504" s="108"/>
      <c r="AK504" s="108"/>
      <c r="AL504" s="108"/>
      <c r="AM504" s="80"/>
      <c r="AN504" s="80"/>
      <c r="AO504" s="832"/>
      <c r="AP504" s="875"/>
      <c r="AQ504" s="875"/>
      <c r="AR504" s="875"/>
      <c r="AS504" s="776"/>
      <c r="AT504" s="776"/>
      <c r="AU504" s="92"/>
      <c r="AV504" s="92"/>
      <c r="AW504" s="92"/>
      <c r="AX504" s="92"/>
      <c r="AY504"/>
      <c r="AZ504"/>
      <c r="BA504"/>
      <c r="BB504">
        <f t="shared" si="22"/>
        <v>1</v>
      </c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</row>
    <row r="505" spans="1:99" s="374" customFormat="1">
      <c r="A505" s="834" t="s">
        <v>24</v>
      </c>
      <c r="B505" s="834">
        <v>502</v>
      </c>
      <c r="C505" s="834" t="s">
        <v>3858</v>
      </c>
      <c r="D505" s="834" t="s">
        <v>34</v>
      </c>
      <c r="E505" s="852">
        <v>46109</v>
      </c>
      <c r="F505" s="834" t="s">
        <v>661</v>
      </c>
      <c r="G505" s="834">
        <v>18</v>
      </c>
      <c r="H505" s="834" t="s">
        <v>1077</v>
      </c>
      <c r="I505" s="834" t="s">
        <v>1138</v>
      </c>
      <c r="J505" s="136"/>
      <c r="K505" s="136" t="s">
        <v>3058</v>
      </c>
      <c r="L505" s="136" t="s">
        <v>2098</v>
      </c>
      <c r="M505" s="136" t="s">
        <v>3850</v>
      </c>
      <c r="N505" s="136" t="s">
        <v>3850</v>
      </c>
      <c r="O505" s="376" t="s">
        <v>3859</v>
      </c>
      <c r="P505" s="90" t="s">
        <v>2863</v>
      </c>
      <c r="Q505" s="848"/>
      <c r="R505" s="848"/>
      <c r="S505" s="89" t="s">
        <v>1138</v>
      </c>
      <c r="T505" s="834"/>
      <c r="U505" s="834"/>
      <c r="V505" s="834" t="s">
        <v>3438</v>
      </c>
      <c r="W505" s="834"/>
      <c r="X505" s="96" t="s">
        <v>30</v>
      </c>
      <c r="Y505" s="80"/>
      <c r="Z505" s="91"/>
      <c r="AA505" s="80"/>
      <c r="AB505" s="80"/>
      <c r="AC505" s="80"/>
      <c r="AD505" s="80"/>
      <c r="AE505" s="80"/>
      <c r="AF505" s="80"/>
      <c r="AG505" s="80"/>
      <c r="AH505" s="80"/>
      <c r="AI505" s="108"/>
      <c r="AJ505" s="108"/>
      <c r="AK505" s="108"/>
      <c r="AL505" s="108"/>
      <c r="AM505" s="80"/>
      <c r="AN505" s="80"/>
      <c r="AO505" s="832"/>
      <c r="AP505" s="875"/>
      <c r="AQ505" s="875"/>
      <c r="AR505" s="875"/>
      <c r="AS505" s="776"/>
      <c r="AT505" s="776"/>
      <c r="AU505" s="92"/>
      <c r="AV505" s="92"/>
      <c r="AW505" s="92"/>
      <c r="AX505" s="92"/>
      <c r="AY505"/>
      <c r="AZ505"/>
      <c r="BA505"/>
      <c r="BB505">
        <f t="shared" si="22"/>
        <v>1</v>
      </c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</row>
    <row r="506" spans="1:99" s="524" customFormat="1">
      <c r="A506" s="751" t="s">
        <v>24</v>
      </c>
      <c r="B506" s="834">
        <v>503</v>
      </c>
      <c r="C506" s="751" t="s">
        <v>3860</v>
      </c>
      <c r="D506" s="751" t="s">
        <v>34</v>
      </c>
      <c r="E506" s="887">
        <v>46109</v>
      </c>
      <c r="F506" s="751" t="s">
        <v>2014</v>
      </c>
      <c r="G506" s="751">
        <v>21</v>
      </c>
      <c r="H506" s="751" t="s">
        <v>1077</v>
      </c>
      <c r="I506" s="751" t="s">
        <v>1138</v>
      </c>
      <c r="J506" s="521"/>
      <c r="K506" s="521" t="s">
        <v>3058</v>
      </c>
      <c r="L506" s="521" t="s">
        <v>3861</v>
      </c>
      <c r="M506" s="521" t="s">
        <v>3850</v>
      </c>
      <c r="N506" s="521" t="s">
        <v>3850</v>
      </c>
      <c r="O506" s="562" t="s">
        <v>3862</v>
      </c>
      <c r="P506" s="632" t="s">
        <v>2863</v>
      </c>
      <c r="Q506" s="888"/>
      <c r="R506" s="888"/>
      <c r="S506" s="529" t="s">
        <v>178</v>
      </c>
      <c r="T506" s="751"/>
      <c r="U506" s="751"/>
      <c r="V506" s="751" t="s">
        <v>3438</v>
      </c>
      <c r="W506" s="751"/>
      <c r="X506" s="530" t="s">
        <v>30</v>
      </c>
      <c r="Y506" s="522"/>
      <c r="Z506" s="522"/>
      <c r="AA506" s="522"/>
      <c r="AB506" s="522"/>
      <c r="AC506" s="522"/>
      <c r="AD506" s="522"/>
      <c r="AE506" s="522"/>
      <c r="AF506" s="522"/>
      <c r="AG506" s="522"/>
      <c r="AH506" s="522"/>
      <c r="AI506" s="523"/>
      <c r="AJ506" s="523"/>
      <c r="AK506" s="523"/>
      <c r="AL506" s="523"/>
      <c r="AM506" s="522"/>
      <c r="AN506" s="522"/>
      <c r="AO506" s="889"/>
      <c r="AP506" s="890"/>
      <c r="AQ506" s="890"/>
      <c r="AR506" s="890"/>
      <c r="AS506" s="525"/>
      <c r="AT506" s="525"/>
      <c r="AU506" s="526"/>
      <c r="AV506" s="526"/>
      <c r="AW506" s="526"/>
      <c r="AX506" s="526"/>
      <c r="BB506" s="524">
        <f t="shared" si="22"/>
        <v>1</v>
      </c>
    </row>
    <row r="507" spans="1:99" s="524" customFormat="1">
      <c r="A507" s="751" t="s">
        <v>24</v>
      </c>
      <c r="B507" s="834">
        <v>504</v>
      </c>
      <c r="C507" s="751" t="s">
        <v>3863</v>
      </c>
      <c r="D507" s="751" t="s">
        <v>102</v>
      </c>
      <c r="E507" s="887">
        <v>46109</v>
      </c>
      <c r="F507" s="751" t="s">
        <v>2161</v>
      </c>
      <c r="G507" s="751">
        <v>19</v>
      </c>
      <c r="H507" s="751" t="s">
        <v>1077</v>
      </c>
      <c r="I507" s="751" t="s">
        <v>1138</v>
      </c>
      <c r="J507" s="558"/>
      <c r="K507" s="521" t="s">
        <v>3063</v>
      </c>
      <c r="L507" s="521" t="s">
        <v>2203</v>
      </c>
      <c r="M507" s="521" t="s">
        <v>3854</v>
      </c>
      <c r="N507" s="521" t="s">
        <v>3854</v>
      </c>
      <c r="O507" s="521" t="s">
        <v>3864</v>
      </c>
      <c r="P507" s="632" t="s">
        <v>2863</v>
      </c>
      <c r="Q507" s="888"/>
      <c r="R507" s="888"/>
      <c r="S507" s="529" t="s">
        <v>178</v>
      </c>
      <c r="T507" s="751"/>
      <c r="U507" s="751"/>
      <c r="V507" s="751" t="s">
        <v>3438</v>
      </c>
      <c r="W507" s="751"/>
      <c r="X507" s="533" t="s">
        <v>32</v>
      </c>
      <c r="Y507" s="522"/>
      <c r="Z507" s="522"/>
      <c r="AA507" s="522"/>
      <c r="AB507" s="522"/>
      <c r="AC507" s="522"/>
      <c r="AD507" s="522"/>
      <c r="AE507" s="522"/>
      <c r="AF507" s="522"/>
      <c r="AG507" s="522"/>
      <c r="AH507" s="522"/>
      <c r="AI507" s="523"/>
      <c r="AJ507" s="523"/>
      <c r="AK507" s="523"/>
      <c r="AL507" s="523"/>
      <c r="AM507" s="522"/>
      <c r="AN507" s="522"/>
      <c r="AO507" s="889"/>
      <c r="AP507" s="890"/>
      <c r="AQ507" s="890"/>
      <c r="AR507" s="890"/>
      <c r="AS507" s="525"/>
      <c r="AT507" s="525"/>
      <c r="AU507" s="526"/>
      <c r="AV507" s="526"/>
      <c r="AW507" s="526"/>
      <c r="AX507" s="526"/>
      <c r="BB507" s="524">
        <f t="shared" si="22"/>
        <v>1</v>
      </c>
    </row>
    <row r="508" spans="1:99" s="374" customFormat="1">
      <c r="A508" s="834" t="s">
        <v>24</v>
      </c>
      <c r="B508" s="834">
        <v>505</v>
      </c>
      <c r="C508" s="834" t="s">
        <v>3865</v>
      </c>
      <c r="D508" s="834" t="s">
        <v>102</v>
      </c>
      <c r="E508" s="852">
        <v>46109</v>
      </c>
      <c r="F508" s="838" t="s">
        <v>401</v>
      </c>
      <c r="G508" s="834">
        <v>1</v>
      </c>
      <c r="H508" s="834" t="s">
        <v>1721</v>
      </c>
      <c r="I508" s="834" t="s">
        <v>1638</v>
      </c>
      <c r="J508" s="98"/>
      <c r="K508" s="136"/>
      <c r="L508" s="217" t="s">
        <v>401</v>
      </c>
      <c r="M508" s="136" t="s">
        <v>3854</v>
      </c>
      <c r="N508" s="136" t="s">
        <v>3854</v>
      </c>
      <c r="O508" s="217" t="s">
        <v>401</v>
      </c>
      <c r="P508" s="848"/>
      <c r="Q508" s="848"/>
      <c r="R508" s="848"/>
      <c r="S508" s="89" t="s">
        <v>1638</v>
      </c>
      <c r="T508" s="834"/>
      <c r="U508" s="834"/>
      <c r="V508" s="834"/>
      <c r="W508" s="834"/>
      <c r="X508" s="91" t="s">
        <v>32</v>
      </c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108"/>
      <c r="AJ508" s="108"/>
      <c r="AK508" s="108"/>
      <c r="AL508" s="108"/>
      <c r="AM508" s="80"/>
      <c r="AN508" s="80"/>
      <c r="AO508" s="832"/>
      <c r="AP508" s="875"/>
      <c r="AQ508" s="875"/>
      <c r="AR508" s="875"/>
      <c r="AS508" s="776"/>
      <c r="AT508" s="776"/>
      <c r="AU508" s="92"/>
      <c r="AV508" s="92"/>
      <c r="AW508" s="92"/>
      <c r="AX508" s="92"/>
      <c r="AY508"/>
      <c r="AZ508"/>
      <c r="BA508"/>
      <c r="BB508">
        <f t="shared" si="22"/>
        <v>1</v>
      </c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</row>
    <row r="509" spans="1:99" s="374" customFormat="1">
      <c r="A509" s="834" t="s">
        <v>24</v>
      </c>
      <c r="B509" s="834">
        <v>506</v>
      </c>
      <c r="C509" s="834" t="s">
        <v>3866</v>
      </c>
      <c r="D509" s="834" t="s">
        <v>99</v>
      </c>
      <c r="E509" s="852">
        <v>46109</v>
      </c>
      <c r="F509" s="834" t="s">
        <v>3867</v>
      </c>
      <c r="G509" s="834">
        <v>10</v>
      </c>
      <c r="H509" s="834" t="s">
        <v>1077</v>
      </c>
      <c r="I509" s="834" t="s">
        <v>1138</v>
      </c>
      <c r="J509" s="136"/>
      <c r="K509" s="136" t="s">
        <v>3058</v>
      </c>
      <c r="L509" s="136" t="s">
        <v>3868</v>
      </c>
      <c r="M509" s="136" t="s">
        <v>3840</v>
      </c>
      <c r="N509" s="136" t="s">
        <v>3840</v>
      </c>
      <c r="O509" s="136" t="s">
        <v>2050</v>
      </c>
      <c r="P509" s="848"/>
      <c r="Q509" s="848"/>
      <c r="R509" s="848"/>
      <c r="S509" s="89" t="s">
        <v>1138</v>
      </c>
      <c r="T509" s="834"/>
      <c r="U509" s="834"/>
      <c r="V509" s="834" t="s">
        <v>3438</v>
      </c>
      <c r="W509" s="834"/>
      <c r="X509" s="96" t="s">
        <v>30</v>
      </c>
      <c r="Y509" s="80" t="s">
        <v>30</v>
      </c>
      <c r="Z509" s="91"/>
      <c r="AA509" s="80"/>
      <c r="AB509" s="80"/>
      <c r="AC509" s="80"/>
      <c r="AD509" s="80"/>
      <c r="AE509" s="80"/>
      <c r="AF509" s="80"/>
      <c r="AG509" s="80"/>
      <c r="AH509" s="80"/>
      <c r="AI509" s="108"/>
      <c r="AJ509" s="108"/>
      <c r="AK509" s="108"/>
      <c r="AL509" s="108"/>
      <c r="AM509" s="80"/>
      <c r="AN509" s="80"/>
      <c r="AO509" s="832"/>
      <c r="AP509" s="875"/>
      <c r="AQ509" s="875"/>
      <c r="AR509" s="875"/>
      <c r="AS509" s="776"/>
      <c r="AT509" s="776"/>
      <c r="AU509" s="92"/>
      <c r="AV509" s="92"/>
      <c r="AW509" s="92"/>
      <c r="AX509" s="92"/>
      <c r="AY509"/>
      <c r="AZ509"/>
      <c r="BA509"/>
      <c r="BB509">
        <f t="shared" si="22"/>
        <v>1</v>
      </c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</row>
    <row r="510" spans="1:99" s="374" customFormat="1">
      <c r="A510" s="834" t="s">
        <v>24</v>
      </c>
      <c r="B510" s="834">
        <v>507</v>
      </c>
      <c r="C510" s="834" t="s">
        <v>3869</v>
      </c>
      <c r="D510" s="834" t="s">
        <v>34</v>
      </c>
      <c r="E510" s="852">
        <v>46109</v>
      </c>
      <c r="F510" s="834" t="s">
        <v>3870</v>
      </c>
      <c r="G510" s="834">
        <v>15</v>
      </c>
      <c r="H510" s="834" t="s">
        <v>1721</v>
      </c>
      <c r="I510" s="834" t="s">
        <v>1638</v>
      </c>
      <c r="J510" s="834"/>
      <c r="K510" s="136" t="s">
        <v>3058</v>
      </c>
      <c r="L510" s="834" t="s">
        <v>2052</v>
      </c>
      <c r="M510" s="136" t="s">
        <v>3850</v>
      </c>
      <c r="N510" s="136" t="s">
        <v>3850</v>
      </c>
      <c r="O510" s="136" t="s">
        <v>2050</v>
      </c>
      <c r="P510" s="90" t="s">
        <v>2863</v>
      </c>
      <c r="Q510" s="848"/>
      <c r="R510" s="848"/>
      <c r="S510" s="89" t="s">
        <v>1638</v>
      </c>
      <c r="T510" s="834"/>
      <c r="U510" s="834"/>
      <c r="V510" s="834"/>
      <c r="W510" s="834"/>
      <c r="X510" s="91" t="s">
        <v>32</v>
      </c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108"/>
      <c r="AJ510" s="108"/>
      <c r="AK510" s="108"/>
      <c r="AL510" s="108"/>
      <c r="AM510" s="80"/>
      <c r="AN510" s="80"/>
      <c r="AO510" s="832"/>
      <c r="AP510" s="875"/>
      <c r="AQ510" s="875"/>
      <c r="AR510" s="875"/>
      <c r="AS510" s="776"/>
      <c r="AT510" s="776"/>
      <c r="AU510" s="92"/>
      <c r="AV510" s="92"/>
      <c r="AW510" s="92"/>
      <c r="AX510" s="92"/>
      <c r="AY510"/>
      <c r="AZ510"/>
      <c r="BA510"/>
      <c r="BB510">
        <f t="shared" si="22"/>
        <v>1</v>
      </c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</row>
    <row r="511" spans="1:99" s="524" customFormat="1">
      <c r="A511" s="751" t="s">
        <v>24</v>
      </c>
      <c r="B511" s="834">
        <v>508</v>
      </c>
      <c r="C511" s="751" t="s">
        <v>3871</v>
      </c>
      <c r="D511" s="751" t="s">
        <v>34</v>
      </c>
      <c r="E511" s="887">
        <v>46109</v>
      </c>
      <c r="F511" s="751" t="s">
        <v>97</v>
      </c>
      <c r="G511" s="751">
        <v>14</v>
      </c>
      <c r="H511" s="751" t="s">
        <v>127</v>
      </c>
      <c r="I511" s="751" t="s">
        <v>178</v>
      </c>
      <c r="J511" s="529"/>
      <c r="K511" s="521" t="s">
        <v>3058</v>
      </c>
      <c r="L511" s="521" t="s">
        <v>2312</v>
      </c>
      <c r="M511" s="521" t="s">
        <v>3850</v>
      </c>
      <c r="N511" s="521" t="s">
        <v>3850</v>
      </c>
      <c r="O511" s="562" t="s">
        <v>3872</v>
      </c>
      <c r="P511" s="888"/>
      <c r="Q511" s="888"/>
      <c r="R511" s="888"/>
      <c r="S511" s="529" t="s">
        <v>178</v>
      </c>
      <c r="T511" s="751"/>
      <c r="U511" s="751"/>
      <c r="V511" s="751" t="s">
        <v>3438</v>
      </c>
      <c r="W511" s="751"/>
      <c r="X511" s="529" t="s">
        <v>30</v>
      </c>
      <c r="Y511" s="522" t="s">
        <v>30</v>
      </c>
      <c r="Z511" s="522"/>
      <c r="AA511" s="522"/>
      <c r="AB511" s="522"/>
      <c r="AC511" s="522"/>
      <c r="AD511" s="522"/>
      <c r="AE511" s="522"/>
      <c r="AF511" s="522"/>
      <c r="AG511" s="522"/>
      <c r="AH511" s="522"/>
      <c r="AI511" s="523"/>
      <c r="AJ511" s="523"/>
      <c r="AK511" s="523"/>
      <c r="AL511" s="523"/>
      <c r="AM511" s="522"/>
      <c r="AN511" s="522"/>
      <c r="AO511" s="889"/>
      <c r="AP511" s="890"/>
      <c r="AQ511" s="890"/>
      <c r="AR511" s="890"/>
      <c r="AS511" s="525"/>
      <c r="AT511" s="525"/>
      <c r="AU511" s="526"/>
      <c r="AV511" s="526"/>
      <c r="AW511" s="526"/>
      <c r="AX511" s="526"/>
      <c r="BB511" s="524">
        <f t="shared" si="22"/>
        <v>1</v>
      </c>
    </row>
    <row r="512" spans="1:99" s="374" customFormat="1">
      <c r="A512" s="834" t="s">
        <v>24</v>
      </c>
      <c r="B512" s="834">
        <v>509</v>
      </c>
      <c r="C512" s="834" t="s">
        <v>3873</v>
      </c>
      <c r="D512" s="834" t="s">
        <v>34</v>
      </c>
      <c r="E512" s="852">
        <v>46109</v>
      </c>
      <c r="F512" s="838" t="s">
        <v>401</v>
      </c>
      <c r="G512" s="834">
        <v>12</v>
      </c>
      <c r="H512" s="834" t="s">
        <v>1721</v>
      </c>
      <c r="I512" s="834" t="s">
        <v>1638</v>
      </c>
      <c r="J512" s="89"/>
      <c r="K512" s="136" t="s">
        <v>3058</v>
      </c>
      <c r="L512" s="217" t="s">
        <v>401</v>
      </c>
      <c r="M512" s="136" t="s">
        <v>3850</v>
      </c>
      <c r="N512" s="136" t="s">
        <v>3850</v>
      </c>
      <c r="O512" s="378" t="s">
        <v>401</v>
      </c>
      <c r="P512" s="848"/>
      <c r="Q512" s="848"/>
      <c r="R512" s="848"/>
      <c r="S512" s="89" t="s">
        <v>1638</v>
      </c>
      <c r="T512" s="834"/>
      <c r="U512" s="834"/>
      <c r="V512" s="834"/>
      <c r="W512" s="834"/>
      <c r="X512" s="91" t="s">
        <v>32</v>
      </c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108"/>
      <c r="AJ512" s="108"/>
      <c r="AK512" s="108"/>
      <c r="AL512" s="108"/>
      <c r="AM512" s="80"/>
      <c r="AN512" s="80"/>
      <c r="AO512" s="832"/>
      <c r="AP512" s="875"/>
      <c r="AQ512" s="875"/>
      <c r="AR512" s="875"/>
      <c r="AS512" s="776"/>
      <c r="AT512" s="776"/>
      <c r="AU512" s="92"/>
      <c r="AV512" s="92"/>
      <c r="AW512" s="92"/>
      <c r="AX512" s="92"/>
      <c r="AY512"/>
      <c r="AZ512"/>
      <c r="BA512"/>
      <c r="BB512">
        <f t="shared" si="22"/>
        <v>1</v>
      </c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</row>
    <row r="513" spans="1:54" s="536" customFormat="1">
      <c r="A513" s="521" t="s">
        <v>24</v>
      </c>
      <c r="B513" s="834">
        <v>510</v>
      </c>
      <c r="C513" s="521" t="s">
        <v>3874</v>
      </c>
      <c r="D513" s="521" t="s">
        <v>34</v>
      </c>
      <c r="E513" s="548">
        <v>46109</v>
      </c>
      <c r="F513" s="521" t="s">
        <v>126</v>
      </c>
      <c r="G513" s="521">
        <v>6</v>
      </c>
      <c r="H513" s="521" t="s">
        <v>127</v>
      </c>
      <c r="I513" s="521" t="s">
        <v>3875</v>
      </c>
      <c r="J513" s="530"/>
      <c r="K513" s="521" t="s">
        <v>3058</v>
      </c>
      <c r="L513" s="521" t="s">
        <v>3776</v>
      </c>
      <c r="M513" s="521" t="s">
        <v>3850</v>
      </c>
      <c r="N513" s="521" t="s">
        <v>3850</v>
      </c>
      <c r="O513" s="562" t="s">
        <v>3876</v>
      </c>
      <c r="P513" s="542"/>
      <c r="Q513" s="542"/>
      <c r="R513" s="542"/>
      <c r="S513" s="530" t="s">
        <v>178</v>
      </c>
      <c r="T513" s="521"/>
      <c r="U513" s="521"/>
      <c r="V513" s="751" t="s">
        <v>3438</v>
      </c>
      <c r="W513" s="521"/>
      <c r="X513" s="534" t="s">
        <v>30</v>
      </c>
      <c r="Y513" s="534"/>
      <c r="Z513" s="534"/>
      <c r="AA513" s="534"/>
      <c r="AB513" s="534"/>
      <c r="AC513" s="534"/>
      <c r="AD513" s="534"/>
      <c r="AE513" s="534"/>
      <c r="AF513" s="534"/>
      <c r="AG513" s="534"/>
      <c r="AH513" s="534"/>
      <c r="AI513" s="535"/>
      <c r="AJ513" s="535"/>
      <c r="AK513" s="535"/>
      <c r="AL513" s="535"/>
      <c r="AM513" s="534"/>
      <c r="AN513" s="534"/>
      <c r="AO513" s="889"/>
      <c r="AP513" s="890"/>
      <c r="AQ513" s="890"/>
      <c r="AR513" s="890"/>
      <c r="AS513" s="525"/>
      <c r="AT513" s="525"/>
      <c r="AU513" s="526"/>
      <c r="AV513" s="526"/>
      <c r="AW513" s="526"/>
      <c r="AX513" s="526"/>
      <c r="AY513" s="524"/>
      <c r="BB513" s="536">
        <f t="shared" si="22"/>
        <v>1</v>
      </c>
    </row>
    <row r="514" spans="1:54" s="524" customFormat="1">
      <c r="A514" s="751" t="s">
        <v>24</v>
      </c>
      <c r="B514" s="834">
        <v>511</v>
      </c>
      <c r="C514" s="751" t="s">
        <v>3877</v>
      </c>
      <c r="D514" s="751" t="s">
        <v>34</v>
      </c>
      <c r="E514" s="887">
        <v>46109</v>
      </c>
      <c r="F514" s="751" t="s">
        <v>77</v>
      </c>
      <c r="G514" s="751">
        <v>10</v>
      </c>
      <c r="H514" s="521" t="s">
        <v>1076</v>
      </c>
      <c r="I514" s="521" t="s">
        <v>3875</v>
      </c>
      <c r="J514" s="583"/>
      <c r="K514" s="521" t="s">
        <v>3058</v>
      </c>
      <c r="L514" s="521" t="s">
        <v>2102</v>
      </c>
      <c r="M514" s="521" t="s">
        <v>3850</v>
      </c>
      <c r="N514" s="521" t="s">
        <v>3850</v>
      </c>
      <c r="O514" s="562" t="s">
        <v>3878</v>
      </c>
      <c r="P514" s="888"/>
      <c r="Q514" s="888"/>
      <c r="R514" s="888"/>
      <c r="S514" s="529" t="s">
        <v>178</v>
      </c>
      <c r="T514" s="751"/>
      <c r="U514" s="751"/>
      <c r="V514" s="751" t="s">
        <v>3438</v>
      </c>
      <c r="W514" s="751"/>
      <c r="X514" s="534" t="s">
        <v>30</v>
      </c>
      <c r="Y514" s="522" t="s">
        <v>30</v>
      </c>
      <c r="Z514" s="522"/>
      <c r="AA514" s="522"/>
      <c r="AB514" s="522"/>
      <c r="AC514" s="522"/>
      <c r="AD514" s="522"/>
      <c r="AE514" s="522"/>
      <c r="AF514" s="522"/>
      <c r="AG514" s="522"/>
      <c r="AH514" s="522"/>
      <c r="AI514" s="523"/>
      <c r="AJ514" s="523"/>
      <c r="AK514" s="523"/>
      <c r="AL514" s="523"/>
      <c r="AM514" s="522"/>
      <c r="AN514" s="522"/>
      <c r="AO514" s="889"/>
      <c r="AP514" s="890"/>
      <c r="AQ514" s="890"/>
      <c r="AR514" s="890"/>
      <c r="AS514" s="525"/>
      <c r="AT514" s="525"/>
      <c r="AU514" s="526"/>
      <c r="AV514" s="526"/>
      <c r="AW514" s="526"/>
      <c r="AX514" s="526"/>
    </row>
    <row r="515" spans="1:54" s="524" customFormat="1">
      <c r="A515" s="751" t="s">
        <v>24</v>
      </c>
      <c r="B515" s="834">
        <v>512</v>
      </c>
      <c r="C515" s="751" t="s">
        <v>3879</v>
      </c>
      <c r="D515" s="751" t="s">
        <v>34</v>
      </c>
      <c r="E515" s="887">
        <v>46109</v>
      </c>
      <c r="F515" s="751" t="s">
        <v>3880</v>
      </c>
      <c r="G515" s="751">
        <v>11</v>
      </c>
      <c r="H515" s="751" t="s">
        <v>127</v>
      </c>
      <c r="I515" s="751" t="s">
        <v>178</v>
      </c>
      <c r="J515" s="530" t="s">
        <v>3881</v>
      </c>
      <c r="K515" s="521" t="s">
        <v>3058</v>
      </c>
      <c r="L515" s="521" t="s">
        <v>2092</v>
      </c>
      <c r="M515" s="521" t="s">
        <v>3850</v>
      </c>
      <c r="N515" s="521" t="s">
        <v>3850</v>
      </c>
      <c r="O515" s="521" t="s">
        <v>2050</v>
      </c>
      <c r="P515" s="888"/>
      <c r="Q515" s="888"/>
      <c r="R515" s="888"/>
      <c r="S515" s="529" t="s">
        <v>178</v>
      </c>
      <c r="T515" s="751"/>
      <c r="U515" s="751"/>
      <c r="V515" s="751" t="s">
        <v>3438</v>
      </c>
      <c r="W515" s="751"/>
      <c r="X515" s="534" t="s">
        <v>30</v>
      </c>
      <c r="Y515" s="522"/>
      <c r="Z515" s="522"/>
      <c r="AA515" s="522"/>
      <c r="AB515" s="522"/>
      <c r="AC515" s="522"/>
      <c r="AD515" s="522"/>
      <c r="AE515" s="522"/>
      <c r="AF515" s="522"/>
      <c r="AG515" s="522"/>
      <c r="AH515" s="522"/>
      <c r="AI515" s="523"/>
      <c r="AJ515" s="523"/>
      <c r="AK515" s="523"/>
      <c r="AL515" s="523"/>
      <c r="AM515" s="522"/>
      <c r="AN515" s="522"/>
      <c r="AO515" s="889"/>
      <c r="AP515" s="890"/>
      <c r="AQ515" s="890"/>
      <c r="AR515" s="890"/>
      <c r="AS515" s="525"/>
      <c r="AT515" s="525"/>
      <c r="AU515" s="526"/>
      <c r="AV515" s="526"/>
      <c r="AW515" s="526"/>
      <c r="AX515" s="526"/>
    </row>
    <row r="516" spans="1:54">
      <c r="A516" s="834" t="s">
        <v>2342</v>
      </c>
      <c r="B516" s="834">
        <v>513</v>
      </c>
      <c r="C516" s="834" t="s">
        <v>3882</v>
      </c>
      <c r="D516" s="852" t="s">
        <v>1198</v>
      </c>
      <c r="E516" s="852">
        <v>46111</v>
      </c>
      <c r="F516" s="834" t="s">
        <v>3624</v>
      </c>
      <c r="G516" s="834">
        <v>3</v>
      </c>
      <c r="H516" s="834" t="s">
        <v>1077</v>
      </c>
      <c r="I516" s="834" t="s">
        <v>1138</v>
      </c>
      <c r="J516" s="380"/>
      <c r="K516" s="136"/>
      <c r="L516" s="136"/>
      <c r="M516" s="136"/>
      <c r="N516" s="136"/>
      <c r="O516" s="136"/>
      <c r="P516" s="848"/>
      <c r="Q516" s="848"/>
      <c r="R516" s="848"/>
      <c r="S516" s="89" t="s">
        <v>1638</v>
      </c>
      <c r="T516" s="834"/>
      <c r="U516" s="834"/>
      <c r="V516" s="834" t="s">
        <v>3438</v>
      </c>
      <c r="W516" s="834"/>
      <c r="X516" s="834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108"/>
      <c r="AJ516" s="108"/>
      <c r="AK516" s="108"/>
      <c r="AL516" s="108"/>
      <c r="AM516" s="80"/>
      <c r="AN516" s="80"/>
      <c r="AO516" s="832"/>
      <c r="AP516" s="875"/>
      <c r="AQ516" s="875"/>
      <c r="AR516" s="875"/>
      <c r="AS516" s="776"/>
      <c r="AT516" s="776"/>
    </row>
    <row r="517" spans="1:54">
      <c r="A517" s="834" t="s">
        <v>2342</v>
      </c>
      <c r="B517" s="834">
        <v>514</v>
      </c>
      <c r="C517" s="834" t="s">
        <v>3883</v>
      </c>
      <c r="D517" s="644" t="s">
        <v>1885</v>
      </c>
      <c r="E517" s="852">
        <v>46111</v>
      </c>
      <c r="F517" s="834" t="s">
        <v>3624</v>
      </c>
      <c r="G517" s="834">
        <v>1</v>
      </c>
      <c r="H517" s="834" t="s">
        <v>127</v>
      </c>
      <c r="I517" s="834" t="s">
        <v>178</v>
      </c>
      <c r="J517" s="380"/>
      <c r="K517" s="136"/>
      <c r="L517" s="136"/>
      <c r="M517" s="136"/>
      <c r="N517" s="136"/>
      <c r="O517" s="136"/>
      <c r="P517" s="848"/>
      <c r="Q517" s="848"/>
      <c r="R517" s="848"/>
      <c r="S517" s="89" t="s">
        <v>1638</v>
      </c>
      <c r="T517" s="834"/>
      <c r="U517" s="834"/>
      <c r="V517" s="834" t="s">
        <v>3438</v>
      </c>
      <c r="W517" s="834"/>
      <c r="X517" s="834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108"/>
      <c r="AJ517" s="108"/>
      <c r="AK517" s="108"/>
      <c r="AL517" s="108"/>
      <c r="AM517" s="80"/>
      <c r="AN517" s="80"/>
      <c r="AO517" s="832"/>
      <c r="AP517" s="875"/>
      <c r="AQ517" s="875"/>
      <c r="AR517" s="875"/>
      <c r="AS517" s="776"/>
      <c r="AT517" s="776"/>
    </row>
    <row r="518" spans="1:54">
      <c r="A518" s="834" t="s">
        <v>2342</v>
      </c>
      <c r="B518" s="834">
        <v>515</v>
      </c>
      <c r="C518" s="834" t="s">
        <v>3884</v>
      </c>
      <c r="D518" s="834" t="s">
        <v>1250</v>
      </c>
      <c r="E518" s="852">
        <v>46111</v>
      </c>
      <c r="F518" s="834" t="s">
        <v>3624</v>
      </c>
      <c r="G518" s="834">
        <v>2</v>
      </c>
      <c r="H518" s="834" t="s">
        <v>127</v>
      </c>
      <c r="I518" s="834" t="s">
        <v>178</v>
      </c>
      <c r="J518" s="380"/>
      <c r="K518" s="136"/>
      <c r="L518" s="136"/>
      <c r="M518" s="136"/>
      <c r="N518" s="136"/>
      <c r="O518" s="136"/>
      <c r="P518" s="848"/>
      <c r="Q518" s="848"/>
      <c r="R518" s="848"/>
      <c r="S518" s="89" t="s">
        <v>1638</v>
      </c>
      <c r="T518" s="834"/>
      <c r="U518" s="834"/>
      <c r="V518" s="834" t="s">
        <v>3438</v>
      </c>
      <c r="W518" s="834"/>
      <c r="X518" s="834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108"/>
      <c r="AJ518" s="108"/>
      <c r="AK518" s="108"/>
      <c r="AL518" s="108"/>
      <c r="AM518" s="80"/>
      <c r="AN518" s="80"/>
      <c r="AO518" s="832"/>
      <c r="AP518" s="875"/>
      <c r="AQ518" s="875"/>
      <c r="AR518" s="875"/>
      <c r="AS518" s="776"/>
      <c r="AT518" s="776"/>
    </row>
    <row r="519" spans="1:54">
      <c r="A519" s="834" t="s">
        <v>2342</v>
      </c>
      <c r="B519" s="834">
        <v>516</v>
      </c>
      <c r="C519" s="834" t="s">
        <v>3885</v>
      </c>
      <c r="D519" s="834" t="s">
        <v>2933</v>
      </c>
      <c r="E519" s="852">
        <v>46111</v>
      </c>
      <c r="F519" s="834" t="s">
        <v>3624</v>
      </c>
      <c r="G519" s="834">
        <v>20</v>
      </c>
      <c r="H519" s="834" t="s">
        <v>3634</v>
      </c>
      <c r="I519" s="834" t="s">
        <v>1514</v>
      </c>
      <c r="J519" s="380"/>
      <c r="K519" s="136"/>
      <c r="L519" s="136"/>
      <c r="M519" s="136"/>
      <c r="N519" s="136"/>
      <c r="O519" s="136"/>
      <c r="P519" s="834" t="s">
        <v>3560</v>
      </c>
      <c r="Q519" s="848"/>
      <c r="R519" s="848"/>
      <c r="S519" s="89" t="s">
        <v>1638</v>
      </c>
      <c r="T519" s="834"/>
      <c r="U519" s="834"/>
      <c r="V519" s="834" t="s">
        <v>3438</v>
      </c>
      <c r="W519" s="834"/>
      <c r="X519" s="834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108"/>
      <c r="AJ519" s="108"/>
      <c r="AK519" s="108"/>
      <c r="AL519" s="108"/>
      <c r="AM519" s="80"/>
      <c r="AN519" s="80"/>
      <c r="AO519" s="99">
        <v>0</v>
      </c>
      <c r="AP519" s="99">
        <v>1</v>
      </c>
      <c r="AQ519" s="633">
        <v>0</v>
      </c>
      <c r="AR519" s="633">
        <v>0</v>
      </c>
      <c r="AS519" s="510">
        <v>19</v>
      </c>
      <c r="AT519" s="510">
        <f t="shared" ref="AT519:AT520" si="24">SUM(AO519:AS519)</f>
        <v>20</v>
      </c>
      <c r="AU519" s="511">
        <f t="shared" ref="AU519:AU520" si="25">+AO519/AT519*AU$1</f>
        <v>0</v>
      </c>
      <c r="AV519" s="512">
        <f t="shared" ref="AV519:AV520" si="26">+AP519/AT519*AV$1</f>
        <v>0.15000000000000002</v>
      </c>
      <c r="AW519" s="510"/>
      <c r="AX519" s="512">
        <f t="shared" ref="AX519:AX520" si="27">+AQ519/AT519*AX$1</f>
        <v>0</v>
      </c>
      <c r="AY519" s="512">
        <f t="shared" ref="AY519:AY520" si="28">+AR519/AT519*AY$1</f>
        <v>0</v>
      </c>
    </row>
    <row r="520" spans="1:54">
      <c r="A520" s="834" t="s">
        <v>2342</v>
      </c>
      <c r="B520" s="834">
        <v>517</v>
      </c>
      <c r="C520" s="834" t="s">
        <v>3886</v>
      </c>
      <c r="D520" s="834" t="s">
        <v>829</v>
      </c>
      <c r="E520" s="852">
        <v>46111</v>
      </c>
      <c r="F520" s="834" t="s">
        <v>3624</v>
      </c>
      <c r="G520" s="834">
        <v>50</v>
      </c>
      <c r="H520" s="834" t="s">
        <v>3887</v>
      </c>
      <c r="I520" s="834" t="s">
        <v>3888</v>
      </c>
      <c r="J520" s="380"/>
      <c r="K520" s="136"/>
      <c r="L520" s="136"/>
      <c r="M520" s="136"/>
      <c r="N520" s="136"/>
      <c r="O520" s="136"/>
      <c r="P520" s="834" t="s">
        <v>3560</v>
      </c>
      <c r="Q520" s="848"/>
      <c r="R520" s="848"/>
      <c r="S520" s="89" t="s">
        <v>1638</v>
      </c>
      <c r="T520" s="834"/>
      <c r="U520" s="834"/>
      <c r="V520" s="834" t="s">
        <v>3438</v>
      </c>
      <c r="W520" s="834"/>
      <c r="X520" s="834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108"/>
      <c r="AJ520" s="108"/>
      <c r="AK520" s="108"/>
      <c r="AL520" s="108"/>
      <c r="AM520" s="80"/>
      <c r="AN520" s="80"/>
      <c r="AO520" s="99">
        <v>0</v>
      </c>
      <c r="AP520" s="99">
        <v>6</v>
      </c>
      <c r="AQ520" s="633">
        <v>0</v>
      </c>
      <c r="AR520" s="633">
        <v>24</v>
      </c>
      <c r="AS520" s="510">
        <v>20</v>
      </c>
      <c r="AT520" s="510">
        <f t="shared" si="24"/>
        <v>50</v>
      </c>
      <c r="AU520" s="511">
        <f t="shared" si="25"/>
        <v>0</v>
      </c>
      <c r="AV520" s="512">
        <f t="shared" si="26"/>
        <v>0.36</v>
      </c>
      <c r="AW520" s="510"/>
      <c r="AX520" s="512">
        <f t="shared" si="27"/>
        <v>0</v>
      </c>
      <c r="AY520" s="512">
        <f t="shared" si="28"/>
        <v>1.44</v>
      </c>
    </row>
    <row r="521" spans="1:54">
      <c r="A521" s="834" t="s">
        <v>2342</v>
      </c>
      <c r="B521" s="834">
        <v>518</v>
      </c>
      <c r="C521" s="834" t="s">
        <v>3889</v>
      </c>
      <c r="D521" s="834" t="s">
        <v>1184</v>
      </c>
      <c r="E521" s="852">
        <v>46111</v>
      </c>
      <c r="F521" s="834" t="s">
        <v>3624</v>
      </c>
      <c r="G521" s="834">
        <v>10</v>
      </c>
      <c r="H521" s="834" t="s">
        <v>2501</v>
      </c>
      <c r="I521" s="834" t="s">
        <v>3875</v>
      </c>
      <c r="J521" s="380"/>
      <c r="K521" s="136"/>
      <c r="L521" s="136"/>
      <c r="M521" s="136"/>
      <c r="N521" s="136"/>
      <c r="O521" s="136"/>
      <c r="P521" s="848"/>
      <c r="Q521" s="848"/>
      <c r="R521" s="848"/>
      <c r="S521" s="89" t="s">
        <v>1638</v>
      </c>
      <c r="T521" s="834"/>
      <c r="U521" s="834"/>
      <c r="V521" s="834" t="s">
        <v>3438</v>
      </c>
      <c r="W521" s="834"/>
      <c r="X521" s="834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108"/>
      <c r="AJ521" s="108"/>
      <c r="AK521" s="108"/>
      <c r="AL521" s="108"/>
      <c r="AM521" s="80"/>
      <c r="AN521" s="80"/>
      <c r="AO521" s="832"/>
      <c r="AP521" s="875"/>
      <c r="AQ521" s="875"/>
      <c r="AR521" s="875"/>
      <c r="AS521" s="776"/>
      <c r="AT521" s="776"/>
    </row>
    <row r="522" spans="1:54">
      <c r="A522" s="834" t="s">
        <v>2342</v>
      </c>
      <c r="B522" s="834">
        <v>519</v>
      </c>
      <c r="C522" s="834" t="s">
        <v>3890</v>
      </c>
      <c r="D522" s="834" t="s">
        <v>955</v>
      </c>
      <c r="E522" s="852">
        <v>46111</v>
      </c>
      <c r="F522" s="834" t="s">
        <v>3624</v>
      </c>
      <c r="G522" s="834">
        <v>17</v>
      </c>
      <c r="H522" s="834" t="s">
        <v>1077</v>
      </c>
      <c r="I522" s="834" t="s">
        <v>1138</v>
      </c>
      <c r="J522" s="380"/>
      <c r="K522" s="136"/>
      <c r="L522" s="136"/>
      <c r="M522" s="136"/>
      <c r="N522" s="136"/>
      <c r="O522" s="136"/>
      <c r="P522" s="834" t="s">
        <v>3560</v>
      </c>
      <c r="Q522" s="848"/>
      <c r="R522" s="848"/>
      <c r="S522" s="89" t="s">
        <v>1638</v>
      </c>
      <c r="T522" s="834"/>
      <c r="U522" s="834"/>
      <c r="V522" s="834" t="s">
        <v>3438</v>
      </c>
      <c r="W522" s="834"/>
      <c r="X522" s="834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108"/>
      <c r="AJ522" s="108"/>
      <c r="AK522" s="108"/>
      <c r="AL522" s="108"/>
      <c r="AM522" s="80"/>
      <c r="AN522" s="80"/>
      <c r="AO522" s="99">
        <v>0</v>
      </c>
      <c r="AP522" s="99">
        <v>0</v>
      </c>
      <c r="AQ522" s="633">
        <v>0</v>
      </c>
      <c r="AR522" s="633">
        <v>0</v>
      </c>
      <c r="AS522" s="510">
        <v>17</v>
      </c>
      <c r="AT522" s="510">
        <f>SUM(AO522:AS522)</f>
        <v>17</v>
      </c>
      <c r="AU522" s="511">
        <f>+AO522/AT522*AU$1</f>
        <v>0</v>
      </c>
      <c r="AV522" s="512">
        <f>+AP522/AT522*AV$1</f>
        <v>0</v>
      </c>
      <c r="AW522" s="510"/>
      <c r="AX522" s="512">
        <f>+AQ522/AT522*AX$1</f>
        <v>0</v>
      </c>
      <c r="AY522" s="512">
        <f>+AR522/AT522*AY$1</f>
        <v>0</v>
      </c>
    </row>
    <row r="523" spans="1:54">
      <c r="A523" s="834" t="s">
        <v>2342</v>
      </c>
      <c r="B523" s="834">
        <v>520</v>
      </c>
      <c r="C523" s="834" t="s">
        <v>3891</v>
      </c>
      <c r="D523" s="834" t="s">
        <v>1426</v>
      </c>
      <c r="E523" s="852">
        <v>46111</v>
      </c>
      <c r="F523" s="834" t="s">
        <v>3624</v>
      </c>
      <c r="G523" s="834">
        <v>6</v>
      </c>
      <c r="H523" s="834" t="s">
        <v>1077</v>
      </c>
      <c r="I523" s="834" t="s">
        <v>1138</v>
      </c>
      <c r="J523" s="380"/>
      <c r="K523" s="136"/>
      <c r="L523" s="136"/>
      <c r="M523" s="136"/>
      <c r="N523" s="136"/>
      <c r="O523" s="136"/>
      <c r="P523" s="848"/>
      <c r="Q523" s="848"/>
      <c r="R523" s="848"/>
      <c r="S523" s="89" t="s">
        <v>1638</v>
      </c>
      <c r="T523" s="834"/>
      <c r="U523" s="834"/>
      <c r="V523" s="834" t="s">
        <v>3438</v>
      </c>
      <c r="W523" s="834"/>
      <c r="X523" s="834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108"/>
      <c r="AJ523" s="108"/>
      <c r="AK523" s="108"/>
      <c r="AL523" s="108"/>
      <c r="AM523" s="80"/>
      <c r="AN523" s="80"/>
      <c r="AO523" s="832"/>
      <c r="AP523" s="875"/>
      <c r="AQ523" s="875"/>
      <c r="AR523" s="875"/>
      <c r="AS523" s="776"/>
      <c r="AT523" s="776"/>
    </row>
    <row r="524" spans="1:54">
      <c r="A524" s="834" t="s">
        <v>2342</v>
      </c>
      <c r="B524" s="834">
        <v>521</v>
      </c>
      <c r="C524" s="834" t="s">
        <v>3892</v>
      </c>
      <c r="D524" s="834" t="s">
        <v>3893</v>
      </c>
      <c r="E524" s="852">
        <v>46111</v>
      </c>
      <c r="F524" s="834" t="s">
        <v>3624</v>
      </c>
      <c r="G524" s="834">
        <v>2</v>
      </c>
      <c r="H524" s="834" t="s">
        <v>1077</v>
      </c>
      <c r="I524" s="834" t="s">
        <v>1138</v>
      </c>
      <c r="J524" s="380"/>
      <c r="K524" s="136"/>
      <c r="L524" s="136"/>
      <c r="M524" s="136"/>
      <c r="N524" s="136"/>
      <c r="O524" s="136"/>
      <c r="P524" s="848"/>
      <c r="Q524" s="848"/>
      <c r="R524" s="848"/>
      <c r="S524" s="89" t="s">
        <v>1638</v>
      </c>
      <c r="T524" s="834"/>
      <c r="U524" s="834"/>
      <c r="V524" s="834" t="s">
        <v>3438</v>
      </c>
      <c r="W524" s="834"/>
      <c r="X524" s="834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108"/>
      <c r="AJ524" s="108"/>
      <c r="AK524" s="108"/>
      <c r="AL524" s="108"/>
      <c r="AM524" s="80"/>
      <c r="AN524" s="80"/>
      <c r="AO524" s="832"/>
      <c r="AP524" s="875"/>
      <c r="AQ524" s="875"/>
      <c r="AR524" s="875"/>
      <c r="AS524" s="776"/>
      <c r="AT524" s="776"/>
    </row>
    <row r="525" spans="1:54">
      <c r="A525" s="834" t="s">
        <v>2342</v>
      </c>
      <c r="B525" s="834">
        <v>522</v>
      </c>
      <c r="C525" s="834" t="s">
        <v>3894</v>
      </c>
      <c r="D525" s="834" t="s">
        <v>1887</v>
      </c>
      <c r="E525" s="852">
        <v>46111</v>
      </c>
      <c r="F525" s="834" t="s">
        <v>3624</v>
      </c>
      <c r="G525" s="834">
        <v>8</v>
      </c>
      <c r="H525" s="834" t="s">
        <v>127</v>
      </c>
      <c r="I525" s="834" t="s">
        <v>178</v>
      </c>
      <c r="J525" s="380"/>
      <c r="K525" s="136"/>
      <c r="L525" s="136"/>
      <c r="M525" s="136"/>
      <c r="N525" s="136"/>
      <c r="O525" s="136"/>
      <c r="P525" s="848"/>
      <c r="Q525" s="848"/>
      <c r="R525" s="848"/>
      <c r="S525" s="89" t="s">
        <v>1638</v>
      </c>
      <c r="T525" s="834"/>
      <c r="U525" s="834"/>
      <c r="V525" s="834" t="s">
        <v>3438</v>
      </c>
      <c r="W525" s="834"/>
      <c r="X525" s="834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108"/>
      <c r="AJ525" s="108"/>
      <c r="AK525" s="108"/>
      <c r="AL525" s="108"/>
      <c r="AM525" s="80"/>
      <c r="AN525" s="80"/>
      <c r="AO525" s="832"/>
      <c r="AP525" s="875"/>
      <c r="AQ525" s="875"/>
      <c r="AR525" s="875"/>
      <c r="AS525" s="776"/>
      <c r="AT525" s="776"/>
    </row>
    <row r="526" spans="1:54">
      <c r="A526" s="834" t="s">
        <v>2342</v>
      </c>
      <c r="B526" s="834">
        <v>523</v>
      </c>
      <c r="C526" s="834" t="s">
        <v>3895</v>
      </c>
      <c r="D526" s="834" t="s">
        <v>1025</v>
      </c>
      <c r="E526" s="852">
        <v>46111</v>
      </c>
      <c r="F526" s="834" t="s">
        <v>3624</v>
      </c>
      <c r="G526" s="834">
        <v>1</v>
      </c>
      <c r="H526" s="834" t="s">
        <v>3056</v>
      </c>
      <c r="I526" s="834" t="s">
        <v>47</v>
      </c>
      <c r="J526" s="380"/>
      <c r="K526" s="136"/>
      <c r="L526" s="136"/>
      <c r="M526" s="136"/>
      <c r="N526" s="136"/>
      <c r="O526" s="136"/>
      <c r="P526" s="848"/>
      <c r="Q526" s="848"/>
      <c r="R526" s="848"/>
      <c r="S526" s="89" t="s">
        <v>1638</v>
      </c>
      <c r="T526" s="834"/>
      <c r="U526" s="834"/>
      <c r="V526" s="834" t="s">
        <v>3438</v>
      </c>
      <c r="W526" s="834"/>
      <c r="X526" s="834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108"/>
      <c r="AJ526" s="108"/>
      <c r="AK526" s="108"/>
      <c r="AL526" s="108"/>
      <c r="AM526" s="80"/>
      <c r="AN526" s="80"/>
      <c r="AO526" s="832"/>
      <c r="AP526" s="875"/>
      <c r="AQ526" s="875"/>
      <c r="AR526" s="875"/>
      <c r="AS526" s="776"/>
      <c r="AT526" s="776"/>
    </row>
    <row r="527" spans="1:54">
      <c r="A527" s="834" t="s">
        <v>2342</v>
      </c>
      <c r="B527" s="834">
        <v>524</v>
      </c>
      <c r="C527" s="834" t="s">
        <v>3896</v>
      </c>
      <c r="D527" s="852" t="s">
        <v>865</v>
      </c>
      <c r="E527" s="852">
        <v>46111</v>
      </c>
      <c r="F527" s="834" t="s">
        <v>3624</v>
      </c>
      <c r="G527" s="834">
        <v>1</v>
      </c>
      <c r="H527" s="834" t="s">
        <v>1076</v>
      </c>
      <c r="I527" s="834" t="s">
        <v>3337</v>
      </c>
      <c r="J527" s="380"/>
      <c r="K527" s="136"/>
      <c r="L527" s="136"/>
      <c r="M527" s="136"/>
      <c r="N527" s="136"/>
      <c r="O527" s="136"/>
      <c r="P527" s="848"/>
      <c r="Q527" s="848"/>
      <c r="R527" s="848"/>
      <c r="S527" s="89" t="s">
        <v>1638</v>
      </c>
      <c r="T527" s="834"/>
      <c r="U527" s="834"/>
      <c r="V527" s="834" t="s">
        <v>3438</v>
      </c>
      <c r="W527" s="834"/>
      <c r="X527" s="834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108"/>
      <c r="AJ527" s="108"/>
      <c r="AK527" s="108"/>
      <c r="AL527" s="108"/>
      <c r="AM527" s="80"/>
      <c r="AN527" s="80"/>
      <c r="AO527" s="832"/>
      <c r="AP527" s="875"/>
      <c r="AQ527" s="875"/>
      <c r="AR527" s="875"/>
      <c r="AS527" s="776"/>
      <c r="AT527" s="776"/>
    </row>
    <row r="528" spans="1:54">
      <c r="A528" s="834" t="s">
        <v>2342</v>
      </c>
      <c r="B528" s="834">
        <v>525</v>
      </c>
      <c r="C528" s="834" t="s">
        <v>3897</v>
      </c>
      <c r="D528" s="834" t="s">
        <v>798</v>
      </c>
      <c r="E528" s="852">
        <v>46111</v>
      </c>
      <c r="F528" s="834" t="s">
        <v>3624</v>
      </c>
      <c r="G528" s="834">
        <v>1</v>
      </c>
      <c r="H528" s="834" t="s">
        <v>1721</v>
      </c>
      <c r="I528" s="834" t="s">
        <v>1638</v>
      </c>
      <c r="J528" s="380"/>
      <c r="K528" s="136"/>
      <c r="L528" s="136"/>
      <c r="M528" s="136"/>
      <c r="N528" s="136"/>
      <c r="O528" s="136"/>
      <c r="P528" s="848"/>
      <c r="Q528" s="848"/>
      <c r="R528" s="848"/>
      <c r="S528" s="89" t="s">
        <v>1638</v>
      </c>
      <c r="T528" s="834"/>
      <c r="U528" s="834"/>
      <c r="V528" s="834" t="s">
        <v>3438</v>
      </c>
      <c r="W528" s="834"/>
      <c r="X528" s="834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108"/>
      <c r="AJ528" s="108"/>
      <c r="AK528" s="108"/>
      <c r="AL528" s="108"/>
      <c r="AM528" s="80"/>
      <c r="AN528" s="80"/>
      <c r="AO528" s="832"/>
      <c r="AP528" s="875"/>
      <c r="AQ528" s="875"/>
      <c r="AR528" s="875"/>
      <c r="AS528" s="776"/>
      <c r="AT528" s="776"/>
    </row>
    <row r="529" spans="1:54">
      <c r="A529" s="834" t="s">
        <v>2342</v>
      </c>
      <c r="B529" s="834">
        <v>526</v>
      </c>
      <c r="C529" s="834" t="s">
        <v>3898</v>
      </c>
      <c r="D529" s="852" t="s">
        <v>3899</v>
      </c>
      <c r="E529" s="852">
        <v>46111</v>
      </c>
      <c r="F529" s="834" t="s">
        <v>3624</v>
      </c>
      <c r="G529" s="834">
        <v>1</v>
      </c>
      <c r="H529" s="834" t="s">
        <v>1721</v>
      </c>
      <c r="I529" s="834" t="s">
        <v>1638</v>
      </c>
      <c r="J529" s="380"/>
      <c r="K529" s="136"/>
      <c r="L529" s="136"/>
      <c r="M529" s="136"/>
      <c r="N529" s="136"/>
      <c r="O529" s="136"/>
      <c r="P529" s="848"/>
      <c r="Q529" s="848"/>
      <c r="R529" s="848"/>
      <c r="S529" s="89" t="s">
        <v>1638</v>
      </c>
      <c r="T529" s="834"/>
      <c r="U529" s="834"/>
      <c r="V529" s="834" t="s">
        <v>3438</v>
      </c>
      <c r="W529" s="834"/>
      <c r="X529" s="834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108"/>
      <c r="AJ529" s="108"/>
      <c r="AK529" s="108"/>
      <c r="AL529" s="108"/>
      <c r="AM529" s="80"/>
      <c r="AN529" s="80"/>
      <c r="AO529" s="832"/>
      <c r="AP529" s="875"/>
      <c r="AQ529" s="875"/>
      <c r="AR529" s="875"/>
      <c r="AS529" s="776"/>
      <c r="AT529" s="776"/>
    </row>
    <row r="530" spans="1:54">
      <c r="A530" s="834" t="s">
        <v>2342</v>
      </c>
      <c r="B530" s="834">
        <v>527</v>
      </c>
      <c r="C530" s="834" t="s">
        <v>3900</v>
      </c>
      <c r="D530" s="852" t="s">
        <v>1184</v>
      </c>
      <c r="E530" s="852">
        <v>46111</v>
      </c>
      <c r="F530" s="834" t="s">
        <v>3624</v>
      </c>
      <c r="G530" s="834">
        <v>1</v>
      </c>
      <c r="H530" s="834" t="s">
        <v>1721</v>
      </c>
      <c r="I530" s="834" t="s">
        <v>1638</v>
      </c>
      <c r="J530" s="380"/>
      <c r="K530" s="136"/>
      <c r="L530" s="136"/>
      <c r="M530" s="136"/>
      <c r="N530" s="136"/>
      <c r="O530" s="136"/>
      <c r="P530" s="848"/>
      <c r="Q530" s="848"/>
      <c r="R530" s="848"/>
      <c r="S530" s="89" t="s">
        <v>1638</v>
      </c>
      <c r="T530" s="834"/>
      <c r="U530" s="834"/>
      <c r="V530" s="834" t="s">
        <v>3438</v>
      </c>
      <c r="W530" s="834"/>
      <c r="X530" s="834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108"/>
      <c r="AJ530" s="108"/>
      <c r="AK530" s="108"/>
      <c r="AL530" s="108"/>
      <c r="AM530" s="80"/>
      <c r="AN530" s="80"/>
      <c r="AO530" s="832"/>
      <c r="AP530" s="875"/>
      <c r="AQ530" s="875"/>
      <c r="AR530" s="875"/>
      <c r="AS530" s="776"/>
      <c r="AT530" s="776"/>
    </row>
    <row r="531" spans="1:54">
      <c r="A531" s="834" t="s">
        <v>2342</v>
      </c>
      <c r="B531" s="834">
        <v>528</v>
      </c>
      <c r="C531" s="834" t="s">
        <v>3901</v>
      </c>
      <c r="D531" s="834" t="s">
        <v>829</v>
      </c>
      <c r="E531" s="852">
        <v>46111</v>
      </c>
      <c r="F531" s="834" t="s">
        <v>3624</v>
      </c>
      <c r="G531" s="834">
        <v>5</v>
      </c>
      <c r="H531" s="834" t="s">
        <v>1721</v>
      </c>
      <c r="I531" s="834" t="s">
        <v>1638</v>
      </c>
      <c r="J531" s="380"/>
      <c r="K531" s="136"/>
      <c r="L531" s="136"/>
      <c r="M531" s="136"/>
      <c r="N531" s="136"/>
      <c r="O531" s="136"/>
      <c r="P531" s="848"/>
      <c r="Q531" s="848"/>
      <c r="R531" s="848"/>
      <c r="S531" s="89"/>
      <c r="T531" s="834"/>
      <c r="U531" s="834"/>
      <c r="V531" s="834"/>
      <c r="W531" s="834"/>
      <c r="X531" s="834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108"/>
      <c r="AJ531" s="108"/>
      <c r="AK531" s="108"/>
      <c r="AL531" s="108"/>
      <c r="AM531" s="80"/>
      <c r="AN531" s="80"/>
      <c r="AO531" s="832"/>
      <c r="AP531" s="875"/>
      <c r="AQ531" s="875"/>
      <c r="AR531" s="875"/>
      <c r="AS531" s="776"/>
      <c r="AT531" s="776"/>
    </row>
    <row r="532" spans="1:54" s="375" customFormat="1" ht="15.6" customHeight="1">
      <c r="A532" s="834" t="s">
        <v>24</v>
      </c>
      <c r="B532" s="834">
        <v>529</v>
      </c>
      <c r="C532" s="521" t="s">
        <v>3902</v>
      </c>
      <c r="D532" s="136" t="s">
        <v>50</v>
      </c>
      <c r="E532" s="124">
        <v>46114</v>
      </c>
      <c r="F532" s="136" t="s">
        <v>1342</v>
      </c>
      <c r="G532" s="136">
        <v>35</v>
      </c>
      <c r="H532" s="136" t="s">
        <v>1721</v>
      </c>
      <c r="I532" s="136" t="s">
        <v>1638</v>
      </c>
      <c r="J532" s="215" t="s">
        <v>3903</v>
      </c>
      <c r="K532" s="136" t="s">
        <v>3063</v>
      </c>
      <c r="L532" s="136" t="s">
        <v>3904</v>
      </c>
      <c r="M532" s="136" t="s">
        <v>3854</v>
      </c>
      <c r="N532" s="136" t="s">
        <v>3854</v>
      </c>
      <c r="O532" s="400" t="s">
        <v>3739</v>
      </c>
      <c r="P532" s="400"/>
      <c r="Q532" s="400"/>
      <c r="R532" s="400"/>
      <c r="S532" s="380"/>
      <c r="T532" s="136"/>
      <c r="U532" s="136"/>
      <c r="V532" s="136"/>
      <c r="W532" s="136"/>
      <c r="X532" s="91" t="s">
        <v>32</v>
      </c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107"/>
      <c r="AJ532" s="107"/>
      <c r="AK532" s="107"/>
      <c r="AL532" s="107"/>
      <c r="AM532" s="96"/>
      <c r="AN532" s="96"/>
      <c r="AO532" s="832"/>
      <c r="AP532" s="875"/>
      <c r="AQ532" s="875"/>
      <c r="AR532" s="875"/>
      <c r="AS532" s="776"/>
      <c r="AT532" s="776"/>
      <c r="AU532" s="92"/>
      <c r="AV532" s="92"/>
      <c r="AW532" s="92"/>
      <c r="AX532" s="92"/>
      <c r="AY532"/>
    </row>
    <row r="533" spans="1:54" ht="15.6" customHeight="1">
      <c r="A533" s="834" t="s">
        <v>24</v>
      </c>
      <c r="B533" s="834">
        <v>530</v>
      </c>
      <c r="C533" s="751" t="s">
        <v>3905</v>
      </c>
      <c r="D533" s="834" t="s">
        <v>425</v>
      </c>
      <c r="E533" s="852">
        <v>46115</v>
      </c>
      <c r="F533" s="834" t="s">
        <v>187</v>
      </c>
      <c r="G533" s="834">
        <v>12</v>
      </c>
      <c r="H533" s="834" t="s">
        <v>1721</v>
      </c>
      <c r="I533" s="834" t="s">
        <v>1638</v>
      </c>
      <c r="J533" s="834"/>
      <c r="K533" s="136" t="s">
        <v>3058</v>
      </c>
      <c r="L533" s="136" t="s">
        <v>2098</v>
      </c>
      <c r="M533" s="136" t="s">
        <v>3854</v>
      </c>
      <c r="N533" s="136" t="s">
        <v>3854</v>
      </c>
      <c r="O533" s="136" t="s">
        <v>2050</v>
      </c>
      <c r="P533" s="848"/>
      <c r="Q533" s="848"/>
      <c r="R533" s="848"/>
      <c r="S533" s="89"/>
      <c r="T533" s="834"/>
      <c r="U533" s="834"/>
      <c r="V533" s="834"/>
      <c r="W533" s="834"/>
      <c r="X533" s="91" t="s">
        <v>32</v>
      </c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108"/>
      <c r="AJ533" s="108"/>
      <c r="AK533" s="108"/>
      <c r="AL533" s="108"/>
      <c r="AM533" s="80"/>
      <c r="AN533" s="80"/>
      <c r="AO533" s="832"/>
      <c r="AP533" s="875"/>
      <c r="AQ533" s="875"/>
      <c r="AR533" s="875"/>
      <c r="AS533" s="776"/>
      <c r="AT533" s="776"/>
      <c r="BB533">
        <f t="shared" ref="BB533" si="29">IF(E533&gt;1,1,"")</f>
        <v>1</v>
      </c>
    </row>
    <row r="534" spans="1:54" ht="15.6" customHeight="1">
      <c r="A534" s="834" t="s">
        <v>2342</v>
      </c>
      <c r="B534" s="834">
        <v>531</v>
      </c>
      <c r="C534" s="751" t="s">
        <v>3906</v>
      </c>
      <c r="D534" s="124" t="s">
        <v>1184</v>
      </c>
      <c r="E534" s="852">
        <v>46115</v>
      </c>
      <c r="F534" s="834" t="s">
        <v>3624</v>
      </c>
      <c r="G534" s="834">
        <v>2</v>
      </c>
      <c r="H534" s="834" t="s">
        <v>1799</v>
      </c>
      <c r="I534" s="834" t="s">
        <v>3907</v>
      </c>
      <c r="J534" s="834"/>
      <c r="K534" s="136"/>
      <c r="L534" s="136"/>
      <c r="M534" s="136"/>
      <c r="N534" s="136"/>
      <c r="O534" s="136"/>
      <c r="P534" s="848"/>
      <c r="Q534" s="848"/>
      <c r="R534" s="848"/>
      <c r="S534" s="89"/>
      <c r="T534" s="834"/>
      <c r="U534" s="834"/>
      <c r="V534" s="834"/>
      <c r="W534" s="834"/>
      <c r="X534" s="834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108"/>
      <c r="AJ534" s="108"/>
      <c r="AK534" s="108"/>
      <c r="AL534" s="108"/>
      <c r="AM534" s="80"/>
      <c r="AN534" s="80"/>
      <c r="AO534" s="832"/>
      <c r="AP534" s="875"/>
      <c r="AQ534" s="875"/>
      <c r="AR534" s="875"/>
      <c r="AS534" s="776"/>
      <c r="AT534" s="776"/>
    </row>
    <row r="535" spans="1:54" ht="15.6" customHeight="1">
      <c r="A535" s="834" t="s">
        <v>2342</v>
      </c>
      <c r="B535" s="834">
        <v>532</v>
      </c>
      <c r="C535" s="751" t="s">
        <v>3908</v>
      </c>
      <c r="D535" s="834" t="s">
        <v>2925</v>
      </c>
      <c r="E535" s="124">
        <v>46118</v>
      </c>
      <c r="F535" s="834" t="s">
        <v>3624</v>
      </c>
      <c r="G535" s="834">
        <v>13</v>
      </c>
      <c r="H535" s="834" t="s">
        <v>1799</v>
      </c>
      <c r="I535" s="834" t="s">
        <v>3907</v>
      </c>
      <c r="J535" s="834"/>
      <c r="K535" s="136"/>
      <c r="L535" s="136"/>
      <c r="M535" s="136"/>
      <c r="N535" s="136"/>
      <c r="O535" s="136"/>
      <c r="P535" s="848"/>
      <c r="Q535" s="848"/>
      <c r="R535" s="848"/>
      <c r="S535" s="89"/>
      <c r="T535" s="834"/>
      <c r="U535" s="834"/>
      <c r="V535" s="834"/>
      <c r="W535" s="834"/>
      <c r="X535" s="834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108"/>
      <c r="AJ535" s="108"/>
      <c r="AK535" s="108"/>
      <c r="AL535" s="108"/>
      <c r="AM535" s="80"/>
      <c r="AN535" s="80"/>
      <c r="AO535" s="832"/>
      <c r="AP535" s="875"/>
      <c r="AQ535" s="875"/>
      <c r="AR535" s="875"/>
      <c r="AS535" s="776"/>
      <c r="AT535" s="776"/>
    </row>
    <row r="536" spans="1:54" ht="15.6" customHeight="1">
      <c r="A536" s="834" t="s">
        <v>2342</v>
      </c>
      <c r="B536" s="834">
        <v>533</v>
      </c>
      <c r="C536" s="751" t="s">
        <v>3909</v>
      </c>
      <c r="D536" s="834" t="s">
        <v>846</v>
      </c>
      <c r="E536" s="124">
        <v>46118</v>
      </c>
      <c r="F536" s="834" t="s">
        <v>3624</v>
      </c>
      <c r="G536" s="834">
        <v>4</v>
      </c>
      <c r="H536" s="834" t="s">
        <v>1077</v>
      </c>
      <c r="I536" s="834" t="s">
        <v>1138</v>
      </c>
      <c r="J536" s="834"/>
      <c r="K536" s="136"/>
      <c r="L536" s="136"/>
      <c r="M536" s="136"/>
      <c r="N536" s="136"/>
      <c r="O536" s="136"/>
      <c r="P536" s="848"/>
      <c r="Q536" s="848"/>
      <c r="R536" s="848"/>
      <c r="S536" s="89"/>
      <c r="T536" s="834"/>
      <c r="U536" s="834"/>
      <c r="V536" s="834"/>
      <c r="W536" s="834"/>
      <c r="X536" s="834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108"/>
      <c r="AJ536" s="108"/>
      <c r="AK536" s="108"/>
      <c r="AL536" s="108"/>
      <c r="AM536" s="80"/>
      <c r="AN536" s="80"/>
      <c r="AO536" s="832"/>
      <c r="AP536" s="875"/>
      <c r="AQ536" s="875"/>
      <c r="AR536" s="875"/>
      <c r="AS536" s="776"/>
      <c r="AT536" s="776"/>
    </row>
    <row r="537" spans="1:54" ht="15.6" customHeight="1">
      <c r="A537" s="834" t="s">
        <v>2342</v>
      </c>
      <c r="B537" s="834">
        <v>534</v>
      </c>
      <c r="C537" s="751" t="s">
        <v>3910</v>
      </c>
      <c r="D537" s="124" t="s">
        <v>1887</v>
      </c>
      <c r="E537" s="124">
        <v>46118</v>
      </c>
      <c r="F537" s="834" t="s">
        <v>3624</v>
      </c>
      <c r="G537" s="834">
        <v>12</v>
      </c>
      <c r="H537" s="834" t="s">
        <v>3471</v>
      </c>
      <c r="I537" s="834" t="s">
        <v>3701</v>
      </c>
      <c r="J537" s="834"/>
      <c r="K537" s="136"/>
      <c r="L537" s="136"/>
      <c r="M537" s="136"/>
      <c r="N537" s="136"/>
      <c r="O537" s="136"/>
      <c r="P537" s="848"/>
      <c r="Q537" s="848"/>
      <c r="R537" s="848"/>
      <c r="S537" s="89"/>
      <c r="T537" s="834"/>
      <c r="U537" s="834"/>
      <c r="V537" s="834"/>
      <c r="W537" s="834"/>
      <c r="X537" s="834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108"/>
      <c r="AJ537" s="108"/>
      <c r="AK537" s="108"/>
      <c r="AL537" s="108"/>
      <c r="AM537" s="80"/>
      <c r="AN537" s="80"/>
      <c r="AO537" s="832"/>
      <c r="AP537" s="875"/>
      <c r="AQ537" s="875"/>
      <c r="AR537" s="875"/>
      <c r="AS537" s="776"/>
      <c r="AT537" s="776"/>
    </row>
    <row r="538" spans="1:54" ht="15.6" customHeight="1">
      <c r="A538" s="834" t="s">
        <v>2342</v>
      </c>
      <c r="B538" s="834">
        <v>535</v>
      </c>
      <c r="C538" s="751" t="s">
        <v>3911</v>
      </c>
      <c r="D538" s="834" t="s">
        <v>829</v>
      </c>
      <c r="E538" s="124">
        <v>46118</v>
      </c>
      <c r="F538" s="834" t="s">
        <v>3624</v>
      </c>
      <c r="G538" s="834">
        <v>8</v>
      </c>
      <c r="H538" s="834" t="s">
        <v>127</v>
      </c>
      <c r="I538" s="834" t="s">
        <v>178</v>
      </c>
      <c r="J538" s="834"/>
      <c r="K538" s="136"/>
      <c r="L538" s="136"/>
      <c r="M538" s="136"/>
      <c r="N538" s="136"/>
      <c r="O538" s="136"/>
      <c r="P538" s="848"/>
      <c r="Q538" s="848"/>
      <c r="R538" s="848"/>
      <c r="S538" s="89"/>
      <c r="T538" s="834"/>
      <c r="U538" s="834"/>
      <c r="V538" s="834"/>
      <c r="W538" s="834"/>
      <c r="X538" s="834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108"/>
      <c r="AJ538" s="108"/>
      <c r="AK538" s="108"/>
      <c r="AL538" s="108"/>
      <c r="AM538" s="80"/>
      <c r="AN538" s="80"/>
      <c r="AO538" s="832"/>
      <c r="AP538" s="875"/>
      <c r="AQ538" s="875"/>
      <c r="AR538" s="875"/>
      <c r="AS538" s="776"/>
      <c r="AT538" s="776"/>
    </row>
    <row r="539" spans="1:54" ht="15.6" customHeight="1">
      <c r="A539" s="834" t="s">
        <v>2342</v>
      </c>
      <c r="B539" s="834">
        <v>536</v>
      </c>
      <c r="C539" s="751" t="s">
        <v>3912</v>
      </c>
      <c r="D539" s="124" t="s">
        <v>3708</v>
      </c>
      <c r="E539" s="124">
        <v>46118</v>
      </c>
      <c r="F539" s="834" t="s">
        <v>3624</v>
      </c>
      <c r="G539" s="834">
        <v>1</v>
      </c>
      <c r="H539" s="834" t="s">
        <v>1077</v>
      </c>
      <c r="I539" s="834" t="s">
        <v>1138</v>
      </c>
      <c r="J539" s="834"/>
      <c r="K539" s="136"/>
      <c r="L539" s="136"/>
      <c r="M539" s="136"/>
      <c r="N539" s="136"/>
      <c r="O539" s="136"/>
      <c r="P539" s="848"/>
      <c r="Q539" s="848"/>
      <c r="R539" s="848"/>
      <c r="S539" s="89"/>
      <c r="T539" s="834"/>
      <c r="U539" s="834"/>
      <c r="V539" s="834"/>
      <c r="W539" s="834"/>
      <c r="X539" s="834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108"/>
      <c r="AJ539" s="108"/>
      <c r="AK539" s="108"/>
      <c r="AL539" s="108"/>
      <c r="AM539" s="80"/>
      <c r="AN539" s="80"/>
      <c r="AO539" s="832"/>
      <c r="AP539" s="875"/>
      <c r="AQ539" s="875"/>
      <c r="AR539" s="875"/>
      <c r="AS539" s="776"/>
      <c r="AT539" s="776"/>
    </row>
    <row r="540" spans="1:54" ht="15.6" customHeight="1">
      <c r="A540" s="834" t="s">
        <v>2342</v>
      </c>
      <c r="B540" s="834">
        <v>537</v>
      </c>
      <c r="C540" s="751" t="s">
        <v>3913</v>
      </c>
      <c r="D540" s="124" t="s">
        <v>1198</v>
      </c>
      <c r="E540" s="124">
        <v>46118</v>
      </c>
      <c r="F540" s="834" t="s">
        <v>3624</v>
      </c>
      <c r="G540" s="834">
        <v>1</v>
      </c>
      <c r="H540" s="834" t="s">
        <v>1077</v>
      </c>
      <c r="I540" s="834" t="s">
        <v>1138</v>
      </c>
      <c r="J540" s="834"/>
      <c r="K540" s="136"/>
      <c r="L540" s="136"/>
      <c r="M540" s="136"/>
      <c r="N540" s="136"/>
      <c r="O540" s="136"/>
      <c r="P540" s="848"/>
      <c r="Q540" s="848"/>
      <c r="R540" s="848"/>
      <c r="S540" s="89"/>
      <c r="T540" s="834"/>
      <c r="U540" s="834"/>
      <c r="V540" s="834"/>
      <c r="W540" s="834"/>
      <c r="X540" s="834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108"/>
      <c r="AJ540" s="108"/>
      <c r="AK540" s="108"/>
      <c r="AL540" s="108"/>
      <c r="AM540" s="80"/>
      <c r="AN540" s="80"/>
      <c r="AO540" s="832"/>
      <c r="AP540" s="875"/>
      <c r="AQ540" s="875"/>
      <c r="AR540" s="875"/>
      <c r="AS540" s="776"/>
      <c r="AT540" s="776"/>
    </row>
    <row r="541" spans="1:54" ht="15.6" customHeight="1">
      <c r="A541" s="834" t="s">
        <v>2342</v>
      </c>
      <c r="B541" s="834">
        <v>538</v>
      </c>
      <c r="C541" s="830" t="s">
        <v>3914</v>
      </c>
      <c r="D541" s="834" t="s">
        <v>937</v>
      </c>
      <c r="E541" s="124">
        <v>46118</v>
      </c>
      <c r="F541" s="834" t="s">
        <v>3624</v>
      </c>
      <c r="G541" s="834">
        <v>4</v>
      </c>
      <c r="H541" s="834" t="s">
        <v>127</v>
      </c>
      <c r="I541" s="834" t="s">
        <v>178</v>
      </c>
      <c r="J541" s="834"/>
      <c r="K541" s="136"/>
      <c r="L541" s="136"/>
      <c r="M541" s="136"/>
      <c r="N541" s="136"/>
      <c r="O541" s="136"/>
      <c r="P541" s="848"/>
      <c r="Q541" s="848"/>
      <c r="R541" s="848"/>
      <c r="S541" s="89"/>
      <c r="T541" s="834"/>
      <c r="U541" s="834"/>
      <c r="V541" s="834"/>
      <c r="W541" s="834"/>
      <c r="X541" s="834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108"/>
      <c r="AJ541" s="108"/>
      <c r="AK541" s="108"/>
      <c r="AL541" s="108"/>
      <c r="AM541" s="80"/>
      <c r="AN541" s="80"/>
      <c r="AO541" s="832"/>
      <c r="AP541" s="875"/>
      <c r="AQ541" s="875"/>
      <c r="AR541" s="875"/>
      <c r="AS541" s="776"/>
      <c r="AT541" s="776"/>
    </row>
    <row r="542" spans="1:54" ht="15.6" customHeight="1">
      <c r="A542" s="834" t="s">
        <v>2342</v>
      </c>
      <c r="B542" s="834">
        <v>539</v>
      </c>
      <c r="C542" s="751" t="s">
        <v>3915</v>
      </c>
      <c r="D542" s="834" t="s">
        <v>779</v>
      </c>
      <c r="E542" s="124">
        <v>46118</v>
      </c>
      <c r="F542" s="834" t="s">
        <v>3624</v>
      </c>
      <c r="G542" s="255">
        <v>3</v>
      </c>
      <c r="H542" s="834" t="s">
        <v>127</v>
      </c>
      <c r="I542" s="834" t="s">
        <v>178</v>
      </c>
      <c r="J542" s="834"/>
      <c r="K542" s="136"/>
      <c r="L542" s="136"/>
      <c r="M542" s="136"/>
      <c r="N542" s="136"/>
      <c r="O542" s="136"/>
      <c r="P542" s="848"/>
      <c r="Q542" s="848"/>
      <c r="R542" s="848"/>
      <c r="S542" s="89"/>
      <c r="T542" s="834"/>
      <c r="U542" s="834"/>
      <c r="V542" s="834"/>
      <c r="W542" s="834"/>
      <c r="X542" s="834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108"/>
      <c r="AJ542" s="108"/>
      <c r="AK542" s="108"/>
      <c r="AL542" s="108"/>
      <c r="AM542" s="80"/>
      <c r="AN542" s="80"/>
      <c r="AO542" s="832"/>
      <c r="AP542" s="875"/>
      <c r="AQ542" s="875"/>
      <c r="AR542" s="875"/>
      <c r="AS542" s="776"/>
      <c r="AT542" s="776"/>
    </row>
    <row r="543" spans="1:54" ht="15.6" customHeight="1">
      <c r="A543" s="834" t="s">
        <v>2342</v>
      </c>
      <c r="B543" s="834">
        <v>540</v>
      </c>
      <c r="C543" s="751" t="s">
        <v>3916</v>
      </c>
      <c r="D543" s="834" t="s">
        <v>1008</v>
      </c>
      <c r="E543" s="124">
        <v>46118</v>
      </c>
      <c r="F543" s="834" t="s">
        <v>3624</v>
      </c>
      <c r="G543" s="834">
        <v>9</v>
      </c>
      <c r="H543" s="834" t="s">
        <v>1077</v>
      </c>
      <c r="I543" s="834" t="s">
        <v>1138</v>
      </c>
      <c r="J543" s="834"/>
      <c r="K543" s="136"/>
      <c r="L543" s="136"/>
      <c r="M543" s="136"/>
      <c r="N543" s="136"/>
      <c r="O543" s="136"/>
      <c r="P543" s="848"/>
      <c r="Q543" s="848"/>
      <c r="R543" s="848"/>
      <c r="S543" s="89"/>
      <c r="T543" s="834"/>
      <c r="U543" s="834"/>
      <c r="V543" s="834"/>
      <c r="W543" s="834"/>
      <c r="X543" s="834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108"/>
      <c r="AJ543" s="108"/>
      <c r="AK543" s="108"/>
      <c r="AL543" s="108"/>
      <c r="AM543" s="80"/>
      <c r="AN543" s="80"/>
      <c r="AO543" s="832"/>
      <c r="AP543" s="875"/>
      <c r="AQ543" s="875"/>
      <c r="AR543" s="875"/>
      <c r="AS543" s="776"/>
      <c r="AT543" s="776"/>
    </row>
    <row r="544" spans="1:54" ht="15.6" customHeight="1">
      <c r="A544" s="834" t="s">
        <v>2342</v>
      </c>
      <c r="B544" s="834">
        <v>541</v>
      </c>
      <c r="C544" s="751" t="s">
        <v>3917</v>
      </c>
      <c r="D544" s="124" t="s">
        <v>2512</v>
      </c>
      <c r="E544" s="124">
        <v>46118</v>
      </c>
      <c r="F544" s="834" t="s">
        <v>3624</v>
      </c>
      <c r="G544" s="834">
        <v>4</v>
      </c>
      <c r="H544" s="834" t="s">
        <v>1721</v>
      </c>
      <c r="I544" s="834" t="s">
        <v>1638</v>
      </c>
      <c r="J544" s="834"/>
      <c r="K544" s="136"/>
      <c r="L544" s="136"/>
      <c r="M544" s="136"/>
      <c r="N544" s="136"/>
      <c r="O544" s="136"/>
      <c r="P544" s="848"/>
      <c r="Q544" s="848"/>
      <c r="R544" s="848"/>
      <c r="S544" s="89"/>
      <c r="T544" s="834"/>
      <c r="U544" s="834"/>
      <c r="V544" s="834"/>
      <c r="W544" s="834"/>
      <c r="X544" s="834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108"/>
      <c r="AJ544" s="108"/>
      <c r="AK544" s="108"/>
      <c r="AL544" s="108"/>
      <c r="AM544" s="80"/>
      <c r="AN544" s="80"/>
      <c r="AO544" s="832"/>
      <c r="AP544" s="875"/>
      <c r="AQ544" s="875"/>
      <c r="AR544" s="875"/>
      <c r="AS544" s="776"/>
      <c r="AT544" s="776"/>
    </row>
    <row r="545" spans="1:54" ht="15.6" customHeight="1">
      <c r="A545" s="834" t="s">
        <v>2342</v>
      </c>
      <c r="B545" s="834">
        <v>542</v>
      </c>
      <c r="C545" s="751" t="s">
        <v>3918</v>
      </c>
      <c r="D545" s="834" t="s">
        <v>1184</v>
      </c>
      <c r="E545" s="124">
        <v>46118</v>
      </c>
      <c r="F545" s="834" t="s">
        <v>3624</v>
      </c>
      <c r="G545" s="834">
        <v>2</v>
      </c>
      <c r="H545" s="834" t="s">
        <v>1721</v>
      </c>
      <c r="I545" s="834" t="s">
        <v>1638</v>
      </c>
      <c r="J545" s="834"/>
      <c r="K545" s="136"/>
      <c r="L545" s="136"/>
      <c r="M545" s="136"/>
      <c r="N545" s="136"/>
      <c r="O545" s="136"/>
      <c r="P545" s="848"/>
      <c r="Q545" s="848"/>
      <c r="R545" s="848"/>
      <c r="S545" s="89"/>
      <c r="T545" s="834"/>
      <c r="U545" s="834"/>
      <c r="V545" s="834"/>
      <c r="W545" s="834"/>
      <c r="X545" s="834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108"/>
      <c r="AJ545" s="108"/>
      <c r="AK545" s="108"/>
      <c r="AL545" s="108"/>
      <c r="AM545" s="80"/>
      <c r="AN545" s="80"/>
      <c r="AO545" s="832"/>
      <c r="AP545" s="875"/>
      <c r="AQ545" s="875"/>
      <c r="AR545" s="875"/>
      <c r="AS545" s="776"/>
      <c r="AT545" s="776"/>
    </row>
    <row r="546" spans="1:54" ht="15.6" customHeight="1">
      <c r="A546" s="834" t="s">
        <v>2342</v>
      </c>
      <c r="B546" s="834">
        <v>543</v>
      </c>
      <c r="C546" s="751" t="s">
        <v>3919</v>
      </c>
      <c r="D546" s="124" t="s">
        <v>1250</v>
      </c>
      <c r="E546" s="124">
        <v>46118</v>
      </c>
      <c r="F546" s="834" t="s">
        <v>3624</v>
      </c>
      <c r="G546" s="834">
        <v>2</v>
      </c>
      <c r="H546" s="834" t="s">
        <v>1721</v>
      </c>
      <c r="I546" s="834" t="s">
        <v>1638</v>
      </c>
      <c r="J546" s="834"/>
      <c r="K546" s="136"/>
      <c r="L546" s="136"/>
      <c r="M546" s="136"/>
      <c r="N546" s="136"/>
      <c r="O546" s="136"/>
      <c r="P546" s="848"/>
      <c r="Q546" s="848"/>
      <c r="R546" s="848"/>
      <c r="S546" s="89"/>
      <c r="T546" s="834"/>
      <c r="U546" s="834"/>
      <c r="V546" s="834"/>
      <c r="W546" s="834"/>
      <c r="X546" s="834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108"/>
      <c r="AJ546" s="108"/>
      <c r="AK546" s="108"/>
      <c r="AL546" s="108"/>
      <c r="AM546" s="80"/>
      <c r="AN546" s="80"/>
      <c r="AO546" s="832"/>
      <c r="AP546" s="875"/>
      <c r="AQ546" s="875"/>
      <c r="AR546" s="875"/>
      <c r="AS546" s="776"/>
      <c r="AT546" s="776"/>
    </row>
    <row r="547" spans="1:54" s="524" customFormat="1" ht="15.75" customHeight="1">
      <c r="A547" s="751" t="s">
        <v>24</v>
      </c>
      <c r="B547" s="834">
        <v>544</v>
      </c>
      <c r="C547" s="521" t="s">
        <v>3920</v>
      </c>
      <c r="D547" s="521" t="s">
        <v>34</v>
      </c>
      <c r="E547" s="548">
        <v>46118</v>
      </c>
      <c r="F547" s="521" t="s">
        <v>3921</v>
      </c>
      <c r="G547" s="521">
        <v>16</v>
      </c>
      <c r="H547" s="521" t="s">
        <v>3922</v>
      </c>
      <c r="I547" s="521" t="s">
        <v>3337</v>
      </c>
      <c r="J547" s="521"/>
      <c r="K547" s="521" t="s">
        <v>3058</v>
      </c>
      <c r="L547" s="521" t="s">
        <v>2119</v>
      </c>
      <c r="M547" s="751" t="s">
        <v>3923</v>
      </c>
      <c r="N547" s="751" t="s">
        <v>3923</v>
      </c>
      <c r="O547" s="888" t="s">
        <v>3743</v>
      </c>
      <c r="P547" s="888"/>
      <c r="Q547" s="888"/>
      <c r="R547" s="888"/>
      <c r="S547" s="529"/>
      <c r="T547" s="751"/>
      <c r="U547" s="751"/>
      <c r="V547" s="751"/>
      <c r="W547" s="751"/>
      <c r="X547" s="533" t="s">
        <v>32</v>
      </c>
      <c r="Y547" s="522"/>
      <c r="Z547" s="522"/>
      <c r="AA547" s="522"/>
      <c r="AB547" s="522"/>
      <c r="AC547" s="522"/>
      <c r="AD547" s="522"/>
      <c r="AE547" s="522"/>
      <c r="AF547" s="522"/>
      <c r="AG547" s="522"/>
      <c r="AH547" s="522"/>
      <c r="AI547" s="523"/>
      <c r="AJ547" s="523"/>
      <c r="AK547" s="523"/>
      <c r="AL547" s="523"/>
      <c r="AM547" s="522"/>
      <c r="AN547" s="522"/>
      <c r="AO547" s="889"/>
      <c r="AP547" s="890"/>
      <c r="AQ547" s="890"/>
      <c r="AR547" s="890"/>
      <c r="AS547" s="525"/>
      <c r="AT547" s="525"/>
      <c r="AU547" s="526"/>
      <c r="AV547" s="526"/>
      <c r="AW547" s="526"/>
      <c r="AX547" s="526"/>
      <c r="BB547" s="524">
        <f t="shared" si="22"/>
        <v>1</v>
      </c>
    </row>
    <row r="548" spans="1:54" s="536" customFormat="1" ht="15.6" customHeight="1">
      <c r="A548" s="521" t="s">
        <v>24</v>
      </c>
      <c r="B548" s="834">
        <v>545</v>
      </c>
      <c r="C548" s="521" t="s">
        <v>3924</v>
      </c>
      <c r="D548" s="521" t="s">
        <v>406</v>
      </c>
      <c r="E548" s="548">
        <v>46118</v>
      </c>
      <c r="F548" s="521" t="s">
        <v>1135</v>
      </c>
      <c r="G548" s="521">
        <v>20</v>
      </c>
      <c r="H548" s="521" t="s">
        <v>1721</v>
      </c>
      <c r="I548" s="521" t="s">
        <v>1638</v>
      </c>
      <c r="J548" s="569"/>
      <c r="K548" s="521" t="s">
        <v>3058</v>
      </c>
      <c r="L548" s="521" t="s">
        <v>2098</v>
      </c>
      <c r="M548" s="521" t="s">
        <v>3925</v>
      </c>
      <c r="N548" s="521" t="s">
        <v>3925</v>
      </c>
      <c r="O548" s="888" t="s">
        <v>3743</v>
      </c>
      <c r="P548" s="542"/>
      <c r="Q548" s="542"/>
      <c r="R548" s="542"/>
      <c r="S548" s="530"/>
      <c r="T548" s="521"/>
      <c r="U548" s="521"/>
      <c r="V548" s="521"/>
      <c r="W548" s="521"/>
      <c r="X548" s="533" t="s">
        <v>32</v>
      </c>
      <c r="Y548" s="534"/>
      <c r="Z548" s="534"/>
      <c r="AA548" s="534"/>
      <c r="AB548" s="534"/>
      <c r="AC548" s="534"/>
      <c r="AD548" s="534"/>
      <c r="AE548" s="534"/>
      <c r="AF548" s="534"/>
      <c r="AG548" s="534"/>
      <c r="AH548" s="534"/>
      <c r="AI548" s="535"/>
      <c r="AJ548" s="535"/>
      <c r="AK548" s="535"/>
      <c r="AL548" s="535"/>
      <c r="AM548" s="534"/>
      <c r="AN548" s="534"/>
      <c r="AO548" s="889"/>
      <c r="AP548" s="890"/>
      <c r="AQ548" s="890"/>
      <c r="AR548" s="890"/>
      <c r="AS548" s="525"/>
      <c r="AT548" s="525"/>
      <c r="AU548" s="526"/>
      <c r="AV548" s="526"/>
      <c r="AW548" s="526"/>
      <c r="AX548" s="526"/>
      <c r="AY548" s="524"/>
    </row>
    <row r="549" spans="1:54" s="536" customFormat="1" ht="15.6" customHeight="1">
      <c r="A549" s="521" t="s">
        <v>24</v>
      </c>
      <c r="B549" s="834">
        <v>546</v>
      </c>
      <c r="C549" s="521" t="s">
        <v>3926</v>
      </c>
      <c r="D549" s="521" t="s">
        <v>34</v>
      </c>
      <c r="E549" s="548">
        <v>46118</v>
      </c>
      <c r="F549" s="521" t="s">
        <v>39</v>
      </c>
      <c r="G549" s="521">
        <v>25</v>
      </c>
      <c r="H549" s="521" t="s">
        <v>1076</v>
      </c>
      <c r="I549" s="521" t="s">
        <v>3337</v>
      </c>
      <c r="J549" s="569"/>
      <c r="K549" s="521" t="s">
        <v>3058</v>
      </c>
      <c r="L549" s="521" t="s">
        <v>2102</v>
      </c>
      <c r="M549" s="751" t="s">
        <v>3923</v>
      </c>
      <c r="N549" s="521" t="s">
        <v>3925</v>
      </c>
      <c r="O549" s="562" t="s">
        <v>3927</v>
      </c>
      <c r="P549" s="542"/>
      <c r="Q549" s="542"/>
      <c r="R549" s="542"/>
      <c r="S549" s="530"/>
      <c r="T549" s="521"/>
      <c r="U549" s="521"/>
      <c r="V549" s="521"/>
      <c r="W549" s="521"/>
      <c r="X549" s="533" t="s">
        <v>32</v>
      </c>
      <c r="Y549" s="534"/>
      <c r="Z549" s="534"/>
      <c r="AA549" s="534"/>
      <c r="AB549" s="534"/>
      <c r="AC549" s="534"/>
      <c r="AD549" s="534"/>
      <c r="AE549" s="534"/>
      <c r="AF549" s="534"/>
      <c r="AG549" s="534"/>
      <c r="AH549" s="534"/>
      <c r="AI549" s="535"/>
      <c r="AJ549" s="535"/>
      <c r="AK549" s="535"/>
      <c r="AL549" s="535"/>
      <c r="AM549" s="534"/>
      <c r="AN549" s="534"/>
      <c r="AO549" s="889"/>
      <c r="AP549" s="890"/>
      <c r="AQ549" s="890"/>
      <c r="AR549" s="890"/>
      <c r="AS549" s="525"/>
      <c r="AT549" s="525"/>
      <c r="AU549" s="526"/>
      <c r="AV549" s="526"/>
      <c r="AW549" s="526"/>
      <c r="AX549" s="526"/>
      <c r="AY549" s="524"/>
    </row>
    <row r="550" spans="1:54" s="536" customFormat="1" ht="15.6" customHeight="1">
      <c r="A550" s="521" t="s">
        <v>24</v>
      </c>
      <c r="B550" s="834">
        <v>547</v>
      </c>
      <c r="C550" s="521" t="s">
        <v>3928</v>
      </c>
      <c r="D550" s="521" t="s">
        <v>34</v>
      </c>
      <c r="E550" s="548">
        <v>46118</v>
      </c>
      <c r="F550" s="521" t="s">
        <v>39</v>
      </c>
      <c r="G550" s="521">
        <v>25</v>
      </c>
      <c r="H550" s="521" t="s">
        <v>1076</v>
      </c>
      <c r="I550" s="521" t="s">
        <v>3337</v>
      </c>
      <c r="J550" s="569"/>
      <c r="K550" s="521" t="s">
        <v>3058</v>
      </c>
      <c r="L550" s="521" t="s">
        <v>2092</v>
      </c>
      <c r="M550" s="751" t="s">
        <v>3923</v>
      </c>
      <c r="N550" s="521" t="s">
        <v>3925</v>
      </c>
      <c r="O550" s="562" t="s">
        <v>3927</v>
      </c>
      <c r="P550" s="542"/>
      <c r="Q550" s="542"/>
      <c r="R550" s="542"/>
      <c r="S550" s="530"/>
      <c r="T550" s="521"/>
      <c r="U550" s="521"/>
      <c r="V550" s="521"/>
      <c r="W550" s="521"/>
      <c r="X550" s="533" t="s">
        <v>32</v>
      </c>
      <c r="Y550" s="534"/>
      <c r="Z550" s="534"/>
      <c r="AA550" s="534"/>
      <c r="AB550" s="534"/>
      <c r="AC550" s="534"/>
      <c r="AD550" s="534"/>
      <c r="AE550" s="534"/>
      <c r="AF550" s="534"/>
      <c r="AG550" s="534"/>
      <c r="AH550" s="534"/>
      <c r="AI550" s="535"/>
      <c r="AJ550" s="535"/>
      <c r="AK550" s="535"/>
      <c r="AL550" s="535"/>
      <c r="AM550" s="534"/>
      <c r="AN550" s="534"/>
      <c r="AO550" s="889"/>
      <c r="AP550" s="890"/>
      <c r="AQ550" s="890"/>
      <c r="AR550" s="890"/>
      <c r="AS550" s="525"/>
      <c r="AT550" s="525"/>
      <c r="AU550" s="526"/>
      <c r="AV550" s="526"/>
      <c r="AW550" s="526"/>
      <c r="AX550" s="526"/>
      <c r="AY550" s="524"/>
    </row>
    <row r="551" spans="1:54" s="524" customFormat="1" ht="15.6" customHeight="1">
      <c r="A551" s="751" t="s">
        <v>24</v>
      </c>
      <c r="B551" s="834">
        <v>548</v>
      </c>
      <c r="C551" s="751" t="s">
        <v>3929</v>
      </c>
      <c r="D551" s="751" t="s">
        <v>102</v>
      </c>
      <c r="E551" s="887">
        <v>46119</v>
      </c>
      <c r="F551" s="751" t="s">
        <v>3930</v>
      </c>
      <c r="G551" s="751">
        <v>10</v>
      </c>
      <c r="H551" s="751" t="s">
        <v>3056</v>
      </c>
      <c r="I551" s="751" t="s">
        <v>47</v>
      </c>
      <c r="J551" s="751" t="s">
        <v>3931</v>
      </c>
      <c r="K551" s="521" t="s">
        <v>3058</v>
      </c>
      <c r="L551" s="751" t="s">
        <v>3667</v>
      </c>
      <c r="M551" s="751" t="s">
        <v>3932</v>
      </c>
      <c r="N551" s="751" t="s">
        <v>3932</v>
      </c>
      <c r="O551" s="888" t="s">
        <v>3739</v>
      </c>
      <c r="P551" s="888"/>
      <c r="Q551" s="888"/>
      <c r="R551" s="888"/>
      <c r="S551" s="529"/>
      <c r="T551" s="751"/>
      <c r="U551" s="751"/>
      <c r="V551" s="751"/>
      <c r="W551" s="751"/>
      <c r="X551" s="533" t="s">
        <v>32</v>
      </c>
      <c r="Y551" s="522"/>
      <c r="Z551" s="522"/>
      <c r="AA551" s="522"/>
      <c r="AB551" s="522"/>
      <c r="AC551" s="522"/>
      <c r="AD551" s="522"/>
      <c r="AE551" s="522"/>
      <c r="AF551" s="522"/>
      <c r="AG551" s="522"/>
      <c r="AH551" s="522"/>
      <c r="AI551" s="523"/>
      <c r="AJ551" s="523"/>
      <c r="AK551" s="523"/>
      <c r="AL551" s="523"/>
      <c r="AM551" s="522"/>
      <c r="AN551" s="522"/>
      <c r="AO551" s="889"/>
      <c r="AP551" s="890"/>
      <c r="AQ551" s="890"/>
      <c r="AR551" s="890"/>
      <c r="AS551" s="525"/>
      <c r="AT551" s="525"/>
      <c r="AU551" s="526"/>
      <c r="AV551" s="526"/>
      <c r="AW551" s="526"/>
      <c r="AX551" s="526"/>
      <c r="BB551" s="524">
        <f t="shared" si="22"/>
        <v>1</v>
      </c>
    </row>
    <row r="552" spans="1:54" s="524" customFormat="1" ht="15.6" customHeight="1">
      <c r="A552" s="751" t="s">
        <v>24</v>
      </c>
      <c r="B552" s="834">
        <v>549</v>
      </c>
      <c r="C552" s="751" t="s">
        <v>3929</v>
      </c>
      <c r="D552" s="751" t="s">
        <v>102</v>
      </c>
      <c r="E552" s="887">
        <v>46121</v>
      </c>
      <c r="F552" s="751" t="s">
        <v>3930</v>
      </c>
      <c r="G552" s="751">
        <v>10</v>
      </c>
      <c r="H552" s="751" t="s">
        <v>3056</v>
      </c>
      <c r="I552" s="751" t="s">
        <v>47</v>
      </c>
      <c r="J552" s="751" t="s">
        <v>3931</v>
      </c>
      <c r="K552" s="521" t="s">
        <v>3058</v>
      </c>
      <c r="L552" s="751" t="s">
        <v>3667</v>
      </c>
      <c r="M552" s="751" t="s">
        <v>3932</v>
      </c>
      <c r="N552" s="751" t="s">
        <v>3932</v>
      </c>
      <c r="O552" s="888" t="s">
        <v>3739</v>
      </c>
      <c r="P552" s="888"/>
      <c r="Q552" s="888"/>
      <c r="R552" s="888"/>
      <c r="S552" s="529"/>
      <c r="T552" s="751"/>
      <c r="U552" s="751"/>
      <c r="V552" s="751"/>
      <c r="W552" s="751"/>
      <c r="X552" s="533" t="s">
        <v>32</v>
      </c>
      <c r="Y552" s="522"/>
      <c r="Z552" s="522"/>
      <c r="AA552" s="522"/>
      <c r="AB552" s="522"/>
      <c r="AC552" s="522"/>
      <c r="AD552" s="522"/>
      <c r="AE552" s="522"/>
      <c r="AF552" s="522"/>
      <c r="AG552" s="522"/>
      <c r="AH552" s="522"/>
      <c r="AI552" s="523"/>
      <c r="AJ552" s="523"/>
      <c r="AK552" s="523"/>
      <c r="AL552" s="523"/>
      <c r="AM552" s="522"/>
      <c r="AN552" s="522"/>
      <c r="AO552" s="889"/>
      <c r="AP552" s="890"/>
      <c r="AQ552" s="890"/>
      <c r="AR552" s="890"/>
      <c r="AS552" s="525"/>
      <c r="AT552" s="525"/>
      <c r="AU552" s="526"/>
      <c r="AV552" s="526"/>
      <c r="AW552" s="526"/>
      <c r="AX552" s="526"/>
      <c r="BB552" s="524">
        <f t="shared" ref="BB552" si="30">IF(E552&gt;1,1,"")</f>
        <v>1</v>
      </c>
    </row>
    <row r="553" spans="1:54" s="555" customFormat="1" ht="15.6" customHeight="1">
      <c r="A553" s="545" t="s">
        <v>24</v>
      </c>
      <c r="B553" s="834">
        <v>550</v>
      </c>
      <c r="C553" s="893" t="s">
        <v>3933</v>
      </c>
      <c r="D553" s="893" t="s">
        <v>102</v>
      </c>
      <c r="E553" s="549">
        <v>46122</v>
      </c>
      <c r="F553" s="545" t="s">
        <v>1068</v>
      </c>
      <c r="G553" s="545">
        <v>10</v>
      </c>
      <c r="H553" s="545" t="s">
        <v>127</v>
      </c>
      <c r="I553" s="545" t="s">
        <v>178</v>
      </c>
      <c r="J553" s="573"/>
      <c r="K553" s="545" t="s">
        <v>3058</v>
      </c>
      <c r="L553" s="545" t="s">
        <v>1622</v>
      </c>
      <c r="M553" s="545" t="s">
        <v>3934</v>
      </c>
      <c r="N553" s="545" t="s">
        <v>3935</v>
      </c>
      <c r="O553" s="554" t="s">
        <v>3936</v>
      </c>
      <c r="P553" s="554"/>
      <c r="Q553" s="554"/>
      <c r="R553" s="554"/>
      <c r="S553" s="545"/>
      <c r="T553" s="545"/>
      <c r="U553" s="545"/>
      <c r="V553" s="545"/>
      <c r="W553" s="545"/>
      <c r="X553" s="574"/>
      <c r="Y553" s="565"/>
      <c r="Z553" s="565"/>
      <c r="AA553" s="565"/>
      <c r="AB553" s="565"/>
      <c r="AC553" s="565"/>
      <c r="AD553" s="565"/>
      <c r="AE553" s="565"/>
      <c r="AF553" s="565"/>
      <c r="AG553" s="565"/>
      <c r="AH553" s="565"/>
      <c r="AI553" s="566"/>
      <c r="AJ553" s="566"/>
      <c r="AK553" s="566"/>
      <c r="AL553" s="566"/>
      <c r="AM553" s="565"/>
      <c r="AN553" s="565"/>
      <c r="AP553" s="556"/>
      <c r="AQ553" s="556"/>
      <c r="AR553" s="556"/>
      <c r="AS553" s="556"/>
      <c r="AT553" s="556"/>
      <c r="AU553" s="557"/>
      <c r="AV553" s="557"/>
      <c r="AW553" s="557"/>
      <c r="AX553" s="557"/>
    </row>
    <row r="554" spans="1:54" s="543" customFormat="1" ht="15.6" customHeight="1">
      <c r="A554" s="521" t="s">
        <v>24</v>
      </c>
      <c r="B554" s="834">
        <v>551</v>
      </c>
      <c r="C554" s="886" t="s">
        <v>3937</v>
      </c>
      <c r="D554" s="886" t="s">
        <v>193</v>
      </c>
      <c r="E554" s="548">
        <v>46123</v>
      </c>
      <c r="F554" s="521" t="s">
        <v>117</v>
      </c>
      <c r="G554" s="894">
        <v>19</v>
      </c>
      <c r="H554" s="521" t="s">
        <v>1721</v>
      </c>
      <c r="I554" s="521" t="s">
        <v>1638</v>
      </c>
      <c r="J554" s="521"/>
      <c r="K554" s="521" t="s">
        <v>3058</v>
      </c>
      <c r="L554" s="563" t="s">
        <v>3938</v>
      </c>
      <c r="M554" s="521" t="s">
        <v>3939</v>
      </c>
      <c r="N554" s="521" t="s">
        <v>3940</v>
      </c>
      <c r="O554" s="542" t="s">
        <v>2050</v>
      </c>
      <c r="P554" s="542"/>
      <c r="Q554" s="542"/>
      <c r="R554" s="542"/>
      <c r="S554" s="521"/>
      <c r="T554" s="521"/>
      <c r="U554" s="521"/>
      <c r="V554" s="521"/>
      <c r="W554" s="521"/>
      <c r="X554" s="561"/>
      <c r="AI554" s="544"/>
      <c r="AJ554" s="544"/>
      <c r="AK554" s="544"/>
      <c r="AL554" s="544"/>
      <c r="AP554" s="559"/>
      <c r="AQ554" s="559"/>
      <c r="AR554" s="559"/>
      <c r="AS554" s="559"/>
      <c r="AT554" s="559"/>
      <c r="AU554" s="560"/>
      <c r="AV554" s="560"/>
      <c r="AW554" s="560"/>
      <c r="AX554" s="560"/>
    </row>
    <row r="555" spans="1:54" s="543" customFormat="1" ht="15.6" customHeight="1">
      <c r="A555" s="521" t="s">
        <v>24</v>
      </c>
      <c r="B555" s="834">
        <v>552</v>
      </c>
      <c r="C555" s="543" t="s">
        <v>3941</v>
      </c>
      <c r="D555" s="543" t="s">
        <v>374</v>
      </c>
      <c r="E555" s="548">
        <v>46123</v>
      </c>
      <c r="F555" s="521" t="s">
        <v>89</v>
      </c>
      <c r="G555" s="894">
        <v>9</v>
      </c>
      <c r="H555" s="521" t="s">
        <v>127</v>
      </c>
      <c r="I555" s="521" t="s">
        <v>178</v>
      </c>
      <c r="J555" s="521"/>
      <c r="K555" s="521" t="s">
        <v>3058</v>
      </c>
      <c r="L555" s="543" t="s">
        <v>3942</v>
      </c>
      <c r="M555" s="521" t="s">
        <v>3940</v>
      </c>
      <c r="N555" s="521" t="s">
        <v>3940</v>
      </c>
      <c r="O555" s="564" t="s">
        <v>3943</v>
      </c>
      <c r="P555" s="542"/>
      <c r="Q555" s="542"/>
      <c r="R555" s="542"/>
      <c r="S555" s="521"/>
      <c r="T555" s="521"/>
      <c r="U555" s="521"/>
      <c r="V555" s="521"/>
      <c r="W555" s="521"/>
      <c r="AI555" s="544"/>
      <c r="AJ555" s="544"/>
      <c r="AK555" s="544"/>
      <c r="AL555" s="544"/>
      <c r="AP555" s="559"/>
      <c r="AQ555" s="559"/>
      <c r="AR555" s="559"/>
      <c r="AS555" s="559"/>
      <c r="AT555" s="559"/>
      <c r="AU555" s="560"/>
      <c r="AV555" s="560"/>
      <c r="AW555" s="560"/>
      <c r="AX555" s="560"/>
    </row>
    <row r="556" spans="1:54" s="572" customFormat="1" ht="15.6" customHeight="1">
      <c r="A556" s="751" t="s">
        <v>24</v>
      </c>
      <c r="B556" s="834">
        <v>553</v>
      </c>
      <c r="C556" s="751" t="s">
        <v>3944</v>
      </c>
      <c r="D556" s="751" t="s">
        <v>34</v>
      </c>
      <c r="E556" s="887">
        <v>46123</v>
      </c>
      <c r="F556" s="751" t="s">
        <v>368</v>
      </c>
      <c r="G556" s="894">
        <v>10</v>
      </c>
      <c r="H556" s="751" t="s">
        <v>1077</v>
      </c>
      <c r="I556" s="751" t="s">
        <v>1138</v>
      </c>
      <c r="J556" s="521"/>
      <c r="K556" s="521" t="s">
        <v>3058</v>
      </c>
      <c r="L556" s="751" t="s">
        <v>3945</v>
      </c>
      <c r="M556" s="751" t="s">
        <v>3934</v>
      </c>
      <c r="N556" s="521" t="s">
        <v>3940</v>
      </c>
      <c r="O556" s="542" t="s">
        <v>3936</v>
      </c>
      <c r="P556" s="888"/>
      <c r="Q556" s="888"/>
      <c r="R556" s="888"/>
      <c r="S556" s="751"/>
      <c r="T556" s="751"/>
      <c r="U556" s="751"/>
      <c r="V556" s="751"/>
      <c r="W556" s="751"/>
      <c r="X556" s="561" t="s">
        <v>32</v>
      </c>
      <c r="Y556" s="886"/>
      <c r="Z556" s="886"/>
      <c r="AA556" s="886"/>
      <c r="AB556" s="886"/>
      <c r="AC556" s="886"/>
      <c r="AD556" s="886"/>
      <c r="AE556" s="886"/>
      <c r="AF556" s="886"/>
      <c r="AG556" s="886"/>
      <c r="AH556" s="886"/>
      <c r="AI556" s="895"/>
      <c r="AJ556" s="895"/>
      <c r="AK556" s="895"/>
      <c r="AL556" s="895"/>
      <c r="AM556" s="886"/>
      <c r="AN556" s="886"/>
      <c r="AO556" s="886"/>
      <c r="AP556" s="896"/>
      <c r="AQ556" s="896"/>
      <c r="AR556" s="896"/>
      <c r="AS556" s="896"/>
      <c r="AT556" s="896"/>
      <c r="AU556" s="897"/>
      <c r="AV556" s="897"/>
      <c r="AW556" s="897"/>
      <c r="AX556" s="897"/>
      <c r="AY556" s="886"/>
      <c r="AZ556" s="886"/>
      <c r="BA556" s="886"/>
      <c r="BB556" s="886">
        <f t="shared" si="22"/>
        <v>1</v>
      </c>
    </row>
    <row r="557" spans="1:54" s="572" customFormat="1" ht="15.6" customHeight="1">
      <c r="A557" s="751" t="s">
        <v>24</v>
      </c>
      <c r="B557" s="834">
        <v>554</v>
      </c>
      <c r="C557" s="751" t="s">
        <v>3946</v>
      </c>
      <c r="D557" s="751" t="s">
        <v>34</v>
      </c>
      <c r="E557" s="887">
        <v>46123</v>
      </c>
      <c r="F557" s="751" t="s">
        <v>618</v>
      </c>
      <c r="G557" s="894">
        <v>10</v>
      </c>
      <c r="H557" s="751" t="s">
        <v>1077</v>
      </c>
      <c r="I557" s="751" t="s">
        <v>1138</v>
      </c>
      <c r="J557" s="558"/>
      <c r="K557" s="521" t="s">
        <v>3058</v>
      </c>
      <c r="L557" s="521" t="s">
        <v>3947</v>
      </c>
      <c r="M557" s="521" t="s">
        <v>3948</v>
      </c>
      <c r="N557" s="521" t="s">
        <v>3940</v>
      </c>
      <c r="O557" s="562" t="s">
        <v>3949</v>
      </c>
      <c r="P557" s="888"/>
      <c r="Q557" s="888"/>
      <c r="R557" s="888"/>
      <c r="S557" s="751"/>
      <c r="T557" s="751"/>
      <c r="U557" s="751"/>
      <c r="V557" s="751"/>
      <c r="W557" s="751"/>
      <c r="X557" s="561" t="s">
        <v>32</v>
      </c>
      <c r="Y557" s="886"/>
      <c r="Z557" s="886"/>
      <c r="AA557" s="886"/>
      <c r="AB557" s="886"/>
      <c r="AC557" s="886"/>
      <c r="AD557" s="886"/>
      <c r="AE557" s="886"/>
      <c r="AF557" s="886"/>
      <c r="AG557" s="886"/>
      <c r="AH557" s="886"/>
      <c r="AI557" s="895"/>
      <c r="AJ557" s="895"/>
      <c r="AK557" s="895"/>
      <c r="AL557" s="895"/>
      <c r="AM557" s="886"/>
      <c r="AN557" s="886"/>
      <c r="AO557" s="886"/>
      <c r="AP557" s="896"/>
      <c r="AQ557" s="896"/>
      <c r="AR557" s="896"/>
      <c r="AS557" s="896"/>
      <c r="AT557" s="896"/>
      <c r="AU557" s="897"/>
      <c r="AV557" s="897"/>
      <c r="AW557" s="897"/>
      <c r="AX557" s="897"/>
      <c r="AY557" s="886"/>
      <c r="AZ557" s="886"/>
      <c r="BA557" s="886"/>
      <c r="BB557" s="886">
        <f t="shared" ref="BB557:BB699" si="31">IF(E557&gt;1,1,"")</f>
        <v>1</v>
      </c>
    </row>
    <row r="558" spans="1:54" s="572" customFormat="1" ht="15.6" customHeight="1">
      <c r="A558" s="751" t="s">
        <v>24</v>
      </c>
      <c r="B558" s="834">
        <v>555</v>
      </c>
      <c r="C558" s="751" t="s">
        <v>3950</v>
      </c>
      <c r="D558" s="751" t="s">
        <v>34</v>
      </c>
      <c r="E558" s="887">
        <v>46123</v>
      </c>
      <c r="F558" s="751" t="s">
        <v>65</v>
      </c>
      <c r="G558" s="894">
        <v>16</v>
      </c>
      <c r="H558" s="751" t="s">
        <v>1721</v>
      </c>
      <c r="I558" s="751" t="s">
        <v>1638</v>
      </c>
      <c r="J558" s="521"/>
      <c r="K558" s="521" t="s">
        <v>3058</v>
      </c>
      <c r="L558" s="521" t="s">
        <v>1633</v>
      </c>
      <c r="M558" s="751" t="s">
        <v>3934</v>
      </c>
      <c r="N558" s="521" t="s">
        <v>3940</v>
      </c>
      <c r="O558" s="521" t="s">
        <v>3680</v>
      </c>
      <c r="P558" s="888"/>
      <c r="Q558" s="888"/>
      <c r="R558" s="888"/>
      <c r="S558" s="751"/>
      <c r="T558" s="751"/>
      <c r="U558" s="751"/>
      <c r="V558" s="751"/>
      <c r="W558" s="751"/>
      <c r="X558" s="561" t="s">
        <v>32</v>
      </c>
      <c r="Y558" s="886"/>
      <c r="Z558" s="886"/>
      <c r="AA558" s="886"/>
      <c r="AB558" s="886"/>
      <c r="AC558" s="886"/>
      <c r="AD558" s="886"/>
      <c r="AE558" s="886"/>
      <c r="AF558" s="886"/>
      <c r="AG558" s="886"/>
      <c r="AH558" s="886"/>
      <c r="AI558" s="895"/>
      <c r="AJ558" s="895"/>
      <c r="AK558" s="895"/>
      <c r="AL558" s="895"/>
      <c r="AM558" s="886"/>
      <c r="AN558" s="886"/>
      <c r="AO558" s="886"/>
      <c r="AP558" s="896"/>
      <c r="AQ558" s="896"/>
      <c r="AR558" s="896"/>
      <c r="AS558" s="896"/>
      <c r="AT558" s="896"/>
      <c r="AU558" s="897"/>
      <c r="AV558" s="897"/>
      <c r="AW558" s="897"/>
      <c r="AX558" s="897"/>
      <c r="AY558" s="886"/>
      <c r="AZ558" s="886"/>
      <c r="BA558" s="886"/>
      <c r="BB558" s="886">
        <f t="shared" si="31"/>
        <v>1</v>
      </c>
    </row>
    <row r="559" spans="1:54" s="572" customFormat="1" ht="15.6" customHeight="1">
      <c r="A559" s="751" t="s">
        <v>24</v>
      </c>
      <c r="B559" s="834">
        <v>556</v>
      </c>
      <c r="C559" s="751" t="s">
        <v>3951</v>
      </c>
      <c r="D559" s="751" t="s">
        <v>102</v>
      </c>
      <c r="E559" s="887">
        <v>46123</v>
      </c>
      <c r="F559" s="751" t="s">
        <v>912</v>
      </c>
      <c r="G559" s="894">
        <v>19</v>
      </c>
      <c r="H559" s="751" t="s">
        <v>3826</v>
      </c>
      <c r="I559" s="751" t="s">
        <v>3827</v>
      </c>
      <c r="J559" s="530"/>
      <c r="K559" s="521" t="s">
        <v>3058</v>
      </c>
      <c r="L559" s="521" t="s">
        <v>3952</v>
      </c>
      <c r="M559" s="751" t="s">
        <v>3934</v>
      </c>
      <c r="N559" s="521" t="s">
        <v>3934</v>
      </c>
      <c r="O559" s="542" t="s">
        <v>3739</v>
      </c>
      <c r="P559" s="888"/>
      <c r="Q559" s="888"/>
      <c r="R559" s="888"/>
      <c r="S559" s="529"/>
      <c r="T559" s="751"/>
      <c r="U559" s="751"/>
      <c r="V559" s="751"/>
      <c r="W559" s="751"/>
      <c r="X559" s="533" t="s">
        <v>32</v>
      </c>
      <c r="Y559" s="522"/>
      <c r="Z559" s="522"/>
      <c r="AA559" s="522"/>
      <c r="AB559" s="522"/>
      <c r="AC559" s="522"/>
      <c r="AD559" s="522"/>
      <c r="AE559" s="522"/>
      <c r="AF559" s="522"/>
      <c r="AG559" s="522"/>
      <c r="AH559" s="522"/>
      <c r="AI559" s="523"/>
      <c r="AJ559" s="523"/>
      <c r="AK559" s="523"/>
      <c r="AL559" s="523"/>
      <c r="AM559" s="522"/>
      <c r="AN559" s="522"/>
      <c r="AO559" s="886"/>
      <c r="AP559" s="896"/>
      <c r="AQ559" s="896"/>
      <c r="AR559" s="896"/>
      <c r="AS559" s="896"/>
      <c r="AT559" s="896"/>
      <c r="AU559" s="897"/>
      <c r="AV559" s="897"/>
      <c r="AW559" s="897"/>
      <c r="AX559" s="897"/>
      <c r="AY559" s="886"/>
      <c r="AZ559" s="886"/>
      <c r="BA559" s="886"/>
      <c r="BB559" s="886">
        <f t="shared" si="31"/>
        <v>1</v>
      </c>
    </row>
    <row r="560" spans="1:54" s="572" customFormat="1" ht="15.6" customHeight="1">
      <c r="A560" s="751" t="s">
        <v>24</v>
      </c>
      <c r="B560" s="834">
        <v>557</v>
      </c>
      <c r="C560" s="751" t="s">
        <v>3953</v>
      </c>
      <c r="D560" s="751" t="s">
        <v>34</v>
      </c>
      <c r="E560" s="887">
        <v>46123</v>
      </c>
      <c r="F560" s="751" t="s">
        <v>1505</v>
      </c>
      <c r="G560" s="894">
        <v>8</v>
      </c>
      <c r="H560" s="751" t="s">
        <v>3056</v>
      </c>
      <c r="I560" s="751" t="s">
        <v>47</v>
      </c>
      <c r="J560" s="530"/>
      <c r="K560" s="521" t="s">
        <v>3058</v>
      </c>
      <c r="L560" s="521" t="s">
        <v>3954</v>
      </c>
      <c r="M560" s="751" t="s">
        <v>3934</v>
      </c>
      <c r="N560" s="521" t="s">
        <v>3934</v>
      </c>
      <c r="O560" s="521" t="s">
        <v>3743</v>
      </c>
      <c r="P560" s="888"/>
      <c r="Q560" s="888"/>
      <c r="R560" s="888"/>
      <c r="S560" s="529"/>
      <c r="T560" s="751"/>
      <c r="U560" s="751"/>
      <c r="V560" s="751"/>
      <c r="W560" s="751"/>
      <c r="X560" s="533" t="s">
        <v>32</v>
      </c>
      <c r="Y560" s="522"/>
      <c r="Z560" s="522"/>
      <c r="AA560" s="522"/>
      <c r="AB560" s="522"/>
      <c r="AC560" s="522"/>
      <c r="AD560" s="522"/>
      <c r="AE560" s="522"/>
      <c r="AF560" s="522"/>
      <c r="AG560" s="522"/>
      <c r="AH560" s="522"/>
      <c r="AI560" s="523"/>
      <c r="AJ560" s="523"/>
      <c r="AK560" s="523"/>
      <c r="AL560" s="523"/>
      <c r="AM560" s="522"/>
      <c r="AN560" s="522"/>
      <c r="AO560" s="886"/>
      <c r="AP560" s="896"/>
      <c r="AQ560" s="896"/>
      <c r="AR560" s="896"/>
      <c r="AS560" s="896"/>
      <c r="AT560" s="896"/>
      <c r="AU560" s="897"/>
      <c r="AV560" s="897"/>
      <c r="AW560" s="897"/>
      <c r="AX560" s="897"/>
      <c r="AY560" s="886"/>
      <c r="AZ560" s="886"/>
      <c r="BA560" s="886"/>
      <c r="BB560" s="886">
        <f t="shared" si="31"/>
        <v>1</v>
      </c>
    </row>
    <row r="561" spans="1:51" s="543" customFormat="1" ht="15.6" customHeight="1">
      <c r="A561" s="751" t="s">
        <v>24</v>
      </c>
      <c r="B561" s="834">
        <v>558</v>
      </c>
      <c r="C561" s="521" t="s">
        <v>3955</v>
      </c>
      <c r="D561" s="521" t="s">
        <v>34</v>
      </c>
      <c r="E561" s="548">
        <v>46123</v>
      </c>
      <c r="F561" s="521" t="s">
        <v>2329</v>
      </c>
      <c r="G561" s="894">
        <v>10</v>
      </c>
      <c r="H561" s="521" t="s">
        <v>1721</v>
      </c>
      <c r="I561" s="521" t="s">
        <v>1638</v>
      </c>
      <c r="J561" s="521"/>
      <c r="K561" s="521" t="s">
        <v>3058</v>
      </c>
      <c r="L561" s="521" t="s">
        <v>3956</v>
      </c>
      <c r="M561" s="521" t="s">
        <v>3935</v>
      </c>
      <c r="N561" s="521" t="s">
        <v>3940</v>
      </c>
      <c r="O561" s="562" t="s">
        <v>3957</v>
      </c>
      <c r="P561" s="542"/>
      <c r="Q561" s="542"/>
      <c r="R561" s="542"/>
      <c r="S561" s="521"/>
      <c r="T561" s="521"/>
      <c r="U561" s="521"/>
      <c r="V561" s="521"/>
      <c r="W561" s="521"/>
      <c r="X561" s="561" t="s">
        <v>32</v>
      </c>
      <c r="AI561" s="544"/>
      <c r="AJ561" s="544"/>
      <c r="AK561" s="544"/>
      <c r="AL561" s="544"/>
      <c r="AO561" s="886"/>
      <c r="AP561" s="896"/>
      <c r="AQ561" s="896"/>
      <c r="AR561" s="896"/>
      <c r="AS561" s="896"/>
      <c r="AT561" s="896"/>
      <c r="AU561" s="897"/>
      <c r="AV561" s="897"/>
      <c r="AW561" s="897"/>
      <c r="AX561" s="897"/>
      <c r="AY561" s="886"/>
    </row>
    <row r="562" spans="1:51" s="543" customFormat="1" ht="15.6" customHeight="1">
      <c r="A562" s="751" t="s">
        <v>24</v>
      </c>
      <c r="B562" s="834">
        <v>559</v>
      </c>
      <c r="C562" s="521" t="s">
        <v>3958</v>
      </c>
      <c r="D562" s="521" t="s">
        <v>34</v>
      </c>
      <c r="E562" s="548">
        <v>46123</v>
      </c>
      <c r="F562" s="521" t="s">
        <v>2329</v>
      </c>
      <c r="G562" s="894">
        <v>2</v>
      </c>
      <c r="H562" s="521" t="s">
        <v>1076</v>
      </c>
      <c r="I562" s="521" t="s">
        <v>3337</v>
      </c>
      <c r="J562" s="521"/>
      <c r="K562" s="521" t="s">
        <v>3058</v>
      </c>
      <c r="L562" s="521" t="s">
        <v>3956</v>
      </c>
      <c r="M562" s="521" t="s">
        <v>3935</v>
      </c>
      <c r="N562" s="521" t="s">
        <v>3940</v>
      </c>
      <c r="O562" s="562" t="s">
        <v>3957</v>
      </c>
      <c r="P562" s="542"/>
      <c r="Q562" s="542"/>
      <c r="R562" s="542"/>
      <c r="S562" s="521"/>
      <c r="T562" s="521"/>
      <c r="U562" s="521"/>
      <c r="V562" s="521"/>
      <c r="W562" s="521"/>
      <c r="X562" s="561"/>
      <c r="AI562" s="544"/>
      <c r="AJ562" s="544"/>
      <c r="AK562" s="544"/>
      <c r="AL562" s="544"/>
      <c r="AO562" s="886"/>
      <c r="AP562" s="896"/>
      <c r="AQ562" s="896"/>
      <c r="AR562" s="896"/>
      <c r="AS562" s="896"/>
      <c r="AT562" s="896"/>
      <c r="AU562" s="897"/>
      <c r="AV562" s="897"/>
      <c r="AW562" s="897"/>
      <c r="AX562" s="897"/>
      <c r="AY562" s="886"/>
    </row>
    <row r="563" spans="1:51" s="543" customFormat="1" ht="15.6" customHeight="1">
      <c r="A563" s="751" t="s">
        <v>24</v>
      </c>
      <c r="B563" s="834">
        <v>560</v>
      </c>
      <c r="C563" s="521" t="s">
        <v>3959</v>
      </c>
      <c r="D563" s="521" t="s">
        <v>270</v>
      </c>
      <c r="E563" s="548">
        <v>46123</v>
      </c>
      <c r="F563" s="521" t="s">
        <v>97</v>
      </c>
      <c r="G563" s="894">
        <v>13</v>
      </c>
      <c r="H563" s="521" t="s">
        <v>3056</v>
      </c>
      <c r="I563" s="521" t="s">
        <v>47</v>
      </c>
      <c r="J563" s="530"/>
      <c r="K563" s="521" t="s">
        <v>3058</v>
      </c>
      <c r="L563" s="521" t="s">
        <v>3960</v>
      </c>
      <c r="M563" s="751" t="s">
        <v>3934</v>
      </c>
      <c r="N563" s="521" t="s">
        <v>3935</v>
      </c>
      <c r="O563" s="521" t="s">
        <v>3743</v>
      </c>
      <c r="P563" s="542"/>
      <c r="Q563" s="542"/>
      <c r="R563" s="542"/>
      <c r="S563" s="530"/>
      <c r="T563" s="521"/>
      <c r="U563" s="521"/>
      <c r="V563" s="521"/>
      <c r="W563" s="521"/>
      <c r="X563" s="533" t="s">
        <v>32</v>
      </c>
      <c r="Y563" s="534"/>
      <c r="Z563" s="534"/>
      <c r="AA563" s="534"/>
      <c r="AB563" s="534"/>
      <c r="AC563" s="534"/>
      <c r="AD563" s="534"/>
      <c r="AE563" s="534"/>
      <c r="AF563" s="534"/>
      <c r="AG563" s="534"/>
      <c r="AH563" s="534"/>
      <c r="AI563" s="535"/>
      <c r="AJ563" s="535"/>
      <c r="AK563" s="535"/>
      <c r="AL563" s="535"/>
      <c r="AM563" s="534"/>
      <c r="AN563" s="534"/>
      <c r="AO563" s="886"/>
      <c r="AP563" s="896"/>
      <c r="AQ563" s="896"/>
      <c r="AR563" s="896"/>
      <c r="AS563" s="896"/>
      <c r="AT563" s="896"/>
      <c r="AU563" s="897"/>
      <c r="AV563" s="897"/>
      <c r="AW563" s="897"/>
      <c r="AX563" s="897"/>
      <c r="AY563" s="886"/>
    </row>
    <row r="564" spans="1:51" s="543" customFormat="1" ht="15.6" customHeight="1">
      <c r="A564" s="751" t="s">
        <v>24</v>
      </c>
      <c r="B564" s="834">
        <v>561</v>
      </c>
      <c r="C564" s="521" t="s">
        <v>3961</v>
      </c>
      <c r="D564" s="521" t="s">
        <v>34</v>
      </c>
      <c r="E564" s="548">
        <v>46123</v>
      </c>
      <c r="F564" s="521" t="s">
        <v>3962</v>
      </c>
      <c r="G564" s="894">
        <v>19</v>
      </c>
      <c r="H564" s="521" t="s">
        <v>127</v>
      </c>
      <c r="I564" s="521" t="s">
        <v>178</v>
      </c>
      <c r="J564" s="558"/>
      <c r="K564" s="521" t="s">
        <v>3058</v>
      </c>
      <c r="L564" s="521" t="s">
        <v>3963</v>
      </c>
      <c r="M564" s="751" t="s">
        <v>3934</v>
      </c>
      <c r="N564" s="521" t="s">
        <v>3940</v>
      </c>
      <c r="O564" s="521" t="s">
        <v>3964</v>
      </c>
      <c r="P564" s="542"/>
      <c r="Q564" s="542"/>
      <c r="R564" s="542"/>
      <c r="S564" s="521"/>
      <c r="T564" s="521"/>
      <c r="U564" s="521"/>
      <c r="V564" s="521"/>
      <c r="W564" s="521"/>
      <c r="X564" s="561"/>
      <c r="AI564" s="544"/>
      <c r="AJ564" s="544"/>
      <c r="AK564" s="544"/>
      <c r="AL564" s="544"/>
      <c r="AO564" s="886"/>
      <c r="AP564" s="896"/>
      <c r="AQ564" s="896"/>
      <c r="AR564" s="896"/>
      <c r="AS564" s="896"/>
      <c r="AT564" s="896"/>
      <c r="AU564" s="897"/>
      <c r="AV564" s="897"/>
      <c r="AW564" s="897"/>
      <c r="AX564" s="897"/>
      <c r="AY564" s="886"/>
    </row>
    <row r="565" spans="1:51" s="543" customFormat="1" ht="15.6" customHeight="1">
      <c r="A565" s="751" t="s">
        <v>24</v>
      </c>
      <c r="B565" s="834">
        <v>562</v>
      </c>
      <c r="C565" s="886" t="s">
        <v>3965</v>
      </c>
      <c r="D565" s="521" t="s">
        <v>102</v>
      </c>
      <c r="E565" s="548">
        <v>46123</v>
      </c>
      <c r="F565" s="521" t="s">
        <v>430</v>
      </c>
      <c r="G565" s="894">
        <v>5</v>
      </c>
      <c r="H565" s="521" t="s">
        <v>1721</v>
      </c>
      <c r="I565" s="521" t="s">
        <v>1638</v>
      </c>
      <c r="J565" s="570"/>
      <c r="K565" s="521" t="s">
        <v>3058</v>
      </c>
      <c r="L565" s="521" t="s">
        <v>3966</v>
      </c>
      <c r="M565" s="521" t="s">
        <v>3940</v>
      </c>
      <c r="N565" s="521" t="s">
        <v>3967</v>
      </c>
      <c r="O565" s="521" t="s">
        <v>3968</v>
      </c>
      <c r="P565" s="542"/>
      <c r="Q565" s="542"/>
      <c r="R565" s="542"/>
      <c r="S565" s="521"/>
      <c r="T565" s="521"/>
      <c r="U565" s="521"/>
      <c r="V565" s="521"/>
      <c r="W565" s="521"/>
      <c r="X565" s="561"/>
      <c r="AI565" s="544"/>
      <c r="AJ565" s="544"/>
      <c r="AK565" s="544"/>
      <c r="AL565" s="544"/>
      <c r="AO565" s="886"/>
      <c r="AP565" s="896"/>
      <c r="AQ565" s="896"/>
      <c r="AR565" s="896"/>
      <c r="AS565" s="896"/>
      <c r="AT565" s="896"/>
      <c r="AU565" s="897"/>
      <c r="AV565" s="897"/>
      <c r="AW565" s="897"/>
      <c r="AX565" s="897"/>
      <c r="AY565" s="886"/>
    </row>
    <row r="566" spans="1:51" s="543" customFormat="1" ht="15.6" customHeight="1">
      <c r="A566" s="751" t="s">
        <v>24</v>
      </c>
      <c r="B566" s="834">
        <v>563</v>
      </c>
      <c r="C566" s="886" t="s">
        <v>3969</v>
      </c>
      <c r="D566" s="521" t="s">
        <v>102</v>
      </c>
      <c r="E566" s="548">
        <v>46123</v>
      </c>
      <c r="F566" s="521" t="s">
        <v>430</v>
      </c>
      <c r="G566" s="894">
        <v>10</v>
      </c>
      <c r="H566" s="521" t="s">
        <v>1077</v>
      </c>
      <c r="I566" s="521" t="s">
        <v>1138</v>
      </c>
      <c r="J566" s="570"/>
      <c r="K566" s="521" t="s">
        <v>3058</v>
      </c>
      <c r="L566" s="521" t="s">
        <v>3966</v>
      </c>
      <c r="M566" s="521" t="s">
        <v>3940</v>
      </c>
      <c r="N566" s="521" t="s">
        <v>3967</v>
      </c>
      <c r="O566" s="521" t="s">
        <v>3968</v>
      </c>
      <c r="P566" s="542"/>
      <c r="Q566" s="542"/>
      <c r="R566" s="542"/>
      <c r="S566" s="521"/>
      <c r="T566" s="521"/>
      <c r="U566" s="521"/>
      <c r="V566" s="521"/>
      <c r="W566" s="521"/>
      <c r="X566" s="561"/>
      <c r="AI566" s="544"/>
      <c r="AJ566" s="544"/>
      <c r="AK566" s="544"/>
      <c r="AL566" s="544"/>
      <c r="AO566" s="886"/>
      <c r="AP566" s="896"/>
      <c r="AQ566" s="896"/>
      <c r="AR566" s="896"/>
      <c r="AS566" s="896"/>
      <c r="AT566" s="896"/>
      <c r="AU566" s="897"/>
      <c r="AV566" s="897"/>
      <c r="AW566" s="897"/>
      <c r="AX566" s="897"/>
      <c r="AY566" s="886"/>
    </row>
    <row r="567" spans="1:51" s="572" customFormat="1" ht="15.6" customHeight="1">
      <c r="A567" s="751" t="s">
        <v>24</v>
      </c>
      <c r="B567" s="834">
        <v>564</v>
      </c>
      <c r="C567" s="751" t="s">
        <v>3970</v>
      </c>
      <c r="D567" s="751" t="s">
        <v>34</v>
      </c>
      <c r="E567" s="887">
        <v>46123</v>
      </c>
      <c r="F567" s="751" t="s">
        <v>398</v>
      </c>
      <c r="G567" s="894">
        <v>10</v>
      </c>
      <c r="H567" s="751" t="s">
        <v>1721</v>
      </c>
      <c r="I567" s="751" t="s">
        <v>1638</v>
      </c>
      <c r="J567" s="571"/>
      <c r="K567" s="521" t="s">
        <v>3058</v>
      </c>
      <c r="L567" s="544" t="s">
        <v>3971</v>
      </c>
      <c r="M567" s="521" t="s">
        <v>3940</v>
      </c>
      <c r="N567" s="521" t="s">
        <v>3940</v>
      </c>
      <c r="O567" s="562" t="s">
        <v>3972</v>
      </c>
      <c r="P567" s="888"/>
      <c r="Q567" s="888"/>
      <c r="R567" s="888"/>
      <c r="S567" s="751"/>
      <c r="T567" s="751"/>
      <c r="U567" s="751"/>
      <c r="V567" s="751"/>
      <c r="W567" s="751"/>
      <c r="X567" s="561"/>
      <c r="Y567" s="886"/>
      <c r="Z567" s="886"/>
      <c r="AA567" s="886"/>
      <c r="AB567" s="886"/>
      <c r="AC567" s="886"/>
      <c r="AD567" s="886"/>
      <c r="AE567" s="886"/>
      <c r="AF567" s="886"/>
      <c r="AG567" s="886"/>
      <c r="AH567" s="886"/>
      <c r="AI567" s="895"/>
      <c r="AJ567" s="895"/>
      <c r="AK567" s="895"/>
      <c r="AL567" s="895"/>
      <c r="AM567" s="886"/>
      <c r="AN567" s="886"/>
      <c r="AO567" s="886"/>
      <c r="AP567" s="896"/>
      <c r="AQ567" s="896"/>
      <c r="AR567" s="896"/>
      <c r="AS567" s="896"/>
      <c r="AT567" s="896"/>
      <c r="AU567" s="897"/>
      <c r="AV567" s="897"/>
      <c r="AW567" s="897"/>
      <c r="AX567" s="897"/>
      <c r="AY567" s="886"/>
    </row>
    <row r="568" spans="1:51" s="572" customFormat="1" ht="17.100000000000001" customHeight="1">
      <c r="A568" s="751" t="s">
        <v>24</v>
      </c>
      <c r="B568" s="834">
        <v>565</v>
      </c>
      <c r="C568" s="751" t="s">
        <v>3973</v>
      </c>
      <c r="D568" s="751" t="s">
        <v>34</v>
      </c>
      <c r="E568" s="887">
        <v>46123</v>
      </c>
      <c r="F568" s="751" t="s">
        <v>398</v>
      </c>
      <c r="G568" s="894">
        <v>7</v>
      </c>
      <c r="H568" s="751" t="s">
        <v>1077</v>
      </c>
      <c r="I568" s="751" t="s">
        <v>1138</v>
      </c>
      <c r="J568" s="571"/>
      <c r="K568" s="521" t="s">
        <v>3058</v>
      </c>
      <c r="L568" s="544" t="s">
        <v>3971</v>
      </c>
      <c r="M568" s="521" t="s">
        <v>3940</v>
      </c>
      <c r="N568" s="521" t="s">
        <v>3940</v>
      </c>
      <c r="O568" s="562" t="s">
        <v>3972</v>
      </c>
      <c r="P568" s="888"/>
      <c r="Q568" s="888"/>
      <c r="R568" s="888"/>
      <c r="S568" s="751"/>
      <c r="T568" s="751"/>
      <c r="U568" s="751"/>
      <c r="V568" s="751"/>
      <c r="W568" s="751"/>
      <c r="X568" s="561"/>
      <c r="Y568" s="886"/>
      <c r="Z568" s="886"/>
      <c r="AA568" s="886"/>
      <c r="AB568" s="886"/>
      <c r="AC568" s="886"/>
      <c r="AD568" s="886"/>
      <c r="AE568" s="886"/>
      <c r="AF568" s="886"/>
      <c r="AG568" s="886"/>
      <c r="AH568" s="886"/>
      <c r="AI568" s="895"/>
      <c r="AJ568" s="895"/>
      <c r="AK568" s="895"/>
      <c r="AL568" s="895"/>
      <c r="AM568" s="886"/>
      <c r="AN568" s="886"/>
      <c r="AO568" s="886"/>
      <c r="AP568" s="896"/>
      <c r="AQ568" s="896"/>
      <c r="AR568" s="896"/>
      <c r="AS568" s="896"/>
      <c r="AT568" s="896"/>
      <c r="AU568" s="897"/>
      <c r="AV568" s="897"/>
      <c r="AW568" s="897"/>
      <c r="AX568" s="897"/>
      <c r="AY568" s="886"/>
    </row>
    <row r="569" spans="1:51" s="572" customFormat="1" ht="18" customHeight="1">
      <c r="A569" s="751" t="s">
        <v>24</v>
      </c>
      <c r="B569" s="834">
        <v>566</v>
      </c>
      <c r="C569" s="751" t="s">
        <v>3974</v>
      </c>
      <c r="D569" s="751" t="s">
        <v>3975</v>
      </c>
      <c r="E569" s="887">
        <v>46123</v>
      </c>
      <c r="F569" s="751" t="s">
        <v>511</v>
      </c>
      <c r="G569" s="894">
        <v>11</v>
      </c>
      <c r="H569" s="751" t="s">
        <v>127</v>
      </c>
      <c r="I569" s="751" t="s">
        <v>178</v>
      </c>
      <c r="J569" s="571"/>
      <c r="K569" s="521" t="s">
        <v>3058</v>
      </c>
      <c r="L569" s="544" t="s">
        <v>3976</v>
      </c>
      <c r="M569" s="751" t="s">
        <v>3948</v>
      </c>
      <c r="N569" s="521" t="s">
        <v>3940</v>
      </c>
      <c r="O569" s="542" t="s">
        <v>3739</v>
      </c>
      <c r="P569" s="888"/>
      <c r="Q569" s="888"/>
      <c r="R569" s="888"/>
      <c r="S569" s="751"/>
      <c r="T569" s="751"/>
      <c r="U569" s="751"/>
      <c r="V569" s="751"/>
      <c r="W569" s="751"/>
      <c r="X569" s="561"/>
      <c r="Y569" s="886"/>
      <c r="Z569" s="886"/>
      <c r="AA569" s="886"/>
      <c r="AB569" s="886"/>
      <c r="AC569" s="886"/>
      <c r="AD569" s="886"/>
      <c r="AE569" s="886"/>
      <c r="AF569" s="886"/>
      <c r="AG569" s="886"/>
      <c r="AH569" s="886"/>
      <c r="AI569" s="895"/>
      <c r="AJ569" s="895"/>
      <c r="AK569" s="895"/>
      <c r="AL569" s="895"/>
      <c r="AM569" s="886"/>
      <c r="AN569" s="886"/>
      <c r="AO569" s="886"/>
      <c r="AP569" s="896"/>
      <c r="AQ569" s="896"/>
      <c r="AR569" s="896"/>
      <c r="AS569" s="896"/>
      <c r="AT569" s="896"/>
      <c r="AU569" s="897"/>
      <c r="AV569" s="897"/>
      <c r="AW569" s="897"/>
      <c r="AX569" s="897"/>
      <c r="AY569" s="886"/>
    </row>
    <row r="570" spans="1:51" s="72" customFormat="1" ht="15.6" customHeight="1">
      <c r="A570" s="840" t="s">
        <v>2342</v>
      </c>
      <c r="B570" s="834">
        <v>567</v>
      </c>
      <c r="C570" s="840" t="s">
        <v>3977</v>
      </c>
      <c r="D570" s="840"/>
      <c r="E570" s="852">
        <v>46125</v>
      </c>
      <c r="F570" s="840" t="s">
        <v>3624</v>
      </c>
      <c r="G570" s="834">
        <v>13</v>
      </c>
      <c r="H570" s="840" t="s">
        <v>1799</v>
      </c>
      <c r="I570" s="840" t="s">
        <v>3907</v>
      </c>
      <c r="J570" s="840"/>
      <c r="K570" s="840"/>
      <c r="L570" s="840"/>
      <c r="M570" s="840"/>
      <c r="N570" s="840"/>
      <c r="O570" s="840"/>
      <c r="P570" s="840"/>
      <c r="Q570" s="840"/>
      <c r="R570" s="840"/>
      <c r="S570" s="840"/>
      <c r="T570" s="840"/>
      <c r="U570" s="840"/>
      <c r="V570" s="840"/>
      <c r="W570" s="840"/>
      <c r="X570" s="840"/>
      <c r="Y570" s="840"/>
      <c r="Z570" s="840"/>
      <c r="AA570" s="840"/>
      <c r="AB570" s="840"/>
      <c r="AC570" s="840"/>
      <c r="AD570" s="840"/>
      <c r="AE570" s="840"/>
      <c r="AF570" s="840"/>
      <c r="AG570" s="840"/>
      <c r="AH570" s="840"/>
      <c r="AI570" s="840"/>
      <c r="AJ570" s="840"/>
      <c r="AK570" s="840"/>
      <c r="AL570" s="840"/>
      <c r="AM570" s="840"/>
      <c r="AN570" s="840"/>
      <c r="AO570" s="840"/>
      <c r="AP570" s="840"/>
      <c r="AQ570" s="840"/>
      <c r="AR570" s="840"/>
    </row>
    <row r="571" spans="1:51" s="72" customFormat="1" ht="15.6" customHeight="1">
      <c r="A571" s="840" t="s">
        <v>2342</v>
      </c>
      <c r="B571" s="834">
        <v>568</v>
      </c>
      <c r="C571" s="840" t="s">
        <v>3978</v>
      </c>
      <c r="D571" s="840" t="s">
        <v>829</v>
      </c>
      <c r="E571" s="852">
        <v>46125</v>
      </c>
      <c r="F571" s="840" t="s">
        <v>3624</v>
      </c>
      <c r="G571" s="834">
        <v>8</v>
      </c>
      <c r="H571" s="840" t="s">
        <v>3979</v>
      </c>
      <c r="I571" s="840" t="s">
        <v>3980</v>
      </c>
      <c r="J571" s="840"/>
      <c r="K571" s="840"/>
      <c r="L571" s="840"/>
      <c r="M571" s="840"/>
      <c r="N571" s="840"/>
      <c r="O571" s="840"/>
      <c r="P571" s="840"/>
      <c r="Q571" s="840"/>
      <c r="R571" s="840"/>
      <c r="S571" s="840"/>
      <c r="T571" s="840"/>
      <c r="U571" s="840"/>
      <c r="V571" s="840"/>
      <c r="W571" s="840"/>
      <c r="X571" s="840"/>
      <c r="Y571" s="840"/>
      <c r="Z571" s="840"/>
      <c r="AA571" s="840"/>
      <c r="AB571" s="840"/>
      <c r="AC571" s="840"/>
      <c r="AD571" s="840"/>
      <c r="AE571" s="840"/>
      <c r="AF571" s="840"/>
      <c r="AG571" s="840"/>
      <c r="AH571" s="840"/>
      <c r="AI571" s="840"/>
      <c r="AJ571" s="840"/>
      <c r="AK571" s="840"/>
      <c r="AL571" s="840"/>
      <c r="AM571" s="840"/>
      <c r="AN571" s="840"/>
      <c r="AO571" s="840"/>
      <c r="AP571" s="840"/>
      <c r="AQ571" s="840"/>
      <c r="AR571" s="840"/>
    </row>
    <row r="572" spans="1:51" s="72" customFormat="1" ht="15.6" customHeight="1">
      <c r="A572" s="840" t="s">
        <v>2342</v>
      </c>
      <c r="B572" s="834">
        <v>569</v>
      </c>
      <c r="C572" s="840" t="s">
        <v>3981</v>
      </c>
      <c r="D572" s="840" t="s">
        <v>1250</v>
      </c>
      <c r="E572" s="852">
        <v>46125</v>
      </c>
      <c r="F572" s="840" t="s">
        <v>3624</v>
      </c>
      <c r="G572" s="834">
        <v>1</v>
      </c>
      <c r="H572" s="840" t="s">
        <v>3056</v>
      </c>
      <c r="I572" s="840" t="s">
        <v>47</v>
      </c>
      <c r="J572" s="840"/>
      <c r="K572" s="840"/>
      <c r="L572" s="840"/>
      <c r="M572" s="840"/>
      <c r="N572" s="840"/>
      <c r="O572" s="840"/>
      <c r="P572" s="840"/>
      <c r="Q572" s="840"/>
      <c r="R572" s="840"/>
      <c r="S572" s="840"/>
      <c r="T572" s="840"/>
      <c r="U572" s="840"/>
      <c r="V572" s="840"/>
      <c r="W572" s="840"/>
      <c r="X572" s="840"/>
      <c r="Y572" s="840"/>
      <c r="Z572" s="840"/>
      <c r="AA572" s="840"/>
      <c r="AB572" s="840"/>
      <c r="AC572" s="840"/>
      <c r="AD572" s="840"/>
      <c r="AE572" s="840"/>
      <c r="AF572" s="840"/>
      <c r="AG572" s="840"/>
      <c r="AH572" s="840"/>
      <c r="AI572" s="840"/>
      <c r="AJ572" s="840"/>
      <c r="AK572" s="840"/>
      <c r="AL572" s="840"/>
      <c r="AM572" s="840"/>
      <c r="AN572" s="840"/>
      <c r="AO572" s="840"/>
      <c r="AP572" s="840"/>
      <c r="AQ572" s="840"/>
      <c r="AR572" s="840"/>
    </row>
    <row r="573" spans="1:51" s="72" customFormat="1" ht="15.6" customHeight="1">
      <c r="A573" s="840" t="s">
        <v>2342</v>
      </c>
      <c r="B573" s="834">
        <v>570</v>
      </c>
      <c r="C573" s="840" t="s">
        <v>3982</v>
      </c>
      <c r="D573" s="840" t="s">
        <v>1198</v>
      </c>
      <c r="E573" s="852">
        <v>46125</v>
      </c>
      <c r="F573" s="840" t="s">
        <v>3624</v>
      </c>
      <c r="G573" s="834">
        <v>7</v>
      </c>
      <c r="H573" s="840" t="s">
        <v>3464</v>
      </c>
      <c r="I573" s="840" t="s">
        <v>3983</v>
      </c>
      <c r="J573" s="840"/>
      <c r="K573" s="840"/>
      <c r="L573" s="840"/>
      <c r="M573" s="840"/>
      <c r="N573" s="840"/>
      <c r="O573" s="840"/>
      <c r="P573" s="840"/>
      <c r="Q573" s="840"/>
      <c r="R573" s="840"/>
      <c r="S573" s="840"/>
      <c r="T573" s="840"/>
      <c r="U573" s="840"/>
      <c r="V573" s="840"/>
      <c r="W573" s="840"/>
      <c r="X573" s="840"/>
      <c r="Y573" s="840"/>
      <c r="Z573" s="840"/>
      <c r="AA573" s="840"/>
      <c r="AB573" s="840"/>
      <c r="AC573" s="840"/>
      <c r="AD573" s="840"/>
      <c r="AE573" s="840"/>
      <c r="AF573" s="840"/>
      <c r="AG573" s="840"/>
      <c r="AH573" s="840"/>
      <c r="AI573" s="840"/>
      <c r="AJ573" s="840"/>
      <c r="AK573" s="840"/>
      <c r="AL573" s="840"/>
      <c r="AM573" s="840"/>
      <c r="AN573" s="840"/>
      <c r="AO573" s="840"/>
      <c r="AP573" s="840"/>
      <c r="AQ573" s="840"/>
      <c r="AR573" s="840"/>
    </row>
    <row r="574" spans="1:51" s="72" customFormat="1" ht="15.6" customHeight="1">
      <c r="A574" s="840" t="s">
        <v>2342</v>
      </c>
      <c r="B574" s="834">
        <v>571</v>
      </c>
      <c r="C574" s="840" t="s">
        <v>3984</v>
      </c>
      <c r="D574" s="840" t="s">
        <v>1184</v>
      </c>
      <c r="E574" s="852">
        <v>46125</v>
      </c>
      <c r="F574" s="840" t="s">
        <v>3624</v>
      </c>
      <c r="G574" s="834">
        <v>6</v>
      </c>
      <c r="H574" s="840" t="s">
        <v>3704</v>
      </c>
      <c r="I574" s="840" t="s">
        <v>3705</v>
      </c>
      <c r="J574" s="840"/>
      <c r="K574" s="840"/>
      <c r="L574" s="840"/>
      <c r="M574" s="840"/>
      <c r="N574" s="840"/>
      <c r="O574" s="840"/>
      <c r="P574" s="840"/>
      <c r="Q574" s="840"/>
      <c r="R574" s="840"/>
      <c r="S574" s="840"/>
      <c r="T574" s="840"/>
      <c r="U574" s="840"/>
      <c r="V574" s="840"/>
      <c r="W574" s="840"/>
      <c r="X574" s="840"/>
      <c r="Y574" s="840"/>
      <c r="Z574" s="840"/>
      <c r="AA574" s="840"/>
      <c r="AB574" s="840"/>
      <c r="AC574" s="840"/>
      <c r="AD574" s="840"/>
      <c r="AE574" s="840"/>
      <c r="AF574" s="840"/>
      <c r="AG574" s="840"/>
      <c r="AH574" s="840"/>
      <c r="AI574" s="840"/>
      <c r="AJ574" s="840"/>
      <c r="AK574" s="840"/>
      <c r="AL574" s="840"/>
      <c r="AM574" s="840"/>
      <c r="AN574" s="840"/>
      <c r="AO574" s="840"/>
      <c r="AP574" s="840"/>
      <c r="AQ574" s="840"/>
      <c r="AR574" s="840"/>
    </row>
    <row r="575" spans="1:51" s="72" customFormat="1" ht="15.6" customHeight="1">
      <c r="A575" s="840" t="s">
        <v>2342</v>
      </c>
      <c r="B575" s="834">
        <v>572</v>
      </c>
      <c r="C575" s="840" t="s">
        <v>3985</v>
      </c>
      <c r="D575" s="840" t="s">
        <v>846</v>
      </c>
      <c r="E575" s="852">
        <v>46125</v>
      </c>
      <c r="F575" s="840" t="s">
        <v>3624</v>
      </c>
      <c r="G575" s="834">
        <v>2</v>
      </c>
      <c r="H575" s="840" t="s">
        <v>1077</v>
      </c>
      <c r="I575" s="840" t="s">
        <v>1138</v>
      </c>
      <c r="J575" s="840"/>
      <c r="K575" s="840"/>
      <c r="L575" s="840"/>
      <c r="M575" s="840"/>
      <c r="N575" s="840"/>
      <c r="O575" s="840"/>
      <c r="P575" s="840"/>
      <c r="Q575" s="840"/>
      <c r="R575" s="840"/>
      <c r="S575" s="840"/>
      <c r="T575" s="840"/>
      <c r="U575" s="840"/>
      <c r="V575" s="840"/>
      <c r="W575" s="840"/>
      <c r="X575" s="840"/>
      <c r="Y575" s="840"/>
      <c r="Z575" s="840"/>
      <c r="AA575" s="840"/>
      <c r="AB575" s="840"/>
      <c r="AC575" s="840"/>
      <c r="AD575" s="840"/>
      <c r="AE575" s="840"/>
      <c r="AF575" s="840"/>
      <c r="AG575" s="840"/>
      <c r="AH575" s="840"/>
      <c r="AI575" s="840"/>
      <c r="AJ575" s="840"/>
      <c r="AK575" s="840"/>
      <c r="AL575" s="840"/>
      <c r="AM575" s="840"/>
      <c r="AN575" s="840"/>
      <c r="AO575" s="840"/>
      <c r="AP575" s="840"/>
      <c r="AQ575" s="840"/>
      <c r="AR575" s="840"/>
    </row>
    <row r="576" spans="1:51" s="72" customFormat="1" ht="15.6" customHeight="1">
      <c r="A576" s="840" t="s">
        <v>2342</v>
      </c>
      <c r="B576" s="834">
        <v>573</v>
      </c>
      <c r="C576" s="840" t="s">
        <v>3986</v>
      </c>
      <c r="D576" s="840" t="s">
        <v>1230</v>
      </c>
      <c r="E576" s="852">
        <v>46125</v>
      </c>
      <c r="F576" s="840" t="s">
        <v>3624</v>
      </c>
      <c r="G576" s="834">
        <v>3</v>
      </c>
      <c r="H576" s="840" t="s">
        <v>3056</v>
      </c>
      <c r="I576" s="840" t="s">
        <v>47</v>
      </c>
      <c r="J576" s="840"/>
      <c r="K576" s="840"/>
      <c r="L576" s="840"/>
      <c r="M576" s="840"/>
      <c r="N576" s="840"/>
      <c r="O576" s="840"/>
      <c r="P576" s="840"/>
      <c r="Q576" s="840"/>
      <c r="R576" s="840"/>
      <c r="S576" s="840"/>
      <c r="T576" s="840"/>
      <c r="U576" s="840"/>
      <c r="V576" s="840"/>
      <c r="W576" s="840"/>
      <c r="X576" s="840"/>
      <c r="Y576" s="840"/>
      <c r="Z576" s="840"/>
      <c r="AA576" s="840"/>
      <c r="AB576" s="840"/>
      <c r="AC576" s="840"/>
      <c r="AD576" s="840"/>
      <c r="AE576" s="840"/>
      <c r="AF576" s="840"/>
      <c r="AG576" s="840"/>
      <c r="AH576" s="840"/>
      <c r="AI576" s="840"/>
      <c r="AJ576" s="840"/>
      <c r="AK576" s="840"/>
      <c r="AL576" s="840"/>
      <c r="AM576" s="840"/>
      <c r="AN576" s="840"/>
      <c r="AO576" s="840"/>
      <c r="AP576" s="840"/>
      <c r="AQ576" s="840"/>
      <c r="AR576" s="840"/>
    </row>
    <row r="577" spans="1:44" s="72" customFormat="1" ht="15.6" customHeight="1">
      <c r="A577" s="840" t="s">
        <v>2342</v>
      </c>
      <c r="B577" s="834">
        <v>574</v>
      </c>
      <c r="C577" s="840" t="s">
        <v>3987</v>
      </c>
      <c r="D577" s="840" t="s">
        <v>3501</v>
      </c>
      <c r="E577" s="852">
        <v>46125</v>
      </c>
      <c r="F577" s="840" t="s">
        <v>3624</v>
      </c>
      <c r="G577" s="834">
        <v>1</v>
      </c>
      <c r="H577" s="840" t="s">
        <v>3056</v>
      </c>
      <c r="I577" s="840" t="s">
        <v>47</v>
      </c>
      <c r="J577" s="840"/>
      <c r="K577" s="840"/>
      <c r="L577" s="840"/>
      <c r="M577" s="840"/>
      <c r="N577" s="840"/>
      <c r="O577" s="840"/>
      <c r="P577" s="840"/>
      <c r="Q577" s="840"/>
      <c r="R577" s="840"/>
      <c r="S577" s="840"/>
      <c r="T577" s="840"/>
      <c r="U577" s="840"/>
      <c r="V577" s="840"/>
      <c r="W577" s="840"/>
      <c r="X577" s="840"/>
      <c r="Y577" s="840"/>
      <c r="Z577" s="840"/>
      <c r="AA577" s="840"/>
      <c r="AB577" s="840"/>
      <c r="AC577" s="840"/>
      <c r="AD577" s="840"/>
      <c r="AE577" s="840"/>
      <c r="AF577" s="840"/>
      <c r="AG577" s="840"/>
      <c r="AH577" s="840"/>
      <c r="AI577" s="840"/>
      <c r="AJ577" s="840"/>
      <c r="AK577" s="840"/>
      <c r="AL577" s="840"/>
      <c r="AM577" s="840"/>
      <c r="AN577" s="840"/>
      <c r="AO577" s="840"/>
      <c r="AP577" s="840"/>
      <c r="AQ577" s="840"/>
      <c r="AR577" s="840"/>
    </row>
    <row r="578" spans="1:44" s="72" customFormat="1" ht="15.6" customHeight="1">
      <c r="A578" s="840" t="s">
        <v>2342</v>
      </c>
      <c r="B578" s="834">
        <v>575</v>
      </c>
      <c r="C578" s="840" t="s">
        <v>3988</v>
      </c>
      <c r="D578" s="840" t="s">
        <v>779</v>
      </c>
      <c r="E578" s="852">
        <v>46125</v>
      </c>
      <c r="F578" s="840" t="s">
        <v>3624</v>
      </c>
      <c r="G578" s="834">
        <v>1</v>
      </c>
      <c r="H578" s="840" t="s">
        <v>1077</v>
      </c>
      <c r="I578" s="840" t="s">
        <v>1138</v>
      </c>
      <c r="J578" s="840"/>
      <c r="K578" s="840"/>
      <c r="L578" s="840"/>
      <c r="M578" s="840"/>
      <c r="N578" s="840"/>
      <c r="O578" s="840"/>
      <c r="P578" s="840"/>
      <c r="Q578" s="840"/>
      <c r="R578" s="840"/>
      <c r="S578" s="840"/>
      <c r="T578" s="840"/>
      <c r="U578" s="840"/>
      <c r="V578" s="840"/>
      <c r="W578" s="840"/>
      <c r="X578" s="840"/>
      <c r="Y578" s="840"/>
      <c r="Z578" s="840"/>
      <c r="AA578" s="840"/>
      <c r="AB578" s="840"/>
      <c r="AC578" s="840"/>
      <c r="AD578" s="840"/>
      <c r="AE578" s="840"/>
      <c r="AF578" s="840"/>
      <c r="AG578" s="840"/>
      <c r="AH578" s="840"/>
      <c r="AI578" s="840"/>
      <c r="AJ578" s="840"/>
      <c r="AK578" s="840"/>
      <c r="AL578" s="840"/>
      <c r="AM578" s="840"/>
      <c r="AN578" s="840"/>
      <c r="AO578" s="840"/>
      <c r="AP578" s="840"/>
      <c r="AQ578" s="840"/>
      <c r="AR578" s="840"/>
    </row>
    <row r="579" spans="1:44" s="72" customFormat="1" ht="15.6" customHeight="1">
      <c r="A579" s="840" t="s">
        <v>2342</v>
      </c>
      <c r="B579" s="834">
        <v>576</v>
      </c>
      <c r="C579" s="840" t="s">
        <v>3989</v>
      </c>
      <c r="D579" s="840" t="s">
        <v>937</v>
      </c>
      <c r="E579" s="852">
        <v>46125</v>
      </c>
      <c r="F579" s="840" t="s">
        <v>3624</v>
      </c>
      <c r="G579" s="834">
        <v>6</v>
      </c>
      <c r="H579" s="840" t="s">
        <v>3056</v>
      </c>
      <c r="I579" s="840" t="s">
        <v>47</v>
      </c>
      <c r="J579" s="840"/>
      <c r="K579" s="840"/>
      <c r="L579" s="840"/>
      <c r="M579" s="840"/>
      <c r="N579" s="840"/>
      <c r="O579" s="840"/>
      <c r="P579" s="840"/>
      <c r="Q579" s="840"/>
      <c r="R579" s="840"/>
      <c r="S579" s="840"/>
      <c r="T579" s="840"/>
      <c r="U579" s="840"/>
      <c r="V579" s="840"/>
      <c r="W579" s="840"/>
      <c r="X579" s="840"/>
      <c r="Y579" s="840"/>
      <c r="Z579" s="840"/>
      <c r="AA579" s="840"/>
      <c r="AB579" s="840"/>
      <c r="AC579" s="840"/>
      <c r="AD579" s="840"/>
      <c r="AE579" s="840"/>
      <c r="AF579" s="840"/>
      <c r="AG579" s="840"/>
      <c r="AH579" s="840"/>
      <c r="AI579" s="840"/>
      <c r="AJ579" s="840"/>
      <c r="AK579" s="840"/>
      <c r="AL579" s="840"/>
      <c r="AM579" s="840"/>
      <c r="AN579" s="840"/>
      <c r="AO579" s="840"/>
      <c r="AP579" s="840"/>
      <c r="AQ579" s="840"/>
      <c r="AR579" s="840"/>
    </row>
    <row r="580" spans="1:44" s="72" customFormat="1" ht="15.6" customHeight="1">
      <c r="A580" s="840" t="s">
        <v>2342</v>
      </c>
      <c r="B580" s="834">
        <v>577</v>
      </c>
      <c r="C580" s="840" t="s">
        <v>3990</v>
      </c>
      <c r="D580" s="840" t="s">
        <v>3814</v>
      </c>
      <c r="E580" s="852">
        <v>46125</v>
      </c>
      <c r="F580" s="840" t="s">
        <v>3624</v>
      </c>
      <c r="G580" s="834">
        <v>1</v>
      </c>
      <c r="H580" s="840" t="s">
        <v>3056</v>
      </c>
      <c r="I580" s="840" t="s">
        <v>47</v>
      </c>
      <c r="J580" s="840"/>
      <c r="K580" s="840"/>
      <c r="L580" s="840"/>
      <c r="M580" s="840"/>
      <c r="N580" s="840"/>
      <c r="O580" s="840"/>
      <c r="P580" s="840"/>
      <c r="Q580" s="840"/>
      <c r="R580" s="840"/>
      <c r="S580" s="840"/>
      <c r="T580" s="840"/>
      <c r="U580" s="840"/>
      <c r="V580" s="840"/>
      <c r="W580" s="840"/>
      <c r="X580" s="840"/>
      <c r="Y580" s="840"/>
      <c r="Z580" s="840"/>
      <c r="AA580" s="840"/>
      <c r="AB580" s="840"/>
      <c r="AC580" s="840"/>
      <c r="AD580" s="840"/>
      <c r="AE580" s="840"/>
      <c r="AF580" s="840"/>
      <c r="AG580" s="840"/>
      <c r="AH580" s="840"/>
      <c r="AI580" s="840"/>
      <c r="AJ580" s="840"/>
      <c r="AK580" s="840"/>
      <c r="AL580" s="840"/>
      <c r="AM580" s="840"/>
      <c r="AN580" s="840"/>
      <c r="AO580" s="840"/>
      <c r="AP580" s="840"/>
      <c r="AQ580" s="840"/>
      <c r="AR580" s="840"/>
    </row>
    <row r="581" spans="1:44" s="72" customFormat="1" ht="15.6" customHeight="1">
      <c r="A581" s="840" t="s">
        <v>2342</v>
      </c>
      <c r="B581" s="834">
        <v>578</v>
      </c>
      <c r="C581" s="840" t="s">
        <v>3991</v>
      </c>
      <c r="D581" s="840" t="s">
        <v>969</v>
      </c>
      <c r="E581" s="852">
        <v>46125</v>
      </c>
      <c r="F581" s="840" t="s">
        <v>3624</v>
      </c>
      <c r="G581" s="834">
        <v>8</v>
      </c>
      <c r="H581" s="840" t="s">
        <v>127</v>
      </c>
      <c r="I581" s="840" t="s">
        <v>178</v>
      </c>
      <c r="J581" s="840"/>
      <c r="K581" s="840"/>
      <c r="L581" s="840"/>
      <c r="M581" s="840"/>
      <c r="N581" s="840"/>
      <c r="O581" s="840"/>
      <c r="P581" s="840"/>
      <c r="Q581" s="840"/>
      <c r="R581" s="840"/>
      <c r="S581" s="840"/>
      <c r="T581" s="840"/>
      <c r="U581" s="840"/>
      <c r="V581" s="840"/>
      <c r="W581" s="840"/>
      <c r="X581" s="840"/>
      <c r="Y581" s="840"/>
      <c r="Z581" s="840"/>
      <c r="AA581" s="840"/>
      <c r="AB581" s="840"/>
      <c r="AC581" s="840"/>
      <c r="AD581" s="840"/>
      <c r="AE581" s="840"/>
      <c r="AF581" s="840"/>
      <c r="AG581" s="840"/>
      <c r="AH581" s="840"/>
      <c r="AI581" s="840"/>
      <c r="AJ581" s="840"/>
      <c r="AK581" s="840"/>
      <c r="AL581" s="840"/>
      <c r="AM581" s="840"/>
      <c r="AN581" s="840"/>
      <c r="AO581" s="840"/>
      <c r="AP581" s="840"/>
      <c r="AQ581" s="840"/>
      <c r="AR581" s="840"/>
    </row>
    <row r="582" spans="1:44" s="72" customFormat="1" ht="15.6" customHeight="1">
      <c r="A582" s="840" t="s">
        <v>2342</v>
      </c>
      <c r="B582" s="834">
        <v>579</v>
      </c>
      <c r="C582" s="840" t="s">
        <v>3992</v>
      </c>
      <c r="D582" s="840" t="s">
        <v>1236</v>
      </c>
      <c r="E582" s="852">
        <v>46125</v>
      </c>
      <c r="F582" s="840" t="s">
        <v>3624</v>
      </c>
      <c r="G582" s="834">
        <v>1</v>
      </c>
      <c r="H582" s="840" t="s">
        <v>1076</v>
      </c>
      <c r="I582" s="840" t="s">
        <v>3337</v>
      </c>
      <c r="J582" s="840"/>
      <c r="K582" s="840"/>
      <c r="L582" s="840"/>
      <c r="M582" s="840"/>
      <c r="N582" s="840"/>
      <c r="O582" s="840"/>
      <c r="P582" s="840"/>
      <c r="Q582" s="840"/>
      <c r="R582" s="840"/>
      <c r="S582" s="840"/>
      <c r="T582" s="840"/>
      <c r="U582" s="840"/>
      <c r="V582" s="840"/>
      <c r="W582" s="840"/>
      <c r="X582" s="840"/>
      <c r="Y582" s="840"/>
      <c r="Z582" s="840"/>
      <c r="AA582" s="840"/>
      <c r="AB582" s="840"/>
      <c r="AC582" s="840"/>
      <c r="AD582" s="840"/>
      <c r="AE582" s="840"/>
      <c r="AF582" s="840"/>
      <c r="AG582" s="840"/>
      <c r="AH582" s="840"/>
      <c r="AI582" s="840"/>
      <c r="AJ582" s="840"/>
      <c r="AK582" s="840"/>
      <c r="AL582" s="840"/>
      <c r="AM582" s="840"/>
      <c r="AN582" s="840"/>
      <c r="AO582" s="840"/>
      <c r="AP582" s="840"/>
      <c r="AQ582" s="840"/>
      <c r="AR582" s="840"/>
    </row>
    <row r="583" spans="1:44" s="72" customFormat="1" ht="15.6" customHeight="1">
      <c r="A583" s="840" t="s">
        <v>2342</v>
      </c>
      <c r="B583" s="834">
        <v>580</v>
      </c>
      <c r="C583" s="840" t="s">
        <v>3993</v>
      </c>
      <c r="D583" s="840" t="s">
        <v>2925</v>
      </c>
      <c r="E583" s="852">
        <v>46125</v>
      </c>
      <c r="F583" s="840" t="s">
        <v>3624</v>
      </c>
      <c r="G583" s="834">
        <v>2</v>
      </c>
      <c r="H583" s="840" t="s">
        <v>127</v>
      </c>
      <c r="I583" s="840" t="s">
        <v>178</v>
      </c>
      <c r="J583" s="840"/>
      <c r="K583" s="840"/>
      <c r="L583" s="840"/>
      <c r="M583" s="840"/>
      <c r="N583" s="840"/>
      <c r="O583" s="840"/>
      <c r="P583" s="840"/>
      <c r="Q583" s="840"/>
      <c r="R583" s="840"/>
      <c r="S583" s="840"/>
      <c r="T583" s="840"/>
      <c r="U583" s="840"/>
      <c r="V583" s="840"/>
      <c r="W583" s="840"/>
      <c r="X583" s="840"/>
      <c r="Y583" s="840"/>
      <c r="Z583" s="840"/>
      <c r="AA583" s="840"/>
      <c r="AB583" s="840"/>
      <c r="AC583" s="840"/>
      <c r="AD583" s="840"/>
      <c r="AE583" s="840"/>
      <c r="AF583" s="840"/>
      <c r="AG583" s="840"/>
      <c r="AH583" s="840"/>
      <c r="AI583" s="840"/>
      <c r="AJ583" s="840"/>
      <c r="AK583" s="840"/>
      <c r="AL583" s="840"/>
      <c r="AM583" s="840"/>
      <c r="AN583" s="840"/>
      <c r="AO583" s="840"/>
      <c r="AP583" s="840"/>
      <c r="AQ583" s="840"/>
      <c r="AR583" s="840"/>
    </row>
    <row r="584" spans="1:44" s="72" customFormat="1" ht="15.6" customHeight="1">
      <c r="A584" s="840" t="s">
        <v>2342</v>
      </c>
      <c r="B584" s="834">
        <v>581</v>
      </c>
      <c r="C584" s="840" t="s">
        <v>3994</v>
      </c>
      <c r="D584" s="840" t="s">
        <v>998</v>
      </c>
      <c r="E584" s="852">
        <v>46125</v>
      </c>
      <c r="F584" s="840" t="s">
        <v>3624</v>
      </c>
      <c r="G584" s="834">
        <v>14</v>
      </c>
      <c r="H584" s="840" t="s">
        <v>3056</v>
      </c>
      <c r="I584" s="840" t="s">
        <v>47</v>
      </c>
      <c r="J584" s="840"/>
      <c r="K584" s="840"/>
      <c r="L584" s="840"/>
      <c r="M584" s="840"/>
      <c r="N584" s="840"/>
      <c r="O584" s="840"/>
      <c r="P584" s="840"/>
      <c r="Q584" s="840"/>
      <c r="R584" s="840"/>
      <c r="S584" s="840"/>
      <c r="T584" s="840"/>
      <c r="U584" s="840"/>
      <c r="V584" s="840"/>
      <c r="W584" s="840"/>
      <c r="X584" s="840"/>
      <c r="Y584" s="840"/>
      <c r="Z584" s="840"/>
      <c r="AA584" s="840"/>
      <c r="AB584" s="840"/>
      <c r="AC584" s="840"/>
      <c r="AD584" s="840"/>
      <c r="AE584" s="840"/>
      <c r="AF584" s="840"/>
      <c r="AG584" s="840"/>
      <c r="AH584" s="840"/>
      <c r="AI584" s="840"/>
      <c r="AJ584" s="840"/>
      <c r="AK584" s="840"/>
      <c r="AL584" s="840"/>
      <c r="AM584" s="840"/>
      <c r="AN584" s="840"/>
      <c r="AO584" s="840"/>
      <c r="AP584" s="840"/>
      <c r="AQ584" s="840"/>
      <c r="AR584" s="840"/>
    </row>
    <row r="585" spans="1:44" s="72" customFormat="1" ht="15.6" customHeight="1">
      <c r="A585" s="840" t="s">
        <v>2342</v>
      </c>
      <c r="B585" s="834">
        <v>582</v>
      </c>
      <c r="C585" s="840" t="s">
        <v>3995</v>
      </c>
      <c r="D585" s="840" t="s">
        <v>1208</v>
      </c>
      <c r="E585" s="852">
        <v>46125</v>
      </c>
      <c r="F585" s="840" t="s">
        <v>3624</v>
      </c>
      <c r="G585" s="834">
        <v>1</v>
      </c>
      <c r="H585" s="840" t="s">
        <v>3056</v>
      </c>
      <c r="I585" s="840" t="s">
        <v>47</v>
      </c>
      <c r="J585" s="840"/>
      <c r="K585" s="840"/>
      <c r="L585" s="840"/>
      <c r="M585" s="840"/>
      <c r="N585" s="840"/>
      <c r="O585" s="840"/>
      <c r="P585" s="840"/>
      <c r="Q585" s="840"/>
      <c r="R585" s="840"/>
      <c r="S585" s="840"/>
      <c r="T585" s="840"/>
      <c r="U585" s="840"/>
      <c r="V585" s="840"/>
      <c r="W585" s="840"/>
      <c r="X585" s="840"/>
      <c r="Y585" s="840"/>
      <c r="Z585" s="840"/>
      <c r="AA585" s="840"/>
      <c r="AB585" s="840"/>
      <c r="AC585" s="840"/>
      <c r="AD585" s="840"/>
      <c r="AE585" s="840"/>
      <c r="AF585" s="840"/>
      <c r="AG585" s="840"/>
      <c r="AH585" s="840"/>
      <c r="AI585" s="840"/>
      <c r="AJ585" s="840"/>
      <c r="AK585" s="840"/>
      <c r="AL585" s="840"/>
      <c r="AM585" s="840"/>
      <c r="AN585" s="840"/>
      <c r="AO585" s="840"/>
      <c r="AP585" s="840"/>
      <c r="AQ585" s="840"/>
      <c r="AR585" s="840"/>
    </row>
    <row r="586" spans="1:44" s="72" customFormat="1" ht="15.6" customHeight="1">
      <c r="A586" s="840" t="s">
        <v>2342</v>
      </c>
      <c r="B586" s="834">
        <v>583</v>
      </c>
      <c r="C586" s="840" t="s">
        <v>3996</v>
      </c>
      <c r="D586" s="840" t="s">
        <v>1025</v>
      </c>
      <c r="E586" s="852">
        <v>46125</v>
      </c>
      <c r="F586" s="840" t="s">
        <v>3624</v>
      </c>
      <c r="G586" s="834">
        <v>1</v>
      </c>
      <c r="H586" s="840" t="s">
        <v>127</v>
      </c>
      <c r="I586" s="840" t="s">
        <v>178</v>
      </c>
      <c r="J586" s="840"/>
      <c r="K586" s="840"/>
      <c r="L586" s="840"/>
      <c r="M586" s="840"/>
      <c r="N586" s="840"/>
      <c r="O586" s="840"/>
      <c r="P586" s="840"/>
      <c r="Q586" s="840"/>
      <c r="R586" s="840"/>
      <c r="S586" s="840"/>
      <c r="T586" s="840"/>
      <c r="U586" s="840"/>
      <c r="V586" s="840"/>
      <c r="W586" s="840"/>
      <c r="X586" s="840"/>
      <c r="Y586" s="840"/>
      <c r="Z586" s="840"/>
      <c r="AA586" s="840"/>
      <c r="AB586" s="840"/>
      <c r="AC586" s="840"/>
      <c r="AD586" s="840"/>
      <c r="AE586" s="840"/>
      <c r="AF586" s="840"/>
      <c r="AG586" s="840"/>
      <c r="AH586" s="840"/>
      <c r="AI586" s="840"/>
      <c r="AJ586" s="840"/>
      <c r="AK586" s="840"/>
      <c r="AL586" s="840"/>
      <c r="AM586" s="840"/>
      <c r="AN586" s="840"/>
      <c r="AO586" s="840"/>
      <c r="AP586" s="840"/>
      <c r="AQ586" s="840"/>
      <c r="AR586" s="840"/>
    </row>
    <row r="587" spans="1:44" s="72" customFormat="1" ht="15.6" customHeight="1">
      <c r="A587" s="840" t="s">
        <v>2342</v>
      </c>
      <c r="B587" s="834">
        <v>584</v>
      </c>
      <c r="C587" s="840" t="s">
        <v>3997</v>
      </c>
      <c r="D587" s="840" t="s">
        <v>937</v>
      </c>
      <c r="E587" s="852">
        <v>46125</v>
      </c>
      <c r="F587" s="840" t="s">
        <v>3624</v>
      </c>
      <c r="G587" s="834">
        <v>5</v>
      </c>
      <c r="H587" s="840" t="s">
        <v>1721</v>
      </c>
      <c r="I587" s="840" t="s">
        <v>1638</v>
      </c>
      <c r="J587" s="840"/>
      <c r="K587" s="840"/>
      <c r="L587" s="840"/>
      <c r="M587" s="840"/>
      <c r="N587" s="840"/>
      <c r="O587" s="840"/>
      <c r="P587" s="840"/>
      <c r="Q587" s="840"/>
      <c r="R587" s="840"/>
      <c r="S587" s="840"/>
      <c r="T587" s="840"/>
      <c r="U587" s="840"/>
      <c r="V587" s="840"/>
      <c r="W587" s="840"/>
      <c r="X587" s="840"/>
      <c r="Y587" s="840"/>
      <c r="Z587" s="840"/>
      <c r="AA587" s="840"/>
      <c r="AB587" s="840"/>
      <c r="AC587" s="840"/>
      <c r="AD587" s="840"/>
      <c r="AE587" s="840"/>
      <c r="AF587" s="840"/>
      <c r="AG587" s="840"/>
      <c r="AH587" s="840"/>
      <c r="AI587" s="840"/>
      <c r="AJ587" s="840"/>
      <c r="AK587" s="840"/>
      <c r="AL587" s="840"/>
      <c r="AM587" s="840"/>
      <c r="AN587" s="840"/>
      <c r="AO587" s="840"/>
      <c r="AP587" s="840"/>
      <c r="AQ587" s="840"/>
      <c r="AR587" s="840"/>
    </row>
    <row r="588" spans="1:44" s="72" customFormat="1" ht="15.6" customHeight="1">
      <c r="A588" s="840" t="s">
        <v>2342</v>
      </c>
      <c r="B588" s="834">
        <v>585</v>
      </c>
      <c r="C588" s="840" t="s">
        <v>3998</v>
      </c>
      <c r="D588" s="840" t="s">
        <v>1230</v>
      </c>
      <c r="E588" s="852">
        <v>46125</v>
      </c>
      <c r="F588" s="840" t="s">
        <v>3624</v>
      </c>
      <c r="G588" s="834">
        <v>47</v>
      </c>
      <c r="H588" s="840" t="s">
        <v>1721</v>
      </c>
      <c r="I588" s="840" t="s">
        <v>1638</v>
      </c>
      <c r="J588" s="840"/>
      <c r="K588" s="840"/>
      <c r="L588" s="840"/>
      <c r="M588" s="840"/>
      <c r="N588" s="840"/>
      <c r="O588" s="840"/>
      <c r="P588" s="840"/>
      <c r="Q588" s="840"/>
      <c r="R588" s="840"/>
      <c r="S588" s="840"/>
      <c r="T588" s="840"/>
      <c r="U588" s="840"/>
      <c r="V588" s="840"/>
      <c r="W588" s="840"/>
      <c r="X588" s="840"/>
      <c r="Y588" s="840"/>
      <c r="Z588" s="840"/>
      <c r="AA588" s="840"/>
      <c r="AB588" s="840"/>
      <c r="AC588" s="840"/>
      <c r="AD588" s="840"/>
      <c r="AE588" s="840"/>
      <c r="AF588" s="840"/>
      <c r="AG588" s="840"/>
      <c r="AH588" s="840"/>
      <c r="AI588" s="840"/>
      <c r="AJ588" s="840"/>
      <c r="AK588" s="840"/>
      <c r="AL588" s="840"/>
      <c r="AM588" s="840"/>
      <c r="AN588" s="840"/>
      <c r="AO588" s="840"/>
      <c r="AP588" s="840"/>
      <c r="AQ588" s="840"/>
      <c r="AR588" s="840"/>
    </row>
    <row r="589" spans="1:44" s="72" customFormat="1" ht="15.6" customHeight="1">
      <c r="A589" s="840" t="s">
        <v>2342</v>
      </c>
      <c r="B589" s="834">
        <v>586</v>
      </c>
      <c r="C589" s="840" t="s">
        <v>3999</v>
      </c>
      <c r="D589" s="840" t="s">
        <v>4000</v>
      </c>
      <c r="E589" s="852">
        <v>46125</v>
      </c>
      <c r="F589" s="840" t="s">
        <v>3624</v>
      </c>
      <c r="G589" s="834">
        <v>6</v>
      </c>
      <c r="H589" s="840" t="s">
        <v>1721</v>
      </c>
      <c r="I589" s="840" t="s">
        <v>1638</v>
      </c>
      <c r="J589" s="840"/>
      <c r="K589" s="840"/>
      <c r="L589" s="840"/>
      <c r="M589" s="840"/>
      <c r="N589" s="840"/>
      <c r="O589" s="840"/>
      <c r="P589" s="840"/>
      <c r="Q589" s="840"/>
      <c r="R589" s="840"/>
      <c r="S589" s="840"/>
      <c r="T589" s="840"/>
      <c r="U589" s="840"/>
      <c r="V589" s="840"/>
      <c r="W589" s="840"/>
      <c r="X589" s="840"/>
      <c r="Y589" s="840"/>
      <c r="Z589" s="840"/>
      <c r="AA589" s="840"/>
      <c r="AB589" s="840"/>
      <c r="AC589" s="840"/>
      <c r="AD589" s="840"/>
      <c r="AE589" s="840"/>
      <c r="AF589" s="840"/>
      <c r="AG589" s="840"/>
      <c r="AH589" s="840"/>
      <c r="AI589" s="840"/>
      <c r="AJ589" s="840"/>
      <c r="AK589" s="840"/>
      <c r="AL589" s="840"/>
      <c r="AM589" s="840"/>
      <c r="AN589" s="840"/>
      <c r="AO589" s="840"/>
      <c r="AP589" s="840"/>
      <c r="AQ589" s="840"/>
      <c r="AR589" s="840"/>
    </row>
    <row r="590" spans="1:44" s="72" customFormat="1" ht="15.6" customHeight="1">
      <c r="A590" s="840" t="s">
        <v>2342</v>
      </c>
      <c r="B590" s="834">
        <v>587</v>
      </c>
      <c r="C590" s="840" t="s">
        <v>4001</v>
      </c>
      <c r="D590" s="840" t="s">
        <v>1184</v>
      </c>
      <c r="E590" s="852">
        <v>46125</v>
      </c>
      <c r="F590" s="840" t="s">
        <v>3624</v>
      </c>
      <c r="G590" s="834">
        <v>4</v>
      </c>
      <c r="H590" s="840" t="s">
        <v>1721</v>
      </c>
      <c r="I590" s="840" t="s">
        <v>1638</v>
      </c>
      <c r="J590" s="840"/>
      <c r="K590" s="840"/>
      <c r="L590" s="840"/>
      <c r="M590" s="840"/>
      <c r="N590" s="840"/>
      <c r="O590" s="840"/>
      <c r="P590" s="840"/>
      <c r="Q590" s="840"/>
      <c r="R590" s="840"/>
      <c r="S590" s="840"/>
      <c r="T590" s="840"/>
      <c r="U590" s="840"/>
      <c r="V590" s="840"/>
      <c r="W590" s="840"/>
      <c r="X590" s="840"/>
      <c r="Y590" s="840"/>
      <c r="Z590" s="840"/>
      <c r="AA590" s="840"/>
      <c r="AB590" s="840"/>
      <c r="AC590" s="840"/>
      <c r="AD590" s="840"/>
      <c r="AE590" s="840"/>
      <c r="AF590" s="840"/>
      <c r="AG590" s="840"/>
      <c r="AH590" s="840"/>
      <c r="AI590" s="840"/>
      <c r="AJ590" s="840"/>
      <c r="AK590" s="840"/>
      <c r="AL590" s="840"/>
      <c r="AM590" s="840"/>
      <c r="AN590" s="840"/>
      <c r="AO590" s="840"/>
      <c r="AP590" s="840"/>
      <c r="AQ590" s="840"/>
      <c r="AR590" s="840"/>
    </row>
    <row r="591" spans="1:44" s="72" customFormat="1" ht="15.6" customHeight="1">
      <c r="A591" s="840" t="s">
        <v>2342</v>
      </c>
      <c r="B591" s="834">
        <v>588</v>
      </c>
      <c r="C591" s="840" t="s">
        <v>4002</v>
      </c>
      <c r="D591" s="840" t="s">
        <v>846</v>
      </c>
      <c r="E591" s="852">
        <v>46125</v>
      </c>
      <c r="F591" s="840" t="s">
        <v>3624</v>
      </c>
      <c r="G591" s="834">
        <v>1</v>
      </c>
      <c r="H591" s="840" t="s">
        <v>1721</v>
      </c>
      <c r="I591" s="840" t="s">
        <v>1638</v>
      </c>
      <c r="J591" s="840"/>
      <c r="K591" s="840"/>
      <c r="L591" s="840"/>
      <c r="M591" s="840"/>
      <c r="N591" s="840"/>
      <c r="O591" s="840"/>
      <c r="P591" s="840"/>
      <c r="Q591" s="840"/>
      <c r="R591" s="840"/>
      <c r="S591" s="840"/>
      <c r="T591" s="840"/>
      <c r="U591" s="840"/>
      <c r="V591" s="840"/>
      <c r="W591" s="840"/>
      <c r="X591" s="840"/>
      <c r="Y591" s="840"/>
      <c r="Z591" s="840"/>
      <c r="AA591" s="840"/>
      <c r="AB591" s="840"/>
      <c r="AC591" s="840"/>
      <c r="AD591" s="840"/>
      <c r="AE591" s="840"/>
      <c r="AF591" s="840"/>
      <c r="AG591" s="840"/>
      <c r="AH591" s="840"/>
      <c r="AI591" s="840"/>
      <c r="AJ591" s="840"/>
      <c r="AK591" s="840"/>
      <c r="AL591" s="840"/>
      <c r="AM591" s="840"/>
      <c r="AN591" s="840"/>
      <c r="AO591" s="840"/>
      <c r="AP591" s="840"/>
      <c r="AQ591" s="840"/>
      <c r="AR591" s="840"/>
    </row>
    <row r="592" spans="1:44" s="537" customFormat="1" ht="15.6" customHeight="1">
      <c r="A592" s="886" t="s">
        <v>2342</v>
      </c>
      <c r="B592" s="834">
        <v>589</v>
      </c>
      <c r="C592" s="886" t="s">
        <v>4003</v>
      </c>
      <c r="D592" s="886" t="s">
        <v>779</v>
      </c>
      <c r="E592" s="887">
        <v>46125</v>
      </c>
      <c r="F592" s="886" t="s">
        <v>3624</v>
      </c>
      <c r="G592" s="751">
        <v>12</v>
      </c>
      <c r="H592" s="886" t="s">
        <v>1721</v>
      </c>
      <c r="I592" s="886" t="s">
        <v>1638</v>
      </c>
      <c r="J592" s="886"/>
      <c r="K592" s="886"/>
      <c r="L592" s="886"/>
      <c r="M592" s="886"/>
      <c r="N592" s="886"/>
      <c r="O592" s="886"/>
      <c r="P592" s="886"/>
      <c r="Q592" s="886"/>
      <c r="R592" s="886"/>
      <c r="S592" s="886"/>
      <c r="T592" s="886"/>
      <c r="U592" s="886"/>
      <c r="V592" s="886"/>
      <c r="W592" s="886"/>
      <c r="X592" s="886"/>
      <c r="Y592" s="886"/>
      <c r="Z592" s="886"/>
      <c r="AA592" s="886"/>
      <c r="AB592" s="886"/>
      <c r="AC592" s="886"/>
      <c r="AD592" s="886"/>
      <c r="AE592" s="886"/>
      <c r="AF592" s="886"/>
      <c r="AG592" s="886"/>
      <c r="AH592" s="886"/>
      <c r="AI592" s="886"/>
      <c r="AJ592" s="886"/>
      <c r="AK592" s="886"/>
      <c r="AL592" s="886"/>
      <c r="AM592" s="886"/>
      <c r="AN592" s="886"/>
      <c r="AO592" s="886"/>
      <c r="AP592" s="886"/>
      <c r="AQ592" s="886"/>
      <c r="AR592" s="886"/>
    </row>
    <row r="593" spans="1:54" s="588" customFormat="1" ht="15.6" customHeight="1">
      <c r="A593" s="898" t="s">
        <v>24</v>
      </c>
      <c r="B593" s="834">
        <v>590</v>
      </c>
      <c r="C593" s="585" t="s">
        <v>4004</v>
      </c>
      <c r="D593" s="585" t="s">
        <v>129</v>
      </c>
      <c r="E593" s="586">
        <v>46125</v>
      </c>
      <c r="F593" s="585" t="s">
        <v>202</v>
      </c>
      <c r="G593" s="585">
        <v>8</v>
      </c>
      <c r="H593" s="585" t="s">
        <v>3056</v>
      </c>
      <c r="I593" s="585" t="s">
        <v>47</v>
      </c>
      <c r="J593" s="585"/>
      <c r="K593" s="585" t="s">
        <v>3063</v>
      </c>
      <c r="L593" s="585" t="s">
        <v>4005</v>
      </c>
      <c r="M593" s="898" t="s">
        <v>3948</v>
      </c>
      <c r="N593" s="585" t="s">
        <v>3967</v>
      </c>
      <c r="O593" s="585" t="s">
        <v>2050</v>
      </c>
      <c r="P593" s="899"/>
      <c r="Q593" s="899"/>
      <c r="R593" s="899"/>
      <c r="S593" s="898"/>
      <c r="T593" s="898"/>
      <c r="U593" s="898"/>
      <c r="V593" s="898"/>
      <c r="W593" s="898"/>
      <c r="X593" s="587" t="s">
        <v>32</v>
      </c>
      <c r="Y593" s="900"/>
      <c r="Z593" s="900"/>
      <c r="AA593" s="900"/>
      <c r="AB593" s="900"/>
      <c r="AC593" s="900"/>
      <c r="AD593" s="900"/>
      <c r="AE593" s="900"/>
      <c r="AF593" s="900"/>
      <c r="AG593" s="900"/>
      <c r="AH593" s="900"/>
      <c r="AI593" s="901"/>
      <c r="AJ593" s="901"/>
      <c r="AK593" s="901"/>
      <c r="AL593" s="901"/>
      <c r="AM593" s="900"/>
      <c r="AN593" s="900"/>
      <c r="AO593" s="889"/>
      <c r="AP593" s="890"/>
      <c r="AQ593" s="890"/>
      <c r="AR593" s="890"/>
      <c r="AS593" s="890"/>
      <c r="AT593" s="890"/>
      <c r="AU593" s="902"/>
      <c r="AV593" s="902"/>
      <c r="AW593" s="902"/>
      <c r="AX593" s="902"/>
      <c r="AY593" s="889"/>
      <c r="AZ593" s="889"/>
      <c r="BA593" s="889"/>
      <c r="BB593" s="889"/>
    </row>
    <row r="594" spans="1:54" s="588" customFormat="1" ht="15.6" customHeight="1">
      <c r="A594" s="751" t="s">
        <v>24</v>
      </c>
      <c r="B594" s="834">
        <v>591</v>
      </c>
      <c r="C594" s="521" t="s">
        <v>4006</v>
      </c>
      <c r="D594" s="521" t="s">
        <v>406</v>
      </c>
      <c r="E594" s="548">
        <v>46125</v>
      </c>
      <c r="F594" s="521" t="s">
        <v>1135</v>
      </c>
      <c r="G594" s="521">
        <v>10</v>
      </c>
      <c r="H594" s="521" t="s">
        <v>1721</v>
      </c>
      <c r="I594" s="521" t="s">
        <v>1638</v>
      </c>
      <c r="J594" s="589"/>
      <c r="K594" s="521" t="s">
        <v>3058</v>
      </c>
      <c r="L594" s="521" t="s">
        <v>4007</v>
      </c>
      <c r="M594" s="521" t="s">
        <v>3939</v>
      </c>
      <c r="N594" s="521" t="s">
        <v>3967</v>
      </c>
      <c r="O594" s="521" t="s">
        <v>4008</v>
      </c>
      <c r="P594" s="888"/>
      <c r="Q594" s="888"/>
      <c r="R594" s="888"/>
      <c r="S594" s="751"/>
      <c r="T594" s="751"/>
      <c r="U594" s="751"/>
      <c r="V594" s="751"/>
      <c r="W594" s="751"/>
      <c r="X594" s="561" t="s">
        <v>32</v>
      </c>
      <c r="Y594" s="886"/>
      <c r="Z594" s="886"/>
      <c r="AA594" s="886"/>
      <c r="AB594" s="886"/>
      <c r="AC594" s="886"/>
      <c r="AD594" s="886"/>
      <c r="AE594" s="886"/>
      <c r="AF594" s="886"/>
      <c r="AG594" s="886"/>
      <c r="AH594" s="886"/>
      <c r="AI594" s="895"/>
      <c r="AJ594" s="895"/>
      <c r="AK594" s="895"/>
      <c r="AL594" s="895"/>
      <c r="AM594" s="886"/>
      <c r="AN594" s="886"/>
      <c r="AO594" s="889"/>
      <c r="AP594" s="890"/>
      <c r="AQ594" s="890"/>
      <c r="AR594" s="890"/>
      <c r="AS594" s="890"/>
      <c r="AT594" s="890"/>
      <c r="AU594" s="902"/>
      <c r="AV594" s="902"/>
      <c r="AW594" s="902"/>
      <c r="AX594" s="902"/>
      <c r="AY594" s="889"/>
      <c r="AZ594" s="889"/>
      <c r="BA594" s="889"/>
      <c r="BB594" s="889"/>
    </row>
    <row r="595" spans="1:54" s="588" customFormat="1" ht="15.6" customHeight="1">
      <c r="A595" s="903" t="s">
        <v>24</v>
      </c>
      <c r="B595" s="834">
        <v>592</v>
      </c>
      <c r="C595" s="545" t="s">
        <v>4009</v>
      </c>
      <c r="D595" s="545" t="s">
        <v>3741</v>
      </c>
      <c r="E595" s="549">
        <v>46125</v>
      </c>
      <c r="F595" s="545" t="s">
        <v>439</v>
      </c>
      <c r="G595" s="545">
        <v>13</v>
      </c>
      <c r="H595" s="545" t="s">
        <v>3056</v>
      </c>
      <c r="I595" s="545" t="s">
        <v>47</v>
      </c>
      <c r="J595" s="545"/>
      <c r="K595" s="545" t="s">
        <v>3063</v>
      </c>
      <c r="L595" s="545" t="s">
        <v>4010</v>
      </c>
      <c r="M595" s="545" t="s">
        <v>3939</v>
      </c>
      <c r="N595" s="545" t="s">
        <v>3940</v>
      </c>
      <c r="O595" s="545" t="s">
        <v>2058</v>
      </c>
      <c r="P595" s="904"/>
      <c r="Q595" s="904"/>
      <c r="R595" s="904"/>
      <c r="S595" s="903"/>
      <c r="T595" s="903"/>
      <c r="U595" s="903"/>
      <c r="V595" s="903"/>
      <c r="W595" s="903"/>
      <c r="X595" s="590" t="s">
        <v>32</v>
      </c>
      <c r="Y595" s="893"/>
      <c r="Z595" s="893"/>
      <c r="AA595" s="893"/>
      <c r="AB595" s="893"/>
      <c r="AC595" s="893"/>
      <c r="AD595" s="893"/>
      <c r="AE595" s="893"/>
      <c r="AF595" s="893"/>
      <c r="AG595" s="893"/>
      <c r="AH595" s="893"/>
      <c r="AI595" s="905"/>
      <c r="AJ595" s="905"/>
      <c r="AK595" s="905"/>
      <c r="AL595" s="905"/>
      <c r="AM595" s="893"/>
      <c r="AN595" s="893"/>
      <c r="AO595" s="889"/>
      <c r="AP595" s="890"/>
      <c r="AQ595" s="890"/>
      <c r="AR595" s="890"/>
      <c r="AS595" s="890"/>
      <c r="AT595" s="890"/>
      <c r="AU595" s="902"/>
      <c r="AV595" s="902"/>
      <c r="AW595" s="902"/>
      <c r="AX595" s="902"/>
      <c r="AY595" s="889"/>
      <c r="AZ595" s="889"/>
      <c r="BA595" s="889"/>
      <c r="BB595" s="889"/>
    </row>
    <row r="596" spans="1:54" s="553" customFormat="1" ht="15.6" customHeight="1">
      <c r="A596" s="521" t="s">
        <v>24</v>
      </c>
      <c r="B596" s="834">
        <v>593</v>
      </c>
      <c r="C596" s="751" t="s">
        <v>4011</v>
      </c>
      <c r="D596" s="751" t="s">
        <v>43</v>
      </c>
      <c r="E596" s="887">
        <v>46125</v>
      </c>
      <c r="F596" s="751" t="s">
        <v>1626</v>
      </c>
      <c r="G596" s="751">
        <v>14</v>
      </c>
      <c r="H596" s="751" t="s">
        <v>1077</v>
      </c>
      <c r="I596" s="751" t="s">
        <v>1138</v>
      </c>
      <c r="J596" s="558"/>
      <c r="K596" s="545" t="s">
        <v>3063</v>
      </c>
      <c r="L596" s="751" t="s">
        <v>4012</v>
      </c>
      <c r="M596" s="545" t="s">
        <v>4013</v>
      </c>
      <c r="N596" s="545" t="s">
        <v>4013</v>
      </c>
      <c r="O596" s="888" t="s">
        <v>3743</v>
      </c>
      <c r="P596" s="888"/>
      <c r="Q596" s="888"/>
      <c r="R596" s="888"/>
      <c r="S596" s="751"/>
      <c r="T596" s="751"/>
      <c r="U596" s="751"/>
      <c r="V596" s="751"/>
      <c r="W596" s="751"/>
      <c r="X596" s="561" t="s">
        <v>32</v>
      </c>
      <c r="Y596" s="886"/>
      <c r="Z596" s="886"/>
      <c r="AA596" s="886"/>
      <c r="AB596" s="886"/>
      <c r="AC596" s="886"/>
      <c r="AD596" s="886"/>
      <c r="AE596" s="886"/>
      <c r="AF596" s="886"/>
      <c r="AG596" s="886"/>
      <c r="AH596" s="886"/>
      <c r="AI596" s="895"/>
      <c r="AJ596" s="895"/>
      <c r="AK596" s="895"/>
      <c r="AL596" s="895"/>
      <c r="AM596" s="886"/>
      <c r="AN596" s="886"/>
      <c r="AO596" s="886"/>
      <c r="AP596" s="896"/>
      <c r="AQ596" s="896"/>
      <c r="AR596" s="896"/>
      <c r="AS596" s="896"/>
      <c r="AT596" s="896"/>
      <c r="AU596" s="897"/>
      <c r="AV596" s="897"/>
      <c r="AW596" s="897"/>
      <c r="AX596" s="897"/>
      <c r="AY596" s="886"/>
      <c r="AZ596" s="886"/>
      <c r="BA596" s="886"/>
      <c r="BB596" s="886">
        <f t="shared" ref="BB596" si="32">IF(E596&gt;1,1,"")</f>
        <v>1</v>
      </c>
    </row>
    <row r="597" spans="1:54" s="543" customFormat="1" ht="15" customHeight="1">
      <c r="A597" s="521" t="s">
        <v>24</v>
      </c>
      <c r="B597" s="834">
        <v>594</v>
      </c>
      <c r="C597" s="521" t="s">
        <v>4014</v>
      </c>
      <c r="D597" s="521" t="s">
        <v>102</v>
      </c>
      <c r="E597" s="548">
        <v>46126</v>
      </c>
      <c r="F597" s="521" t="s">
        <v>1945</v>
      </c>
      <c r="G597" s="521">
        <v>12</v>
      </c>
      <c r="H597" s="521" t="s">
        <v>1721</v>
      </c>
      <c r="I597" s="521" t="s">
        <v>1638</v>
      </c>
      <c r="J597" s="751"/>
      <c r="K597" s="545" t="s">
        <v>3063</v>
      </c>
      <c r="L597" s="521" t="s">
        <v>4015</v>
      </c>
      <c r="M597" s="521" t="s">
        <v>4016</v>
      </c>
      <c r="N597" s="521" t="s">
        <v>4016</v>
      </c>
      <c r="O597" s="521" t="s">
        <v>2050</v>
      </c>
      <c r="P597" s="542"/>
      <c r="Q597" s="542"/>
      <c r="R597" s="542"/>
      <c r="S597" s="521"/>
      <c r="T597" s="521"/>
      <c r="U597" s="521"/>
      <c r="V597" s="521"/>
      <c r="W597" s="521"/>
      <c r="X597" s="561" t="s">
        <v>32</v>
      </c>
      <c r="AA597" s="543" t="s">
        <v>30</v>
      </c>
      <c r="AE597" s="543" t="s">
        <v>30</v>
      </c>
      <c r="AF597" s="543" t="s">
        <v>30</v>
      </c>
      <c r="AG597" s="543" t="s">
        <v>30</v>
      </c>
      <c r="AH597" s="543" t="s">
        <v>30</v>
      </c>
      <c r="AI597" s="544"/>
      <c r="AJ597" s="544"/>
      <c r="AK597" s="544"/>
      <c r="AL597" s="544"/>
      <c r="AO597" s="886"/>
      <c r="AP597" s="896"/>
      <c r="AQ597" s="896"/>
      <c r="AR597" s="896"/>
      <c r="AS597" s="896"/>
      <c r="AT597" s="896"/>
      <c r="AU597" s="897"/>
      <c r="AV597" s="897"/>
      <c r="AW597" s="897"/>
      <c r="AX597" s="897"/>
      <c r="AY597" s="886"/>
      <c r="BB597" s="543">
        <f t="shared" ref="BB597:BB598" si="33">IF(E597&gt;1,1,"")</f>
        <v>1</v>
      </c>
    </row>
    <row r="598" spans="1:54" s="543" customFormat="1" ht="15" customHeight="1">
      <c r="A598" s="521" t="s">
        <v>24</v>
      </c>
      <c r="B598" s="834">
        <v>595</v>
      </c>
      <c r="C598" s="521" t="s">
        <v>4017</v>
      </c>
      <c r="D598" s="521" t="s">
        <v>43</v>
      </c>
      <c r="E598" s="548">
        <v>46126</v>
      </c>
      <c r="F598" s="521" t="s">
        <v>927</v>
      </c>
      <c r="G598" s="521">
        <v>11</v>
      </c>
      <c r="H598" s="521" t="s">
        <v>1077</v>
      </c>
      <c r="I598" s="521" t="s">
        <v>1138</v>
      </c>
      <c r="J598" s="571"/>
      <c r="K598" s="545" t="s">
        <v>3063</v>
      </c>
      <c r="L598" s="521" t="s">
        <v>2203</v>
      </c>
      <c r="M598" s="545" t="s">
        <v>4013</v>
      </c>
      <c r="N598" s="545" t="s">
        <v>4018</v>
      </c>
      <c r="O598" s="521" t="s">
        <v>2050</v>
      </c>
      <c r="P598" s="542"/>
      <c r="Q598" s="542"/>
      <c r="R598" s="542"/>
      <c r="S598" s="521"/>
      <c r="T598" s="521"/>
      <c r="U598" s="521"/>
      <c r="V598" s="521"/>
      <c r="W598" s="521"/>
      <c r="X598" s="561" t="s">
        <v>32</v>
      </c>
      <c r="AI598" s="544"/>
      <c r="AJ598" s="544"/>
      <c r="AK598" s="544"/>
      <c r="AL598" s="544"/>
      <c r="AO598" s="886"/>
      <c r="AP598" s="896"/>
      <c r="AQ598" s="896"/>
      <c r="AR598" s="896"/>
      <c r="AS598" s="896"/>
      <c r="AT598" s="896"/>
      <c r="AU598" s="897"/>
      <c r="AV598" s="897"/>
      <c r="AW598" s="897"/>
      <c r="AX598" s="897"/>
      <c r="AY598" s="886"/>
      <c r="BB598" s="543">
        <f t="shared" si="33"/>
        <v>1</v>
      </c>
    </row>
    <row r="599" spans="1:54" s="543" customFormat="1" ht="15" customHeight="1">
      <c r="A599" s="521" t="s">
        <v>24</v>
      </c>
      <c r="B599" s="834">
        <v>596</v>
      </c>
      <c r="C599" s="521" t="s">
        <v>4017</v>
      </c>
      <c r="D599" s="521" t="s">
        <v>43</v>
      </c>
      <c r="E599" s="548">
        <v>46127</v>
      </c>
      <c r="F599" s="521" t="s">
        <v>927</v>
      </c>
      <c r="G599" s="521">
        <v>12</v>
      </c>
      <c r="H599" s="521" t="s">
        <v>1077</v>
      </c>
      <c r="I599" s="521" t="s">
        <v>1138</v>
      </c>
      <c r="J599" s="571"/>
      <c r="K599" s="545" t="s">
        <v>3063</v>
      </c>
      <c r="L599" s="521" t="s">
        <v>2203</v>
      </c>
      <c r="M599" s="545" t="s">
        <v>4019</v>
      </c>
      <c r="N599" s="545" t="s">
        <v>4020</v>
      </c>
      <c r="O599" s="521" t="s">
        <v>2050</v>
      </c>
      <c r="P599" s="542"/>
      <c r="Q599" s="542"/>
      <c r="R599" s="542"/>
      <c r="S599" s="521"/>
      <c r="T599" s="521"/>
      <c r="U599" s="521"/>
      <c r="V599" s="521"/>
      <c r="W599" s="521"/>
      <c r="X599" s="561" t="s">
        <v>32</v>
      </c>
      <c r="AI599" s="544"/>
      <c r="AJ599" s="544"/>
      <c r="AK599" s="544"/>
      <c r="AL599" s="544"/>
      <c r="AO599" s="886"/>
      <c r="AP599" s="896"/>
      <c r="AQ599" s="896"/>
      <c r="AR599" s="896"/>
      <c r="AS599" s="896"/>
      <c r="AT599" s="896"/>
      <c r="AU599" s="897"/>
      <c r="AV599" s="897"/>
      <c r="AW599" s="897"/>
      <c r="AX599" s="897"/>
      <c r="AY599" s="886"/>
      <c r="BB599" s="543">
        <f t="shared" ref="BB599" si="34">IF(E599&gt;1,1,"")</f>
        <v>1</v>
      </c>
    </row>
    <row r="600" spans="1:54" s="553" customFormat="1" ht="15.6" customHeight="1">
      <c r="A600" s="521" t="s">
        <v>24</v>
      </c>
      <c r="B600" s="834">
        <v>597</v>
      </c>
      <c r="C600" s="751" t="s">
        <v>4021</v>
      </c>
      <c r="D600" s="751" t="s">
        <v>3741</v>
      </c>
      <c r="E600" s="887">
        <v>46127</v>
      </c>
      <c r="F600" s="751" t="s">
        <v>126</v>
      </c>
      <c r="G600" s="751">
        <v>27</v>
      </c>
      <c r="H600" s="751" t="s">
        <v>127</v>
      </c>
      <c r="I600" s="751" t="s">
        <v>28</v>
      </c>
      <c r="J600" s="751"/>
      <c r="K600" s="521" t="s">
        <v>3058</v>
      </c>
      <c r="L600" s="521" t="s">
        <v>3976</v>
      </c>
      <c r="M600" s="521" t="s">
        <v>3939</v>
      </c>
      <c r="N600" s="521" t="s">
        <v>3967</v>
      </c>
      <c r="O600" s="521" t="s">
        <v>4022</v>
      </c>
      <c r="P600" s="888"/>
      <c r="Q600" s="888"/>
      <c r="R600" s="888"/>
      <c r="S600" s="751"/>
      <c r="T600" s="751"/>
      <c r="U600" s="751"/>
      <c r="V600" s="751"/>
      <c r="W600" s="751"/>
      <c r="X600" s="561" t="s">
        <v>32</v>
      </c>
      <c r="Y600" s="886"/>
      <c r="Z600" s="886"/>
      <c r="AA600" s="886"/>
      <c r="AB600" s="886"/>
      <c r="AC600" s="886"/>
      <c r="AD600" s="886"/>
      <c r="AE600" s="886"/>
      <c r="AF600" s="886"/>
      <c r="AG600" s="886"/>
      <c r="AH600" s="886"/>
      <c r="AI600" s="895"/>
      <c r="AJ600" s="895"/>
      <c r="AK600" s="895"/>
      <c r="AL600" s="895"/>
      <c r="AM600" s="886"/>
      <c r="AN600" s="886"/>
      <c r="AO600" s="886"/>
      <c r="AP600" s="896"/>
      <c r="AQ600" s="896"/>
      <c r="AR600" s="896"/>
      <c r="AS600" s="896"/>
      <c r="AT600" s="896"/>
      <c r="AU600" s="897"/>
      <c r="AV600" s="897"/>
      <c r="AW600" s="897"/>
      <c r="AX600" s="897"/>
      <c r="AY600" s="886"/>
      <c r="AZ600" s="886"/>
      <c r="BA600" s="886"/>
      <c r="BB600" s="886">
        <f t="shared" si="31"/>
        <v>1</v>
      </c>
    </row>
    <row r="601" spans="1:54" s="553" customFormat="1" ht="15.6" customHeight="1">
      <c r="A601" s="521" t="s">
        <v>24</v>
      </c>
      <c r="B601" s="834">
        <v>598</v>
      </c>
      <c r="C601" s="751" t="s">
        <v>4023</v>
      </c>
      <c r="D601" s="751" t="s">
        <v>3741</v>
      </c>
      <c r="E601" s="887">
        <v>46127</v>
      </c>
      <c r="F601" s="751" t="s">
        <v>1611</v>
      </c>
      <c r="G601" s="751">
        <v>12</v>
      </c>
      <c r="H601" s="751" t="s">
        <v>1077</v>
      </c>
      <c r="I601" s="751" t="s">
        <v>1138</v>
      </c>
      <c r="J601" s="751"/>
      <c r="K601" s="521" t="s">
        <v>3058</v>
      </c>
      <c r="L601" s="521" t="s">
        <v>4024</v>
      </c>
      <c r="M601" s="521" t="s">
        <v>3939</v>
      </c>
      <c r="N601" s="521" t="s">
        <v>3948</v>
      </c>
      <c r="O601" s="521" t="s">
        <v>3743</v>
      </c>
      <c r="P601" s="888"/>
      <c r="Q601" s="888"/>
      <c r="R601" s="888"/>
      <c r="S601" s="751"/>
      <c r="T601" s="751"/>
      <c r="U601" s="751"/>
      <c r="V601" s="751"/>
      <c r="W601" s="751"/>
      <c r="X601" s="561" t="s">
        <v>32</v>
      </c>
      <c r="Y601" s="886"/>
      <c r="Z601" s="886"/>
      <c r="AA601" s="886"/>
      <c r="AB601" s="886"/>
      <c r="AC601" s="886"/>
      <c r="AD601" s="886"/>
      <c r="AE601" s="886"/>
      <c r="AF601" s="886"/>
      <c r="AG601" s="886"/>
      <c r="AH601" s="886"/>
      <c r="AI601" s="895"/>
      <c r="AJ601" s="895"/>
      <c r="AK601" s="895"/>
      <c r="AL601" s="895"/>
      <c r="AM601" s="886"/>
      <c r="AN601" s="886"/>
      <c r="AO601" s="886"/>
      <c r="AP601" s="896"/>
      <c r="AQ601" s="896"/>
      <c r="AR601" s="896"/>
      <c r="AS601" s="896"/>
      <c r="AT601" s="896"/>
      <c r="AU601" s="897"/>
      <c r="AV601" s="897"/>
      <c r="AW601" s="897"/>
      <c r="AX601" s="897"/>
      <c r="AY601" s="886"/>
      <c r="AZ601" s="886"/>
      <c r="BA601" s="886"/>
      <c r="BB601" s="886">
        <f t="shared" si="31"/>
        <v>1</v>
      </c>
    </row>
    <row r="602" spans="1:54" s="553" customFormat="1" ht="15.6" customHeight="1">
      <c r="A602" s="521" t="s">
        <v>24</v>
      </c>
      <c r="B602" s="834">
        <v>599</v>
      </c>
      <c r="C602" s="751" t="s">
        <v>4025</v>
      </c>
      <c r="D602" s="751" t="s">
        <v>1641</v>
      </c>
      <c r="E602" s="887">
        <v>46127</v>
      </c>
      <c r="F602" s="751" t="s">
        <v>1611</v>
      </c>
      <c r="G602" s="751">
        <v>12</v>
      </c>
      <c r="H602" s="751" t="s">
        <v>1077</v>
      </c>
      <c r="I602" s="751" t="s">
        <v>1138</v>
      </c>
      <c r="J602" s="751"/>
      <c r="K602" s="521" t="s">
        <v>3058</v>
      </c>
      <c r="L602" s="521" t="s">
        <v>4026</v>
      </c>
      <c r="M602" s="521" t="s">
        <v>3939</v>
      </c>
      <c r="N602" s="521" t="s">
        <v>3948</v>
      </c>
      <c r="O602" s="521" t="s">
        <v>3743</v>
      </c>
      <c r="P602" s="888"/>
      <c r="Q602" s="888"/>
      <c r="R602" s="888"/>
      <c r="S602" s="751"/>
      <c r="T602" s="751"/>
      <c r="U602" s="751"/>
      <c r="V602" s="751"/>
      <c r="W602" s="751"/>
      <c r="X602" s="561" t="s">
        <v>32</v>
      </c>
      <c r="Y602" s="886"/>
      <c r="Z602" s="886"/>
      <c r="AA602" s="886"/>
      <c r="AB602" s="886"/>
      <c r="AC602" s="886"/>
      <c r="AD602" s="886"/>
      <c r="AE602" s="886"/>
      <c r="AF602" s="886"/>
      <c r="AG602" s="886"/>
      <c r="AH602" s="886"/>
      <c r="AI602" s="895"/>
      <c r="AJ602" s="895"/>
      <c r="AK602" s="895"/>
      <c r="AL602" s="895"/>
      <c r="AM602" s="886"/>
      <c r="AN602" s="886"/>
      <c r="AO602" s="886"/>
      <c r="AP602" s="896"/>
      <c r="AQ602" s="896"/>
      <c r="AR602" s="896"/>
      <c r="AS602" s="896"/>
      <c r="AT602" s="896"/>
      <c r="AU602" s="897"/>
      <c r="AV602" s="897"/>
      <c r="AW602" s="897"/>
      <c r="AX602" s="897"/>
      <c r="AY602" s="886"/>
      <c r="AZ602" s="886"/>
      <c r="BA602" s="886"/>
      <c r="BB602" s="886">
        <f t="shared" si="31"/>
        <v>1</v>
      </c>
    </row>
    <row r="603" spans="1:54" s="553" customFormat="1" ht="15.6" customHeight="1">
      <c r="A603" s="521" t="s">
        <v>24</v>
      </c>
      <c r="B603" s="834">
        <v>600</v>
      </c>
      <c r="C603" s="751" t="s">
        <v>4027</v>
      </c>
      <c r="D603" s="751" t="s">
        <v>374</v>
      </c>
      <c r="E603" s="887">
        <v>46127</v>
      </c>
      <c r="F603" s="751" t="s">
        <v>91</v>
      </c>
      <c r="G603" s="751">
        <v>6</v>
      </c>
      <c r="H603" s="751" t="s">
        <v>3056</v>
      </c>
      <c r="I603" s="751" t="s">
        <v>47</v>
      </c>
      <c r="J603" s="591"/>
      <c r="K603" s="521" t="s">
        <v>3063</v>
      </c>
      <c r="L603" s="751" t="s">
        <v>4028</v>
      </c>
      <c r="M603" s="521" t="s">
        <v>3939</v>
      </c>
      <c r="N603" s="521" t="s">
        <v>3940</v>
      </c>
      <c r="O603" s="521" t="s">
        <v>3743</v>
      </c>
      <c r="P603" s="888"/>
      <c r="Q603" s="888"/>
      <c r="R603" s="888"/>
      <c r="S603" s="529"/>
      <c r="T603" s="751"/>
      <c r="U603" s="751"/>
      <c r="V603" s="751"/>
      <c r="W603" s="751"/>
      <c r="X603" s="533" t="s">
        <v>32</v>
      </c>
      <c r="Y603" s="522"/>
      <c r="Z603" s="522"/>
      <c r="AA603" s="522"/>
      <c r="AB603" s="522"/>
      <c r="AC603" s="522"/>
      <c r="AD603" s="522"/>
      <c r="AE603" s="522"/>
      <c r="AF603" s="522"/>
      <c r="AG603" s="522"/>
      <c r="AH603" s="522"/>
      <c r="AI603" s="523"/>
      <c r="AJ603" s="523"/>
      <c r="AK603" s="523"/>
      <c r="AL603" s="523"/>
      <c r="AM603" s="522"/>
      <c r="AN603" s="522"/>
      <c r="AO603" s="886"/>
      <c r="AP603" s="896"/>
      <c r="AQ603" s="896"/>
      <c r="AR603" s="896"/>
      <c r="AS603" s="896"/>
      <c r="AT603" s="896"/>
      <c r="AU603" s="897"/>
      <c r="AV603" s="897"/>
      <c r="AW603" s="897"/>
      <c r="AX603" s="897"/>
      <c r="AY603" s="886"/>
      <c r="AZ603" s="886"/>
      <c r="BA603" s="886"/>
      <c r="BB603" s="886"/>
    </row>
    <row r="604" spans="1:54" s="553" customFormat="1" ht="15.95" customHeight="1">
      <c r="A604" s="521" t="s">
        <v>24</v>
      </c>
      <c r="B604" s="834">
        <v>601</v>
      </c>
      <c r="C604" s="751" t="s">
        <v>4029</v>
      </c>
      <c r="D604" s="751" t="s">
        <v>3741</v>
      </c>
      <c r="E604" s="887">
        <v>46128</v>
      </c>
      <c r="F604" s="751" t="s">
        <v>126</v>
      </c>
      <c r="G604" s="751">
        <v>25</v>
      </c>
      <c r="H604" s="751" t="s">
        <v>127</v>
      </c>
      <c r="I604" s="751" t="s">
        <v>28</v>
      </c>
      <c r="J604" s="751"/>
      <c r="K604" s="521" t="s">
        <v>3058</v>
      </c>
      <c r="L604" s="521" t="s">
        <v>3976</v>
      </c>
      <c r="M604" s="521" t="s">
        <v>3939</v>
      </c>
      <c r="N604" s="521" t="s">
        <v>3967</v>
      </c>
      <c r="O604" s="521" t="s">
        <v>4022</v>
      </c>
      <c r="P604" s="888"/>
      <c r="Q604" s="888"/>
      <c r="R604" s="888"/>
      <c r="S604" s="751"/>
      <c r="T604" s="751"/>
      <c r="U604" s="751"/>
      <c r="V604" s="751"/>
      <c r="W604" s="751"/>
      <c r="X604" s="561" t="s">
        <v>32</v>
      </c>
      <c r="Y604" s="886"/>
      <c r="Z604" s="886"/>
      <c r="AA604" s="886"/>
      <c r="AB604" s="886"/>
      <c r="AC604" s="886"/>
      <c r="AD604" s="886"/>
      <c r="AE604" s="886"/>
      <c r="AF604" s="886"/>
      <c r="AG604" s="886"/>
      <c r="AH604" s="886"/>
      <c r="AI604" s="895"/>
      <c r="AJ604" s="895"/>
      <c r="AK604" s="895"/>
      <c r="AL604" s="895"/>
      <c r="AM604" s="886"/>
      <c r="AN604" s="886"/>
      <c r="AO604" s="886"/>
      <c r="AP604" s="896"/>
      <c r="AQ604" s="896"/>
      <c r="AR604" s="896"/>
      <c r="AS604" s="896"/>
      <c r="AT604" s="896"/>
      <c r="AU604" s="897"/>
      <c r="AV604" s="897"/>
      <c r="AW604" s="897"/>
      <c r="AX604" s="897"/>
      <c r="AY604" s="886"/>
      <c r="AZ604" s="886"/>
      <c r="BA604" s="886"/>
      <c r="BB604" s="886">
        <f t="shared" ref="BB604:BB605" si="35">IF(E604&gt;1,1,"")</f>
        <v>1</v>
      </c>
    </row>
    <row r="605" spans="1:54" s="543" customFormat="1" ht="15.6" customHeight="1">
      <c r="A605" s="521" t="s">
        <v>24</v>
      </c>
      <c r="B605" s="834">
        <v>602</v>
      </c>
      <c r="C605" s="521" t="s">
        <v>4030</v>
      </c>
      <c r="D605" s="521" t="s">
        <v>606</v>
      </c>
      <c r="E605" s="887">
        <v>46129</v>
      </c>
      <c r="F605" s="521" t="s">
        <v>674</v>
      </c>
      <c r="G605" s="521">
        <v>15</v>
      </c>
      <c r="H605" s="521" t="s">
        <v>1721</v>
      </c>
      <c r="I605" s="521" t="s">
        <v>1638</v>
      </c>
      <c r="J605" s="521"/>
      <c r="K605" s="521" t="s">
        <v>3058</v>
      </c>
      <c r="L605" s="521" t="s">
        <v>3971</v>
      </c>
      <c r="M605" s="521" t="s">
        <v>3934</v>
      </c>
      <c r="N605" s="521" t="s">
        <v>3935</v>
      </c>
      <c r="O605" s="542" t="s">
        <v>4031</v>
      </c>
      <c r="P605" s="542"/>
      <c r="Q605" s="542"/>
      <c r="R605" s="542"/>
      <c r="S605" s="521"/>
      <c r="T605" s="521"/>
      <c r="U605" s="521"/>
      <c r="V605" s="521"/>
      <c r="W605" s="521"/>
      <c r="X605" s="561" t="s">
        <v>32</v>
      </c>
      <c r="AI605" s="544"/>
      <c r="AJ605" s="544"/>
      <c r="AK605" s="544"/>
      <c r="AL605" s="544"/>
      <c r="AP605" s="559"/>
      <c r="AQ605" s="559"/>
      <c r="AR605" s="559"/>
      <c r="AS605" s="559"/>
      <c r="AT605" s="559"/>
      <c r="AU605" s="560"/>
      <c r="AV605" s="560"/>
      <c r="AW605" s="560"/>
      <c r="AX605" s="560"/>
      <c r="BB605" s="543">
        <f t="shared" si="35"/>
        <v>1</v>
      </c>
    </row>
    <row r="606" spans="1:54" s="553" customFormat="1" ht="16.5" customHeight="1">
      <c r="A606" s="521" t="s">
        <v>24</v>
      </c>
      <c r="B606" s="834">
        <v>603</v>
      </c>
      <c r="C606" s="751" t="s">
        <v>4032</v>
      </c>
      <c r="D606" s="751" t="s">
        <v>1641</v>
      </c>
      <c r="E606" s="887">
        <v>46129</v>
      </c>
      <c r="F606" s="751" t="s">
        <v>1342</v>
      </c>
      <c r="G606" s="751">
        <v>12</v>
      </c>
      <c r="H606" s="751" t="s">
        <v>1077</v>
      </c>
      <c r="I606" s="751" t="s">
        <v>1138</v>
      </c>
      <c r="J606" s="521"/>
      <c r="K606" s="521" t="s">
        <v>3058</v>
      </c>
      <c r="L606" s="521" t="s">
        <v>4033</v>
      </c>
      <c r="M606" s="521" t="s">
        <v>4013</v>
      </c>
      <c r="N606" s="521" t="s">
        <v>4013</v>
      </c>
      <c r="O606" s="521" t="s">
        <v>2050</v>
      </c>
      <c r="P606" s="888"/>
      <c r="Q606" s="888"/>
      <c r="R606" s="888"/>
      <c r="S606" s="751"/>
      <c r="T606" s="751"/>
      <c r="U606" s="751"/>
      <c r="V606" s="751"/>
      <c r="W606" s="751"/>
      <c r="X606" s="561" t="s">
        <v>32</v>
      </c>
      <c r="Y606" s="886"/>
      <c r="Z606" s="886"/>
      <c r="AA606" s="886"/>
      <c r="AB606" s="886"/>
      <c r="AC606" s="886"/>
      <c r="AD606" s="886"/>
      <c r="AE606" s="886"/>
      <c r="AF606" s="886"/>
      <c r="AG606" s="886"/>
      <c r="AH606" s="886"/>
      <c r="AI606" s="895"/>
      <c r="AJ606" s="895"/>
      <c r="AK606" s="895"/>
      <c r="AL606" s="895"/>
      <c r="AM606" s="886"/>
      <c r="AN606" s="886"/>
      <c r="AO606" s="886"/>
      <c r="AP606" s="896"/>
      <c r="AQ606" s="896"/>
      <c r="AR606" s="896"/>
      <c r="AS606" s="896"/>
      <c r="AT606" s="896"/>
      <c r="AU606" s="897"/>
      <c r="AV606" s="897"/>
      <c r="AW606" s="897"/>
      <c r="AX606" s="897"/>
      <c r="AY606" s="886"/>
      <c r="AZ606" s="886"/>
      <c r="BA606" s="886"/>
      <c r="BB606" s="886">
        <f t="shared" si="31"/>
        <v>1</v>
      </c>
    </row>
    <row r="607" spans="1:54" s="567" customFormat="1" ht="15">
      <c r="A607" s="545" t="s">
        <v>24</v>
      </c>
      <c r="B607" s="834">
        <v>604</v>
      </c>
      <c r="C607" s="903" t="s">
        <v>4034</v>
      </c>
      <c r="D607" s="903" t="s">
        <v>50</v>
      </c>
      <c r="E607" s="906">
        <v>46129</v>
      </c>
      <c r="F607" s="903" t="s">
        <v>202</v>
      </c>
      <c r="G607" s="903">
        <v>12</v>
      </c>
      <c r="H607" s="903" t="s">
        <v>3056</v>
      </c>
      <c r="I607" s="903" t="s">
        <v>47</v>
      </c>
      <c r="J607" s="545"/>
      <c r="K607" s="545" t="s">
        <v>3063</v>
      </c>
      <c r="L607" s="545" t="s">
        <v>4005</v>
      </c>
      <c r="M607" s="545" t="s">
        <v>4013</v>
      </c>
      <c r="N607" s="545" t="s">
        <v>3967</v>
      </c>
      <c r="O607" s="545" t="s">
        <v>2050</v>
      </c>
      <c r="P607" s="904"/>
      <c r="Q607" s="904"/>
      <c r="R607" s="904"/>
      <c r="S607" s="903"/>
      <c r="T607" s="903"/>
      <c r="U607" s="903"/>
      <c r="V607" s="903"/>
      <c r="W607" s="903"/>
      <c r="X607" s="590" t="s">
        <v>32</v>
      </c>
      <c r="Y607" s="893"/>
      <c r="Z607" s="893"/>
      <c r="AA607" s="893"/>
      <c r="AB607" s="893"/>
      <c r="AC607" s="893"/>
      <c r="AD607" s="893"/>
      <c r="AE607" s="893"/>
      <c r="AF607" s="893"/>
      <c r="AG607" s="893"/>
      <c r="AH607" s="893"/>
      <c r="AI607" s="905"/>
      <c r="AJ607" s="905"/>
      <c r="AK607" s="905"/>
      <c r="AL607" s="905"/>
      <c r="AM607" s="893"/>
      <c r="AN607" s="893"/>
      <c r="AO607" s="893"/>
      <c r="AP607" s="907"/>
      <c r="AQ607" s="907"/>
      <c r="AR607" s="907"/>
      <c r="AS607" s="907"/>
      <c r="AT607" s="907"/>
      <c r="AU607" s="908"/>
      <c r="AV607" s="908"/>
      <c r="AW607" s="908"/>
      <c r="AX607" s="908"/>
      <c r="AY607" s="893"/>
      <c r="AZ607" s="893"/>
      <c r="BA607" s="893"/>
      <c r="BB607" s="893">
        <f>IF(E607&gt;1,1,"")</f>
        <v>1</v>
      </c>
    </row>
    <row r="608" spans="1:54" s="561" customFormat="1" ht="14.1" customHeight="1">
      <c r="A608" s="521" t="s">
        <v>24</v>
      </c>
      <c r="B608" s="834">
        <v>605</v>
      </c>
      <c r="C608" s="521" t="s">
        <v>4035</v>
      </c>
      <c r="D608" s="521" t="s">
        <v>64</v>
      </c>
      <c r="E608" s="548">
        <v>46130</v>
      </c>
      <c r="F608" s="521" t="s">
        <v>3672</v>
      </c>
      <c r="G608" s="521">
        <v>20</v>
      </c>
      <c r="H608" s="521" t="s">
        <v>1077</v>
      </c>
      <c r="I608" s="521" t="s">
        <v>1138</v>
      </c>
      <c r="J608" s="751"/>
      <c r="K608" s="521" t="s">
        <v>3058</v>
      </c>
      <c r="L608" s="521" t="s">
        <v>4036</v>
      </c>
      <c r="M608" s="545" t="s">
        <v>4037</v>
      </c>
      <c r="N608" s="545" t="s">
        <v>4037</v>
      </c>
      <c r="O608" s="521" t="s">
        <v>3739</v>
      </c>
      <c r="P608" s="568"/>
      <c r="Q608" s="568"/>
      <c r="R608" s="568"/>
      <c r="S608" s="583"/>
      <c r="T608" s="558"/>
      <c r="U608" s="558"/>
      <c r="V608" s="558"/>
      <c r="W608" s="558"/>
      <c r="X608" s="533" t="s">
        <v>32</v>
      </c>
      <c r="Y608" s="533"/>
      <c r="Z608" s="533"/>
      <c r="AA608" s="533"/>
      <c r="AB608" s="533"/>
      <c r="AC608" s="533"/>
      <c r="AD608" s="533"/>
      <c r="AE608" s="533"/>
      <c r="AF608" s="533"/>
      <c r="AG608" s="533"/>
      <c r="AH608" s="533"/>
      <c r="AI608" s="584"/>
      <c r="AJ608" s="584"/>
      <c r="AK608" s="584"/>
      <c r="AL608" s="584"/>
      <c r="AM608" s="533"/>
      <c r="AN608" s="533"/>
      <c r="AO608" s="886"/>
      <c r="AP608" s="896"/>
      <c r="AQ608" s="896"/>
      <c r="AR608" s="896"/>
      <c r="AS608" s="896"/>
      <c r="AT608" s="896"/>
      <c r="AU608" s="897"/>
      <c r="AV608" s="897"/>
      <c r="AW608" s="897"/>
      <c r="AX608" s="897"/>
      <c r="AY608" s="886"/>
      <c r="BB608" s="561">
        <f t="shared" si="31"/>
        <v>1</v>
      </c>
    </row>
    <row r="609" spans="1:54" s="553" customFormat="1" ht="15.6" customHeight="1">
      <c r="A609" s="751" t="s">
        <v>24</v>
      </c>
      <c r="B609" s="834">
        <v>606</v>
      </c>
      <c r="C609" s="751" t="s">
        <v>4038</v>
      </c>
      <c r="D609" s="751" t="s">
        <v>34</v>
      </c>
      <c r="E609" s="887">
        <v>46130</v>
      </c>
      <c r="F609" s="751" t="s">
        <v>65</v>
      </c>
      <c r="G609" s="751">
        <v>18</v>
      </c>
      <c r="H609" s="751" t="s">
        <v>1077</v>
      </c>
      <c r="I609" s="751" t="s">
        <v>1138</v>
      </c>
      <c r="J609" s="751"/>
      <c r="K609" s="521" t="s">
        <v>3058</v>
      </c>
      <c r="L609" s="521" t="s">
        <v>3956</v>
      </c>
      <c r="M609" s="545" t="s">
        <v>4037</v>
      </c>
      <c r="N609" s="545" t="s">
        <v>4037</v>
      </c>
      <c r="O609" s="888" t="s">
        <v>3680</v>
      </c>
      <c r="P609" s="888"/>
      <c r="Q609" s="888"/>
      <c r="R609" s="888"/>
      <c r="S609" s="529"/>
      <c r="T609" s="751"/>
      <c r="U609" s="751"/>
      <c r="V609" s="751"/>
      <c r="W609" s="751"/>
      <c r="X609" s="533" t="s">
        <v>32</v>
      </c>
      <c r="Y609" s="522"/>
      <c r="Z609" s="522"/>
      <c r="AA609" s="522"/>
      <c r="AB609" s="522"/>
      <c r="AC609" s="522"/>
      <c r="AD609" s="522"/>
      <c r="AE609" s="522"/>
      <c r="AF609" s="522"/>
      <c r="AG609" s="522"/>
      <c r="AH609" s="522"/>
      <c r="AI609" s="523"/>
      <c r="AJ609" s="523"/>
      <c r="AK609" s="523"/>
      <c r="AL609" s="523"/>
      <c r="AM609" s="522"/>
      <c r="AN609" s="522"/>
      <c r="AO609" s="886"/>
      <c r="AP609" s="896"/>
      <c r="AQ609" s="896"/>
      <c r="AR609" s="896"/>
      <c r="AS609" s="896"/>
      <c r="AT609" s="896"/>
      <c r="AU609" s="897"/>
      <c r="AV609" s="897"/>
      <c r="AW609" s="897"/>
      <c r="AX609" s="897"/>
      <c r="AY609" s="886"/>
      <c r="AZ609" s="886"/>
      <c r="BA609" s="886"/>
      <c r="BB609" s="886">
        <f t="shared" si="31"/>
        <v>1</v>
      </c>
    </row>
    <row r="610" spans="1:54" s="553" customFormat="1" ht="15.6" customHeight="1">
      <c r="A610" s="751" t="s">
        <v>24</v>
      </c>
      <c r="B610" s="834">
        <v>607</v>
      </c>
      <c r="C610" s="751" t="s">
        <v>4039</v>
      </c>
      <c r="D610" s="751" t="s">
        <v>34</v>
      </c>
      <c r="E610" s="887">
        <v>46130</v>
      </c>
      <c r="F610" s="751" t="s">
        <v>65</v>
      </c>
      <c r="G610" s="751">
        <v>11</v>
      </c>
      <c r="H610" s="751" t="s">
        <v>1721</v>
      </c>
      <c r="I610" s="751" t="s">
        <v>1638</v>
      </c>
      <c r="J610" s="751"/>
      <c r="K610" s="521" t="s">
        <v>3058</v>
      </c>
      <c r="L610" s="521" t="s">
        <v>3956</v>
      </c>
      <c r="M610" s="545" t="s">
        <v>4037</v>
      </c>
      <c r="N610" s="545" t="s">
        <v>4037</v>
      </c>
      <c r="O610" s="888" t="s">
        <v>3680</v>
      </c>
      <c r="P610" s="888"/>
      <c r="Q610" s="888"/>
      <c r="R610" s="888"/>
      <c r="S610" s="529"/>
      <c r="T610" s="751"/>
      <c r="U610" s="751"/>
      <c r="V610" s="751"/>
      <c r="W610" s="751"/>
      <c r="X610" s="533"/>
      <c r="Y610" s="522"/>
      <c r="Z610" s="522"/>
      <c r="AA610" s="522"/>
      <c r="AB610" s="522"/>
      <c r="AC610" s="522"/>
      <c r="AD610" s="522"/>
      <c r="AE610" s="522"/>
      <c r="AF610" s="522"/>
      <c r="AG610" s="522"/>
      <c r="AH610" s="522"/>
      <c r="AI610" s="523"/>
      <c r="AJ610" s="523"/>
      <c r="AK610" s="523"/>
      <c r="AL610" s="523"/>
      <c r="AM610" s="522"/>
      <c r="AN610" s="522"/>
      <c r="AO610" s="886"/>
      <c r="AP610" s="896"/>
      <c r="AQ610" s="896"/>
      <c r="AR610" s="896"/>
      <c r="AS610" s="896"/>
      <c r="AT610" s="896"/>
      <c r="AU610" s="897"/>
      <c r="AV610" s="897"/>
      <c r="AW610" s="897"/>
      <c r="AX610" s="897"/>
      <c r="AY610" s="886"/>
      <c r="AZ610" s="886"/>
      <c r="BA610" s="886"/>
      <c r="BB610" s="886"/>
    </row>
    <row r="611" spans="1:54" s="553" customFormat="1" ht="15.6" customHeight="1">
      <c r="A611" s="751" t="s">
        <v>24</v>
      </c>
      <c r="B611" s="834">
        <v>608</v>
      </c>
      <c r="C611" s="751" t="s">
        <v>4040</v>
      </c>
      <c r="D611" s="751" t="s">
        <v>34</v>
      </c>
      <c r="E611" s="887">
        <v>46130</v>
      </c>
      <c r="F611" s="751" t="s">
        <v>187</v>
      </c>
      <c r="G611" s="751">
        <v>18</v>
      </c>
      <c r="H611" s="751" t="s">
        <v>1077</v>
      </c>
      <c r="I611" s="751" t="s">
        <v>1138</v>
      </c>
      <c r="J611" s="751"/>
      <c r="K611" s="521" t="s">
        <v>3058</v>
      </c>
      <c r="L611" s="521" t="s">
        <v>4033</v>
      </c>
      <c r="M611" s="545" t="s">
        <v>4037</v>
      </c>
      <c r="N611" s="545" t="s">
        <v>4037</v>
      </c>
      <c r="O611" s="712" t="s">
        <v>4041</v>
      </c>
      <c r="P611" s="888"/>
      <c r="Q611" s="888"/>
      <c r="R611" s="888"/>
      <c r="S611" s="529"/>
      <c r="T611" s="751"/>
      <c r="U611" s="751"/>
      <c r="V611" s="751"/>
      <c r="W611" s="751"/>
      <c r="X611" s="533" t="s">
        <v>32</v>
      </c>
      <c r="Y611" s="522"/>
      <c r="Z611" s="522"/>
      <c r="AA611" s="522"/>
      <c r="AB611" s="522"/>
      <c r="AC611" s="522"/>
      <c r="AD611" s="522"/>
      <c r="AE611" s="522"/>
      <c r="AF611" s="522"/>
      <c r="AG611" s="522"/>
      <c r="AH611" s="522"/>
      <c r="AI611" s="523"/>
      <c r="AJ611" s="523"/>
      <c r="AK611" s="523"/>
      <c r="AL611" s="523"/>
      <c r="AM611" s="522"/>
      <c r="AN611" s="522"/>
      <c r="AO611" s="886"/>
      <c r="AP611" s="896"/>
      <c r="AQ611" s="896"/>
      <c r="AR611" s="896"/>
      <c r="AS611" s="896"/>
      <c r="AT611" s="896"/>
      <c r="AU611" s="897"/>
      <c r="AV611" s="897"/>
      <c r="AW611" s="897"/>
      <c r="AX611" s="897"/>
      <c r="AY611" s="886"/>
      <c r="AZ611" s="886"/>
      <c r="BA611" s="886"/>
      <c r="BB611" s="886"/>
    </row>
    <row r="612" spans="1:54" s="553" customFormat="1" ht="15.6" customHeight="1">
      <c r="A612" s="751" t="s">
        <v>24</v>
      </c>
      <c r="B612" s="834">
        <v>609</v>
      </c>
      <c r="C612" s="751" t="s">
        <v>4042</v>
      </c>
      <c r="D612" s="751" t="s">
        <v>34</v>
      </c>
      <c r="E612" s="887">
        <v>46130</v>
      </c>
      <c r="F612" s="751" t="s">
        <v>2016</v>
      </c>
      <c r="G612" s="751">
        <v>12</v>
      </c>
      <c r="H612" s="751" t="s">
        <v>1721</v>
      </c>
      <c r="I612" s="751" t="s">
        <v>1638</v>
      </c>
      <c r="J612" s="751"/>
      <c r="K612" s="521" t="s">
        <v>3058</v>
      </c>
      <c r="L612" s="521" t="s">
        <v>2052</v>
      </c>
      <c r="M612" s="545" t="s">
        <v>4037</v>
      </c>
      <c r="N612" s="545" t="s">
        <v>4037</v>
      </c>
      <c r="O612" s="521" t="s">
        <v>4043</v>
      </c>
      <c r="P612" s="888"/>
      <c r="Q612" s="888"/>
      <c r="R612" s="888"/>
      <c r="S612" s="529"/>
      <c r="T612" s="751"/>
      <c r="U612" s="751"/>
      <c r="V612" s="751"/>
      <c r="W612" s="751"/>
      <c r="X612" s="533" t="s">
        <v>32</v>
      </c>
      <c r="Y612" s="522"/>
      <c r="Z612" s="522"/>
      <c r="AA612" s="522"/>
      <c r="AB612" s="522"/>
      <c r="AC612" s="522"/>
      <c r="AD612" s="522"/>
      <c r="AE612" s="522"/>
      <c r="AF612" s="522"/>
      <c r="AG612" s="522"/>
      <c r="AH612" s="522"/>
      <c r="AI612" s="523"/>
      <c r="AJ612" s="523"/>
      <c r="AK612" s="523"/>
      <c r="AL612" s="523"/>
      <c r="AM612" s="522"/>
      <c r="AN612" s="522"/>
      <c r="AO612" s="886"/>
      <c r="AP612" s="896"/>
      <c r="AQ612" s="896"/>
      <c r="AR612" s="896"/>
      <c r="AS612" s="896"/>
      <c r="AT612" s="896"/>
      <c r="AU612" s="897"/>
      <c r="AV612" s="897"/>
      <c r="AW612" s="897"/>
      <c r="AX612" s="897"/>
      <c r="AY612" s="886"/>
      <c r="AZ612" s="886"/>
      <c r="BA612" s="886"/>
      <c r="BB612" s="886">
        <f t="shared" si="31"/>
        <v>1</v>
      </c>
    </row>
    <row r="613" spans="1:54" s="553" customFormat="1" ht="15.6" customHeight="1">
      <c r="A613" s="751" t="s">
        <v>24</v>
      </c>
      <c r="B613" s="834">
        <v>610</v>
      </c>
      <c r="C613" s="751" t="s">
        <v>4044</v>
      </c>
      <c r="D613" s="751" t="s">
        <v>34</v>
      </c>
      <c r="E613" s="887">
        <v>46130</v>
      </c>
      <c r="F613" s="751" t="s">
        <v>167</v>
      </c>
      <c r="G613" s="751">
        <v>12</v>
      </c>
      <c r="H613" s="751" t="s">
        <v>1721</v>
      </c>
      <c r="I613" s="751" t="s">
        <v>1638</v>
      </c>
      <c r="J613" s="751"/>
      <c r="K613" s="521" t="s">
        <v>3058</v>
      </c>
      <c r="L613" s="521" t="s">
        <v>4045</v>
      </c>
      <c r="M613" s="545" t="s">
        <v>4046</v>
      </c>
      <c r="N613" s="545" t="s">
        <v>4037</v>
      </c>
      <c r="O613" s="521" t="s">
        <v>3739</v>
      </c>
      <c r="P613" s="888"/>
      <c r="Q613" s="888"/>
      <c r="R613" s="888"/>
      <c r="S613" s="529"/>
      <c r="T613" s="751"/>
      <c r="U613" s="751"/>
      <c r="V613" s="751"/>
      <c r="W613" s="751"/>
      <c r="X613" s="533"/>
      <c r="Y613" s="522"/>
      <c r="Z613" s="522"/>
      <c r="AA613" s="522"/>
      <c r="AB613" s="522"/>
      <c r="AC613" s="522"/>
      <c r="AD613" s="522"/>
      <c r="AE613" s="522"/>
      <c r="AF613" s="522"/>
      <c r="AG613" s="522"/>
      <c r="AH613" s="522"/>
      <c r="AI613" s="523"/>
      <c r="AJ613" s="523"/>
      <c r="AK613" s="523"/>
      <c r="AL613" s="523"/>
      <c r="AM613" s="522"/>
      <c r="AN613" s="522"/>
      <c r="AO613" s="886"/>
      <c r="AP613" s="896"/>
      <c r="AQ613" s="896"/>
      <c r="AR613" s="896"/>
      <c r="AS613" s="896"/>
      <c r="AT613" s="896"/>
      <c r="AU613" s="897"/>
      <c r="AV613" s="897"/>
      <c r="AW613" s="897"/>
      <c r="AX613" s="897"/>
      <c r="AY613" s="886"/>
      <c r="AZ613" s="886"/>
      <c r="BA613" s="886"/>
      <c r="BB613" s="886"/>
    </row>
    <row r="614" spans="1:54" s="553" customFormat="1" ht="15.6" customHeight="1">
      <c r="A614" s="751" t="s">
        <v>24</v>
      </c>
      <c r="B614" s="834">
        <v>611</v>
      </c>
      <c r="C614" s="751" t="s">
        <v>4047</v>
      </c>
      <c r="D614" s="751" t="s">
        <v>3757</v>
      </c>
      <c r="E614" s="887">
        <v>46130</v>
      </c>
      <c r="F614" s="751" t="s">
        <v>167</v>
      </c>
      <c r="G614" s="751">
        <v>11</v>
      </c>
      <c r="H614" s="751" t="s">
        <v>1076</v>
      </c>
      <c r="I614" s="751" t="s">
        <v>3337</v>
      </c>
      <c r="J614" s="751"/>
      <c r="K614" s="521" t="s">
        <v>3058</v>
      </c>
      <c r="L614" s="521" t="s">
        <v>4048</v>
      </c>
      <c r="M614" s="545" t="s">
        <v>4037</v>
      </c>
      <c r="N614" s="545" t="s">
        <v>4046</v>
      </c>
      <c r="O614" s="521" t="s">
        <v>4049</v>
      </c>
      <c r="P614" s="888"/>
      <c r="Q614" s="888"/>
      <c r="R614" s="888"/>
      <c r="S614" s="529"/>
      <c r="T614" s="751"/>
      <c r="U614" s="751"/>
      <c r="V614" s="751"/>
      <c r="W614" s="751"/>
      <c r="X614" s="533" t="s">
        <v>32</v>
      </c>
      <c r="Y614" s="522"/>
      <c r="Z614" s="522"/>
      <c r="AA614" s="522"/>
      <c r="AB614" s="522"/>
      <c r="AC614" s="522"/>
      <c r="AD614" s="522"/>
      <c r="AE614" s="522"/>
      <c r="AF614" s="522"/>
      <c r="AG614" s="522"/>
      <c r="AH614" s="522"/>
      <c r="AI614" s="523"/>
      <c r="AJ614" s="523"/>
      <c r="AK614" s="523"/>
      <c r="AL614" s="523"/>
      <c r="AM614" s="522"/>
      <c r="AN614" s="522"/>
      <c r="AO614" s="886"/>
      <c r="AP614" s="896"/>
      <c r="AQ614" s="896"/>
      <c r="AR614" s="896"/>
      <c r="AS614" s="896"/>
      <c r="AT614" s="896"/>
      <c r="AU614" s="897"/>
      <c r="AV614" s="897"/>
      <c r="AW614" s="897"/>
      <c r="AX614" s="897"/>
      <c r="AY614" s="886"/>
      <c r="AZ614" s="886"/>
      <c r="BA614" s="886"/>
      <c r="BB614" s="886">
        <f t="shared" si="31"/>
        <v>1</v>
      </c>
    </row>
    <row r="615" spans="1:54" s="543" customFormat="1" ht="15.95" customHeight="1">
      <c r="A615" s="521" t="s">
        <v>24</v>
      </c>
      <c r="B615" s="834">
        <v>612</v>
      </c>
      <c r="C615" s="521" t="s">
        <v>4050</v>
      </c>
      <c r="D615" s="521" t="s">
        <v>34</v>
      </c>
      <c r="E615" s="548">
        <v>46130</v>
      </c>
      <c r="F615" s="521" t="s">
        <v>4051</v>
      </c>
      <c r="G615" s="521">
        <v>12</v>
      </c>
      <c r="H615" s="521" t="s">
        <v>127</v>
      </c>
      <c r="I615" s="521" t="s">
        <v>178</v>
      </c>
      <c r="J615" s="751"/>
      <c r="K615" s="521" t="s">
        <v>3058</v>
      </c>
      <c r="L615" s="521" t="s">
        <v>1622</v>
      </c>
      <c r="M615" s="545" t="s">
        <v>4037</v>
      </c>
      <c r="N615" s="545" t="s">
        <v>4037</v>
      </c>
      <c r="O615" s="521" t="s">
        <v>2050</v>
      </c>
      <c r="P615" s="542"/>
      <c r="Q615" s="542"/>
      <c r="R615" s="542"/>
      <c r="S615" s="530"/>
      <c r="T615" s="521"/>
      <c r="U615" s="521"/>
      <c r="V615" s="521"/>
      <c r="W615" s="521"/>
      <c r="X615" s="534" t="s">
        <v>32</v>
      </c>
      <c r="Y615" s="534"/>
      <c r="Z615" s="534"/>
      <c r="AA615" s="534"/>
      <c r="AB615" s="534"/>
      <c r="AC615" s="534"/>
      <c r="AD615" s="534"/>
      <c r="AE615" s="534"/>
      <c r="AF615" s="534"/>
      <c r="AG615" s="534"/>
      <c r="AH615" s="534"/>
      <c r="AI615" s="535"/>
      <c r="AJ615" s="535"/>
      <c r="AK615" s="535"/>
      <c r="AL615" s="535"/>
      <c r="AM615" s="534"/>
      <c r="AN615" s="534"/>
      <c r="AP615" s="559"/>
      <c r="AQ615" s="559"/>
      <c r="AR615" s="559"/>
      <c r="AS615" s="559"/>
      <c r="AT615" s="559"/>
      <c r="AU615" s="560"/>
      <c r="AV615" s="560"/>
      <c r="AW615" s="560"/>
      <c r="AX615" s="560"/>
      <c r="BB615" s="543">
        <f t="shared" si="31"/>
        <v>1</v>
      </c>
    </row>
    <row r="616" spans="1:54" s="553" customFormat="1" ht="15" customHeight="1">
      <c r="A616" s="751" t="s">
        <v>24</v>
      </c>
      <c r="B616" s="834">
        <v>613</v>
      </c>
      <c r="C616" s="751" t="s">
        <v>4052</v>
      </c>
      <c r="D616" s="751" t="s">
        <v>34</v>
      </c>
      <c r="E616" s="887">
        <v>46130</v>
      </c>
      <c r="F616" s="751" t="s">
        <v>3870</v>
      </c>
      <c r="G616" s="751">
        <v>10</v>
      </c>
      <c r="H616" s="751" t="s">
        <v>1721</v>
      </c>
      <c r="I616" s="751" t="s">
        <v>1638</v>
      </c>
      <c r="J616" s="751"/>
      <c r="K616" s="521" t="s">
        <v>3058</v>
      </c>
      <c r="L616" s="521" t="s">
        <v>4053</v>
      </c>
      <c r="M616" s="545" t="s">
        <v>4046</v>
      </c>
      <c r="N616" s="545" t="s">
        <v>4046</v>
      </c>
      <c r="O616" s="521" t="s">
        <v>2050</v>
      </c>
      <c r="P616" s="888"/>
      <c r="Q616" s="888"/>
      <c r="R616" s="888"/>
      <c r="S616" s="529"/>
      <c r="T616" s="751"/>
      <c r="U616" s="751"/>
      <c r="V616" s="751"/>
      <c r="W616" s="751"/>
      <c r="X616" s="533"/>
      <c r="Y616" s="522"/>
      <c r="Z616" s="522"/>
      <c r="AA616" s="522"/>
      <c r="AB616" s="522"/>
      <c r="AC616" s="522"/>
      <c r="AD616" s="522"/>
      <c r="AE616" s="522"/>
      <c r="AF616" s="522"/>
      <c r="AG616" s="522"/>
      <c r="AH616" s="522"/>
      <c r="AI616" s="523"/>
      <c r="AJ616" s="523"/>
      <c r="AK616" s="523"/>
      <c r="AL616" s="523"/>
      <c r="AM616" s="522"/>
      <c r="AN616" s="522"/>
      <c r="AO616" s="886"/>
      <c r="AP616" s="896"/>
      <c r="AQ616" s="896"/>
      <c r="AR616" s="896"/>
      <c r="AS616" s="896"/>
      <c r="AT616" s="896"/>
      <c r="AU616" s="897"/>
      <c r="AV616" s="897"/>
      <c r="AW616" s="897"/>
      <c r="AX616" s="897"/>
      <c r="AY616" s="886"/>
      <c r="AZ616" s="886"/>
      <c r="BA616" s="886"/>
      <c r="BB616" s="886"/>
    </row>
    <row r="617" spans="1:54" s="553" customFormat="1" ht="15.95" customHeight="1">
      <c r="A617" s="751" t="s">
        <v>24</v>
      </c>
      <c r="B617" s="834">
        <v>614</v>
      </c>
      <c r="C617" s="751" t="s">
        <v>4054</v>
      </c>
      <c r="D617" s="751" t="s">
        <v>34</v>
      </c>
      <c r="E617" s="887">
        <v>46130</v>
      </c>
      <c r="F617" s="751" t="s">
        <v>3870</v>
      </c>
      <c r="G617" s="751">
        <v>4</v>
      </c>
      <c r="H617" s="751" t="s">
        <v>1077</v>
      </c>
      <c r="I617" s="751" t="s">
        <v>1138</v>
      </c>
      <c r="J617" s="751"/>
      <c r="K617" s="521" t="s">
        <v>3058</v>
      </c>
      <c r="L617" s="521" t="s">
        <v>4053</v>
      </c>
      <c r="M617" s="545" t="s">
        <v>4046</v>
      </c>
      <c r="N617" s="545" t="s">
        <v>4037</v>
      </c>
      <c r="O617" s="521" t="s">
        <v>2050</v>
      </c>
      <c r="P617" s="888"/>
      <c r="Q617" s="888"/>
      <c r="R617" s="888"/>
      <c r="S617" s="529"/>
      <c r="T617" s="751"/>
      <c r="U617" s="751"/>
      <c r="V617" s="751"/>
      <c r="W617" s="751"/>
      <c r="X617" s="533"/>
      <c r="Y617" s="522"/>
      <c r="Z617" s="522"/>
      <c r="AA617" s="522"/>
      <c r="AB617" s="522"/>
      <c r="AC617" s="522"/>
      <c r="AD617" s="522"/>
      <c r="AE617" s="522"/>
      <c r="AF617" s="522"/>
      <c r="AG617" s="522"/>
      <c r="AH617" s="522"/>
      <c r="AI617" s="523"/>
      <c r="AJ617" s="523"/>
      <c r="AK617" s="523"/>
      <c r="AL617" s="523"/>
      <c r="AM617" s="522"/>
      <c r="AN617" s="522"/>
      <c r="AO617" s="886"/>
      <c r="AP617" s="896"/>
      <c r="AQ617" s="896"/>
      <c r="AR617" s="896"/>
      <c r="AS617" s="896"/>
      <c r="AT617" s="896"/>
      <c r="AU617" s="897"/>
      <c r="AV617" s="897"/>
      <c r="AW617" s="897"/>
      <c r="AX617" s="897"/>
      <c r="AY617" s="886"/>
      <c r="AZ617" s="886"/>
      <c r="BA617" s="886"/>
      <c r="BB617" s="886"/>
    </row>
    <row r="618" spans="1:54" s="553" customFormat="1" ht="15.6" customHeight="1">
      <c r="A618" s="751" t="s">
        <v>24</v>
      </c>
      <c r="B618" s="834">
        <v>615</v>
      </c>
      <c r="C618" s="886" t="s">
        <v>4055</v>
      </c>
      <c r="D618" s="751" t="s">
        <v>4056</v>
      </c>
      <c r="E618" s="887">
        <v>46130</v>
      </c>
      <c r="F618" s="751" t="s">
        <v>324</v>
      </c>
      <c r="G618" s="751">
        <v>11</v>
      </c>
      <c r="H618" s="751" t="s">
        <v>1721</v>
      </c>
      <c r="I618" s="751" t="s">
        <v>1638</v>
      </c>
      <c r="J618" s="751"/>
      <c r="K618" s="521" t="s">
        <v>3058</v>
      </c>
      <c r="L618" s="521" t="s">
        <v>4007</v>
      </c>
      <c r="M618" s="545" t="s">
        <v>4037</v>
      </c>
      <c r="N618" s="545" t="s">
        <v>4037</v>
      </c>
      <c r="O618" s="542" t="s">
        <v>2166</v>
      </c>
      <c r="P618" s="888"/>
      <c r="Q618" s="888"/>
      <c r="R618" s="888"/>
      <c r="S618" s="529"/>
      <c r="T618" s="751"/>
      <c r="U618" s="751"/>
      <c r="V618" s="751"/>
      <c r="W618" s="751"/>
      <c r="X618" s="751"/>
      <c r="Y618" s="522"/>
      <c r="Z618" s="522"/>
      <c r="AA618" s="522"/>
      <c r="AB618" s="522"/>
      <c r="AC618" s="522"/>
      <c r="AD618" s="522"/>
      <c r="AE618" s="522"/>
      <c r="AF618" s="522"/>
      <c r="AG618" s="522"/>
      <c r="AH618" s="522"/>
      <c r="AI618" s="523"/>
      <c r="AJ618" s="523"/>
      <c r="AK618" s="523"/>
      <c r="AL618" s="523"/>
      <c r="AM618" s="522"/>
      <c r="AN618" s="522"/>
      <c r="AO618" s="886"/>
      <c r="AP618" s="896"/>
      <c r="AQ618" s="896"/>
      <c r="AR618" s="896"/>
      <c r="AS618" s="896"/>
      <c r="AT618" s="896"/>
      <c r="AU618" s="897"/>
      <c r="AV618" s="897"/>
      <c r="AW618" s="897"/>
      <c r="AX618" s="897"/>
      <c r="AY618" s="886"/>
      <c r="AZ618" s="886"/>
      <c r="BA618" s="886"/>
      <c r="BB618" s="886"/>
    </row>
    <row r="619" spans="1:54" s="553" customFormat="1" ht="15.6" customHeight="1">
      <c r="A619" s="751" t="s">
        <v>24</v>
      </c>
      <c r="B619" s="834">
        <v>616</v>
      </c>
      <c r="C619" s="886" t="s">
        <v>4057</v>
      </c>
      <c r="D619" s="751" t="s">
        <v>34</v>
      </c>
      <c r="E619" s="887">
        <v>46130</v>
      </c>
      <c r="F619" s="751" t="s">
        <v>464</v>
      </c>
      <c r="G619" s="751">
        <v>9</v>
      </c>
      <c r="H619" s="751" t="s">
        <v>1077</v>
      </c>
      <c r="I619" s="751" t="s">
        <v>1138</v>
      </c>
      <c r="J619" s="751"/>
      <c r="K619" s="521" t="s">
        <v>3058</v>
      </c>
      <c r="L619" s="886" t="s">
        <v>3938</v>
      </c>
      <c r="M619" s="545" t="s">
        <v>4046</v>
      </c>
      <c r="N619" s="545" t="s">
        <v>4046</v>
      </c>
      <c r="O619" s="712" t="s">
        <v>4058</v>
      </c>
      <c r="P619" s="888"/>
      <c r="Q619" s="888"/>
      <c r="R619" s="888"/>
      <c r="S619" s="529"/>
      <c r="T619" s="751"/>
      <c r="U619" s="751"/>
      <c r="V619" s="751"/>
      <c r="W619" s="751"/>
      <c r="X619" s="751"/>
      <c r="Y619" s="522"/>
      <c r="Z619" s="522"/>
      <c r="AA619" s="522"/>
      <c r="AB619" s="522"/>
      <c r="AC619" s="522"/>
      <c r="AD619" s="522"/>
      <c r="AE619" s="522"/>
      <c r="AF619" s="522"/>
      <c r="AG619" s="522"/>
      <c r="AH619" s="522"/>
      <c r="AI619" s="523"/>
      <c r="AJ619" s="523"/>
      <c r="AK619" s="523"/>
      <c r="AL619" s="523"/>
      <c r="AM619" s="522"/>
      <c r="AN619" s="522"/>
      <c r="AO619" s="886"/>
      <c r="AP619" s="896"/>
      <c r="AQ619" s="896"/>
      <c r="AR619" s="896"/>
      <c r="AS619" s="896"/>
      <c r="AT619" s="896"/>
      <c r="AU619" s="897"/>
      <c r="AV619" s="897"/>
      <c r="AW619" s="897"/>
      <c r="AX619" s="897"/>
      <c r="AY619" s="886"/>
      <c r="AZ619" s="886"/>
      <c r="BA619" s="886"/>
      <c r="BB619" s="886"/>
    </row>
    <row r="620" spans="1:54" s="553" customFormat="1" ht="15.6" customHeight="1">
      <c r="A620" s="751" t="s">
        <v>24</v>
      </c>
      <c r="B620" s="834">
        <v>617</v>
      </c>
      <c r="C620" s="886" t="s">
        <v>4059</v>
      </c>
      <c r="D620" s="751" t="s">
        <v>34</v>
      </c>
      <c r="E620" s="887">
        <v>46130</v>
      </c>
      <c r="F620" s="751" t="s">
        <v>464</v>
      </c>
      <c r="G620" s="751">
        <v>4</v>
      </c>
      <c r="H620" s="751" t="s">
        <v>1721</v>
      </c>
      <c r="I620" s="751" t="s">
        <v>1638</v>
      </c>
      <c r="J620" s="751"/>
      <c r="K620" s="521" t="s">
        <v>3058</v>
      </c>
      <c r="L620" s="886" t="s">
        <v>3938</v>
      </c>
      <c r="M620" s="545" t="s">
        <v>4046</v>
      </c>
      <c r="N620" s="545" t="s">
        <v>4046</v>
      </c>
      <c r="O620" s="712" t="s">
        <v>4058</v>
      </c>
      <c r="P620" s="888"/>
      <c r="Q620" s="888"/>
      <c r="R620" s="888"/>
      <c r="S620" s="529"/>
      <c r="T620" s="751"/>
      <c r="U620" s="751"/>
      <c r="V620" s="751"/>
      <c r="W620" s="751"/>
      <c r="X620" s="751"/>
      <c r="Y620" s="522"/>
      <c r="Z620" s="522"/>
      <c r="AA620" s="522"/>
      <c r="AB620" s="522"/>
      <c r="AC620" s="522"/>
      <c r="AD620" s="522"/>
      <c r="AE620" s="522"/>
      <c r="AF620" s="522"/>
      <c r="AG620" s="522"/>
      <c r="AH620" s="522"/>
      <c r="AI620" s="523"/>
      <c r="AJ620" s="523"/>
      <c r="AK620" s="523"/>
      <c r="AL620" s="523"/>
      <c r="AM620" s="522"/>
      <c r="AN620" s="522"/>
      <c r="AO620" s="886"/>
      <c r="AP620" s="896"/>
      <c r="AQ620" s="896"/>
      <c r="AR620" s="896"/>
      <c r="AS620" s="896"/>
      <c r="AT620" s="896"/>
      <c r="AU620" s="897"/>
      <c r="AV620" s="897"/>
      <c r="AW620" s="897"/>
      <c r="AX620" s="897"/>
      <c r="AY620" s="886"/>
      <c r="AZ620" s="886"/>
      <c r="BA620" s="886"/>
      <c r="BB620" s="886"/>
    </row>
    <row r="621" spans="1:54" s="553" customFormat="1" ht="15.6" customHeight="1">
      <c r="A621" s="751" t="s">
        <v>24</v>
      </c>
      <c r="B621" s="834">
        <v>618</v>
      </c>
      <c r="C621" s="886" t="s">
        <v>4060</v>
      </c>
      <c r="D621" s="751" t="s">
        <v>102</v>
      </c>
      <c r="E621" s="887">
        <v>46130</v>
      </c>
      <c r="F621" s="751" t="s">
        <v>439</v>
      </c>
      <c r="G621" s="751">
        <v>12</v>
      </c>
      <c r="H621" s="751" t="s">
        <v>3056</v>
      </c>
      <c r="I621" s="751" t="s">
        <v>47</v>
      </c>
      <c r="J621" s="751"/>
      <c r="K621" s="521" t="s">
        <v>3058</v>
      </c>
      <c r="L621" s="886" t="s">
        <v>3960</v>
      </c>
      <c r="M621" s="521" t="s">
        <v>4046</v>
      </c>
      <c r="N621" s="545" t="s">
        <v>4046</v>
      </c>
      <c r="O621" s="542" t="s">
        <v>2166</v>
      </c>
      <c r="P621" s="888"/>
      <c r="Q621" s="888"/>
      <c r="R621" s="888"/>
      <c r="S621" s="529"/>
      <c r="T621" s="751"/>
      <c r="U621" s="751"/>
      <c r="V621" s="751"/>
      <c r="W621" s="751"/>
      <c r="X621" s="751"/>
      <c r="Y621" s="522"/>
      <c r="Z621" s="522"/>
      <c r="AA621" s="522"/>
      <c r="AB621" s="522"/>
      <c r="AC621" s="522"/>
      <c r="AD621" s="522"/>
      <c r="AE621" s="522"/>
      <c r="AF621" s="522"/>
      <c r="AG621" s="522"/>
      <c r="AH621" s="522"/>
      <c r="AI621" s="523"/>
      <c r="AJ621" s="523"/>
      <c r="AK621" s="523"/>
      <c r="AL621" s="523"/>
      <c r="AM621" s="522"/>
      <c r="AN621" s="522"/>
      <c r="AO621" s="886"/>
      <c r="AP621" s="896"/>
      <c r="AQ621" s="896"/>
      <c r="AR621" s="896"/>
      <c r="AS621" s="896"/>
      <c r="AT621" s="896"/>
      <c r="AU621" s="897"/>
      <c r="AV621" s="897"/>
      <c r="AW621" s="897"/>
      <c r="AX621" s="897"/>
      <c r="AY621" s="886"/>
      <c r="AZ621" s="886"/>
      <c r="BA621" s="886"/>
      <c r="BB621" s="886"/>
    </row>
    <row r="622" spans="1:54" s="713" customFormat="1" ht="15.6" customHeight="1">
      <c r="A622" s="713" t="s">
        <v>24</v>
      </c>
      <c r="B622" s="834">
        <v>619</v>
      </c>
      <c r="C622" s="713" t="s">
        <v>4061</v>
      </c>
      <c r="D622" s="713" t="s">
        <v>34</v>
      </c>
      <c r="E622" s="714">
        <v>46130</v>
      </c>
      <c r="F622" s="713" t="s">
        <v>97</v>
      </c>
      <c r="G622" s="713">
        <v>12</v>
      </c>
      <c r="H622" s="713" t="s">
        <v>127</v>
      </c>
      <c r="I622" s="713" t="s">
        <v>178</v>
      </c>
      <c r="L622" s="713" t="s">
        <v>4062</v>
      </c>
      <c r="M622" s="713" t="s">
        <v>4046</v>
      </c>
      <c r="N622" s="713" t="s">
        <v>4046</v>
      </c>
      <c r="O622" s="715" t="s">
        <v>4063</v>
      </c>
      <c r="P622" s="716"/>
      <c r="Q622" s="716"/>
      <c r="R622" s="716"/>
      <c r="AU622" s="719"/>
      <c r="AV622" s="719"/>
      <c r="AW622" s="719"/>
      <c r="AX622" s="719"/>
    </row>
    <row r="623" spans="1:54" s="713" customFormat="1" ht="15.6" customHeight="1">
      <c r="A623" s="713" t="s">
        <v>2342</v>
      </c>
      <c r="B623" s="834">
        <v>620</v>
      </c>
      <c r="C623" s="722" t="s">
        <v>4064</v>
      </c>
      <c r="D623" s="722" t="s">
        <v>2374</v>
      </c>
      <c r="E623" s="714">
        <v>46132</v>
      </c>
      <c r="F623" s="840" t="s">
        <v>3624</v>
      </c>
      <c r="G623" s="739">
        <v>70</v>
      </c>
      <c r="H623" s="909" t="s">
        <v>1721</v>
      </c>
      <c r="I623" s="909" t="s">
        <v>1638</v>
      </c>
      <c r="O623" s="715"/>
      <c r="P623" s="716"/>
      <c r="Q623" s="716"/>
      <c r="R623" s="716"/>
      <c r="AU623" s="719"/>
      <c r="AV623" s="719"/>
      <c r="AW623" s="719"/>
      <c r="AX623" s="719"/>
    </row>
    <row r="624" spans="1:54" s="713" customFormat="1" ht="15.6" customHeight="1">
      <c r="A624" s="713" t="s">
        <v>2342</v>
      </c>
      <c r="B624" s="834">
        <v>621</v>
      </c>
      <c r="C624" s="722" t="s">
        <v>4065</v>
      </c>
      <c r="D624" s="722" t="s">
        <v>937</v>
      </c>
      <c r="E624" s="714">
        <v>46132</v>
      </c>
      <c r="F624" s="840" t="s">
        <v>3624</v>
      </c>
      <c r="G624" s="739">
        <v>9</v>
      </c>
      <c r="H624" s="909" t="s">
        <v>1721</v>
      </c>
      <c r="I624" s="909" t="s">
        <v>1638</v>
      </c>
      <c r="O624" s="715"/>
      <c r="P624" s="716"/>
      <c r="Q624" s="716"/>
      <c r="R624" s="716"/>
      <c r="AU624" s="719"/>
      <c r="AV624" s="719"/>
      <c r="AW624" s="719"/>
      <c r="AX624" s="719"/>
    </row>
    <row r="625" spans="1:50" s="713" customFormat="1" ht="15.6" customHeight="1">
      <c r="A625" s="713" t="s">
        <v>2342</v>
      </c>
      <c r="B625" s="834">
        <v>622</v>
      </c>
      <c r="C625" s="722" t="s">
        <v>4065</v>
      </c>
      <c r="D625" s="722" t="s">
        <v>937</v>
      </c>
      <c r="E625" s="714">
        <v>46132</v>
      </c>
      <c r="F625" s="840" t="s">
        <v>3624</v>
      </c>
      <c r="G625" s="739">
        <v>3</v>
      </c>
      <c r="H625" s="909" t="s">
        <v>1721</v>
      </c>
      <c r="I625" s="909" t="s">
        <v>1638</v>
      </c>
      <c r="O625" s="715"/>
      <c r="P625" s="716"/>
      <c r="Q625" s="716"/>
      <c r="R625" s="716"/>
      <c r="AU625" s="719"/>
      <c r="AV625" s="719"/>
      <c r="AW625" s="719"/>
      <c r="AX625" s="719"/>
    </row>
    <row r="626" spans="1:50" s="713" customFormat="1" ht="15.6" customHeight="1">
      <c r="A626" s="713" t="s">
        <v>2342</v>
      </c>
      <c r="B626" s="834">
        <v>623</v>
      </c>
      <c r="C626" s="722" t="s">
        <v>4065</v>
      </c>
      <c r="D626" s="722" t="s">
        <v>937</v>
      </c>
      <c r="E626" s="714">
        <v>46132</v>
      </c>
      <c r="F626" s="840" t="s">
        <v>3624</v>
      </c>
      <c r="G626" s="739">
        <v>1</v>
      </c>
      <c r="H626" s="909" t="s">
        <v>1721</v>
      </c>
      <c r="I626" s="909" t="s">
        <v>1638</v>
      </c>
      <c r="O626" s="715"/>
      <c r="P626" s="716"/>
      <c r="Q626" s="716"/>
      <c r="R626" s="716"/>
      <c r="AU626" s="719"/>
      <c r="AV626" s="719"/>
      <c r="AW626" s="719"/>
      <c r="AX626" s="719"/>
    </row>
    <row r="627" spans="1:50" s="713" customFormat="1" ht="15.6" customHeight="1">
      <c r="A627" s="713" t="s">
        <v>2342</v>
      </c>
      <c r="B627" s="834">
        <v>624</v>
      </c>
      <c r="C627" s="722" t="s">
        <v>4065</v>
      </c>
      <c r="D627" s="722" t="s">
        <v>937</v>
      </c>
      <c r="E627" s="714">
        <v>46132</v>
      </c>
      <c r="F627" s="840" t="s">
        <v>3624</v>
      </c>
      <c r="G627" s="739">
        <v>1</v>
      </c>
      <c r="H627" s="909" t="s">
        <v>1721</v>
      </c>
      <c r="I627" s="909" t="s">
        <v>1638</v>
      </c>
      <c r="O627" s="715"/>
      <c r="P627" s="716"/>
      <c r="Q627" s="716"/>
      <c r="R627" s="716"/>
      <c r="AU627" s="719"/>
      <c r="AV627" s="719"/>
      <c r="AW627" s="719"/>
      <c r="AX627" s="719"/>
    </row>
    <row r="628" spans="1:50" s="713" customFormat="1" ht="15.6" customHeight="1">
      <c r="A628" s="713" t="s">
        <v>2342</v>
      </c>
      <c r="B628" s="834">
        <v>625</v>
      </c>
      <c r="C628" s="722" t="s">
        <v>4065</v>
      </c>
      <c r="D628" s="722" t="s">
        <v>937</v>
      </c>
      <c r="E628" s="714">
        <v>46132</v>
      </c>
      <c r="F628" s="840" t="s">
        <v>3624</v>
      </c>
      <c r="G628" s="739">
        <v>8</v>
      </c>
      <c r="H628" s="909" t="s">
        <v>1721</v>
      </c>
      <c r="I628" s="909" t="s">
        <v>1638</v>
      </c>
      <c r="O628" s="715"/>
      <c r="P628" s="716"/>
      <c r="Q628" s="716"/>
      <c r="R628" s="716"/>
      <c r="AU628" s="719"/>
      <c r="AV628" s="719"/>
      <c r="AW628" s="719"/>
      <c r="AX628" s="719"/>
    </row>
    <row r="629" spans="1:50" s="713" customFormat="1" ht="15.6" customHeight="1">
      <c r="A629" s="713" t="s">
        <v>2342</v>
      </c>
      <c r="B629" s="834">
        <v>626</v>
      </c>
      <c r="C629" s="722" t="s">
        <v>4066</v>
      </c>
      <c r="D629" s="722" t="s">
        <v>4067</v>
      </c>
      <c r="E629" s="714">
        <v>46132</v>
      </c>
      <c r="F629" s="840" t="s">
        <v>3624</v>
      </c>
      <c r="G629" s="739">
        <v>3</v>
      </c>
      <c r="H629" s="909" t="s">
        <v>1721</v>
      </c>
      <c r="I629" s="909" t="s">
        <v>1638</v>
      </c>
      <c r="O629" s="715"/>
      <c r="P629" s="716"/>
      <c r="Q629" s="716"/>
      <c r="R629" s="716"/>
      <c r="AU629" s="719"/>
      <c r="AV629" s="719"/>
      <c r="AW629" s="719"/>
      <c r="AX629" s="719"/>
    </row>
    <row r="630" spans="1:50" s="713" customFormat="1" ht="15.6" customHeight="1">
      <c r="A630" s="713" t="s">
        <v>2342</v>
      </c>
      <c r="B630" s="834">
        <v>627</v>
      </c>
      <c r="C630" s="722" t="s">
        <v>4068</v>
      </c>
      <c r="D630" s="722" t="s">
        <v>3495</v>
      </c>
      <c r="E630" s="714">
        <v>46132</v>
      </c>
      <c r="F630" s="840" t="s">
        <v>3624</v>
      </c>
      <c r="G630" s="739">
        <v>4</v>
      </c>
      <c r="H630" s="909" t="s">
        <v>1721</v>
      </c>
      <c r="I630" s="909" t="s">
        <v>1638</v>
      </c>
      <c r="O630" s="715"/>
      <c r="P630" s="716"/>
      <c r="Q630" s="716"/>
      <c r="R630" s="716"/>
      <c r="AU630" s="719"/>
      <c r="AV630" s="719"/>
      <c r="AW630" s="719"/>
      <c r="AX630" s="719"/>
    </row>
    <row r="631" spans="1:50" s="713" customFormat="1" ht="15.6" customHeight="1">
      <c r="A631" s="713" t="s">
        <v>2342</v>
      </c>
      <c r="B631" s="834">
        <v>628</v>
      </c>
      <c r="C631" s="722" t="s">
        <v>4068</v>
      </c>
      <c r="D631" s="722" t="s">
        <v>4069</v>
      </c>
      <c r="E631" s="714">
        <v>46132</v>
      </c>
      <c r="F631" s="840" t="s">
        <v>3624</v>
      </c>
      <c r="G631" s="739">
        <v>7</v>
      </c>
      <c r="H631" s="909" t="s">
        <v>1721</v>
      </c>
      <c r="I631" s="909" t="s">
        <v>1638</v>
      </c>
      <c r="O631" s="715"/>
      <c r="P631" s="716"/>
      <c r="Q631" s="716"/>
      <c r="R631" s="716"/>
      <c r="AU631" s="719"/>
      <c r="AV631" s="719"/>
      <c r="AW631" s="719"/>
      <c r="AX631" s="719"/>
    </row>
    <row r="632" spans="1:50" s="713" customFormat="1" ht="15.6" customHeight="1">
      <c r="A632" s="713" t="s">
        <v>2342</v>
      </c>
      <c r="B632" s="834">
        <v>629</v>
      </c>
      <c r="C632" s="722" t="s">
        <v>4070</v>
      </c>
      <c r="D632" s="722" t="s">
        <v>829</v>
      </c>
      <c r="E632" s="714">
        <v>46132</v>
      </c>
      <c r="F632" s="840" t="s">
        <v>3624</v>
      </c>
      <c r="G632" s="739">
        <v>1</v>
      </c>
      <c r="H632" s="909" t="s">
        <v>1721</v>
      </c>
      <c r="I632" s="909" t="s">
        <v>1638</v>
      </c>
      <c r="O632" s="715"/>
      <c r="P632" s="716"/>
      <c r="Q632" s="716"/>
      <c r="R632" s="716"/>
      <c r="AU632" s="719"/>
      <c r="AV632" s="719"/>
      <c r="AW632" s="719"/>
      <c r="AX632" s="719"/>
    </row>
    <row r="633" spans="1:50" s="713" customFormat="1" ht="15.6" customHeight="1">
      <c r="A633" s="713" t="s">
        <v>2342</v>
      </c>
      <c r="B633" s="834">
        <v>630</v>
      </c>
      <c r="C633" s="722" t="s">
        <v>4071</v>
      </c>
      <c r="D633" s="722" t="s">
        <v>1198</v>
      </c>
      <c r="E633" s="714">
        <v>46132</v>
      </c>
      <c r="F633" s="840" t="s">
        <v>3624</v>
      </c>
      <c r="G633" s="739">
        <v>1</v>
      </c>
      <c r="H633" s="909" t="s">
        <v>1721</v>
      </c>
      <c r="I633" s="909" t="s">
        <v>1638</v>
      </c>
      <c r="O633" s="715"/>
      <c r="P633" s="716"/>
      <c r="Q633" s="716"/>
      <c r="R633" s="716"/>
      <c r="AU633" s="719"/>
      <c r="AV633" s="719"/>
      <c r="AW633" s="719"/>
      <c r="AX633" s="719"/>
    </row>
    <row r="634" spans="1:50" s="713" customFormat="1" ht="15.6" customHeight="1">
      <c r="A634" s="713" t="s">
        <v>2342</v>
      </c>
      <c r="B634" s="834">
        <v>631</v>
      </c>
      <c r="C634" s="72" t="s">
        <v>4072</v>
      </c>
      <c r="D634" s="72" t="s">
        <v>1250</v>
      </c>
      <c r="E634" s="714">
        <v>46132</v>
      </c>
      <c r="F634" s="840" t="s">
        <v>3624</v>
      </c>
      <c r="G634" s="739">
        <v>2</v>
      </c>
      <c r="H634" s="751" t="s">
        <v>1076</v>
      </c>
      <c r="I634" s="751" t="s">
        <v>3337</v>
      </c>
      <c r="O634" s="715"/>
      <c r="P634" s="716"/>
      <c r="Q634" s="716"/>
      <c r="R634" s="716"/>
      <c r="AU634" s="719"/>
      <c r="AV634" s="719"/>
      <c r="AW634" s="719"/>
      <c r="AX634" s="719"/>
    </row>
    <row r="635" spans="1:50" s="713" customFormat="1" ht="15.6" customHeight="1">
      <c r="A635" s="713" t="s">
        <v>2342</v>
      </c>
      <c r="B635" s="834">
        <v>632</v>
      </c>
      <c r="C635" s="72" t="s">
        <v>4073</v>
      </c>
      <c r="D635" s="72" t="s">
        <v>1574</v>
      </c>
      <c r="E635" s="714">
        <v>46132</v>
      </c>
      <c r="F635" s="840" t="s">
        <v>3624</v>
      </c>
      <c r="G635" s="739">
        <v>4</v>
      </c>
      <c r="H635" s="751" t="s">
        <v>1077</v>
      </c>
      <c r="I635" s="751" t="s">
        <v>1138</v>
      </c>
      <c r="O635" s="715"/>
      <c r="P635" s="716"/>
      <c r="Q635" s="716"/>
      <c r="R635" s="716"/>
      <c r="AU635" s="719"/>
      <c r="AV635" s="719"/>
      <c r="AW635" s="719"/>
      <c r="AX635" s="719"/>
    </row>
    <row r="636" spans="1:50" s="713" customFormat="1" ht="15.6" customHeight="1">
      <c r="A636" s="713" t="s">
        <v>2342</v>
      </c>
      <c r="B636" s="834">
        <v>633</v>
      </c>
      <c r="C636" s="72" t="s">
        <v>4074</v>
      </c>
      <c r="D636" s="72" t="s">
        <v>846</v>
      </c>
      <c r="E636" s="714">
        <v>46132</v>
      </c>
      <c r="F636" s="840" t="s">
        <v>3624</v>
      </c>
      <c r="G636" s="739">
        <v>4</v>
      </c>
      <c r="H636" s="521" t="s">
        <v>127</v>
      </c>
      <c r="I636" s="521" t="s">
        <v>178</v>
      </c>
      <c r="O636" s="715"/>
      <c r="P636" s="716"/>
      <c r="Q636" s="716"/>
      <c r="R636" s="716"/>
      <c r="AU636" s="719"/>
      <c r="AV636" s="719"/>
      <c r="AW636" s="719"/>
      <c r="AX636" s="719"/>
    </row>
    <row r="637" spans="1:50" s="713" customFormat="1" ht="15.6" customHeight="1">
      <c r="A637" s="713" t="s">
        <v>2342</v>
      </c>
      <c r="B637" s="834">
        <v>634</v>
      </c>
      <c r="C637" s="72" t="s">
        <v>4074</v>
      </c>
      <c r="D637" s="72" t="s">
        <v>846</v>
      </c>
      <c r="E637" s="714">
        <v>46132</v>
      </c>
      <c r="F637" s="840" t="s">
        <v>3624</v>
      </c>
      <c r="G637" s="739">
        <v>12</v>
      </c>
      <c r="H637" s="521" t="s">
        <v>127</v>
      </c>
      <c r="I637" s="521" t="s">
        <v>178</v>
      </c>
      <c r="O637" s="715"/>
      <c r="P637" s="716"/>
      <c r="Q637" s="716"/>
      <c r="R637" s="716"/>
      <c r="AU637" s="719"/>
      <c r="AV637" s="719"/>
      <c r="AW637" s="719"/>
      <c r="AX637" s="719"/>
    </row>
    <row r="638" spans="1:50" s="713" customFormat="1" ht="15.6" customHeight="1">
      <c r="A638" s="713" t="s">
        <v>2342</v>
      </c>
      <c r="B638" s="834">
        <v>635</v>
      </c>
      <c r="C638" s="72" t="s">
        <v>4074</v>
      </c>
      <c r="D638" s="72" t="s">
        <v>846</v>
      </c>
      <c r="E638" s="714">
        <v>46132</v>
      </c>
      <c r="F638" s="840" t="s">
        <v>3624</v>
      </c>
      <c r="G638" s="739">
        <v>1</v>
      </c>
      <c r="H638" s="521" t="s">
        <v>127</v>
      </c>
      <c r="I638" s="521" t="s">
        <v>178</v>
      </c>
      <c r="O638" s="715"/>
      <c r="P638" s="716"/>
      <c r="Q638" s="716"/>
      <c r="R638" s="716"/>
      <c r="AU638" s="719"/>
      <c r="AV638" s="719"/>
      <c r="AW638" s="719"/>
      <c r="AX638" s="719"/>
    </row>
    <row r="639" spans="1:50" s="713" customFormat="1" ht="15.6" customHeight="1">
      <c r="A639" s="713" t="s">
        <v>2342</v>
      </c>
      <c r="B639" s="834">
        <v>636</v>
      </c>
      <c r="C639" s="72" t="s">
        <v>4074</v>
      </c>
      <c r="D639" s="72" t="s">
        <v>846</v>
      </c>
      <c r="E639" s="714">
        <v>46132</v>
      </c>
      <c r="F639" s="840" t="s">
        <v>3624</v>
      </c>
      <c r="G639" s="739">
        <v>1</v>
      </c>
      <c r="H639" s="521" t="s">
        <v>127</v>
      </c>
      <c r="I639" s="521" t="s">
        <v>178</v>
      </c>
      <c r="O639" s="715"/>
      <c r="P639" s="716"/>
      <c r="Q639" s="716"/>
      <c r="R639" s="716"/>
      <c r="AU639" s="719"/>
      <c r="AV639" s="719"/>
      <c r="AW639" s="719"/>
      <c r="AX639" s="719"/>
    </row>
    <row r="640" spans="1:50" s="713" customFormat="1" ht="15.6" customHeight="1">
      <c r="A640" s="713" t="s">
        <v>2342</v>
      </c>
      <c r="B640" s="834">
        <v>637</v>
      </c>
      <c r="C640" s="72" t="s">
        <v>4075</v>
      </c>
      <c r="D640" s="72" t="s">
        <v>1198</v>
      </c>
      <c r="E640" s="714">
        <v>46132</v>
      </c>
      <c r="F640" s="840" t="s">
        <v>3624</v>
      </c>
      <c r="G640" s="739">
        <v>1</v>
      </c>
      <c r="H640" s="751" t="s">
        <v>3056</v>
      </c>
      <c r="I640" s="751" t="s">
        <v>47</v>
      </c>
      <c r="O640" s="715"/>
      <c r="P640" s="716"/>
      <c r="Q640" s="716"/>
      <c r="R640" s="716"/>
      <c r="AU640" s="719"/>
      <c r="AV640" s="719"/>
      <c r="AW640" s="719"/>
      <c r="AX640" s="719"/>
    </row>
    <row r="641" spans="1:50" s="713" customFormat="1" ht="15.6" customHeight="1">
      <c r="A641" s="713" t="s">
        <v>2342</v>
      </c>
      <c r="B641" s="834">
        <v>638</v>
      </c>
      <c r="C641" s="72" t="s">
        <v>4075</v>
      </c>
      <c r="D641" s="72" t="s">
        <v>1198</v>
      </c>
      <c r="E641" s="714">
        <v>46132</v>
      </c>
      <c r="F641" s="840" t="s">
        <v>3624</v>
      </c>
      <c r="G641" s="739">
        <v>1</v>
      </c>
      <c r="H641" s="751" t="s">
        <v>1077</v>
      </c>
      <c r="I641" s="751" t="s">
        <v>1138</v>
      </c>
      <c r="O641" s="715"/>
      <c r="P641" s="716"/>
      <c r="Q641" s="716"/>
      <c r="R641" s="716"/>
      <c r="AU641" s="719"/>
      <c r="AV641" s="719"/>
      <c r="AW641" s="719"/>
      <c r="AX641" s="719"/>
    </row>
    <row r="642" spans="1:50" s="713" customFormat="1" ht="15.6" customHeight="1">
      <c r="A642" s="713" t="s">
        <v>2342</v>
      </c>
      <c r="B642" s="834">
        <v>639</v>
      </c>
      <c r="C642" s="72" t="s">
        <v>4075</v>
      </c>
      <c r="D642" s="72" t="s">
        <v>1198</v>
      </c>
      <c r="E642" s="714">
        <v>46132</v>
      </c>
      <c r="F642" s="840" t="s">
        <v>3624</v>
      </c>
      <c r="G642" s="739">
        <v>2</v>
      </c>
      <c r="H642" s="751" t="s">
        <v>1077</v>
      </c>
      <c r="I642" s="751" t="s">
        <v>1138</v>
      </c>
      <c r="O642" s="715"/>
      <c r="P642" s="716"/>
      <c r="Q642" s="716"/>
      <c r="R642" s="716"/>
      <c r="AU642" s="719"/>
      <c r="AV642" s="719"/>
      <c r="AW642" s="719"/>
      <c r="AX642" s="719"/>
    </row>
    <row r="643" spans="1:50" s="713" customFormat="1" ht="15.6" customHeight="1">
      <c r="A643" s="713" t="s">
        <v>2342</v>
      </c>
      <c r="B643" s="834">
        <v>640</v>
      </c>
      <c r="C643" s="72" t="s">
        <v>4075</v>
      </c>
      <c r="D643" s="72" t="s">
        <v>1198</v>
      </c>
      <c r="E643" s="714">
        <v>46132</v>
      </c>
      <c r="F643" s="840" t="s">
        <v>3624</v>
      </c>
      <c r="G643" s="739">
        <v>1</v>
      </c>
      <c r="H643" s="751" t="s">
        <v>1077</v>
      </c>
      <c r="I643" s="751" t="s">
        <v>1138</v>
      </c>
      <c r="O643" s="715"/>
      <c r="P643" s="716"/>
      <c r="Q643" s="716"/>
      <c r="R643" s="716"/>
      <c r="AU643" s="719"/>
      <c r="AV643" s="719"/>
      <c r="AW643" s="719"/>
      <c r="AX643" s="719"/>
    </row>
    <row r="644" spans="1:50" s="713" customFormat="1" ht="15.6" customHeight="1">
      <c r="A644" s="713" t="s">
        <v>2342</v>
      </c>
      <c r="B644" s="834">
        <v>641</v>
      </c>
      <c r="C644" s="72" t="s">
        <v>4075</v>
      </c>
      <c r="D644" s="72" t="s">
        <v>1198</v>
      </c>
      <c r="E644" s="714">
        <v>46132</v>
      </c>
      <c r="F644" s="840" t="s">
        <v>3624</v>
      </c>
      <c r="G644" s="739">
        <v>1</v>
      </c>
      <c r="H644" s="751" t="s">
        <v>3056</v>
      </c>
      <c r="I644" s="751" t="s">
        <v>47</v>
      </c>
      <c r="O644" s="715"/>
      <c r="P644" s="716"/>
      <c r="Q644" s="716"/>
      <c r="R644" s="716"/>
      <c r="AU644" s="719"/>
      <c r="AV644" s="719"/>
      <c r="AW644" s="719"/>
      <c r="AX644" s="719"/>
    </row>
    <row r="645" spans="1:50" s="713" customFormat="1" ht="15.6" customHeight="1">
      <c r="A645" s="713" t="s">
        <v>2342</v>
      </c>
      <c r="B645" s="834">
        <v>642</v>
      </c>
      <c r="C645" s="72" t="s">
        <v>4075</v>
      </c>
      <c r="D645" s="72" t="s">
        <v>1198</v>
      </c>
      <c r="E645" s="714">
        <v>46132</v>
      </c>
      <c r="F645" s="840" t="s">
        <v>3624</v>
      </c>
      <c r="G645" s="739">
        <v>10</v>
      </c>
      <c r="H645" s="751" t="s">
        <v>1077</v>
      </c>
      <c r="I645" s="751" t="s">
        <v>1138</v>
      </c>
      <c r="O645" s="715"/>
      <c r="P645" s="716"/>
      <c r="Q645" s="716"/>
      <c r="R645" s="716"/>
      <c r="AU645" s="719"/>
      <c r="AV645" s="719"/>
      <c r="AW645" s="719"/>
      <c r="AX645" s="719"/>
    </row>
    <row r="646" spans="1:50" s="713" customFormat="1" ht="15.6" customHeight="1">
      <c r="A646" s="713" t="s">
        <v>2342</v>
      </c>
      <c r="B646" s="834">
        <v>643</v>
      </c>
      <c r="C646" s="72" t="s">
        <v>4076</v>
      </c>
      <c r="D646" s="72" t="s">
        <v>1565</v>
      </c>
      <c r="E646" s="714">
        <v>46132</v>
      </c>
      <c r="F646" s="840" t="s">
        <v>3624</v>
      </c>
      <c r="G646" s="739">
        <v>1</v>
      </c>
      <c r="H646" s="751" t="s">
        <v>1077</v>
      </c>
      <c r="I646" s="751" t="s">
        <v>1138</v>
      </c>
      <c r="O646" s="715"/>
      <c r="P646" s="716"/>
      <c r="Q646" s="716"/>
      <c r="R646" s="716"/>
      <c r="AU646" s="719"/>
      <c r="AV646" s="719"/>
      <c r="AW646" s="719"/>
      <c r="AX646" s="719"/>
    </row>
    <row r="647" spans="1:50" s="713" customFormat="1" ht="15.6" customHeight="1">
      <c r="A647" s="713" t="s">
        <v>2342</v>
      </c>
      <c r="B647" s="834">
        <v>644</v>
      </c>
      <c r="C647" s="72" t="s">
        <v>4077</v>
      </c>
      <c r="D647" s="72" t="s">
        <v>1184</v>
      </c>
      <c r="E647" s="714">
        <v>46132</v>
      </c>
      <c r="F647" s="840" t="s">
        <v>3624</v>
      </c>
      <c r="G647" s="739">
        <v>1</v>
      </c>
      <c r="H647" s="751" t="s">
        <v>3056</v>
      </c>
      <c r="I647" s="751" t="s">
        <v>47</v>
      </c>
      <c r="O647" s="715"/>
      <c r="P647" s="716"/>
      <c r="Q647" s="716"/>
      <c r="R647" s="716"/>
      <c r="AU647" s="719"/>
      <c r="AV647" s="719"/>
      <c r="AW647" s="719"/>
      <c r="AX647" s="719"/>
    </row>
    <row r="648" spans="1:50" s="713" customFormat="1" ht="15.6" customHeight="1">
      <c r="A648" s="713" t="s">
        <v>2342</v>
      </c>
      <c r="B648" s="834">
        <v>645</v>
      </c>
      <c r="C648" s="72" t="s">
        <v>4077</v>
      </c>
      <c r="D648" s="72" t="s">
        <v>1184</v>
      </c>
      <c r="E648" s="714">
        <v>46132</v>
      </c>
      <c r="F648" s="840" t="s">
        <v>3624</v>
      </c>
      <c r="G648" s="739">
        <v>2</v>
      </c>
      <c r="H648" s="751" t="s">
        <v>1076</v>
      </c>
      <c r="I648" s="751" t="s">
        <v>3337</v>
      </c>
      <c r="O648" s="715"/>
      <c r="P648" s="716"/>
      <c r="Q648" s="716"/>
      <c r="R648" s="716"/>
      <c r="AU648" s="719"/>
      <c r="AV648" s="719"/>
      <c r="AW648" s="719"/>
      <c r="AX648" s="719"/>
    </row>
    <row r="649" spans="1:50" s="713" customFormat="1" ht="15.6" customHeight="1">
      <c r="A649" s="713" t="s">
        <v>2342</v>
      </c>
      <c r="B649" s="834">
        <v>646</v>
      </c>
      <c r="C649" s="72" t="s">
        <v>4077</v>
      </c>
      <c r="D649" s="72" t="s">
        <v>1184</v>
      </c>
      <c r="E649" s="714">
        <v>46132</v>
      </c>
      <c r="F649" s="840" t="s">
        <v>3624</v>
      </c>
      <c r="G649" s="739">
        <v>7</v>
      </c>
      <c r="H649" s="751" t="s">
        <v>1077</v>
      </c>
      <c r="I649" s="751" t="s">
        <v>1138</v>
      </c>
      <c r="O649" s="715"/>
      <c r="P649" s="716"/>
      <c r="Q649" s="716"/>
      <c r="R649" s="716"/>
      <c r="AU649" s="719"/>
      <c r="AV649" s="719"/>
      <c r="AW649" s="719"/>
      <c r="AX649" s="719"/>
    </row>
    <row r="650" spans="1:50" s="713" customFormat="1" ht="15.6" customHeight="1">
      <c r="A650" s="713" t="s">
        <v>2342</v>
      </c>
      <c r="B650" s="834">
        <v>647</v>
      </c>
      <c r="C650" s="72" t="s">
        <v>4078</v>
      </c>
      <c r="D650" s="72" t="s">
        <v>1567</v>
      </c>
      <c r="E650" s="714">
        <v>46132</v>
      </c>
      <c r="F650" s="840" t="s">
        <v>3624</v>
      </c>
      <c r="G650" s="739">
        <v>2</v>
      </c>
      <c r="H650" s="521" t="s">
        <v>127</v>
      </c>
      <c r="I650" s="521" t="s">
        <v>178</v>
      </c>
      <c r="O650" s="715"/>
      <c r="P650" s="716"/>
      <c r="Q650" s="716"/>
      <c r="R650" s="716"/>
      <c r="AU650" s="719"/>
      <c r="AV650" s="719"/>
      <c r="AW650" s="719"/>
      <c r="AX650" s="719"/>
    </row>
    <row r="651" spans="1:50" s="713" customFormat="1" ht="15.6" customHeight="1">
      <c r="A651" s="713" t="s">
        <v>2342</v>
      </c>
      <c r="B651" s="834">
        <v>648</v>
      </c>
      <c r="C651" s="72" t="s">
        <v>4079</v>
      </c>
      <c r="D651" s="72" t="s">
        <v>989</v>
      </c>
      <c r="E651" s="714">
        <v>46132</v>
      </c>
      <c r="F651" s="840" t="s">
        <v>3624</v>
      </c>
      <c r="G651" s="739">
        <v>1</v>
      </c>
      <c r="H651" s="751" t="s">
        <v>1077</v>
      </c>
      <c r="I651" s="751" t="s">
        <v>1138</v>
      </c>
      <c r="O651" s="715"/>
      <c r="P651" s="716"/>
      <c r="Q651" s="716"/>
      <c r="R651" s="716"/>
      <c r="AU651" s="719"/>
      <c r="AV651" s="719"/>
      <c r="AW651" s="719"/>
      <c r="AX651" s="719"/>
    </row>
    <row r="652" spans="1:50" s="713" customFormat="1" ht="15.6" customHeight="1">
      <c r="A652" s="713" t="s">
        <v>2342</v>
      </c>
      <c r="B652" s="834">
        <v>649</v>
      </c>
      <c r="C652" s="72" t="s">
        <v>4080</v>
      </c>
      <c r="D652" s="72" t="s">
        <v>2440</v>
      </c>
      <c r="E652" s="714">
        <v>46132</v>
      </c>
      <c r="F652" s="840" t="s">
        <v>3624</v>
      </c>
      <c r="G652" s="739">
        <v>1</v>
      </c>
      <c r="H652" s="751" t="s">
        <v>1077</v>
      </c>
      <c r="I652" s="751" t="s">
        <v>1138</v>
      </c>
      <c r="O652" s="715"/>
      <c r="P652" s="716"/>
      <c r="Q652" s="716"/>
      <c r="R652" s="716"/>
      <c r="AU652" s="719"/>
      <c r="AV652" s="719"/>
      <c r="AW652" s="719"/>
      <c r="AX652" s="719"/>
    </row>
    <row r="653" spans="1:50" s="713" customFormat="1" ht="15.6" customHeight="1">
      <c r="A653" s="713" t="s">
        <v>2342</v>
      </c>
      <c r="B653" s="834">
        <v>650</v>
      </c>
      <c r="C653" s="72" t="s">
        <v>4081</v>
      </c>
      <c r="D653" s="72" t="s">
        <v>829</v>
      </c>
      <c r="E653" s="714">
        <v>46132</v>
      </c>
      <c r="F653" s="840" t="s">
        <v>3624</v>
      </c>
      <c r="G653" s="739">
        <v>12</v>
      </c>
      <c r="H653" s="751" t="s">
        <v>3056</v>
      </c>
      <c r="I653" s="751" t="s">
        <v>47</v>
      </c>
      <c r="O653" s="715"/>
      <c r="P653" s="716"/>
      <c r="Q653" s="716"/>
      <c r="R653" s="716"/>
      <c r="AU653" s="719"/>
      <c r="AV653" s="719"/>
      <c r="AW653" s="719"/>
      <c r="AX653" s="719"/>
    </row>
    <row r="654" spans="1:50" s="713" customFormat="1" ht="15.6" customHeight="1">
      <c r="A654" s="713" t="s">
        <v>2342</v>
      </c>
      <c r="B654" s="834">
        <v>651</v>
      </c>
      <c r="C654" s="72" t="s">
        <v>4081</v>
      </c>
      <c r="D654" s="72" t="s">
        <v>829</v>
      </c>
      <c r="E654" s="714">
        <v>46132</v>
      </c>
      <c r="F654" s="840" t="s">
        <v>3624</v>
      </c>
      <c r="G654" s="739">
        <v>5</v>
      </c>
      <c r="H654" s="521" t="s">
        <v>127</v>
      </c>
      <c r="I654" s="521" t="s">
        <v>178</v>
      </c>
      <c r="O654" s="715"/>
      <c r="P654" s="716"/>
      <c r="Q654" s="716"/>
      <c r="R654" s="716"/>
      <c r="AU654" s="719"/>
      <c r="AV654" s="719"/>
      <c r="AW654" s="719"/>
      <c r="AX654" s="719"/>
    </row>
    <row r="655" spans="1:50" s="713" customFormat="1" ht="15.6" customHeight="1">
      <c r="A655" s="713" t="s">
        <v>2342</v>
      </c>
      <c r="B655" s="834">
        <v>652</v>
      </c>
      <c r="C655" s="72" t="s">
        <v>4081</v>
      </c>
      <c r="D655" s="72" t="s">
        <v>829</v>
      </c>
      <c r="E655" s="714">
        <v>46132</v>
      </c>
      <c r="F655" s="840" t="s">
        <v>3624</v>
      </c>
      <c r="G655" s="739">
        <v>1</v>
      </c>
      <c r="H655" s="751" t="s">
        <v>1077</v>
      </c>
      <c r="I655" s="751" t="s">
        <v>1138</v>
      </c>
      <c r="O655" s="715"/>
      <c r="P655" s="716"/>
      <c r="Q655" s="716"/>
      <c r="R655" s="716"/>
      <c r="AU655" s="719"/>
      <c r="AV655" s="719"/>
      <c r="AW655" s="719"/>
      <c r="AX655" s="719"/>
    </row>
    <row r="656" spans="1:50" s="713" customFormat="1" ht="15.6" customHeight="1">
      <c r="A656" s="713" t="s">
        <v>2342</v>
      </c>
      <c r="B656" s="834">
        <v>653</v>
      </c>
      <c r="C656" s="72" t="s">
        <v>4081</v>
      </c>
      <c r="D656" s="72" t="s">
        <v>829</v>
      </c>
      <c r="E656" s="714">
        <v>46132</v>
      </c>
      <c r="F656" s="840" t="s">
        <v>3624</v>
      </c>
      <c r="G656" s="739">
        <v>22</v>
      </c>
      <c r="H656" s="751" t="s">
        <v>1077</v>
      </c>
      <c r="I656" s="751" t="s">
        <v>1138</v>
      </c>
      <c r="O656" s="715"/>
      <c r="P656" s="716"/>
      <c r="Q656" s="716"/>
      <c r="R656" s="716"/>
      <c r="AU656" s="719"/>
      <c r="AV656" s="719"/>
      <c r="AW656" s="719"/>
      <c r="AX656" s="719"/>
    </row>
    <row r="657" spans="1:50" s="713" customFormat="1" ht="15.6" customHeight="1">
      <c r="A657" s="713" t="s">
        <v>2342</v>
      </c>
      <c r="B657" s="834">
        <v>654</v>
      </c>
      <c r="C657" s="72" t="s">
        <v>4081</v>
      </c>
      <c r="D657" s="72" t="s">
        <v>829</v>
      </c>
      <c r="E657" s="714">
        <v>46132</v>
      </c>
      <c r="F657" s="840" t="s">
        <v>3624</v>
      </c>
      <c r="G657" s="739">
        <v>4</v>
      </c>
      <c r="H657" s="751" t="s">
        <v>3056</v>
      </c>
      <c r="I657" s="751" t="s">
        <v>47</v>
      </c>
      <c r="O657" s="715"/>
      <c r="P657" s="716"/>
      <c r="Q657" s="716"/>
      <c r="R657" s="716"/>
      <c r="AU657" s="719"/>
      <c r="AV657" s="719"/>
      <c r="AW657" s="719"/>
      <c r="AX657" s="719"/>
    </row>
    <row r="658" spans="1:50" s="713" customFormat="1" ht="15.6" customHeight="1">
      <c r="A658" s="713" t="s">
        <v>2342</v>
      </c>
      <c r="B658" s="834">
        <v>655</v>
      </c>
      <c r="C658" s="72" t="s">
        <v>4081</v>
      </c>
      <c r="D658" s="72" t="s">
        <v>829</v>
      </c>
      <c r="E658" s="714">
        <v>46132</v>
      </c>
      <c r="F658" s="840" t="s">
        <v>3624</v>
      </c>
      <c r="G658" s="739">
        <v>1</v>
      </c>
      <c r="H658" s="751" t="s">
        <v>3056</v>
      </c>
      <c r="I658" s="751" t="s">
        <v>47</v>
      </c>
      <c r="O658" s="715"/>
      <c r="P658" s="716"/>
      <c r="Q658" s="716"/>
      <c r="R658" s="716"/>
      <c r="AU658" s="719"/>
      <c r="AV658" s="719"/>
      <c r="AW658" s="719"/>
      <c r="AX658" s="719"/>
    </row>
    <row r="659" spans="1:50" s="713" customFormat="1" ht="15.6" customHeight="1">
      <c r="A659" s="713" t="s">
        <v>2342</v>
      </c>
      <c r="B659" s="834">
        <v>656</v>
      </c>
      <c r="C659" s="72" t="s">
        <v>4081</v>
      </c>
      <c r="D659" s="72" t="s">
        <v>829</v>
      </c>
      <c r="E659" s="714">
        <v>46132</v>
      </c>
      <c r="F659" s="840" t="s">
        <v>3624</v>
      </c>
      <c r="G659" s="739">
        <v>12</v>
      </c>
      <c r="H659" s="751" t="s">
        <v>3056</v>
      </c>
      <c r="I659" s="751" t="s">
        <v>47</v>
      </c>
      <c r="O659" s="715"/>
      <c r="P659" s="716"/>
      <c r="Q659" s="716"/>
      <c r="R659" s="716"/>
      <c r="AU659" s="719"/>
      <c r="AV659" s="719"/>
      <c r="AW659" s="719"/>
      <c r="AX659" s="719"/>
    </row>
    <row r="660" spans="1:50" s="713" customFormat="1" ht="15.6" customHeight="1">
      <c r="A660" s="713" t="s">
        <v>2342</v>
      </c>
      <c r="B660" s="834">
        <v>657</v>
      </c>
      <c r="C660" s="72" t="s">
        <v>4081</v>
      </c>
      <c r="D660" s="72" t="s">
        <v>829</v>
      </c>
      <c r="E660" s="714">
        <v>46132</v>
      </c>
      <c r="F660" s="840" t="s">
        <v>3624</v>
      </c>
      <c r="G660" s="739">
        <v>1</v>
      </c>
      <c r="H660" s="751" t="s">
        <v>1077</v>
      </c>
      <c r="I660" s="751" t="s">
        <v>1138</v>
      </c>
      <c r="O660" s="715"/>
      <c r="P660" s="716"/>
      <c r="Q660" s="716"/>
      <c r="R660" s="716"/>
      <c r="AU660" s="719"/>
      <c r="AV660" s="719"/>
      <c r="AW660" s="719"/>
      <c r="AX660" s="719"/>
    </row>
    <row r="661" spans="1:50" s="713" customFormat="1" ht="15.6" customHeight="1">
      <c r="A661" s="713" t="s">
        <v>2342</v>
      </c>
      <c r="B661" s="834">
        <v>658</v>
      </c>
      <c r="C661" s="72" t="s">
        <v>4081</v>
      </c>
      <c r="D661" s="72" t="s">
        <v>829</v>
      </c>
      <c r="E661" s="714">
        <v>46132</v>
      </c>
      <c r="F661" s="840" t="s">
        <v>3624</v>
      </c>
      <c r="G661" s="739">
        <v>6</v>
      </c>
      <c r="H661" s="751" t="s">
        <v>3056</v>
      </c>
      <c r="I661" s="751" t="s">
        <v>47</v>
      </c>
      <c r="O661" s="715"/>
      <c r="P661" s="716"/>
      <c r="Q661" s="716"/>
      <c r="R661" s="716"/>
      <c r="AU661" s="719"/>
      <c r="AV661" s="719"/>
      <c r="AW661" s="719"/>
      <c r="AX661" s="719"/>
    </row>
    <row r="662" spans="1:50" s="713" customFormat="1" ht="15.6" customHeight="1">
      <c r="A662" s="713" t="s">
        <v>2342</v>
      </c>
      <c r="B662" s="834">
        <v>659</v>
      </c>
      <c r="C662" s="72" t="s">
        <v>4081</v>
      </c>
      <c r="D662" s="72" t="s">
        <v>829</v>
      </c>
      <c r="E662" s="714">
        <v>46132</v>
      </c>
      <c r="F662" s="840" t="s">
        <v>3624</v>
      </c>
      <c r="G662" s="739">
        <v>7</v>
      </c>
      <c r="H662" s="751" t="s">
        <v>3056</v>
      </c>
      <c r="I662" s="751" t="s">
        <v>47</v>
      </c>
      <c r="O662" s="715"/>
      <c r="P662" s="716"/>
      <c r="Q662" s="716"/>
      <c r="R662" s="716"/>
      <c r="AU662" s="719"/>
      <c r="AV662" s="719"/>
      <c r="AW662" s="719"/>
      <c r="AX662" s="719"/>
    </row>
    <row r="663" spans="1:50" s="713" customFormat="1" ht="15.6" customHeight="1">
      <c r="A663" s="713" t="s">
        <v>2342</v>
      </c>
      <c r="B663" s="834">
        <v>660</v>
      </c>
      <c r="C663" s="72" t="s">
        <v>4082</v>
      </c>
      <c r="D663" s="72" t="s">
        <v>1426</v>
      </c>
      <c r="E663" s="714">
        <v>46132</v>
      </c>
      <c r="F663" s="840" t="s">
        <v>3624</v>
      </c>
      <c r="G663" s="739">
        <v>8</v>
      </c>
      <c r="H663" s="751" t="s">
        <v>1077</v>
      </c>
      <c r="I663" s="751" t="s">
        <v>1138</v>
      </c>
      <c r="O663" s="715"/>
      <c r="P663" s="716"/>
      <c r="Q663" s="716"/>
      <c r="R663" s="716"/>
      <c r="AU663" s="719"/>
      <c r="AV663" s="719"/>
      <c r="AW663" s="719"/>
      <c r="AX663" s="719"/>
    </row>
    <row r="664" spans="1:50" s="713" customFormat="1" ht="15.6" customHeight="1">
      <c r="A664" s="713" t="s">
        <v>2342</v>
      </c>
      <c r="B664" s="834">
        <v>661</v>
      </c>
      <c r="C664" s="72" t="s">
        <v>4083</v>
      </c>
      <c r="D664" s="72" t="s">
        <v>1208</v>
      </c>
      <c r="E664" s="714">
        <v>46132</v>
      </c>
      <c r="F664" s="840" t="s">
        <v>3624</v>
      </c>
      <c r="G664" s="739">
        <v>8</v>
      </c>
      <c r="H664" s="751" t="s">
        <v>1077</v>
      </c>
      <c r="I664" s="751" t="s">
        <v>1138</v>
      </c>
      <c r="O664" s="715"/>
      <c r="P664" s="716"/>
      <c r="Q664" s="716"/>
      <c r="R664" s="716"/>
      <c r="AU664" s="719"/>
      <c r="AV664" s="719"/>
      <c r="AW664" s="719"/>
      <c r="AX664" s="719"/>
    </row>
    <row r="665" spans="1:50" s="713" customFormat="1" ht="15.6" customHeight="1">
      <c r="A665" s="713" t="s">
        <v>2342</v>
      </c>
      <c r="B665" s="834">
        <v>662</v>
      </c>
      <c r="C665" s="72" t="s">
        <v>4084</v>
      </c>
      <c r="D665" s="72" t="s">
        <v>1887</v>
      </c>
      <c r="E665" s="714">
        <v>46132</v>
      </c>
      <c r="F665" s="840" t="s">
        <v>3624</v>
      </c>
      <c r="G665" s="739">
        <v>1</v>
      </c>
      <c r="H665" s="521" t="s">
        <v>127</v>
      </c>
      <c r="I665" s="521" t="s">
        <v>178</v>
      </c>
      <c r="O665" s="715"/>
      <c r="P665" s="716"/>
      <c r="Q665" s="716"/>
      <c r="R665" s="716"/>
      <c r="AU665" s="719"/>
      <c r="AV665" s="719"/>
      <c r="AW665" s="719"/>
      <c r="AX665" s="719"/>
    </row>
    <row r="666" spans="1:50" s="713" customFormat="1" ht="15.6" customHeight="1">
      <c r="A666" s="713" t="s">
        <v>2342</v>
      </c>
      <c r="B666" s="834">
        <v>663</v>
      </c>
      <c r="C666" s="72" t="s">
        <v>4085</v>
      </c>
      <c r="D666" s="72" t="s">
        <v>937</v>
      </c>
      <c r="E666" s="714">
        <v>46132</v>
      </c>
      <c r="F666" s="840" t="s">
        <v>3624</v>
      </c>
      <c r="G666" s="739">
        <v>4</v>
      </c>
      <c r="H666" s="751" t="s">
        <v>1077</v>
      </c>
      <c r="I666" s="751" t="s">
        <v>1138</v>
      </c>
      <c r="O666" s="715"/>
      <c r="P666" s="716"/>
      <c r="Q666" s="716"/>
      <c r="R666" s="716"/>
      <c r="AU666" s="719"/>
      <c r="AV666" s="719"/>
      <c r="AW666" s="719"/>
      <c r="AX666" s="719"/>
    </row>
    <row r="667" spans="1:50" s="713" customFormat="1" ht="15.6" customHeight="1">
      <c r="A667" s="713" t="s">
        <v>2342</v>
      </c>
      <c r="B667" s="834">
        <v>664</v>
      </c>
      <c r="C667" s="72" t="s">
        <v>4085</v>
      </c>
      <c r="D667" s="72" t="s">
        <v>937</v>
      </c>
      <c r="E667" s="714">
        <v>46132</v>
      </c>
      <c r="F667" s="840" t="s">
        <v>3624</v>
      </c>
      <c r="G667" s="739">
        <v>1</v>
      </c>
      <c r="H667" s="751" t="s">
        <v>1077</v>
      </c>
      <c r="I667" s="751" t="s">
        <v>1138</v>
      </c>
      <c r="O667" s="715"/>
      <c r="P667" s="716"/>
      <c r="Q667" s="716"/>
      <c r="R667" s="716"/>
      <c r="AU667" s="719"/>
      <c r="AV667" s="719"/>
      <c r="AW667" s="719"/>
      <c r="AX667" s="719"/>
    </row>
    <row r="668" spans="1:50" s="713" customFormat="1" ht="15.6" customHeight="1">
      <c r="A668" s="713" t="s">
        <v>2342</v>
      </c>
      <c r="B668" s="834">
        <v>665</v>
      </c>
      <c r="C668" s="72" t="s">
        <v>4085</v>
      </c>
      <c r="D668" s="72" t="s">
        <v>937</v>
      </c>
      <c r="E668" s="714">
        <v>46132</v>
      </c>
      <c r="F668" s="840" t="s">
        <v>3624</v>
      </c>
      <c r="G668" s="739">
        <v>1</v>
      </c>
      <c r="H668" s="521" t="s">
        <v>127</v>
      </c>
      <c r="I668" s="521" t="s">
        <v>178</v>
      </c>
      <c r="O668" s="715"/>
      <c r="P668" s="716"/>
      <c r="Q668" s="716"/>
      <c r="R668" s="716"/>
      <c r="AU668" s="719"/>
      <c r="AV668" s="719"/>
      <c r="AW668" s="719"/>
      <c r="AX668" s="719"/>
    </row>
    <row r="669" spans="1:50" s="713" customFormat="1" ht="15.6" customHeight="1">
      <c r="A669" s="713" t="s">
        <v>2342</v>
      </c>
      <c r="B669" s="834">
        <v>666</v>
      </c>
      <c r="C669" s="72" t="s">
        <v>4086</v>
      </c>
      <c r="D669" s="72" t="s">
        <v>779</v>
      </c>
      <c r="E669" s="714">
        <v>46132</v>
      </c>
      <c r="F669" s="840" t="s">
        <v>3624</v>
      </c>
      <c r="G669" s="739">
        <v>5</v>
      </c>
      <c r="H669" s="521" t="s">
        <v>127</v>
      </c>
      <c r="I669" s="521" t="s">
        <v>178</v>
      </c>
      <c r="O669" s="715"/>
      <c r="P669" s="716"/>
      <c r="Q669" s="716"/>
      <c r="R669" s="716"/>
      <c r="AU669" s="719"/>
      <c r="AV669" s="719"/>
      <c r="AW669" s="719"/>
      <c r="AX669" s="719"/>
    </row>
    <row r="670" spans="1:50" s="713" customFormat="1" ht="15.6" customHeight="1">
      <c r="A670" s="713" t="s">
        <v>2342</v>
      </c>
      <c r="B670" s="834">
        <v>667</v>
      </c>
      <c r="C670" s="72" t="s">
        <v>4087</v>
      </c>
      <c r="D670" s="72" t="s">
        <v>4088</v>
      </c>
      <c r="E670" s="714">
        <v>46132</v>
      </c>
      <c r="F670" s="840" t="s">
        <v>3624</v>
      </c>
      <c r="G670" s="739">
        <v>2</v>
      </c>
      <c r="H670" s="751" t="s">
        <v>1077</v>
      </c>
      <c r="I670" s="751" t="s">
        <v>1138</v>
      </c>
      <c r="O670" s="715"/>
      <c r="P670" s="716"/>
      <c r="Q670" s="716"/>
      <c r="R670" s="716"/>
      <c r="AU670" s="719"/>
      <c r="AV670" s="719"/>
      <c r="AW670" s="719"/>
      <c r="AX670" s="719"/>
    </row>
    <row r="671" spans="1:50" s="713" customFormat="1" ht="15.6" customHeight="1">
      <c r="A671" s="713" t="s">
        <v>2342</v>
      </c>
      <c r="B671" s="834">
        <v>668</v>
      </c>
      <c r="C671" s="72" t="s">
        <v>4089</v>
      </c>
      <c r="D671" s="72" t="s">
        <v>4090</v>
      </c>
      <c r="E671" s="714">
        <v>46132</v>
      </c>
      <c r="F671" s="840" t="s">
        <v>3624</v>
      </c>
      <c r="G671" s="739">
        <v>1</v>
      </c>
      <c r="H671" s="751" t="s">
        <v>1077</v>
      </c>
      <c r="I671" s="751" t="s">
        <v>1138</v>
      </c>
      <c r="O671" s="715"/>
      <c r="P671" s="716"/>
      <c r="Q671" s="716"/>
      <c r="R671" s="716"/>
      <c r="AU671" s="719"/>
      <c r="AV671" s="719"/>
      <c r="AW671" s="719"/>
      <c r="AX671" s="719"/>
    </row>
    <row r="672" spans="1:50" s="713" customFormat="1">
      <c r="A672" s="713" t="s">
        <v>2342</v>
      </c>
      <c r="B672" s="834">
        <v>669</v>
      </c>
      <c r="C672" s="72" t="s">
        <v>4091</v>
      </c>
      <c r="D672" s="72" t="s">
        <v>4092</v>
      </c>
      <c r="E672" s="714">
        <v>46132</v>
      </c>
      <c r="F672" s="840" t="s">
        <v>3624</v>
      </c>
      <c r="G672" s="739">
        <v>3</v>
      </c>
      <c r="H672" s="751" t="s">
        <v>1077</v>
      </c>
      <c r="I672" s="751" t="s">
        <v>1138</v>
      </c>
      <c r="O672" s="715"/>
      <c r="P672" s="716"/>
      <c r="Q672" s="716"/>
      <c r="R672" s="716"/>
      <c r="AU672" s="719"/>
      <c r="AV672" s="719"/>
      <c r="AW672" s="719"/>
      <c r="AX672" s="719"/>
    </row>
    <row r="673" spans="1:16383">
      <c r="A673" s="713" t="s">
        <v>2342</v>
      </c>
      <c r="B673" s="834">
        <v>670</v>
      </c>
      <c r="C673" s="72" t="s">
        <v>4091</v>
      </c>
      <c r="D673" s="72" t="s">
        <v>1837</v>
      </c>
      <c r="E673" s="714">
        <v>46132</v>
      </c>
      <c r="F673" s="840" t="s">
        <v>3624</v>
      </c>
      <c r="G673" s="751">
        <v>8</v>
      </c>
      <c r="H673" s="521" t="s">
        <v>127</v>
      </c>
      <c r="I673" s="521" t="s">
        <v>178</v>
      </c>
      <c r="J673" s="713"/>
      <c r="K673" s="713"/>
      <c r="L673" s="713"/>
      <c r="M673" s="713"/>
      <c r="N673" s="715"/>
      <c r="O673" s="716"/>
      <c r="P673" s="716"/>
      <c r="Q673" s="716"/>
      <c r="R673" s="713"/>
      <c r="S673" s="713"/>
      <c r="T673" s="713"/>
      <c r="U673" s="713"/>
      <c r="V673" s="713"/>
      <c r="W673" s="713"/>
      <c r="X673" s="713"/>
      <c r="Y673" s="713"/>
      <c r="Z673" s="713"/>
      <c r="AA673" s="713"/>
      <c r="AB673" s="713"/>
      <c r="AC673" s="713"/>
      <c r="AD673" s="713"/>
      <c r="AE673" s="713"/>
      <c r="AF673" s="713"/>
      <c r="AG673" s="713"/>
      <c r="AH673" s="713"/>
      <c r="AI673" s="713"/>
      <c r="AJ673" s="713"/>
      <c r="AK673" s="713"/>
      <c r="AL673" s="713"/>
      <c r="AM673" s="713"/>
      <c r="AN673" s="713"/>
      <c r="AO673" s="713"/>
      <c r="AP673" s="713"/>
      <c r="AQ673" s="713"/>
      <c r="AR673" s="713"/>
      <c r="AS673" s="713"/>
      <c r="AT673" s="719"/>
      <c r="AU673" s="719"/>
      <c r="AV673" s="719"/>
      <c r="AW673" s="719"/>
      <c r="AX673" s="713"/>
      <c r="AY673" s="713"/>
      <c r="AZ673" s="713"/>
      <c r="BA673" s="713"/>
      <c r="BB673" s="713"/>
      <c r="BC673" s="713"/>
      <c r="BD673" s="713"/>
      <c r="BE673" s="713"/>
      <c r="BF673" s="713"/>
      <c r="BG673" s="713"/>
      <c r="BH673" s="713"/>
      <c r="BI673" s="713"/>
      <c r="BJ673" s="713"/>
      <c r="BK673" s="713"/>
      <c r="BL673" s="713"/>
      <c r="BM673" s="713"/>
      <c r="BN673" s="713"/>
      <c r="BO673" s="713"/>
      <c r="BP673" s="713"/>
      <c r="BQ673" s="713"/>
      <c r="BR673" s="713"/>
      <c r="BS673" s="713"/>
      <c r="BT673" s="713"/>
      <c r="BU673" s="713"/>
      <c r="BV673" s="713"/>
      <c r="BW673" s="713"/>
      <c r="BX673" s="713"/>
      <c r="BY673" s="713"/>
      <c r="BZ673" s="713"/>
      <c r="CA673" s="713"/>
      <c r="CB673" s="713"/>
      <c r="CC673" s="713"/>
      <c r="CD673" s="713"/>
      <c r="CE673" s="713"/>
      <c r="CF673" s="713"/>
      <c r="CG673" s="713"/>
      <c r="CH673" s="713"/>
      <c r="CI673" s="713"/>
      <c r="CJ673" s="713"/>
      <c r="CK673" s="713"/>
      <c r="CL673" s="713"/>
      <c r="CM673" s="713"/>
      <c r="CN673" s="713"/>
      <c r="CO673" s="713"/>
      <c r="CP673" s="713"/>
      <c r="CQ673" s="713"/>
      <c r="CR673" s="713"/>
      <c r="CS673" s="713"/>
      <c r="CT673" s="713"/>
      <c r="CU673" s="713"/>
      <c r="CV673" s="713"/>
      <c r="CW673" s="713"/>
      <c r="CX673" s="713"/>
      <c r="CY673" s="713"/>
      <c r="CZ673" s="713"/>
      <c r="DA673" s="713"/>
      <c r="DB673" s="713"/>
      <c r="DC673" s="713"/>
      <c r="DD673" s="713"/>
      <c r="DE673" s="713"/>
      <c r="DF673" s="713"/>
      <c r="DG673" s="713"/>
      <c r="DH673" s="713"/>
      <c r="DI673" s="713"/>
      <c r="DJ673" s="713"/>
      <c r="DK673" s="713"/>
      <c r="DL673" s="713"/>
      <c r="DM673" s="713"/>
      <c r="DN673" s="713"/>
      <c r="DO673" s="713"/>
      <c r="DP673" s="713"/>
      <c r="DQ673" s="713"/>
      <c r="DR673" s="713"/>
      <c r="DS673" s="713"/>
      <c r="DT673" s="713"/>
      <c r="DU673" s="713"/>
      <c r="DV673" s="713"/>
      <c r="DW673" s="713"/>
      <c r="DX673" s="713"/>
      <c r="DY673" s="713"/>
      <c r="DZ673" s="713"/>
      <c r="EA673" s="713"/>
      <c r="EB673" s="713"/>
      <c r="EC673" s="713"/>
      <c r="ED673" s="713"/>
      <c r="EE673" s="713"/>
      <c r="EF673" s="713"/>
      <c r="EG673" s="713"/>
      <c r="EH673" s="713"/>
      <c r="EI673" s="713"/>
      <c r="EJ673" s="713"/>
      <c r="EK673" s="713"/>
      <c r="EL673" s="713"/>
      <c r="EM673" s="713"/>
      <c r="EN673" s="713"/>
      <c r="EO673" s="713"/>
      <c r="EP673" s="713"/>
      <c r="EQ673" s="713"/>
      <c r="ER673" s="713"/>
      <c r="ES673" s="713"/>
      <c r="ET673" s="713"/>
      <c r="EU673" s="713"/>
      <c r="EV673" s="713"/>
      <c r="EW673" s="713"/>
      <c r="EX673" s="713"/>
      <c r="EY673" s="713"/>
      <c r="EZ673" s="713"/>
      <c r="FA673" s="713"/>
      <c r="FB673" s="713"/>
      <c r="FC673" s="713"/>
      <c r="FD673" s="713"/>
      <c r="FE673" s="713"/>
      <c r="FF673" s="713"/>
      <c r="FG673" s="713"/>
      <c r="FH673" s="713"/>
      <c r="FI673" s="713"/>
      <c r="FJ673" s="713"/>
      <c r="FK673" s="713"/>
      <c r="FL673" s="713"/>
      <c r="FM673" s="713"/>
      <c r="FN673" s="713"/>
      <c r="FO673" s="713"/>
      <c r="FP673" s="713"/>
      <c r="FQ673" s="713"/>
      <c r="FR673" s="713"/>
      <c r="FS673" s="713"/>
      <c r="FT673" s="713"/>
      <c r="FU673" s="713"/>
      <c r="FV673" s="713"/>
      <c r="FW673" s="713"/>
      <c r="FX673" s="713"/>
      <c r="FY673" s="713"/>
      <c r="FZ673" s="713"/>
      <c r="GA673" s="713"/>
      <c r="GB673" s="713"/>
      <c r="GC673" s="713"/>
      <c r="GD673" s="713"/>
      <c r="GE673" s="713"/>
      <c r="GF673" s="713"/>
      <c r="GG673" s="713"/>
      <c r="GH673" s="713"/>
      <c r="GI673" s="713"/>
      <c r="GJ673" s="713"/>
      <c r="GK673" s="713"/>
      <c r="GL673" s="713"/>
      <c r="GM673" s="713"/>
      <c r="GN673" s="713"/>
      <c r="GO673" s="713"/>
      <c r="GP673" s="713"/>
      <c r="GQ673" s="713"/>
      <c r="GR673" s="713"/>
      <c r="GS673" s="713"/>
      <c r="GT673" s="713"/>
      <c r="GU673" s="713"/>
      <c r="GV673" s="713"/>
      <c r="GW673" s="713"/>
      <c r="GX673" s="713"/>
      <c r="GY673" s="713"/>
      <c r="GZ673" s="713"/>
      <c r="HA673" s="713"/>
      <c r="HB673" s="713"/>
      <c r="HC673" s="713"/>
      <c r="HD673" s="713"/>
      <c r="HE673" s="713"/>
      <c r="HF673" s="713"/>
      <c r="HG673" s="713"/>
      <c r="HH673" s="713"/>
      <c r="HI673" s="713"/>
      <c r="HJ673" s="713"/>
      <c r="HK673" s="713"/>
      <c r="HL673" s="713"/>
      <c r="HM673" s="713"/>
      <c r="HN673" s="713"/>
      <c r="HO673" s="713"/>
      <c r="HP673" s="713"/>
      <c r="HQ673" s="713"/>
      <c r="HR673" s="713"/>
      <c r="HS673" s="713"/>
      <c r="HT673" s="713"/>
      <c r="HU673" s="713"/>
      <c r="HV673" s="713"/>
      <c r="HW673" s="713"/>
      <c r="HX673" s="713"/>
      <c r="HY673" s="713"/>
      <c r="HZ673" s="713"/>
      <c r="IA673" s="713"/>
      <c r="IB673" s="713"/>
      <c r="IC673" s="713"/>
      <c r="ID673" s="713"/>
      <c r="IE673" s="713"/>
      <c r="IF673" s="713"/>
      <c r="IG673" s="713"/>
      <c r="IH673" s="713"/>
      <c r="II673" s="713"/>
      <c r="IJ673" s="713"/>
      <c r="IK673" s="713"/>
      <c r="IL673" s="713"/>
      <c r="IM673" s="713"/>
      <c r="IN673" s="713"/>
      <c r="IO673" s="713"/>
      <c r="IP673" s="713"/>
      <c r="IQ673" s="713"/>
      <c r="IR673" s="713"/>
      <c r="IS673" s="713"/>
      <c r="IT673" s="713"/>
      <c r="IU673" s="713"/>
      <c r="IV673" s="713"/>
      <c r="IW673" s="713"/>
      <c r="IX673" s="713"/>
      <c r="IY673" s="713"/>
      <c r="IZ673" s="713"/>
      <c r="JA673" s="713"/>
      <c r="JB673" s="713"/>
      <c r="JC673" s="713"/>
      <c r="JD673" s="713"/>
      <c r="JE673" s="713"/>
      <c r="JF673" s="713"/>
      <c r="JG673" s="713"/>
      <c r="JH673" s="713"/>
      <c r="JI673" s="713"/>
      <c r="JJ673" s="713"/>
      <c r="JK673" s="713"/>
      <c r="JL673" s="713"/>
      <c r="JM673" s="713"/>
      <c r="JN673" s="713"/>
      <c r="JO673" s="713"/>
      <c r="JP673" s="713"/>
      <c r="JQ673" s="713"/>
      <c r="JR673" s="713"/>
      <c r="JS673" s="713"/>
      <c r="JT673" s="713"/>
      <c r="JU673" s="713"/>
      <c r="JV673" s="713"/>
      <c r="JW673" s="713"/>
      <c r="JX673" s="713"/>
      <c r="JY673" s="713"/>
      <c r="JZ673" s="713"/>
      <c r="KA673" s="713"/>
      <c r="KB673" s="713"/>
      <c r="KC673" s="713"/>
      <c r="KD673" s="713"/>
      <c r="KE673" s="713"/>
      <c r="KF673" s="713"/>
      <c r="KG673" s="713"/>
      <c r="KH673" s="713"/>
      <c r="KI673" s="713"/>
      <c r="KJ673" s="713"/>
      <c r="KK673" s="713"/>
      <c r="KL673" s="713"/>
      <c r="KM673" s="713"/>
      <c r="KN673" s="713"/>
      <c r="KO673" s="713"/>
      <c r="KP673" s="713"/>
      <c r="KQ673" s="713"/>
      <c r="KR673" s="713"/>
      <c r="KS673" s="713"/>
      <c r="KT673" s="713"/>
      <c r="KU673" s="713"/>
      <c r="KV673" s="713"/>
      <c r="KW673" s="713"/>
      <c r="KX673" s="713"/>
      <c r="KY673" s="713"/>
      <c r="KZ673" s="713"/>
      <c r="LA673" s="713"/>
      <c r="LB673" s="713"/>
      <c r="LC673" s="713"/>
      <c r="LD673" s="713"/>
      <c r="LE673" s="713"/>
      <c r="LF673" s="713"/>
      <c r="LG673" s="713"/>
      <c r="LH673" s="713"/>
      <c r="LI673" s="713"/>
      <c r="LJ673" s="713"/>
      <c r="LK673" s="713"/>
      <c r="LL673" s="713"/>
      <c r="LM673" s="713"/>
      <c r="LN673" s="713"/>
      <c r="LO673" s="713"/>
      <c r="LP673" s="713"/>
      <c r="LQ673" s="713"/>
      <c r="LR673" s="713"/>
      <c r="LS673" s="713"/>
      <c r="LT673" s="713"/>
      <c r="LU673" s="713"/>
      <c r="LV673" s="713"/>
      <c r="LW673" s="713"/>
      <c r="LX673" s="713"/>
      <c r="LY673" s="713"/>
      <c r="LZ673" s="713"/>
      <c r="MA673" s="713"/>
      <c r="MB673" s="713"/>
      <c r="MC673" s="713"/>
      <c r="MD673" s="713"/>
      <c r="ME673" s="713"/>
      <c r="MF673" s="713"/>
      <c r="MG673" s="713"/>
      <c r="MH673" s="713"/>
      <c r="MI673" s="713"/>
      <c r="MJ673" s="713"/>
      <c r="MK673" s="713"/>
      <c r="ML673" s="713"/>
      <c r="MM673" s="713"/>
      <c r="MN673" s="713"/>
      <c r="MO673" s="713"/>
      <c r="MP673" s="713"/>
      <c r="MQ673" s="713"/>
      <c r="MR673" s="713"/>
      <c r="MS673" s="713"/>
      <c r="MT673" s="713"/>
      <c r="MU673" s="713"/>
      <c r="MV673" s="713"/>
      <c r="MW673" s="713"/>
      <c r="MX673" s="713"/>
      <c r="MY673" s="713"/>
      <c r="MZ673" s="713"/>
      <c r="NA673" s="713"/>
      <c r="NB673" s="713"/>
      <c r="NC673" s="713"/>
      <c r="ND673" s="713"/>
      <c r="NE673" s="713"/>
      <c r="NF673" s="713"/>
      <c r="NG673" s="713"/>
      <c r="NH673" s="713"/>
      <c r="NI673" s="713"/>
      <c r="NJ673" s="713"/>
      <c r="NK673" s="713"/>
      <c r="NL673" s="713"/>
      <c r="NM673" s="713"/>
      <c r="NN673" s="713"/>
      <c r="NO673" s="713"/>
      <c r="NP673" s="713"/>
      <c r="NQ673" s="713"/>
      <c r="NR673" s="713"/>
      <c r="NS673" s="713"/>
      <c r="NT673" s="713"/>
      <c r="NU673" s="713"/>
      <c r="NV673" s="713"/>
      <c r="NW673" s="713"/>
      <c r="NX673" s="713"/>
      <c r="NY673" s="713"/>
      <c r="NZ673" s="713"/>
      <c r="OA673" s="713"/>
      <c r="OB673" s="713"/>
      <c r="OC673" s="713"/>
      <c r="OD673" s="713"/>
      <c r="OE673" s="713"/>
      <c r="OF673" s="713"/>
      <c r="OG673" s="713"/>
      <c r="OH673" s="713"/>
      <c r="OI673" s="713"/>
      <c r="OJ673" s="713"/>
      <c r="OK673" s="713"/>
      <c r="OL673" s="713"/>
      <c r="OM673" s="713"/>
      <c r="ON673" s="713"/>
      <c r="OO673" s="713"/>
      <c r="OP673" s="713"/>
      <c r="OQ673" s="713"/>
      <c r="OR673" s="713"/>
      <c r="OS673" s="713"/>
      <c r="OT673" s="713"/>
      <c r="OU673" s="713"/>
      <c r="OV673" s="713"/>
      <c r="OW673" s="713"/>
      <c r="OX673" s="713"/>
      <c r="OY673" s="713"/>
      <c r="OZ673" s="713"/>
      <c r="PA673" s="713"/>
      <c r="PB673" s="713"/>
      <c r="PC673" s="713"/>
      <c r="PD673" s="713"/>
      <c r="PE673" s="713"/>
      <c r="PF673" s="713"/>
      <c r="PG673" s="713"/>
      <c r="PH673" s="713"/>
      <c r="PI673" s="713"/>
      <c r="PJ673" s="713"/>
      <c r="PK673" s="713"/>
      <c r="PL673" s="713"/>
      <c r="PM673" s="713"/>
      <c r="PN673" s="713"/>
      <c r="PO673" s="713"/>
      <c r="PP673" s="713"/>
      <c r="PQ673" s="713"/>
      <c r="PR673" s="713"/>
      <c r="PS673" s="713"/>
      <c r="PT673" s="713"/>
      <c r="PU673" s="713"/>
      <c r="PV673" s="713"/>
      <c r="PW673" s="713"/>
      <c r="PX673" s="713"/>
      <c r="PY673" s="713"/>
      <c r="PZ673" s="713"/>
      <c r="QA673" s="713"/>
      <c r="QB673" s="713"/>
      <c r="QC673" s="713"/>
      <c r="QD673" s="713"/>
      <c r="QE673" s="713"/>
      <c r="QF673" s="713"/>
      <c r="QG673" s="713"/>
      <c r="QH673" s="713"/>
      <c r="QI673" s="713"/>
      <c r="QJ673" s="713"/>
      <c r="QK673" s="713"/>
      <c r="QL673" s="713"/>
      <c r="QM673" s="713"/>
      <c r="QN673" s="713"/>
      <c r="QO673" s="713"/>
      <c r="QP673" s="713"/>
      <c r="QQ673" s="713"/>
      <c r="QR673" s="713"/>
      <c r="QS673" s="713"/>
      <c r="QT673" s="713"/>
      <c r="QU673" s="713"/>
      <c r="QV673" s="713"/>
      <c r="QW673" s="713"/>
      <c r="QX673" s="713"/>
      <c r="QY673" s="713"/>
      <c r="QZ673" s="713"/>
      <c r="RA673" s="713"/>
      <c r="RB673" s="713"/>
      <c r="RC673" s="713"/>
      <c r="RD673" s="713"/>
      <c r="RE673" s="713"/>
      <c r="RF673" s="713"/>
      <c r="RG673" s="713"/>
      <c r="RH673" s="713"/>
      <c r="RI673" s="713"/>
      <c r="RJ673" s="713"/>
      <c r="RK673" s="713"/>
      <c r="RL673" s="713"/>
      <c r="RM673" s="713"/>
      <c r="RN673" s="713"/>
      <c r="RO673" s="713"/>
      <c r="RP673" s="713"/>
      <c r="RQ673" s="713"/>
      <c r="RR673" s="713"/>
      <c r="RS673" s="713"/>
      <c r="RT673" s="713"/>
      <c r="RU673" s="713"/>
      <c r="RV673" s="713"/>
      <c r="RW673" s="713"/>
      <c r="RX673" s="713"/>
      <c r="RY673" s="713"/>
      <c r="RZ673" s="713"/>
      <c r="SA673" s="713"/>
      <c r="SB673" s="713"/>
      <c r="SC673" s="713"/>
      <c r="SD673" s="713"/>
      <c r="SE673" s="713"/>
      <c r="SF673" s="713"/>
      <c r="SG673" s="713"/>
      <c r="SH673" s="713"/>
      <c r="SI673" s="713"/>
      <c r="SJ673" s="713"/>
      <c r="SK673" s="713"/>
      <c r="SL673" s="713"/>
      <c r="SM673" s="713"/>
      <c r="SN673" s="713"/>
      <c r="SO673" s="713"/>
      <c r="SP673" s="713"/>
      <c r="SQ673" s="713"/>
      <c r="SR673" s="713"/>
      <c r="SS673" s="713"/>
      <c r="ST673" s="713"/>
      <c r="SU673" s="713"/>
      <c r="SV673" s="713"/>
      <c r="SW673" s="713"/>
      <c r="SX673" s="713"/>
      <c r="SY673" s="713"/>
      <c r="SZ673" s="713"/>
      <c r="TA673" s="713"/>
      <c r="TB673" s="713"/>
      <c r="TC673" s="713"/>
      <c r="TD673" s="713"/>
      <c r="TE673" s="713"/>
      <c r="TF673" s="713"/>
      <c r="TG673" s="713"/>
      <c r="TH673" s="713"/>
      <c r="TI673" s="713"/>
      <c r="TJ673" s="713"/>
      <c r="TK673" s="713"/>
      <c r="TL673" s="713"/>
      <c r="TM673" s="713"/>
      <c r="TN673" s="713"/>
      <c r="TO673" s="713"/>
      <c r="TP673" s="713"/>
      <c r="TQ673" s="713"/>
      <c r="TR673" s="713"/>
      <c r="TS673" s="713"/>
      <c r="TT673" s="713"/>
      <c r="TU673" s="713"/>
      <c r="TV673" s="713"/>
      <c r="TW673" s="713"/>
      <c r="TX673" s="713"/>
      <c r="TY673" s="713"/>
      <c r="TZ673" s="713"/>
      <c r="UA673" s="713"/>
      <c r="UB673" s="713"/>
      <c r="UC673" s="713"/>
      <c r="UD673" s="713"/>
      <c r="UE673" s="713"/>
      <c r="UF673" s="713"/>
      <c r="UG673" s="713"/>
      <c r="UH673" s="713"/>
      <c r="UI673" s="713"/>
      <c r="UJ673" s="713"/>
      <c r="UK673" s="713"/>
      <c r="UL673" s="713"/>
      <c r="UM673" s="713"/>
      <c r="UN673" s="713"/>
      <c r="UO673" s="713"/>
      <c r="UP673" s="713"/>
      <c r="UQ673" s="713"/>
      <c r="UR673" s="713"/>
      <c r="US673" s="713"/>
      <c r="UT673" s="713"/>
      <c r="UU673" s="713"/>
      <c r="UV673" s="713"/>
      <c r="UW673" s="713"/>
      <c r="UX673" s="713"/>
      <c r="UY673" s="713"/>
      <c r="UZ673" s="713"/>
      <c r="VA673" s="713"/>
      <c r="VB673" s="713"/>
      <c r="VC673" s="713"/>
      <c r="VD673" s="713"/>
      <c r="VE673" s="713"/>
      <c r="VF673" s="713"/>
      <c r="VG673" s="713"/>
      <c r="VH673" s="713"/>
      <c r="VI673" s="713"/>
      <c r="VJ673" s="713"/>
      <c r="VK673" s="713"/>
      <c r="VL673" s="713"/>
      <c r="VM673" s="713"/>
      <c r="VN673" s="713"/>
      <c r="VO673" s="713"/>
      <c r="VP673" s="713"/>
      <c r="VQ673" s="713"/>
      <c r="VR673" s="713"/>
      <c r="VS673" s="713"/>
      <c r="VT673" s="713"/>
      <c r="VU673" s="713"/>
      <c r="VV673" s="713"/>
      <c r="VW673" s="713"/>
      <c r="VX673" s="713"/>
      <c r="VY673" s="713"/>
      <c r="VZ673" s="713"/>
      <c r="WA673" s="713"/>
      <c r="WB673" s="713"/>
      <c r="WC673" s="713"/>
      <c r="WD673" s="713"/>
      <c r="WE673" s="713"/>
      <c r="WF673" s="713"/>
      <c r="WG673" s="713"/>
      <c r="WH673" s="713"/>
      <c r="WI673" s="713"/>
      <c r="WJ673" s="713"/>
      <c r="WK673" s="713"/>
      <c r="WL673" s="713"/>
      <c r="WM673" s="713"/>
      <c r="WN673" s="713"/>
      <c r="WO673" s="713"/>
      <c r="WP673" s="713"/>
      <c r="WQ673" s="713"/>
      <c r="WR673" s="713"/>
      <c r="WS673" s="713"/>
      <c r="WT673" s="713"/>
      <c r="WU673" s="713"/>
      <c r="WV673" s="713"/>
      <c r="WW673" s="713"/>
      <c r="WX673" s="713"/>
      <c r="WY673" s="713"/>
      <c r="WZ673" s="713"/>
      <c r="XA673" s="713"/>
      <c r="XB673" s="713"/>
      <c r="XC673" s="713"/>
      <c r="XD673" s="713"/>
      <c r="XE673" s="713"/>
      <c r="XF673" s="713"/>
      <c r="XG673" s="713"/>
      <c r="XH673" s="713"/>
      <c r="XI673" s="713"/>
      <c r="XJ673" s="713"/>
      <c r="XK673" s="713"/>
      <c r="XL673" s="713"/>
      <c r="XM673" s="713"/>
      <c r="XN673" s="713"/>
      <c r="XO673" s="713"/>
      <c r="XP673" s="713"/>
      <c r="XQ673" s="713"/>
      <c r="XR673" s="713"/>
      <c r="XS673" s="713"/>
      <c r="XT673" s="713"/>
      <c r="XU673" s="713"/>
      <c r="XV673" s="713"/>
      <c r="XW673" s="713"/>
      <c r="XX673" s="713"/>
      <c r="XY673" s="713"/>
      <c r="XZ673" s="713"/>
      <c r="YA673" s="713"/>
      <c r="YB673" s="713"/>
      <c r="YC673" s="713"/>
      <c r="YD673" s="713"/>
      <c r="YE673" s="713"/>
      <c r="YF673" s="713"/>
      <c r="YG673" s="713"/>
      <c r="YH673" s="713"/>
      <c r="YI673" s="713"/>
      <c r="YJ673" s="713"/>
      <c r="YK673" s="713"/>
      <c r="YL673" s="713"/>
      <c r="YM673" s="713"/>
      <c r="YN673" s="713"/>
      <c r="YO673" s="713"/>
      <c r="YP673" s="713"/>
      <c r="YQ673" s="713"/>
      <c r="YR673" s="713"/>
      <c r="YS673" s="713"/>
      <c r="YT673" s="713"/>
      <c r="YU673" s="713"/>
      <c r="YV673" s="713"/>
      <c r="YW673" s="713"/>
      <c r="YX673" s="713"/>
      <c r="YY673" s="713"/>
      <c r="YZ673" s="713"/>
      <c r="ZA673" s="713"/>
      <c r="ZB673" s="713"/>
      <c r="ZC673" s="713"/>
      <c r="ZD673" s="713"/>
      <c r="ZE673" s="713"/>
      <c r="ZF673" s="713"/>
      <c r="ZG673" s="713"/>
      <c r="ZH673" s="713"/>
      <c r="ZI673" s="713"/>
      <c r="ZJ673" s="713"/>
      <c r="ZK673" s="713"/>
      <c r="ZL673" s="713"/>
      <c r="ZM673" s="713"/>
      <c r="ZN673" s="713"/>
      <c r="ZO673" s="713"/>
      <c r="ZP673" s="713"/>
      <c r="ZQ673" s="713"/>
      <c r="ZR673" s="713"/>
      <c r="ZS673" s="713"/>
      <c r="ZT673" s="713"/>
      <c r="ZU673" s="713"/>
      <c r="ZV673" s="713"/>
      <c r="ZW673" s="713"/>
      <c r="ZX673" s="713"/>
      <c r="ZY673" s="713"/>
      <c r="ZZ673" s="713"/>
      <c r="AAA673" s="713"/>
      <c r="AAB673" s="713"/>
      <c r="AAC673" s="713"/>
      <c r="AAD673" s="713"/>
      <c r="AAE673" s="713"/>
      <c r="AAF673" s="713"/>
      <c r="AAG673" s="713"/>
      <c r="AAH673" s="713"/>
      <c r="AAI673" s="713"/>
      <c r="AAJ673" s="713"/>
      <c r="AAK673" s="713"/>
      <c r="AAL673" s="713"/>
      <c r="AAM673" s="713"/>
      <c r="AAN673" s="713"/>
      <c r="AAO673" s="713"/>
      <c r="AAP673" s="713"/>
      <c r="AAQ673" s="713"/>
      <c r="AAR673" s="713"/>
      <c r="AAS673" s="713"/>
      <c r="AAT673" s="713"/>
      <c r="AAU673" s="713"/>
      <c r="AAV673" s="713"/>
      <c r="AAW673" s="713"/>
      <c r="AAX673" s="713"/>
      <c r="AAY673" s="713"/>
      <c r="AAZ673" s="713"/>
      <c r="ABA673" s="713"/>
      <c r="ABB673" s="713"/>
      <c r="ABC673" s="713"/>
      <c r="ABD673" s="713"/>
      <c r="ABE673" s="713"/>
      <c r="ABF673" s="713"/>
      <c r="ABG673" s="713"/>
      <c r="ABH673" s="713"/>
      <c r="ABI673" s="713"/>
      <c r="ABJ673" s="713"/>
      <c r="ABK673" s="713"/>
      <c r="ABL673" s="713"/>
      <c r="ABM673" s="713"/>
      <c r="ABN673" s="713"/>
      <c r="ABO673" s="713"/>
      <c r="ABP673" s="713"/>
      <c r="ABQ673" s="713"/>
      <c r="ABR673" s="713"/>
      <c r="ABS673" s="713"/>
      <c r="ABT673" s="713"/>
      <c r="ABU673" s="713"/>
      <c r="ABV673" s="713"/>
      <c r="ABW673" s="713"/>
      <c r="ABX673" s="713"/>
      <c r="ABY673" s="713"/>
      <c r="ABZ673" s="713"/>
      <c r="ACA673" s="713"/>
      <c r="ACB673" s="713"/>
      <c r="ACC673" s="713"/>
      <c r="ACD673" s="713"/>
      <c r="ACE673" s="713"/>
      <c r="ACF673" s="713"/>
      <c r="ACG673" s="713"/>
      <c r="ACH673" s="713"/>
      <c r="ACI673" s="713"/>
      <c r="ACJ673" s="713"/>
      <c r="ACK673" s="713"/>
      <c r="ACL673" s="713"/>
      <c r="ACM673" s="713"/>
      <c r="ACN673" s="713"/>
      <c r="ACO673" s="713"/>
      <c r="ACP673" s="713"/>
      <c r="ACQ673" s="713"/>
      <c r="ACR673" s="713"/>
      <c r="ACS673" s="713"/>
      <c r="ACT673" s="713"/>
      <c r="ACU673" s="713"/>
      <c r="ACV673" s="713"/>
      <c r="ACW673" s="713"/>
      <c r="ACX673" s="713"/>
      <c r="ACY673" s="713"/>
      <c r="ACZ673" s="713"/>
      <c r="ADA673" s="713"/>
      <c r="ADB673" s="713"/>
      <c r="ADC673" s="713"/>
      <c r="ADD673" s="713"/>
      <c r="ADE673" s="713"/>
      <c r="ADF673" s="713"/>
      <c r="ADG673" s="713"/>
      <c r="ADH673" s="713"/>
      <c r="ADI673" s="713"/>
      <c r="ADJ673" s="713"/>
      <c r="ADK673" s="713"/>
      <c r="ADL673" s="713"/>
      <c r="ADM673" s="713"/>
      <c r="ADN673" s="713"/>
      <c r="ADO673" s="713"/>
      <c r="ADP673" s="713"/>
      <c r="ADQ673" s="713"/>
      <c r="ADR673" s="713"/>
      <c r="ADS673" s="713"/>
      <c r="ADT673" s="713"/>
      <c r="ADU673" s="713"/>
      <c r="ADV673" s="713"/>
      <c r="ADW673" s="713"/>
      <c r="ADX673" s="713"/>
      <c r="ADY673" s="713"/>
      <c r="ADZ673" s="713"/>
      <c r="AEA673" s="713"/>
      <c r="AEB673" s="713"/>
      <c r="AEC673" s="713"/>
      <c r="AED673" s="713"/>
      <c r="AEE673" s="713"/>
      <c r="AEF673" s="713"/>
      <c r="AEG673" s="713"/>
      <c r="AEH673" s="713"/>
      <c r="AEI673" s="713"/>
      <c r="AEJ673" s="713"/>
      <c r="AEK673" s="713"/>
      <c r="AEL673" s="713"/>
      <c r="AEM673" s="713"/>
      <c r="AEN673" s="713"/>
      <c r="AEO673" s="713"/>
      <c r="AEP673" s="713"/>
      <c r="AEQ673" s="713"/>
      <c r="AER673" s="713"/>
      <c r="AES673" s="713"/>
      <c r="AET673" s="713"/>
      <c r="AEU673" s="713"/>
      <c r="AEV673" s="713"/>
      <c r="AEW673" s="713"/>
      <c r="AEX673" s="713"/>
      <c r="AEY673" s="713"/>
      <c r="AEZ673" s="713"/>
      <c r="AFA673" s="713"/>
      <c r="AFB673" s="713"/>
      <c r="AFC673" s="713"/>
      <c r="AFD673" s="713"/>
      <c r="AFE673" s="713"/>
      <c r="AFF673" s="713"/>
      <c r="AFG673" s="713"/>
      <c r="AFH673" s="713"/>
      <c r="AFI673" s="713"/>
      <c r="AFJ673" s="713"/>
      <c r="AFK673" s="713"/>
      <c r="AFL673" s="713"/>
      <c r="AFM673" s="713"/>
      <c r="AFN673" s="713"/>
      <c r="AFO673" s="713"/>
      <c r="AFP673" s="713"/>
      <c r="AFQ673" s="713"/>
      <c r="AFR673" s="713"/>
      <c r="AFS673" s="713"/>
      <c r="AFT673" s="713"/>
      <c r="AFU673" s="713"/>
      <c r="AFV673" s="713"/>
      <c r="AFW673" s="713"/>
      <c r="AFX673" s="713"/>
      <c r="AFY673" s="713"/>
      <c r="AFZ673" s="713"/>
      <c r="AGA673" s="713"/>
      <c r="AGB673" s="713"/>
      <c r="AGC673" s="713"/>
      <c r="AGD673" s="713"/>
      <c r="AGE673" s="713"/>
      <c r="AGF673" s="713"/>
      <c r="AGG673" s="713"/>
      <c r="AGH673" s="713"/>
      <c r="AGI673" s="713"/>
      <c r="AGJ673" s="713"/>
      <c r="AGK673" s="713"/>
      <c r="AGL673" s="713"/>
      <c r="AGM673" s="713"/>
      <c r="AGN673" s="713"/>
      <c r="AGO673" s="713"/>
      <c r="AGP673" s="713"/>
      <c r="AGQ673" s="713"/>
      <c r="AGR673" s="713"/>
      <c r="AGS673" s="713"/>
      <c r="AGT673" s="713"/>
      <c r="AGU673" s="713"/>
      <c r="AGV673" s="713"/>
      <c r="AGW673" s="713"/>
      <c r="AGX673" s="713"/>
      <c r="AGY673" s="713"/>
      <c r="AGZ673" s="713"/>
      <c r="AHA673" s="713"/>
      <c r="AHB673" s="713"/>
      <c r="AHC673" s="713"/>
      <c r="AHD673" s="713"/>
      <c r="AHE673" s="713"/>
      <c r="AHF673" s="713"/>
      <c r="AHG673" s="713"/>
      <c r="AHH673" s="713"/>
      <c r="AHI673" s="713"/>
      <c r="AHJ673" s="713"/>
      <c r="AHK673" s="713"/>
      <c r="AHL673" s="713"/>
      <c r="AHM673" s="713"/>
      <c r="AHN673" s="713"/>
      <c r="AHO673" s="713"/>
      <c r="AHP673" s="713"/>
      <c r="AHQ673" s="713"/>
      <c r="AHR673" s="713"/>
      <c r="AHS673" s="713"/>
      <c r="AHT673" s="713"/>
      <c r="AHU673" s="713"/>
      <c r="AHV673" s="713"/>
      <c r="AHW673" s="713"/>
      <c r="AHX673" s="713"/>
      <c r="AHY673" s="713"/>
      <c r="AHZ673" s="713"/>
      <c r="AIA673" s="713"/>
      <c r="AIB673" s="713"/>
      <c r="AIC673" s="713"/>
      <c r="AID673" s="713"/>
      <c r="AIE673" s="713"/>
      <c r="AIF673" s="713"/>
      <c r="AIG673" s="713"/>
      <c r="AIH673" s="713"/>
      <c r="AII673" s="713"/>
      <c r="AIJ673" s="713"/>
      <c r="AIK673" s="713"/>
      <c r="AIL673" s="713"/>
      <c r="AIM673" s="713"/>
      <c r="AIN673" s="713"/>
      <c r="AIO673" s="713"/>
      <c r="AIP673" s="713"/>
      <c r="AIQ673" s="713"/>
      <c r="AIR673" s="713"/>
      <c r="AIS673" s="713"/>
      <c r="AIT673" s="713"/>
      <c r="AIU673" s="713"/>
      <c r="AIV673" s="713"/>
      <c r="AIW673" s="713"/>
      <c r="AIX673" s="713"/>
      <c r="AIY673" s="713"/>
      <c r="AIZ673" s="713"/>
      <c r="AJA673" s="713"/>
      <c r="AJB673" s="713"/>
      <c r="AJC673" s="713"/>
      <c r="AJD673" s="713"/>
      <c r="AJE673" s="713"/>
      <c r="AJF673" s="713"/>
      <c r="AJG673" s="713"/>
      <c r="AJH673" s="713"/>
      <c r="AJI673" s="713"/>
      <c r="AJJ673" s="713"/>
      <c r="AJK673" s="713"/>
      <c r="AJL673" s="713"/>
      <c r="AJM673" s="713"/>
      <c r="AJN673" s="713"/>
      <c r="AJO673" s="713"/>
      <c r="AJP673" s="713"/>
      <c r="AJQ673" s="713"/>
      <c r="AJR673" s="713"/>
      <c r="AJS673" s="713"/>
      <c r="AJT673" s="713"/>
      <c r="AJU673" s="713"/>
      <c r="AJV673" s="713"/>
      <c r="AJW673" s="713"/>
      <c r="AJX673" s="713"/>
      <c r="AJY673" s="713"/>
      <c r="AJZ673" s="713"/>
      <c r="AKA673" s="713"/>
      <c r="AKB673" s="713"/>
      <c r="AKC673" s="713"/>
      <c r="AKD673" s="713"/>
      <c r="AKE673" s="713"/>
      <c r="AKF673" s="713"/>
      <c r="AKG673" s="713"/>
      <c r="AKH673" s="713"/>
      <c r="AKI673" s="713"/>
      <c r="AKJ673" s="713"/>
      <c r="AKK673" s="713"/>
      <c r="AKL673" s="713"/>
      <c r="AKM673" s="713"/>
      <c r="AKN673" s="713"/>
      <c r="AKO673" s="713"/>
      <c r="AKP673" s="713"/>
      <c r="AKQ673" s="713"/>
      <c r="AKR673" s="713"/>
      <c r="AKS673" s="713"/>
      <c r="AKT673" s="713"/>
      <c r="AKU673" s="713"/>
      <c r="AKV673" s="713"/>
      <c r="AKW673" s="713"/>
      <c r="AKX673" s="713"/>
      <c r="AKY673" s="713"/>
      <c r="AKZ673" s="713"/>
      <c r="ALA673" s="713"/>
      <c r="ALB673" s="713"/>
      <c r="ALC673" s="713"/>
      <c r="ALD673" s="713"/>
      <c r="ALE673" s="713"/>
      <c r="ALF673" s="713"/>
      <c r="ALG673" s="713"/>
      <c r="ALH673" s="713"/>
      <c r="ALI673" s="713"/>
      <c r="ALJ673" s="713"/>
      <c r="ALK673" s="713"/>
      <c r="ALL673" s="713"/>
      <c r="ALM673" s="713"/>
      <c r="ALN673" s="713"/>
      <c r="ALO673" s="713"/>
      <c r="ALP673" s="713"/>
      <c r="ALQ673" s="713"/>
      <c r="ALR673" s="713"/>
      <c r="ALS673" s="713"/>
      <c r="ALT673" s="713"/>
      <c r="ALU673" s="713"/>
      <c r="ALV673" s="713"/>
      <c r="ALW673" s="713"/>
      <c r="ALX673" s="713"/>
      <c r="ALY673" s="713"/>
      <c r="ALZ673" s="713"/>
      <c r="AMA673" s="713"/>
      <c r="AMB673" s="713"/>
      <c r="AMC673" s="713"/>
      <c r="AMD673" s="713"/>
      <c r="AME673" s="713"/>
      <c r="AMF673" s="713"/>
      <c r="AMG673" s="713"/>
      <c r="AMH673" s="713"/>
      <c r="AMI673" s="713"/>
      <c r="AMJ673" s="713"/>
      <c r="AMK673" s="713"/>
      <c r="AML673" s="713"/>
      <c r="AMM673" s="713"/>
      <c r="AMN673" s="713"/>
      <c r="AMO673" s="713"/>
      <c r="AMP673" s="713"/>
      <c r="AMQ673" s="713"/>
      <c r="AMR673" s="713"/>
      <c r="AMS673" s="713"/>
      <c r="AMT673" s="713"/>
      <c r="AMU673" s="713"/>
      <c r="AMV673" s="713"/>
      <c r="AMW673" s="713"/>
      <c r="AMX673" s="713"/>
      <c r="AMY673" s="713"/>
      <c r="AMZ673" s="713"/>
      <c r="ANA673" s="713"/>
      <c r="ANB673" s="713"/>
      <c r="ANC673" s="713"/>
      <c r="AND673" s="713"/>
      <c r="ANE673" s="713"/>
      <c r="ANF673" s="713"/>
      <c r="ANG673" s="713"/>
      <c r="ANH673" s="713"/>
      <c r="ANI673" s="713"/>
      <c r="ANJ673" s="713"/>
      <c r="ANK673" s="713"/>
      <c r="ANL673" s="713"/>
      <c r="ANM673" s="713"/>
      <c r="ANN673" s="713"/>
      <c r="ANO673" s="713"/>
      <c r="ANP673" s="713"/>
      <c r="ANQ673" s="713"/>
      <c r="ANR673" s="713"/>
      <c r="ANS673" s="713"/>
      <c r="ANT673" s="713"/>
      <c r="ANU673" s="713"/>
      <c r="ANV673" s="713"/>
      <c r="ANW673" s="713"/>
      <c r="ANX673" s="713"/>
      <c r="ANY673" s="713"/>
      <c r="ANZ673" s="713"/>
      <c r="AOA673" s="713"/>
      <c r="AOB673" s="713"/>
      <c r="AOC673" s="713"/>
      <c r="AOD673" s="713"/>
      <c r="AOE673" s="713"/>
      <c r="AOF673" s="713"/>
      <c r="AOG673" s="713"/>
      <c r="AOH673" s="713"/>
      <c r="AOI673" s="713"/>
      <c r="AOJ673" s="713"/>
      <c r="AOK673" s="713"/>
      <c r="AOL673" s="713"/>
      <c r="AOM673" s="713"/>
      <c r="AON673" s="713"/>
      <c r="AOO673" s="713"/>
      <c r="AOP673" s="713"/>
      <c r="AOQ673" s="713"/>
      <c r="AOR673" s="713"/>
      <c r="AOS673" s="713"/>
      <c r="AOT673" s="713"/>
      <c r="AOU673" s="713"/>
      <c r="AOV673" s="713"/>
      <c r="AOW673" s="713"/>
      <c r="AOX673" s="713"/>
      <c r="AOY673" s="713"/>
      <c r="AOZ673" s="713"/>
      <c r="APA673" s="713"/>
      <c r="APB673" s="713"/>
      <c r="APC673" s="713"/>
      <c r="APD673" s="713"/>
      <c r="APE673" s="713"/>
      <c r="APF673" s="713"/>
      <c r="APG673" s="713"/>
      <c r="APH673" s="713"/>
      <c r="API673" s="713"/>
      <c r="APJ673" s="713"/>
      <c r="APK673" s="713"/>
      <c r="APL673" s="713"/>
      <c r="APM673" s="713"/>
      <c r="APN673" s="713"/>
      <c r="APO673" s="713"/>
      <c r="APP673" s="713"/>
      <c r="APQ673" s="713"/>
      <c r="APR673" s="713"/>
      <c r="APS673" s="713"/>
      <c r="APT673" s="713"/>
      <c r="APU673" s="713"/>
      <c r="APV673" s="713"/>
      <c r="APW673" s="713"/>
      <c r="APX673" s="713"/>
      <c r="APY673" s="713"/>
      <c r="APZ673" s="713"/>
      <c r="AQA673" s="713"/>
      <c r="AQB673" s="713"/>
      <c r="AQC673" s="713"/>
      <c r="AQD673" s="713"/>
      <c r="AQE673" s="713"/>
      <c r="AQF673" s="713"/>
      <c r="AQG673" s="713"/>
      <c r="AQH673" s="713"/>
      <c r="AQI673" s="713"/>
      <c r="AQJ673" s="713"/>
      <c r="AQK673" s="713"/>
      <c r="AQL673" s="713"/>
      <c r="AQM673" s="713"/>
      <c r="AQN673" s="713"/>
      <c r="AQO673" s="713"/>
      <c r="AQP673" s="713"/>
      <c r="AQQ673" s="713"/>
      <c r="AQR673" s="713"/>
      <c r="AQS673" s="713"/>
      <c r="AQT673" s="713"/>
      <c r="AQU673" s="713"/>
      <c r="AQV673" s="713"/>
      <c r="AQW673" s="713"/>
      <c r="AQX673" s="713"/>
      <c r="AQY673" s="713"/>
      <c r="AQZ673" s="713"/>
      <c r="ARA673" s="713"/>
      <c r="ARB673" s="713"/>
      <c r="ARC673" s="713"/>
      <c r="ARD673" s="713"/>
      <c r="ARE673" s="713"/>
      <c r="ARF673" s="713"/>
      <c r="ARG673" s="713"/>
      <c r="ARH673" s="713"/>
      <c r="ARI673" s="713"/>
      <c r="ARJ673" s="713"/>
      <c r="ARK673" s="713"/>
      <c r="ARL673" s="713"/>
      <c r="ARM673" s="713"/>
      <c r="ARN673" s="713"/>
      <c r="ARO673" s="713"/>
      <c r="ARP673" s="713"/>
      <c r="ARQ673" s="713"/>
      <c r="ARR673" s="713"/>
      <c r="ARS673" s="713"/>
      <c r="ART673" s="713"/>
      <c r="ARU673" s="713"/>
      <c r="ARV673" s="713"/>
      <c r="ARW673" s="713"/>
      <c r="ARX673" s="713"/>
      <c r="ARY673" s="713"/>
      <c r="ARZ673" s="713"/>
      <c r="ASA673" s="713"/>
      <c r="ASB673" s="713"/>
      <c r="ASC673" s="713"/>
      <c r="ASD673" s="713"/>
      <c r="ASE673" s="713"/>
      <c r="ASF673" s="713"/>
      <c r="ASG673" s="713"/>
      <c r="ASH673" s="713"/>
      <c r="ASI673" s="713"/>
      <c r="ASJ673" s="713"/>
      <c r="ASK673" s="713"/>
      <c r="ASL673" s="713"/>
      <c r="ASM673" s="713"/>
      <c r="ASN673" s="713"/>
      <c r="ASO673" s="713"/>
      <c r="ASP673" s="713"/>
      <c r="ASQ673" s="713"/>
      <c r="ASR673" s="713"/>
      <c r="ASS673" s="713"/>
      <c r="AST673" s="713"/>
      <c r="ASU673" s="713"/>
      <c r="ASV673" s="713"/>
      <c r="ASW673" s="713"/>
      <c r="ASX673" s="713"/>
      <c r="ASY673" s="713"/>
      <c r="ASZ673" s="713"/>
      <c r="ATA673" s="713"/>
      <c r="ATB673" s="713"/>
      <c r="ATC673" s="713"/>
      <c r="ATD673" s="713"/>
      <c r="ATE673" s="713"/>
      <c r="ATF673" s="713"/>
      <c r="ATG673" s="713"/>
      <c r="ATH673" s="713"/>
      <c r="ATI673" s="713"/>
      <c r="ATJ673" s="713"/>
      <c r="ATK673" s="713"/>
      <c r="ATL673" s="713"/>
      <c r="ATM673" s="713"/>
      <c r="ATN673" s="713"/>
      <c r="ATO673" s="713"/>
      <c r="ATP673" s="713"/>
      <c r="ATQ673" s="713"/>
      <c r="ATR673" s="713"/>
      <c r="ATS673" s="713"/>
      <c r="ATT673" s="713"/>
      <c r="ATU673" s="713"/>
      <c r="ATV673" s="713"/>
      <c r="ATW673" s="713"/>
      <c r="ATX673" s="713"/>
      <c r="ATY673" s="713"/>
      <c r="ATZ673" s="713"/>
      <c r="AUA673" s="713"/>
      <c r="AUB673" s="713"/>
      <c r="AUC673" s="713"/>
      <c r="AUD673" s="713"/>
      <c r="AUE673" s="713"/>
      <c r="AUF673" s="713"/>
      <c r="AUG673" s="713"/>
      <c r="AUH673" s="713"/>
      <c r="AUI673" s="713"/>
      <c r="AUJ673" s="713"/>
      <c r="AUK673" s="713"/>
      <c r="AUL673" s="713"/>
      <c r="AUM673" s="713"/>
      <c r="AUN673" s="713"/>
      <c r="AUO673" s="713"/>
      <c r="AUP673" s="713"/>
      <c r="AUQ673" s="713"/>
      <c r="AUR673" s="713"/>
      <c r="AUS673" s="713"/>
      <c r="AUT673" s="713"/>
      <c r="AUU673" s="713"/>
      <c r="AUV673" s="713"/>
      <c r="AUW673" s="713"/>
      <c r="AUX673" s="713"/>
      <c r="AUY673" s="713"/>
      <c r="AUZ673" s="713"/>
      <c r="AVA673" s="713"/>
      <c r="AVB673" s="713"/>
      <c r="AVC673" s="713"/>
      <c r="AVD673" s="713"/>
      <c r="AVE673" s="713"/>
      <c r="AVF673" s="713"/>
      <c r="AVG673" s="713"/>
      <c r="AVH673" s="713"/>
      <c r="AVI673" s="713"/>
      <c r="AVJ673" s="713"/>
      <c r="AVK673" s="713"/>
      <c r="AVL673" s="713"/>
      <c r="AVM673" s="713"/>
      <c r="AVN673" s="713"/>
      <c r="AVO673" s="713"/>
      <c r="AVP673" s="713"/>
      <c r="AVQ673" s="713"/>
      <c r="AVR673" s="713"/>
      <c r="AVS673" s="713"/>
      <c r="AVT673" s="713"/>
      <c r="AVU673" s="713"/>
      <c r="AVV673" s="713"/>
      <c r="AVW673" s="713"/>
      <c r="AVX673" s="713"/>
      <c r="AVY673" s="713"/>
      <c r="AVZ673" s="713"/>
      <c r="AWA673" s="713"/>
      <c r="AWB673" s="713"/>
      <c r="AWC673" s="713"/>
      <c r="AWD673" s="713"/>
      <c r="AWE673" s="713"/>
      <c r="AWF673" s="713"/>
      <c r="AWG673" s="713"/>
      <c r="AWH673" s="713"/>
      <c r="AWI673" s="713"/>
      <c r="AWJ673" s="713"/>
      <c r="AWK673" s="713"/>
      <c r="AWL673" s="713"/>
      <c r="AWM673" s="713"/>
      <c r="AWN673" s="713"/>
      <c r="AWO673" s="713"/>
      <c r="AWP673" s="713"/>
      <c r="AWQ673" s="713"/>
      <c r="AWR673" s="713"/>
      <c r="AWS673" s="713"/>
      <c r="AWT673" s="713"/>
      <c r="AWU673" s="713"/>
      <c r="AWV673" s="713"/>
      <c r="AWW673" s="713"/>
      <c r="AWX673" s="713"/>
      <c r="AWY673" s="713"/>
      <c r="AWZ673" s="713"/>
      <c r="AXA673" s="713"/>
      <c r="AXB673" s="713"/>
      <c r="AXC673" s="713"/>
      <c r="AXD673" s="713"/>
      <c r="AXE673" s="713"/>
      <c r="AXF673" s="713"/>
      <c r="AXG673" s="713"/>
      <c r="AXH673" s="713"/>
      <c r="AXI673" s="713"/>
      <c r="AXJ673" s="713"/>
      <c r="AXK673" s="713"/>
      <c r="AXL673" s="713"/>
      <c r="AXM673" s="713"/>
      <c r="AXN673" s="713"/>
      <c r="AXO673" s="713"/>
      <c r="AXP673" s="713"/>
      <c r="AXQ673" s="713"/>
      <c r="AXR673" s="713"/>
      <c r="AXS673" s="713"/>
      <c r="AXT673" s="713"/>
      <c r="AXU673" s="713"/>
      <c r="AXV673" s="713"/>
      <c r="AXW673" s="713"/>
      <c r="AXX673" s="713"/>
      <c r="AXY673" s="713"/>
      <c r="AXZ673" s="713"/>
      <c r="AYA673" s="713"/>
      <c r="AYB673" s="713"/>
      <c r="AYC673" s="713"/>
      <c r="AYD673" s="713"/>
      <c r="AYE673" s="713"/>
      <c r="AYF673" s="713"/>
      <c r="AYG673" s="713"/>
      <c r="AYH673" s="713"/>
      <c r="AYI673" s="713"/>
      <c r="AYJ673" s="713"/>
      <c r="AYK673" s="713"/>
      <c r="AYL673" s="713"/>
      <c r="AYM673" s="713"/>
      <c r="AYN673" s="713"/>
      <c r="AYO673" s="713"/>
      <c r="AYP673" s="713"/>
      <c r="AYQ673" s="713"/>
      <c r="AYR673" s="713"/>
      <c r="AYS673" s="713"/>
      <c r="AYT673" s="713"/>
      <c r="AYU673" s="713"/>
      <c r="AYV673" s="713"/>
      <c r="AYW673" s="713"/>
      <c r="AYX673" s="713"/>
      <c r="AYY673" s="713"/>
      <c r="AYZ673" s="713"/>
      <c r="AZA673" s="713"/>
      <c r="AZB673" s="713"/>
      <c r="AZC673" s="713"/>
      <c r="AZD673" s="713"/>
      <c r="AZE673" s="713"/>
      <c r="AZF673" s="713"/>
      <c r="AZG673" s="713"/>
      <c r="AZH673" s="713"/>
      <c r="AZI673" s="713"/>
      <c r="AZJ673" s="713"/>
      <c r="AZK673" s="713"/>
      <c r="AZL673" s="713"/>
      <c r="AZM673" s="713"/>
      <c r="AZN673" s="713"/>
      <c r="AZO673" s="713"/>
      <c r="AZP673" s="713"/>
      <c r="AZQ673" s="713"/>
      <c r="AZR673" s="713"/>
      <c r="AZS673" s="713"/>
      <c r="AZT673" s="713"/>
      <c r="AZU673" s="713"/>
      <c r="AZV673" s="713"/>
      <c r="AZW673" s="713"/>
      <c r="AZX673" s="713"/>
      <c r="AZY673" s="713"/>
      <c r="AZZ673" s="713"/>
      <c r="BAA673" s="713"/>
      <c r="BAB673" s="713"/>
      <c r="BAC673" s="713"/>
      <c r="BAD673" s="713"/>
      <c r="BAE673" s="713"/>
      <c r="BAF673" s="713"/>
      <c r="BAG673" s="713"/>
      <c r="BAH673" s="713"/>
      <c r="BAI673" s="713"/>
      <c r="BAJ673" s="713"/>
      <c r="BAK673" s="713"/>
      <c r="BAL673" s="713"/>
      <c r="BAM673" s="713"/>
      <c r="BAN673" s="713"/>
      <c r="BAO673" s="713"/>
      <c r="BAP673" s="713"/>
      <c r="BAQ673" s="713"/>
      <c r="BAR673" s="713"/>
      <c r="BAS673" s="713"/>
      <c r="BAT673" s="713"/>
      <c r="BAU673" s="713"/>
      <c r="BAV673" s="713"/>
      <c r="BAW673" s="713"/>
      <c r="BAX673" s="713"/>
      <c r="BAY673" s="713"/>
      <c r="BAZ673" s="713"/>
      <c r="BBA673" s="713"/>
      <c r="BBB673" s="713"/>
      <c r="BBC673" s="713"/>
      <c r="BBD673" s="713"/>
      <c r="BBE673" s="713"/>
      <c r="BBF673" s="713"/>
      <c r="BBG673" s="713"/>
      <c r="BBH673" s="713"/>
      <c r="BBI673" s="713"/>
      <c r="BBJ673" s="713"/>
      <c r="BBK673" s="713"/>
      <c r="BBL673" s="713"/>
      <c r="BBM673" s="713"/>
      <c r="BBN673" s="713"/>
      <c r="BBO673" s="713"/>
      <c r="BBP673" s="713"/>
      <c r="BBQ673" s="713"/>
      <c r="BBR673" s="713"/>
      <c r="BBS673" s="713"/>
      <c r="BBT673" s="713"/>
      <c r="BBU673" s="713"/>
      <c r="BBV673" s="713"/>
      <c r="BBW673" s="713"/>
      <c r="BBX673" s="713"/>
      <c r="BBY673" s="713"/>
      <c r="BBZ673" s="713"/>
      <c r="BCA673" s="713"/>
      <c r="BCB673" s="713"/>
      <c r="BCC673" s="713"/>
      <c r="BCD673" s="713"/>
      <c r="BCE673" s="713"/>
      <c r="BCF673" s="713"/>
      <c r="BCG673" s="713"/>
      <c r="BCH673" s="713"/>
      <c r="BCI673" s="713"/>
      <c r="BCJ673" s="713"/>
      <c r="BCK673" s="713"/>
      <c r="BCL673" s="713"/>
      <c r="BCM673" s="713"/>
      <c r="BCN673" s="713"/>
      <c r="BCO673" s="713"/>
      <c r="BCP673" s="713"/>
      <c r="BCQ673" s="713"/>
      <c r="BCR673" s="713"/>
      <c r="BCS673" s="713"/>
      <c r="BCT673" s="713"/>
      <c r="BCU673" s="713"/>
      <c r="BCV673" s="713"/>
      <c r="BCW673" s="713"/>
      <c r="BCX673" s="713"/>
      <c r="BCY673" s="713"/>
      <c r="BCZ673" s="713"/>
      <c r="BDA673" s="713"/>
      <c r="BDB673" s="713"/>
      <c r="BDC673" s="713"/>
      <c r="BDD673" s="713"/>
      <c r="BDE673" s="713"/>
      <c r="BDF673" s="713"/>
      <c r="BDG673" s="713"/>
      <c r="BDH673" s="713"/>
      <c r="BDI673" s="713"/>
      <c r="BDJ673" s="713"/>
      <c r="BDK673" s="713"/>
      <c r="BDL673" s="713"/>
      <c r="BDM673" s="713"/>
      <c r="BDN673" s="713"/>
      <c r="BDO673" s="713"/>
      <c r="BDP673" s="713"/>
      <c r="BDQ673" s="713"/>
      <c r="BDR673" s="713"/>
      <c r="BDS673" s="713"/>
      <c r="BDT673" s="713"/>
      <c r="BDU673" s="713"/>
      <c r="BDV673" s="713"/>
      <c r="BDW673" s="713"/>
      <c r="BDX673" s="713"/>
      <c r="BDY673" s="713"/>
      <c r="BDZ673" s="713"/>
      <c r="BEA673" s="713"/>
      <c r="BEB673" s="713"/>
      <c r="BEC673" s="713"/>
      <c r="BED673" s="713"/>
      <c r="BEE673" s="713"/>
      <c r="BEF673" s="713"/>
      <c r="BEG673" s="713"/>
      <c r="BEH673" s="713"/>
      <c r="BEI673" s="713"/>
      <c r="BEJ673" s="713"/>
      <c r="BEK673" s="713"/>
      <c r="BEL673" s="713"/>
      <c r="BEM673" s="713"/>
      <c r="BEN673" s="713"/>
      <c r="BEO673" s="713"/>
      <c r="BEP673" s="713"/>
      <c r="BEQ673" s="713"/>
      <c r="BER673" s="713"/>
      <c r="BES673" s="713"/>
      <c r="BET673" s="713"/>
      <c r="BEU673" s="713"/>
      <c r="BEV673" s="713"/>
      <c r="BEW673" s="713"/>
      <c r="BEX673" s="713"/>
      <c r="BEY673" s="713"/>
      <c r="BEZ673" s="713"/>
      <c r="BFA673" s="713"/>
      <c r="BFB673" s="713"/>
      <c r="BFC673" s="713"/>
      <c r="BFD673" s="713"/>
      <c r="BFE673" s="713"/>
      <c r="BFF673" s="713"/>
      <c r="BFG673" s="713"/>
      <c r="BFH673" s="713"/>
      <c r="BFI673" s="713"/>
      <c r="BFJ673" s="713"/>
      <c r="BFK673" s="713"/>
      <c r="BFL673" s="713"/>
      <c r="BFM673" s="713"/>
      <c r="BFN673" s="713"/>
      <c r="BFO673" s="713"/>
      <c r="BFP673" s="713"/>
      <c r="BFQ673" s="713"/>
      <c r="BFR673" s="713"/>
      <c r="BFS673" s="713"/>
      <c r="BFT673" s="713"/>
      <c r="BFU673" s="713"/>
      <c r="BFV673" s="713"/>
      <c r="BFW673" s="713"/>
      <c r="BFX673" s="713"/>
      <c r="BFY673" s="713"/>
      <c r="BFZ673" s="713"/>
      <c r="BGA673" s="713"/>
      <c r="BGB673" s="713"/>
      <c r="BGC673" s="713"/>
      <c r="BGD673" s="713"/>
      <c r="BGE673" s="713"/>
      <c r="BGF673" s="713"/>
      <c r="BGG673" s="713"/>
      <c r="BGH673" s="713"/>
      <c r="BGI673" s="713"/>
      <c r="BGJ673" s="713"/>
      <c r="BGK673" s="713"/>
      <c r="BGL673" s="713"/>
      <c r="BGM673" s="713"/>
      <c r="BGN673" s="713"/>
      <c r="BGO673" s="713"/>
      <c r="BGP673" s="713"/>
      <c r="BGQ673" s="713"/>
      <c r="BGR673" s="713"/>
      <c r="BGS673" s="713"/>
      <c r="BGT673" s="713"/>
      <c r="BGU673" s="713"/>
      <c r="BGV673" s="713"/>
      <c r="BGW673" s="713"/>
      <c r="BGX673" s="713"/>
      <c r="BGY673" s="713"/>
      <c r="BGZ673" s="713"/>
      <c r="BHA673" s="713"/>
      <c r="BHB673" s="713"/>
      <c r="BHC673" s="713"/>
      <c r="BHD673" s="713"/>
      <c r="BHE673" s="713"/>
      <c r="BHF673" s="713"/>
      <c r="BHG673" s="713"/>
      <c r="BHH673" s="713"/>
      <c r="BHI673" s="713"/>
      <c r="BHJ673" s="713"/>
      <c r="BHK673" s="713"/>
      <c r="BHL673" s="713"/>
      <c r="BHM673" s="713"/>
      <c r="BHN673" s="713"/>
      <c r="BHO673" s="713"/>
      <c r="BHP673" s="713"/>
      <c r="BHQ673" s="713"/>
      <c r="BHR673" s="713"/>
      <c r="BHS673" s="713"/>
      <c r="BHT673" s="713"/>
      <c r="BHU673" s="713"/>
      <c r="BHV673" s="713"/>
      <c r="BHW673" s="713"/>
      <c r="BHX673" s="713"/>
      <c r="BHY673" s="713"/>
      <c r="BHZ673" s="713"/>
      <c r="BIA673" s="713"/>
      <c r="BIB673" s="713"/>
      <c r="BIC673" s="713"/>
      <c r="BID673" s="713"/>
      <c r="BIE673" s="713"/>
      <c r="BIF673" s="713"/>
      <c r="BIG673" s="713"/>
      <c r="BIH673" s="713"/>
      <c r="BII673" s="713"/>
      <c r="BIJ673" s="713"/>
      <c r="BIK673" s="713"/>
      <c r="BIL673" s="713"/>
      <c r="BIM673" s="713"/>
      <c r="BIN673" s="713"/>
      <c r="BIO673" s="713"/>
      <c r="BIP673" s="713"/>
      <c r="BIQ673" s="713"/>
      <c r="BIR673" s="713"/>
      <c r="BIS673" s="713"/>
      <c r="BIT673" s="713"/>
      <c r="BIU673" s="713"/>
      <c r="BIV673" s="713"/>
      <c r="BIW673" s="713"/>
      <c r="BIX673" s="713"/>
      <c r="BIY673" s="713"/>
      <c r="BIZ673" s="713"/>
      <c r="BJA673" s="713"/>
      <c r="BJB673" s="713"/>
      <c r="BJC673" s="713"/>
      <c r="BJD673" s="713"/>
      <c r="BJE673" s="713"/>
      <c r="BJF673" s="713"/>
      <c r="BJG673" s="713"/>
      <c r="BJH673" s="713"/>
      <c r="BJI673" s="713"/>
      <c r="BJJ673" s="713"/>
      <c r="BJK673" s="713"/>
      <c r="BJL673" s="713"/>
      <c r="BJM673" s="713"/>
      <c r="BJN673" s="713"/>
      <c r="BJO673" s="713"/>
      <c r="BJP673" s="713"/>
      <c r="BJQ673" s="713"/>
      <c r="BJR673" s="713"/>
      <c r="BJS673" s="713"/>
      <c r="BJT673" s="713"/>
      <c r="BJU673" s="713"/>
      <c r="BJV673" s="713"/>
      <c r="BJW673" s="713"/>
      <c r="BJX673" s="713"/>
      <c r="BJY673" s="713"/>
      <c r="BJZ673" s="713"/>
      <c r="BKA673" s="713"/>
      <c r="BKB673" s="713"/>
      <c r="BKC673" s="713"/>
      <c r="BKD673" s="713"/>
      <c r="BKE673" s="713"/>
      <c r="BKF673" s="713"/>
      <c r="BKG673" s="713"/>
      <c r="BKH673" s="713"/>
      <c r="BKI673" s="713"/>
      <c r="BKJ673" s="713"/>
      <c r="BKK673" s="713"/>
      <c r="BKL673" s="713"/>
      <c r="BKM673" s="713"/>
      <c r="BKN673" s="713"/>
      <c r="BKO673" s="713"/>
      <c r="BKP673" s="713"/>
      <c r="BKQ673" s="713"/>
      <c r="BKR673" s="713"/>
      <c r="BKS673" s="713"/>
      <c r="BKT673" s="713"/>
      <c r="BKU673" s="713"/>
      <c r="BKV673" s="713"/>
      <c r="BKW673" s="713"/>
      <c r="BKX673" s="713"/>
      <c r="BKY673" s="713"/>
      <c r="BKZ673" s="713"/>
      <c r="BLA673" s="713"/>
      <c r="BLB673" s="713"/>
      <c r="BLC673" s="713"/>
      <c r="BLD673" s="713"/>
      <c r="BLE673" s="713"/>
      <c r="BLF673" s="713"/>
      <c r="BLG673" s="713"/>
      <c r="BLH673" s="713"/>
      <c r="BLI673" s="713"/>
      <c r="BLJ673" s="713"/>
      <c r="BLK673" s="713"/>
      <c r="BLL673" s="713"/>
      <c r="BLM673" s="713"/>
      <c r="BLN673" s="713"/>
      <c r="BLO673" s="713"/>
      <c r="BLP673" s="713"/>
      <c r="BLQ673" s="713"/>
      <c r="BLR673" s="713"/>
      <c r="BLS673" s="713"/>
      <c r="BLT673" s="713"/>
      <c r="BLU673" s="713"/>
      <c r="BLV673" s="713"/>
      <c r="BLW673" s="713"/>
      <c r="BLX673" s="713"/>
      <c r="BLY673" s="713"/>
      <c r="BLZ673" s="713"/>
      <c r="BMA673" s="713"/>
      <c r="BMB673" s="713"/>
      <c r="BMC673" s="713"/>
      <c r="BMD673" s="713"/>
      <c r="BME673" s="713"/>
      <c r="BMF673" s="713"/>
      <c r="BMG673" s="713"/>
      <c r="BMH673" s="713"/>
      <c r="BMI673" s="713"/>
      <c r="BMJ673" s="713"/>
      <c r="BMK673" s="713"/>
      <c r="BML673" s="713"/>
      <c r="BMM673" s="713"/>
      <c r="BMN673" s="713"/>
      <c r="BMO673" s="713"/>
      <c r="BMP673" s="713"/>
      <c r="BMQ673" s="713"/>
      <c r="BMR673" s="713"/>
      <c r="BMS673" s="713"/>
      <c r="BMT673" s="713"/>
      <c r="BMU673" s="713"/>
      <c r="BMV673" s="713"/>
      <c r="BMW673" s="713"/>
      <c r="BMX673" s="713"/>
      <c r="BMY673" s="713"/>
      <c r="BMZ673" s="713"/>
      <c r="BNA673" s="713"/>
      <c r="BNB673" s="713"/>
      <c r="BNC673" s="713"/>
      <c r="BND673" s="713"/>
      <c r="BNE673" s="713"/>
      <c r="BNF673" s="713"/>
      <c r="BNG673" s="713"/>
      <c r="BNH673" s="713"/>
      <c r="BNI673" s="713"/>
      <c r="BNJ673" s="713"/>
      <c r="BNK673" s="713"/>
      <c r="BNL673" s="713"/>
      <c r="BNM673" s="713"/>
      <c r="BNN673" s="713"/>
      <c r="BNO673" s="713"/>
      <c r="BNP673" s="713"/>
      <c r="BNQ673" s="713"/>
      <c r="BNR673" s="713"/>
      <c r="BNS673" s="713"/>
      <c r="BNT673" s="713"/>
      <c r="BNU673" s="713"/>
      <c r="BNV673" s="713"/>
      <c r="BNW673" s="713"/>
      <c r="BNX673" s="713"/>
      <c r="BNY673" s="713"/>
      <c r="BNZ673" s="713"/>
      <c r="BOA673" s="713"/>
      <c r="BOB673" s="713"/>
      <c r="BOC673" s="713"/>
      <c r="BOD673" s="713"/>
      <c r="BOE673" s="713"/>
      <c r="BOF673" s="713"/>
      <c r="BOG673" s="713"/>
      <c r="BOH673" s="713"/>
      <c r="BOI673" s="713"/>
      <c r="BOJ673" s="713"/>
      <c r="BOK673" s="713"/>
      <c r="BOL673" s="713"/>
      <c r="BOM673" s="713"/>
      <c r="BON673" s="713"/>
      <c r="BOO673" s="713"/>
      <c r="BOP673" s="713"/>
      <c r="BOQ673" s="713"/>
      <c r="BOR673" s="713"/>
      <c r="BOS673" s="713"/>
      <c r="BOT673" s="713"/>
      <c r="BOU673" s="713"/>
      <c r="BOV673" s="713"/>
      <c r="BOW673" s="713"/>
      <c r="BOX673" s="713"/>
      <c r="BOY673" s="713"/>
      <c r="BOZ673" s="713"/>
      <c r="BPA673" s="713"/>
      <c r="BPB673" s="713"/>
      <c r="BPC673" s="713"/>
      <c r="BPD673" s="713"/>
      <c r="BPE673" s="713"/>
      <c r="BPF673" s="713"/>
      <c r="BPG673" s="713"/>
      <c r="BPH673" s="713"/>
      <c r="BPI673" s="713"/>
      <c r="BPJ673" s="713"/>
      <c r="BPK673" s="713"/>
      <c r="BPL673" s="713"/>
      <c r="BPM673" s="713"/>
      <c r="BPN673" s="713"/>
      <c r="BPO673" s="713"/>
      <c r="BPP673" s="713"/>
      <c r="BPQ673" s="713"/>
      <c r="BPR673" s="713"/>
      <c r="BPS673" s="713"/>
      <c r="BPT673" s="713"/>
      <c r="BPU673" s="713"/>
      <c r="BPV673" s="713"/>
      <c r="BPW673" s="713"/>
      <c r="BPX673" s="713"/>
      <c r="BPY673" s="713"/>
      <c r="BPZ673" s="713"/>
      <c r="BQA673" s="713"/>
      <c r="BQB673" s="713"/>
      <c r="BQC673" s="713"/>
      <c r="BQD673" s="713"/>
      <c r="BQE673" s="713"/>
      <c r="BQF673" s="713"/>
      <c r="BQG673" s="713"/>
      <c r="BQH673" s="713"/>
      <c r="BQI673" s="713"/>
      <c r="BQJ673" s="713"/>
      <c r="BQK673" s="713"/>
      <c r="BQL673" s="713"/>
      <c r="BQM673" s="713"/>
      <c r="BQN673" s="713"/>
      <c r="BQO673" s="713"/>
      <c r="BQP673" s="713"/>
      <c r="BQQ673" s="713"/>
      <c r="BQR673" s="713"/>
      <c r="BQS673" s="713"/>
      <c r="BQT673" s="713"/>
      <c r="BQU673" s="713"/>
      <c r="BQV673" s="713"/>
      <c r="BQW673" s="713"/>
      <c r="BQX673" s="713"/>
      <c r="BQY673" s="713"/>
      <c r="BQZ673" s="713"/>
      <c r="BRA673" s="713"/>
      <c r="BRB673" s="713"/>
      <c r="BRC673" s="713"/>
      <c r="BRD673" s="713"/>
      <c r="BRE673" s="713"/>
      <c r="BRF673" s="713"/>
      <c r="BRG673" s="713"/>
      <c r="BRH673" s="713"/>
      <c r="BRI673" s="713"/>
      <c r="BRJ673" s="713"/>
      <c r="BRK673" s="713"/>
      <c r="BRL673" s="713"/>
      <c r="BRM673" s="713"/>
      <c r="BRN673" s="713"/>
      <c r="BRO673" s="713"/>
      <c r="BRP673" s="713"/>
      <c r="BRQ673" s="713"/>
      <c r="BRR673" s="713"/>
      <c r="BRS673" s="713"/>
      <c r="BRT673" s="713"/>
      <c r="BRU673" s="713"/>
      <c r="BRV673" s="713"/>
      <c r="BRW673" s="713"/>
      <c r="BRX673" s="713"/>
      <c r="BRY673" s="713"/>
      <c r="BRZ673" s="713"/>
      <c r="BSA673" s="713"/>
      <c r="BSB673" s="713"/>
      <c r="BSC673" s="713"/>
      <c r="BSD673" s="713"/>
      <c r="BSE673" s="713"/>
      <c r="BSF673" s="713"/>
      <c r="BSG673" s="713"/>
      <c r="BSH673" s="713"/>
      <c r="BSI673" s="713"/>
      <c r="BSJ673" s="713"/>
      <c r="BSK673" s="713"/>
      <c r="BSL673" s="713"/>
      <c r="BSM673" s="713"/>
      <c r="BSN673" s="713"/>
      <c r="BSO673" s="713"/>
      <c r="BSP673" s="713"/>
      <c r="BSQ673" s="713"/>
      <c r="BSR673" s="713"/>
      <c r="BSS673" s="713"/>
      <c r="BST673" s="713"/>
      <c r="BSU673" s="713"/>
      <c r="BSV673" s="713"/>
      <c r="BSW673" s="713"/>
      <c r="BSX673" s="713"/>
      <c r="BSY673" s="713"/>
      <c r="BSZ673" s="713"/>
      <c r="BTA673" s="713"/>
      <c r="BTB673" s="713"/>
      <c r="BTC673" s="713"/>
      <c r="BTD673" s="713"/>
      <c r="BTE673" s="713"/>
      <c r="BTF673" s="713"/>
      <c r="BTG673" s="713"/>
      <c r="BTH673" s="713"/>
      <c r="BTI673" s="713"/>
      <c r="BTJ673" s="713"/>
      <c r="BTK673" s="713"/>
      <c r="BTL673" s="713"/>
      <c r="BTM673" s="713"/>
      <c r="BTN673" s="713"/>
      <c r="BTO673" s="713"/>
      <c r="BTP673" s="713"/>
      <c r="BTQ673" s="713"/>
      <c r="BTR673" s="713"/>
      <c r="BTS673" s="713"/>
      <c r="BTT673" s="713"/>
      <c r="BTU673" s="713"/>
      <c r="BTV673" s="713"/>
      <c r="BTW673" s="713"/>
      <c r="BTX673" s="713"/>
      <c r="BTY673" s="713"/>
      <c r="BTZ673" s="713"/>
      <c r="BUA673" s="713"/>
      <c r="BUB673" s="713"/>
      <c r="BUC673" s="713"/>
      <c r="BUD673" s="713"/>
      <c r="BUE673" s="713"/>
      <c r="BUF673" s="713"/>
      <c r="BUG673" s="713"/>
      <c r="BUH673" s="713"/>
      <c r="BUI673" s="713"/>
      <c r="BUJ673" s="713"/>
      <c r="BUK673" s="713"/>
      <c r="BUL673" s="713"/>
      <c r="BUM673" s="713"/>
      <c r="BUN673" s="713"/>
      <c r="BUO673" s="713"/>
      <c r="BUP673" s="713"/>
      <c r="BUQ673" s="713"/>
      <c r="BUR673" s="713"/>
      <c r="BUS673" s="713"/>
      <c r="BUT673" s="713"/>
      <c r="BUU673" s="713"/>
      <c r="BUV673" s="713"/>
      <c r="BUW673" s="713"/>
      <c r="BUX673" s="713"/>
      <c r="BUY673" s="713"/>
      <c r="BUZ673" s="713"/>
      <c r="BVA673" s="713"/>
      <c r="BVB673" s="713"/>
      <c r="BVC673" s="713"/>
      <c r="BVD673" s="713"/>
      <c r="BVE673" s="713"/>
      <c r="BVF673" s="713"/>
      <c r="BVG673" s="713"/>
      <c r="BVH673" s="713"/>
      <c r="BVI673" s="713"/>
      <c r="BVJ673" s="713"/>
      <c r="BVK673" s="713"/>
      <c r="BVL673" s="713"/>
      <c r="BVM673" s="713"/>
      <c r="BVN673" s="713"/>
      <c r="BVO673" s="713"/>
      <c r="BVP673" s="713"/>
      <c r="BVQ673" s="713"/>
      <c r="BVR673" s="713"/>
      <c r="BVS673" s="713"/>
      <c r="BVT673" s="713"/>
      <c r="BVU673" s="713"/>
      <c r="BVV673" s="713"/>
      <c r="BVW673" s="713"/>
      <c r="BVX673" s="713"/>
      <c r="BVY673" s="713"/>
      <c r="BVZ673" s="713"/>
      <c r="BWA673" s="713"/>
      <c r="BWB673" s="713"/>
      <c r="BWC673" s="713"/>
      <c r="BWD673" s="713"/>
      <c r="BWE673" s="713"/>
      <c r="BWF673" s="713"/>
      <c r="BWG673" s="713"/>
      <c r="BWH673" s="713"/>
      <c r="BWI673" s="713"/>
      <c r="BWJ673" s="713"/>
      <c r="BWK673" s="713"/>
      <c r="BWL673" s="713"/>
      <c r="BWM673" s="713"/>
      <c r="BWN673" s="713"/>
      <c r="BWO673" s="713"/>
      <c r="BWP673" s="713"/>
      <c r="BWQ673" s="713"/>
      <c r="BWR673" s="713"/>
      <c r="BWS673" s="713"/>
      <c r="BWT673" s="713"/>
      <c r="BWU673" s="713"/>
      <c r="BWV673" s="713"/>
      <c r="BWW673" s="713"/>
      <c r="BWX673" s="713"/>
      <c r="BWY673" s="713"/>
      <c r="BWZ673" s="713"/>
      <c r="BXA673" s="713"/>
      <c r="BXB673" s="713"/>
      <c r="BXC673" s="713"/>
      <c r="BXD673" s="713"/>
      <c r="BXE673" s="713"/>
      <c r="BXF673" s="713"/>
      <c r="BXG673" s="713"/>
      <c r="BXH673" s="713"/>
      <c r="BXI673" s="713"/>
      <c r="BXJ673" s="713"/>
      <c r="BXK673" s="713"/>
      <c r="BXL673" s="713"/>
      <c r="BXM673" s="713"/>
      <c r="BXN673" s="713"/>
      <c r="BXO673" s="713"/>
      <c r="BXP673" s="713"/>
      <c r="BXQ673" s="713"/>
      <c r="BXR673" s="713"/>
      <c r="BXS673" s="713"/>
      <c r="BXT673" s="713"/>
      <c r="BXU673" s="713"/>
      <c r="BXV673" s="713"/>
      <c r="BXW673" s="713"/>
      <c r="BXX673" s="713"/>
      <c r="BXY673" s="713"/>
      <c r="BXZ673" s="713"/>
      <c r="BYA673" s="713"/>
      <c r="BYB673" s="713"/>
      <c r="BYC673" s="713"/>
      <c r="BYD673" s="713"/>
      <c r="BYE673" s="713"/>
      <c r="BYF673" s="713"/>
      <c r="BYG673" s="713"/>
      <c r="BYH673" s="713"/>
      <c r="BYI673" s="713"/>
      <c r="BYJ673" s="713"/>
      <c r="BYK673" s="713"/>
      <c r="BYL673" s="713"/>
      <c r="BYM673" s="713"/>
      <c r="BYN673" s="713"/>
      <c r="BYO673" s="713"/>
      <c r="BYP673" s="713"/>
      <c r="BYQ673" s="713"/>
      <c r="BYR673" s="713"/>
      <c r="BYS673" s="713"/>
      <c r="BYT673" s="713"/>
      <c r="BYU673" s="713"/>
      <c r="BYV673" s="713"/>
      <c r="BYW673" s="713"/>
      <c r="BYX673" s="713"/>
      <c r="BYY673" s="713"/>
      <c r="BYZ673" s="713"/>
      <c r="BZA673" s="713"/>
      <c r="BZB673" s="713"/>
      <c r="BZC673" s="713"/>
      <c r="BZD673" s="713"/>
      <c r="BZE673" s="713"/>
      <c r="BZF673" s="713"/>
      <c r="BZG673" s="713"/>
      <c r="BZH673" s="713"/>
      <c r="BZI673" s="713"/>
      <c r="BZJ673" s="713"/>
      <c r="BZK673" s="713"/>
      <c r="BZL673" s="713"/>
      <c r="BZM673" s="713"/>
      <c r="BZN673" s="713"/>
      <c r="BZO673" s="713"/>
      <c r="BZP673" s="713"/>
      <c r="BZQ673" s="713"/>
      <c r="BZR673" s="713"/>
      <c r="BZS673" s="713"/>
      <c r="BZT673" s="713"/>
      <c r="BZU673" s="713"/>
      <c r="BZV673" s="713"/>
      <c r="BZW673" s="713"/>
      <c r="BZX673" s="713"/>
      <c r="BZY673" s="713"/>
      <c r="BZZ673" s="713"/>
      <c r="CAA673" s="713"/>
      <c r="CAB673" s="713"/>
      <c r="CAC673" s="713"/>
      <c r="CAD673" s="713"/>
      <c r="CAE673" s="713"/>
      <c r="CAF673" s="713"/>
      <c r="CAG673" s="713"/>
      <c r="CAH673" s="713"/>
      <c r="CAI673" s="713"/>
      <c r="CAJ673" s="713"/>
      <c r="CAK673" s="713"/>
      <c r="CAL673" s="713"/>
      <c r="CAM673" s="713"/>
      <c r="CAN673" s="713"/>
      <c r="CAO673" s="713"/>
      <c r="CAP673" s="713"/>
      <c r="CAQ673" s="713"/>
      <c r="CAR673" s="713"/>
      <c r="CAS673" s="713"/>
      <c r="CAT673" s="713"/>
      <c r="CAU673" s="713"/>
      <c r="CAV673" s="713"/>
      <c r="CAW673" s="713"/>
      <c r="CAX673" s="713"/>
      <c r="CAY673" s="713"/>
      <c r="CAZ673" s="713"/>
      <c r="CBA673" s="713"/>
      <c r="CBB673" s="713"/>
      <c r="CBC673" s="713"/>
      <c r="CBD673" s="713"/>
      <c r="CBE673" s="713"/>
      <c r="CBF673" s="713"/>
      <c r="CBG673" s="713"/>
      <c r="CBH673" s="713"/>
      <c r="CBI673" s="713"/>
      <c r="CBJ673" s="713"/>
      <c r="CBK673" s="713"/>
      <c r="CBL673" s="713"/>
      <c r="CBM673" s="713"/>
      <c r="CBN673" s="713"/>
      <c r="CBO673" s="713"/>
      <c r="CBP673" s="713"/>
      <c r="CBQ673" s="713"/>
      <c r="CBR673" s="713"/>
      <c r="CBS673" s="713"/>
      <c r="CBT673" s="713"/>
      <c r="CBU673" s="713"/>
      <c r="CBV673" s="713"/>
      <c r="CBW673" s="713"/>
      <c r="CBX673" s="713"/>
      <c r="CBY673" s="713"/>
      <c r="CBZ673" s="713"/>
      <c r="CCA673" s="713"/>
      <c r="CCB673" s="713"/>
      <c r="CCC673" s="713"/>
      <c r="CCD673" s="713"/>
      <c r="CCE673" s="713"/>
      <c r="CCF673" s="713"/>
      <c r="CCG673" s="713"/>
      <c r="CCH673" s="713"/>
      <c r="CCI673" s="713"/>
      <c r="CCJ673" s="713"/>
      <c r="CCK673" s="713"/>
      <c r="CCL673" s="713"/>
      <c r="CCM673" s="713"/>
      <c r="CCN673" s="713"/>
      <c r="CCO673" s="713"/>
      <c r="CCP673" s="713"/>
      <c r="CCQ673" s="713"/>
      <c r="CCR673" s="713"/>
      <c r="CCS673" s="713"/>
      <c r="CCT673" s="713"/>
      <c r="CCU673" s="713"/>
      <c r="CCV673" s="713"/>
      <c r="CCW673" s="713"/>
      <c r="CCX673" s="713"/>
      <c r="CCY673" s="713"/>
      <c r="CCZ673" s="713"/>
      <c r="CDA673" s="713"/>
      <c r="CDB673" s="713"/>
      <c r="CDC673" s="713"/>
      <c r="CDD673" s="713"/>
      <c r="CDE673" s="713"/>
      <c r="CDF673" s="713"/>
      <c r="CDG673" s="713"/>
      <c r="CDH673" s="713"/>
      <c r="CDI673" s="713"/>
      <c r="CDJ673" s="713"/>
      <c r="CDK673" s="713"/>
      <c r="CDL673" s="713"/>
      <c r="CDM673" s="713"/>
      <c r="CDN673" s="713"/>
      <c r="CDO673" s="713"/>
      <c r="CDP673" s="713"/>
      <c r="CDQ673" s="713"/>
      <c r="CDR673" s="713"/>
      <c r="CDS673" s="713"/>
      <c r="CDT673" s="713"/>
      <c r="CDU673" s="713"/>
      <c r="CDV673" s="713"/>
      <c r="CDW673" s="713"/>
      <c r="CDX673" s="713"/>
      <c r="CDY673" s="713"/>
      <c r="CDZ673" s="713"/>
      <c r="CEA673" s="713"/>
      <c r="CEB673" s="713"/>
      <c r="CEC673" s="713"/>
      <c r="CED673" s="713"/>
      <c r="CEE673" s="713"/>
      <c r="CEF673" s="713"/>
      <c r="CEG673" s="713"/>
      <c r="CEH673" s="713"/>
      <c r="CEI673" s="713"/>
      <c r="CEJ673" s="713"/>
      <c r="CEK673" s="713"/>
      <c r="CEL673" s="713"/>
      <c r="CEM673" s="713"/>
      <c r="CEN673" s="713"/>
      <c r="CEO673" s="713"/>
      <c r="CEP673" s="713"/>
      <c r="CEQ673" s="713"/>
      <c r="CER673" s="713"/>
      <c r="CES673" s="713"/>
      <c r="CET673" s="713"/>
      <c r="CEU673" s="713"/>
      <c r="CEV673" s="713"/>
      <c r="CEW673" s="713"/>
      <c r="CEX673" s="713"/>
      <c r="CEY673" s="713"/>
      <c r="CEZ673" s="713"/>
      <c r="CFA673" s="713"/>
      <c r="CFB673" s="713"/>
      <c r="CFC673" s="713"/>
      <c r="CFD673" s="713"/>
      <c r="CFE673" s="713"/>
      <c r="CFF673" s="713"/>
      <c r="CFG673" s="713"/>
      <c r="CFH673" s="713"/>
      <c r="CFI673" s="713"/>
      <c r="CFJ673" s="713"/>
      <c r="CFK673" s="713"/>
      <c r="CFL673" s="713"/>
      <c r="CFM673" s="713"/>
      <c r="CFN673" s="713"/>
      <c r="CFO673" s="713"/>
      <c r="CFP673" s="713"/>
      <c r="CFQ673" s="713"/>
      <c r="CFR673" s="713"/>
      <c r="CFS673" s="713"/>
      <c r="CFT673" s="713"/>
      <c r="CFU673" s="713"/>
      <c r="CFV673" s="713"/>
      <c r="CFW673" s="713"/>
      <c r="CFX673" s="713"/>
      <c r="CFY673" s="713"/>
      <c r="CFZ673" s="713"/>
      <c r="CGA673" s="713"/>
      <c r="CGB673" s="713"/>
      <c r="CGC673" s="713"/>
      <c r="CGD673" s="713"/>
      <c r="CGE673" s="713"/>
      <c r="CGF673" s="713"/>
      <c r="CGG673" s="713"/>
      <c r="CGH673" s="713"/>
      <c r="CGI673" s="713"/>
      <c r="CGJ673" s="713"/>
      <c r="CGK673" s="713"/>
      <c r="CGL673" s="713"/>
      <c r="CGM673" s="713"/>
      <c r="CGN673" s="713"/>
      <c r="CGO673" s="713"/>
      <c r="CGP673" s="713"/>
      <c r="CGQ673" s="713"/>
      <c r="CGR673" s="713"/>
      <c r="CGS673" s="713"/>
      <c r="CGT673" s="713"/>
      <c r="CGU673" s="713"/>
      <c r="CGV673" s="713"/>
      <c r="CGW673" s="713"/>
      <c r="CGX673" s="713"/>
      <c r="CGY673" s="713"/>
      <c r="CGZ673" s="713"/>
      <c r="CHA673" s="713"/>
      <c r="CHB673" s="713"/>
      <c r="CHC673" s="713"/>
      <c r="CHD673" s="713"/>
      <c r="CHE673" s="713"/>
      <c r="CHF673" s="713"/>
      <c r="CHG673" s="713"/>
      <c r="CHH673" s="713"/>
      <c r="CHI673" s="713"/>
      <c r="CHJ673" s="713"/>
      <c r="CHK673" s="713"/>
      <c r="CHL673" s="713"/>
      <c r="CHM673" s="713"/>
      <c r="CHN673" s="713"/>
      <c r="CHO673" s="713"/>
      <c r="CHP673" s="713"/>
      <c r="CHQ673" s="713"/>
      <c r="CHR673" s="713"/>
      <c r="CHS673" s="713"/>
      <c r="CHT673" s="713"/>
      <c r="CHU673" s="713"/>
      <c r="CHV673" s="713"/>
      <c r="CHW673" s="713"/>
      <c r="CHX673" s="713"/>
      <c r="CHY673" s="713"/>
      <c r="CHZ673" s="713"/>
      <c r="CIA673" s="713"/>
      <c r="CIB673" s="713"/>
      <c r="CIC673" s="713"/>
      <c r="CID673" s="713"/>
      <c r="CIE673" s="713"/>
      <c r="CIF673" s="713"/>
      <c r="CIG673" s="713"/>
      <c r="CIH673" s="713"/>
      <c r="CII673" s="713"/>
      <c r="CIJ673" s="713"/>
      <c r="CIK673" s="713"/>
      <c r="CIL673" s="713"/>
      <c r="CIM673" s="713"/>
      <c r="CIN673" s="713"/>
      <c r="CIO673" s="713"/>
      <c r="CIP673" s="713"/>
      <c r="CIQ673" s="713"/>
      <c r="CIR673" s="713"/>
      <c r="CIS673" s="713"/>
      <c r="CIT673" s="713"/>
      <c r="CIU673" s="713"/>
      <c r="CIV673" s="713"/>
      <c r="CIW673" s="713"/>
      <c r="CIX673" s="713"/>
      <c r="CIY673" s="713"/>
      <c r="CIZ673" s="713"/>
      <c r="CJA673" s="713"/>
      <c r="CJB673" s="713"/>
      <c r="CJC673" s="713"/>
      <c r="CJD673" s="713"/>
      <c r="CJE673" s="713"/>
      <c r="CJF673" s="713"/>
      <c r="CJG673" s="713"/>
      <c r="CJH673" s="713"/>
      <c r="CJI673" s="713"/>
      <c r="CJJ673" s="713"/>
      <c r="CJK673" s="713"/>
      <c r="CJL673" s="713"/>
      <c r="CJM673" s="713"/>
      <c r="CJN673" s="713"/>
      <c r="CJO673" s="713"/>
      <c r="CJP673" s="713"/>
      <c r="CJQ673" s="713"/>
      <c r="CJR673" s="713"/>
      <c r="CJS673" s="713"/>
      <c r="CJT673" s="713"/>
      <c r="CJU673" s="713"/>
      <c r="CJV673" s="713"/>
      <c r="CJW673" s="713"/>
      <c r="CJX673" s="713"/>
      <c r="CJY673" s="713"/>
      <c r="CJZ673" s="713"/>
      <c r="CKA673" s="713"/>
      <c r="CKB673" s="713"/>
      <c r="CKC673" s="713"/>
      <c r="CKD673" s="713"/>
      <c r="CKE673" s="713"/>
      <c r="CKF673" s="713"/>
      <c r="CKG673" s="713"/>
      <c r="CKH673" s="713"/>
      <c r="CKI673" s="713"/>
      <c r="CKJ673" s="713"/>
      <c r="CKK673" s="713"/>
      <c r="CKL673" s="713"/>
      <c r="CKM673" s="713"/>
      <c r="CKN673" s="713"/>
      <c r="CKO673" s="713"/>
      <c r="CKP673" s="713"/>
      <c r="CKQ673" s="713"/>
      <c r="CKR673" s="713"/>
      <c r="CKS673" s="713"/>
      <c r="CKT673" s="713"/>
      <c r="CKU673" s="713"/>
      <c r="CKV673" s="713"/>
      <c r="CKW673" s="713"/>
      <c r="CKX673" s="713"/>
      <c r="CKY673" s="713"/>
      <c r="CKZ673" s="713"/>
      <c r="CLA673" s="713"/>
      <c r="CLB673" s="713"/>
      <c r="CLC673" s="713"/>
      <c r="CLD673" s="713"/>
      <c r="CLE673" s="713"/>
      <c r="CLF673" s="713"/>
      <c r="CLG673" s="713"/>
      <c r="CLH673" s="713"/>
      <c r="CLI673" s="713"/>
      <c r="CLJ673" s="713"/>
      <c r="CLK673" s="713"/>
      <c r="CLL673" s="713"/>
      <c r="CLM673" s="713"/>
      <c r="CLN673" s="713"/>
      <c r="CLO673" s="713"/>
      <c r="CLP673" s="713"/>
      <c r="CLQ673" s="713"/>
      <c r="CLR673" s="713"/>
      <c r="CLS673" s="713"/>
      <c r="CLT673" s="713"/>
      <c r="CLU673" s="713"/>
      <c r="CLV673" s="713"/>
      <c r="CLW673" s="713"/>
      <c r="CLX673" s="713"/>
      <c r="CLY673" s="713"/>
      <c r="CLZ673" s="713"/>
      <c r="CMA673" s="713"/>
      <c r="CMB673" s="713"/>
      <c r="CMC673" s="713"/>
      <c r="CMD673" s="713"/>
      <c r="CME673" s="713"/>
      <c r="CMF673" s="713"/>
      <c r="CMG673" s="713"/>
      <c r="CMH673" s="713"/>
      <c r="CMI673" s="713"/>
      <c r="CMJ673" s="713"/>
      <c r="CMK673" s="713"/>
      <c r="CML673" s="713"/>
      <c r="CMM673" s="713"/>
      <c r="CMN673" s="713"/>
      <c r="CMO673" s="713"/>
      <c r="CMP673" s="713"/>
      <c r="CMQ673" s="713"/>
      <c r="CMR673" s="713"/>
      <c r="CMS673" s="713"/>
      <c r="CMT673" s="713"/>
      <c r="CMU673" s="713"/>
      <c r="CMV673" s="713"/>
      <c r="CMW673" s="713"/>
      <c r="CMX673" s="713"/>
      <c r="CMY673" s="713"/>
      <c r="CMZ673" s="713"/>
      <c r="CNA673" s="713"/>
      <c r="CNB673" s="713"/>
      <c r="CNC673" s="713"/>
      <c r="CND673" s="713"/>
      <c r="CNE673" s="713"/>
      <c r="CNF673" s="713"/>
      <c r="CNG673" s="713"/>
      <c r="CNH673" s="713"/>
      <c r="CNI673" s="713"/>
      <c r="CNJ673" s="713"/>
      <c r="CNK673" s="713"/>
      <c r="CNL673" s="713"/>
      <c r="CNM673" s="713"/>
      <c r="CNN673" s="713"/>
      <c r="CNO673" s="713"/>
      <c r="CNP673" s="713"/>
      <c r="CNQ673" s="713"/>
      <c r="CNR673" s="713"/>
      <c r="CNS673" s="713"/>
      <c r="CNT673" s="713"/>
      <c r="CNU673" s="713"/>
      <c r="CNV673" s="713"/>
      <c r="CNW673" s="713"/>
      <c r="CNX673" s="713"/>
      <c r="CNY673" s="713"/>
      <c r="CNZ673" s="713"/>
      <c r="COA673" s="713"/>
      <c r="COB673" s="713"/>
      <c r="COC673" s="713"/>
      <c r="COD673" s="713"/>
      <c r="COE673" s="713"/>
      <c r="COF673" s="713"/>
      <c r="COG673" s="713"/>
      <c r="COH673" s="713"/>
      <c r="COI673" s="713"/>
      <c r="COJ673" s="713"/>
      <c r="COK673" s="713"/>
      <c r="COL673" s="713"/>
      <c r="COM673" s="713"/>
      <c r="CON673" s="713"/>
      <c r="COO673" s="713"/>
      <c r="COP673" s="713"/>
      <c r="COQ673" s="713"/>
      <c r="COR673" s="713"/>
      <c r="COS673" s="713"/>
      <c r="COT673" s="713"/>
      <c r="COU673" s="713"/>
      <c r="COV673" s="713"/>
      <c r="COW673" s="713"/>
      <c r="COX673" s="713"/>
      <c r="COY673" s="713"/>
      <c r="COZ673" s="713"/>
      <c r="CPA673" s="713"/>
      <c r="CPB673" s="713"/>
      <c r="CPC673" s="713"/>
      <c r="CPD673" s="713"/>
      <c r="CPE673" s="713"/>
      <c r="CPF673" s="713"/>
      <c r="CPG673" s="713"/>
      <c r="CPH673" s="713"/>
      <c r="CPI673" s="713"/>
      <c r="CPJ673" s="713"/>
      <c r="CPK673" s="713"/>
      <c r="CPL673" s="713"/>
      <c r="CPM673" s="713"/>
      <c r="CPN673" s="713"/>
      <c r="CPO673" s="713"/>
      <c r="CPP673" s="713"/>
      <c r="CPQ673" s="713"/>
      <c r="CPR673" s="713"/>
      <c r="CPS673" s="713"/>
      <c r="CPT673" s="713"/>
      <c r="CPU673" s="713"/>
      <c r="CPV673" s="713"/>
      <c r="CPW673" s="713"/>
      <c r="CPX673" s="713"/>
      <c r="CPY673" s="713"/>
      <c r="CPZ673" s="713"/>
      <c r="CQA673" s="713"/>
      <c r="CQB673" s="713"/>
      <c r="CQC673" s="713"/>
      <c r="CQD673" s="713"/>
      <c r="CQE673" s="713"/>
      <c r="CQF673" s="713"/>
      <c r="CQG673" s="713"/>
      <c r="CQH673" s="713"/>
      <c r="CQI673" s="713"/>
      <c r="CQJ673" s="713"/>
      <c r="CQK673" s="713"/>
      <c r="CQL673" s="713"/>
      <c r="CQM673" s="713"/>
      <c r="CQN673" s="713"/>
      <c r="CQO673" s="713"/>
      <c r="CQP673" s="713"/>
      <c r="CQQ673" s="713"/>
      <c r="CQR673" s="713"/>
      <c r="CQS673" s="713"/>
      <c r="CQT673" s="713"/>
      <c r="CQU673" s="713"/>
      <c r="CQV673" s="713"/>
      <c r="CQW673" s="713"/>
      <c r="CQX673" s="713"/>
      <c r="CQY673" s="713"/>
      <c r="CQZ673" s="713"/>
      <c r="CRA673" s="713"/>
      <c r="CRB673" s="713"/>
      <c r="CRC673" s="713"/>
      <c r="CRD673" s="713"/>
      <c r="CRE673" s="713"/>
      <c r="CRF673" s="713"/>
      <c r="CRG673" s="713"/>
      <c r="CRH673" s="713"/>
      <c r="CRI673" s="713"/>
      <c r="CRJ673" s="713"/>
      <c r="CRK673" s="713"/>
      <c r="CRL673" s="713"/>
      <c r="CRM673" s="713"/>
      <c r="CRN673" s="713"/>
      <c r="CRO673" s="713"/>
      <c r="CRP673" s="713"/>
      <c r="CRQ673" s="713"/>
      <c r="CRR673" s="713"/>
      <c r="CRS673" s="713"/>
      <c r="CRT673" s="713"/>
      <c r="CRU673" s="713"/>
      <c r="CRV673" s="713"/>
      <c r="CRW673" s="713"/>
      <c r="CRX673" s="713"/>
      <c r="CRY673" s="713"/>
      <c r="CRZ673" s="713"/>
      <c r="CSA673" s="713"/>
      <c r="CSB673" s="713"/>
      <c r="CSC673" s="713"/>
      <c r="CSD673" s="713"/>
      <c r="CSE673" s="713"/>
      <c r="CSF673" s="713"/>
      <c r="CSG673" s="713"/>
      <c r="CSH673" s="713"/>
      <c r="CSI673" s="713"/>
      <c r="CSJ673" s="713"/>
      <c r="CSK673" s="713"/>
      <c r="CSL673" s="713"/>
      <c r="CSM673" s="713"/>
      <c r="CSN673" s="713"/>
      <c r="CSO673" s="713"/>
      <c r="CSP673" s="713"/>
      <c r="CSQ673" s="713"/>
      <c r="CSR673" s="713"/>
      <c r="CSS673" s="713"/>
      <c r="CST673" s="713"/>
      <c r="CSU673" s="713"/>
      <c r="CSV673" s="713"/>
      <c r="CSW673" s="713"/>
      <c r="CSX673" s="713"/>
      <c r="CSY673" s="713"/>
      <c r="CSZ673" s="713"/>
      <c r="CTA673" s="713"/>
      <c r="CTB673" s="713"/>
      <c r="CTC673" s="713"/>
      <c r="CTD673" s="713"/>
      <c r="CTE673" s="713"/>
      <c r="CTF673" s="713"/>
      <c r="CTG673" s="713"/>
      <c r="CTH673" s="713"/>
      <c r="CTI673" s="713"/>
      <c r="CTJ673" s="713"/>
      <c r="CTK673" s="713"/>
      <c r="CTL673" s="713"/>
      <c r="CTM673" s="713"/>
      <c r="CTN673" s="713"/>
      <c r="CTO673" s="713"/>
      <c r="CTP673" s="713"/>
      <c r="CTQ673" s="713"/>
      <c r="CTR673" s="713"/>
      <c r="CTS673" s="713"/>
      <c r="CTT673" s="713"/>
      <c r="CTU673" s="713"/>
      <c r="CTV673" s="713"/>
      <c r="CTW673" s="713"/>
      <c r="CTX673" s="713"/>
      <c r="CTY673" s="713"/>
      <c r="CTZ673" s="713"/>
      <c r="CUA673" s="713"/>
      <c r="CUB673" s="713"/>
      <c r="CUC673" s="713"/>
      <c r="CUD673" s="713"/>
      <c r="CUE673" s="713"/>
      <c r="CUF673" s="713"/>
      <c r="CUG673" s="713"/>
      <c r="CUH673" s="713"/>
      <c r="CUI673" s="713"/>
      <c r="CUJ673" s="713"/>
      <c r="CUK673" s="713"/>
      <c r="CUL673" s="713"/>
      <c r="CUM673" s="713"/>
      <c r="CUN673" s="713"/>
      <c r="CUO673" s="713"/>
      <c r="CUP673" s="713"/>
      <c r="CUQ673" s="713"/>
      <c r="CUR673" s="713"/>
      <c r="CUS673" s="713"/>
      <c r="CUT673" s="713"/>
      <c r="CUU673" s="713"/>
      <c r="CUV673" s="713"/>
      <c r="CUW673" s="713"/>
      <c r="CUX673" s="713"/>
      <c r="CUY673" s="713"/>
      <c r="CUZ673" s="713"/>
      <c r="CVA673" s="713"/>
      <c r="CVB673" s="713"/>
      <c r="CVC673" s="713"/>
      <c r="CVD673" s="713"/>
      <c r="CVE673" s="713"/>
      <c r="CVF673" s="713"/>
      <c r="CVG673" s="713"/>
      <c r="CVH673" s="713"/>
      <c r="CVI673" s="713"/>
      <c r="CVJ673" s="713"/>
      <c r="CVK673" s="713"/>
      <c r="CVL673" s="713"/>
      <c r="CVM673" s="713"/>
      <c r="CVN673" s="713"/>
      <c r="CVO673" s="713"/>
      <c r="CVP673" s="713"/>
      <c r="CVQ673" s="713"/>
      <c r="CVR673" s="713"/>
      <c r="CVS673" s="713"/>
      <c r="CVT673" s="713"/>
      <c r="CVU673" s="713"/>
      <c r="CVV673" s="713"/>
      <c r="CVW673" s="713"/>
      <c r="CVX673" s="713"/>
      <c r="CVY673" s="713"/>
      <c r="CVZ673" s="713"/>
      <c r="CWA673" s="713"/>
      <c r="CWB673" s="713"/>
      <c r="CWC673" s="713"/>
      <c r="CWD673" s="713"/>
      <c r="CWE673" s="713"/>
      <c r="CWF673" s="713"/>
      <c r="CWG673" s="713"/>
      <c r="CWH673" s="713"/>
      <c r="CWI673" s="713"/>
      <c r="CWJ673" s="713"/>
      <c r="CWK673" s="713"/>
      <c r="CWL673" s="713"/>
      <c r="CWM673" s="713"/>
      <c r="CWN673" s="713"/>
      <c r="CWO673" s="713"/>
      <c r="CWP673" s="713"/>
      <c r="CWQ673" s="713"/>
      <c r="CWR673" s="713"/>
      <c r="CWS673" s="713"/>
      <c r="CWT673" s="713"/>
      <c r="CWU673" s="713"/>
      <c r="CWV673" s="713"/>
      <c r="CWW673" s="713"/>
      <c r="CWX673" s="713"/>
      <c r="CWY673" s="713"/>
      <c r="CWZ673" s="713"/>
      <c r="CXA673" s="713"/>
      <c r="CXB673" s="713"/>
      <c r="CXC673" s="713"/>
      <c r="CXD673" s="713"/>
      <c r="CXE673" s="713"/>
      <c r="CXF673" s="713"/>
      <c r="CXG673" s="713"/>
      <c r="CXH673" s="713"/>
      <c r="CXI673" s="713"/>
      <c r="CXJ673" s="713"/>
      <c r="CXK673" s="713"/>
      <c r="CXL673" s="713"/>
      <c r="CXM673" s="713"/>
      <c r="CXN673" s="713"/>
      <c r="CXO673" s="713"/>
      <c r="CXP673" s="713"/>
      <c r="CXQ673" s="713"/>
      <c r="CXR673" s="713"/>
      <c r="CXS673" s="713"/>
      <c r="CXT673" s="713"/>
      <c r="CXU673" s="713"/>
      <c r="CXV673" s="713"/>
      <c r="CXW673" s="713"/>
      <c r="CXX673" s="713"/>
      <c r="CXY673" s="713"/>
      <c r="CXZ673" s="713"/>
      <c r="CYA673" s="713"/>
      <c r="CYB673" s="713"/>
      <c r="CYC673" s="713"/>
      <c r="CYD673" s="713"/>
      <c r="CYE673" s="713"/>
      <c r="CYF673" s="713"/>
      <c r="CYG673" s="713"/>
      <c r="CYH673" s="713"/>
      <c r="CYI673" s="713"/>
      <c r="CYJ673" s="713"/>
      <c r="CYK673" s="713"/>
      <c r="CYL673" s="713"/>
      <c r="CYM673" s="713"/>
      <c r="CYN673" s="713"/>
      <c r="CYO673" s="713"/>
      <c r="CYP673" s="713"/>
      <c r="CYQ673" s="713"/>
      <c r="CYR673" s="713"/>
      <c r="CYS673" s="713"/>
      <c r="CYT673" s="713"/>
      <c r="CYU673" s="713"/>
      <c r="CYV673" s="713"/>
      <c r="CYW673" s="713"/>
      <c r="CYX673" s="713"/>
      <c r="CYY673" s="713"/>
      <c r="CYZ673" s="713"/>
      <c r="CZA673" s="713"/>
      <c r="CZB673" s="713"/>
      <c r="CZC673" s="713"/>
      <c r="CZD673" s="713"/>
      <c r="CZE673" s="713"/>
      <c r="CZF673" s="713"/>
      <c r="CZG673" s="713"/>
      <c r="CZH673" s="713"/>
      <c r="CZI673" s="713"/>
      <c r="CZJ673" s="713"/>
      <c r="CZK673" s="713"/>
      <c r="CZL673" s="713"/>
      <c r="CZM673" s="713"/>
      <c r="CZN673" s="713"/>
      <c r="CZO673" s="713"/>
      <c r="CZP673" s="713"/>
      <c r="CZQ673" s="713"/>
      <c r="CZR673" s="713"/>
      <c r="CZS673" s="713"/>
      <c r="CZT673" s="713"/>
      <c r="CZU673" s="713"/>
      <c r="CZV673" s="713"/>
      <c r="CZW673" s="713"/>
      <c r="CZX673" s="713"/>
      <c r="CZY673" s="713"/>
      <c r="CZZ673" s="713"/>
      <c r="DAA673" s="713"/>
      <c r="DAB673" s="713"/>
      <c r="DAC673" s="713"/>
      <c r="DAD673" s="713"/>
      <c r="DAE673" s="713"/>
      <c r="DAF673" s="713"/>
      <c r="DAG673" s="713"/>
      <c r="DAH673" s="713"/>
      <c r="DAI673" s="713"/>
      <c r="DAJ673" s="713"/>
      <c r="DAK673" s="713"/>
      <c r="DAL673" s="713"/>
      <c r="DAM673" s="713"/>
      <c r="DAN673" s="713"/>
      <c r="DAO673" s="713"/>
      <c r="DAP673" s="713"/>
      <c r="DAQ673" s="713"/>
      <c r="DAR673" s="713"/>
      <c r="DAS673" s="713"/>
      <c r="DAT673" s="713"/>
      <c r="DAU673" s="713"/>
      <c r="DAV673" s="713"/>
      <c r="DAW673" s="713"/>
      <c r="DAX673" s="713"/>
      <c r="DAY673" s="713"/>
      <c r="DAZ673" s="713"/>
      <c r="DBA673" s="713"/>
      <c r="DBB673" s="713"/>
      <c r="DBC673" s="713"/>
      <c r="DBD673" s="713"/>
      <c r="DBE673" s="713"/>
      <c r="DBF673" s="713"/>
      <c r="DBG673" s="713"/>
      <c r="DBH673" s="713"/>
      <c r="DBI673" s="713"/>
      <c r="DBJ673" s="713"/>
      <c r="DBK673" s="713"/>
      <c r="DBL673" s="713"/>
      <c r="DBM673" s="713"/>
      <c r="DBN673" s="713"/>
      <c r="DBO673" s="713"/>
      <c r="DBP673" s="713"/>
      <c r="DBQ673" s="713"/>
      <c r="DBR673" s="713"/>
      <c r="DBS673" s="713"/>
      <c r="DBT673" s="713"/>
      <c r="DBU673" s="713"/>
      <c r="DBV673" s="713"/>
      <c r="DBW673" s="713"/>
      <c r="DBX673" s="713"/>
      <c r="DBY673" s="713"/>
      <c r="DBZ673" s="713"/>
      <c r="DCA673" s="713"/>
      <c r="DCB673" s="713"/>
      <c r="DCC673" s="713"/>
      <c r="DCD673" s="713"/>
      <c r="DCE673" s="713"/>
      <c r="DCF673" s="713"/>
      <c r="DCG673" s="713"/>
      <c r="DCH673" s="713"/>
      <c r="DCI673" s="713"/>
      <c r="DCJ673" s="713"/>
      <c r="DCK673" s="713"/>
      <c r="DCL673" s="713"/>
      <c r="DCM673" s="713"/>
      <c r="DCN673" s="713"/>
      <c r="DCO673" s="713"/>
      <c r="DCP673" s="713"/>
      <c r="DCQ673" s="713"/>
      <c r="DCR673" s="713"/>
      <c r="DCS673" s="713"/>
      <c r="DCT673" s="713"/>
      <c r="DCU673" s="713"/>
      <c r="DCV673" s="713"/>
      <c r="DCW673" s="713"/>
      <c r="DCX673" s="713"/>
      <c r="DCY673" s="713"/>
      <c r="DCZ673" s="713"/>
      <c r="DDA673" s="713"/>
      <c r="DDB673" s="713"/>
      <c r="DDC673" s="713"/>
      <c r="DDD673" s="713"/>
      <c r="DDE673" s="713"/>
      <c r="DDF673" s="713"/>
      <c r="DDG673" s="713"/>
      <c r="DDH673" s="713"/>
      <c r="DDI673" s="713"/>
      <c r="DDJ673" s="713"/>
      <c r="DDK673" s="713"/>
      <c r="DDL673" s="713"/>
      <c r="DDM673" s="713"/>
      <c r="DDN673" s="713"/>
      <c r="DDO673" s="713"/>
      <c r="DDP673" s="713"/>
      <c r="DDQ673" s="713"/>
      <c r="DDR673" s="713"/>
      <c r="DDS673" s="713"/>
      <c r="DDT673" s="713"/>
      <c r="DDU673" s="713"/>
      <c r="DDV673" s="713"/>
      <c r="DDW673" s="713"/>
      <c r="DDX673" s="713"/>
      <c r="DDY673" s="713"/>
      <c r="DDZ673" s="713"/>
      <c r="DEA673" s="713"/>
      <c r="DEB673" s="713"/>
      <c r="DEC673" s="713"/>
      <c r="DED673" s="713"/>
      <c r="DEE673" s="713"/>
      <c r="DEF673" s="713"/>
      <c r="DEG673" s="713"/>
      <c r="DEH673" s="713"/>
      <c r="DEI673" s="713"/>
      <c r="DEJ673" s="713"/>
      <c r="DEK673" s="713"/>
      <c r="DEL673" s="713"/>
      <c r="DEM673" s="713"/>
      <c r="DEN673" s="713"/>
      <c r="DEO673" s="713"/>
      <c r="DEP673" s="713"/>
      <c r="DEQ673" s="713"/>
      <c r="DER673" s="713"/>
      <c r="DES673" s="713"/>
      <c r="DET673" s="713"/>
      <c r="DEU673" s="713"/>
      <c r="DEV673" s="713"/>
      <c r="DEW673" s="713"/>
      <c r="DEX673" s="713"/>
      <c r="DEY673" s="713"/>
      <c r="DEZ673" s="713"/>
      <c r="DFA673" s="713"/>
      <c r="DFB673" s="713"/>
      <c r="DFC673" s="713"/>
      <c r="DFD673" s="713"/>
      <c r="DFE673" s="713"/>
      <c r="DFF673" s="713"/>
      <c r="DFG673" s="713"/>
      <c r="DFH673" s="713"/>
      <c r="DFI673" s="713"/>
      <c r="DFJ673" s="713"/>
      <c r="DFK673" s="713"/>
      <c r="DFL673" s="713"/>
      <c r="DFM673" s="713"/>
      <c r="DFN673" s="713"/>
      <c r="DFO673" s="713"/>
      <c r="DFP673" s="713"/>
      <c r="DFQ673" s="713"/>
      <c r="DFR673" s="713"/>
      <c r="DFS673" s="713"/>
      <c r="DFT673" s="713"/>
      <c r="DFU673" s="713"/>
      <c r="DFV673" s="713"/>
      <c r="DFW673" s="713"/>
      <c r="DFX673" s="713"/>
      <c r="DFY673" s="713"/>
      <c r="DFZ673" s="713"/>
      <c r="DGA673" s="713"/>
      <c r="DGB673" s="713"/>
      <c r="DGC673" s="713"/>
      <c r="DGD673" s="713"/>
      <c r="DGE673" s="713"/>
      <c r="DGF673" s="713"/>
      <c r="DGG673" s="713"/>
      <c r="DGH673" s="713"/>
      <c r="DGI673" s="713"/>
      <c r="DGJ673" s="713"/>
      <c r="DGK673" s="713"/>
      <c r="DGL673" s="713"/>
      <c r="DGM673" s="713"/>
      <c r="DGN673" s="713"/>
      <c r="DGO673" s="713"/>
      <c r="DGP673" s="713"/>
      <c r="DGQ673" s="713"/>
      <c r="DGR673" s="713"/>
      <c r="DGS673" s="713"/>
      <c r="DGT673" s="713"/>
      <c r="DGU673" s="713"/>
      <c r="DGV673" s="713"/>
      <c r="DGW673" s="713"/>
      <c r="DGX673" s="713"/>
      <c r="DGY673" s="713"/>
      <c r="DGZ673" s="713"/>
      <c r="DHA673" s="713"/>
      <c r="DHB673" s="713"/>
      <c r="DHC673" s="713"/>
      <c r="DHD673" s="713"/>
      <c r="DHE673" s="713"/>
      <c r="DHF673" s="713"/>
      <c r="DHG673" s="713"/>
      <c r="DHH673" s="713"/>
      <c r="DHI673" s="713"/>
      <c r="DHJ673" s="713"/>
      <c r="DHK673" s="713"/>
      <c r="DHL673" s="713"/>
      <c r="DHM673" s="713"/>
      <c r="DHN673" s="713"/>
      <c r="DHO673" s="713"/>
      <c r="DHP673" s="713"/>
      <c r="DHQ673" s="713"/>
      <c r="DHR673" s="713"/>
      <c r="DHS673" s="713"/>
      <c r="DHT673" s="713"/>
      <c r="DHU673" s="713"/>
      <c r="DHV673" s="713"/>
      <c r="DHW673" s="713"/>
      <c r="DHX673" s="713"/>
      <c r="DHY673" s="713"/>
      <c r="DHZ673" s="713"/>
      <c r="DIA673" s="713"/>
      <c r="DIB673" s="713"/>
      <c r="DIC673" s="713"/>
      <c r="DID673" s="713"/>
      <c r="DIE673" s="713"/>
      <c r="DIF673" s="713"/>
      <c r="DIG673" s="713"/>
      <c r="DIH673" s="713"/>
      <c r="DII673" s="713"/>
      <c r="DIJ673" s="713"/>
      <c r="DIK673" s="713"/>
      <c r="DIL673" s="713"/>
      <c r="DIM673" s="713"/>
      <c r="DIN673" s="713"/>
      <c r="DIO673" s="713"/>
      <c r="DIP673" s="713"/>
      <c r="DIQ673" s="713"/>
      <c r="DIR673" s="713"/>
      <c r="DIS673" s="713"/>
      <c r="DIT673" s="713"/>
      <c r="DIU673" s="713"/>
      <c r="DIV673" s="713"/>
      <c r="DIW673" s="713"/>
      <c r="DIX673" s="713"/>
      <c r="DIY673" s="713"/>
      <c r="DIZ673" s="713"/>
      <c r="DJA673" s="713"/>
      <c r="DJB673" s="713"/>
      <c r="DJC673" s="713"/>
      <c r="DJD673" s="713"/>
      <c r="DJE673" s="713"/>
      <c r="DJF673" s="713"/>
      <c r="DJG673" s="713"/>
      <c r="DJH673" s="713"/>
      <c r="DJI673" s="713"/>
      <c r="DJJ673" s="713"/>
      <c r="DJK673" s="713"/>
      <c r="DJL673" s="713"/>
      <c r="DJM673" s="713"/>
      <c r="DJN673" s="713"/>
      <c r="DJO673" s="713"/>
      <c r="DJP673" s="713"/>
      <c r="DJQ673" s="713"/>
      <c r="DJR673" s="713"/>
      <c r="DJS673" s="713"/>
      <c r="DJT673" s="713"/>
      <c r="DJU673" s="713"/>
      <c r="DJV673" s="713"/>
      <c r="DJW673" s="713"/>
      <c r="DJX673" s="713"/>
      <c r="DJY673" s="713"/>
      <c r="DJZ673" s="713"/>
      <c r="DKA673" s="713"/>
      <c r="DKB673" s="713"/>
      <c r="DKC673" s="713"/>
      <c r="DKD673" s="713"/>
      <c r="DKE673" s="713"/>
      <c r="DKF673" s="713"/>
      <c r="DKG673" s="713"/>
      <c r="DKH673" s="713"/>
      <c r="DKI673" s="713"/>
      <c r="DKJ673" s="713"/>
      <c r="DKK673" s="713"/>
      <c r="DKL673" s="713"/>
      <c r="DKM673" s="713"/>
      <c r="DKN673" s="713"/>
      <c r="DKO673" s="713"/>
      <c r="DKP673" s="713"/>
      <c r="DKQ673" s="713"/>
      <c r="DKR673" s="713"/>
      <c r="DKS673" s="713"/>
      <c r="DKT673" s="713"/>
      <c r="DKU673" s="713"/>
      <c r="DKV673" s="713"/>
      <c r="DKW673" s="713"/>
      <c r="DKX673" s="713"/>
      <c r="DKY673" s="713"/>
      <c r="DKZ673" s="713"/>
      <c r="DLA673" s="713"/>
      <c r="DLB673" s="713"/>
      <c r="DLC673" s="713"/>
      <c r="DLD673" s="713"/>
      <c r="DLE673" s="713"/>
      <c r="DLF673" s="713"/>
      <c r="DLG673" s="713"/>
      <c r="DLH673" s="713"/>
      <c r="DLI673" s="713"/>
      <c r="DLJ673" s="713"/>
      <c r="DLK673" s="713"/>
      <c r="DLL673" s="713"/>
      <c r="DLM673" s="713"/>
      <c r="DLN673" s="713"/>
      <c r="DLO673" s="713"/>
      <c r="DLP673" s="713"/>
      <c r="DLQ673" s="713"/>
      <c r="DLR673" s="713"/>
      <c r="DLS673" s="713"/>
      <c r="DLT673" s="713"/>
      <c r="DLU673" s="713"/>
      <c r="DLV673" s="713"/>
      <c r="DLW673" s="713"/>
      <c r="DLX673" s="713"/>
      <c r="DLY673" s="713"/>
      <c r="DLZ673" s="713"/>
      <c r="DMA673" s="713"/>
      <c r="DMB673" s="713"/>
      <c r="DMC673" s="713"/>
      <c r="DMD673" s="713"/>
      <c r="DME673" s="713"/>
      <c r="DMF673" s="713"/>
      <c r="DMG673" s="713"/>
      <c r="DMH673" s="713"/>
      <c r="DMI673" s="713"/>
      <c r="DMJ673" s="713"/>
      <c r="DMK673" s="713"/>
      <c r="DML673" s="713"/>
      <c r="DMM673" s="713"/>
      <c r="DMN673" s="713"/>
      <c r="DMO673" s="713"/>
      <c r="DMP673" s="713"/>
      <c r="DMQ673" s="713"/>
      <c r="DMR673" s="713"/>
      <c r="DMS673" s="713"/>
      <c r="DMT673" s="713"/>
      <c r="DMU673" s="713"/>
      <c r="DMV673" s="713"/>
      <c r="DMW673" s="713"/>
      <c r="DMX673" s="713"/>
      <c r="DMY673" s="713"/>
      <c r="DMZ673" s="713"/>
      <c r="DNA673" s="713"/>
      <c r="DNB673" s="713"/>
      <c r="DNC673" s="713"/>
      <c r="DND673" s="713"/>
      <c r="DNE673" s="713"/>
      <c r="DNF673" s="713"/>
      <c r="DNG673" s="713"/>
      <c r="DNH673" s="713"/>
      <c r="DNI673" s="713"/>
      <c r="DNJ673" s="713"/>
      <c r="DNK673" s="713"/>
      <c r="DNL673" s="713"/>
      <c r="DNM673" s="713"/>
      <c r="DNN673" s="713"/>
      <c r="DNO673" s="713"/>
      <c r="DNP673" s="713"/>
      <c r="DNQ673" s="713"/>
      <c r="DNR673" s="713"/>
      <c r="DNS673" s="713"/>
      <c r="DNT673" s="713"/>
      <c r="DNU673" s="713"/>
      <c r="DNV673" s="713"/>
      <c r="DNW673" s="713"/>
      <c r="DNX673" s="713"/>
      <c r="DNY673" s="713"/>
      <c r="DNZ673" s="713"/>
      <c r="DOA673" s="713"/>
      <c r="DOB673" s="713"/>
      <c r="DOC673" s="713"/>
      <c r="DOD673" s="713"/>
      <c r="DOE673" s="713"/>
      <c r="DOF673" s="713"/>
      <c r="DOG673" s="713"/>
      <c r="DOH673" s="713"/>
      <c r="DOI673" s="713"/>
      <c r="DOJ673" s="713"/>
      <c r="DOK673" s="713"/>
      <c r="DOL673" s="713"/>
      <c r="DOM673" s="713"/>
      <c r="DON673" s="713"/>
      <c r="DOO673" s="713"/>
      <c r="DOP673" s="713"/>
      <c r="DOQ673" s="713"/>
      <c r="DOR673" s="713"/>
      <c r="DOS673" s="713"/>
      <c r="DOT673" s="713"/>
      <c r="DOU673" s="713"/>
      <c r="DOV673" s="713"/>
      <c r="DOW673" s="713"/>
      <c r="DOX673" s="713"/>
      <c r="DOY673" s="713"/>
      <c r="DOZ673" s="713"/>
      <c r="DPA673" s="713"/>
      <c r="DPB673" s="713"/>
      <c r="DPC673" s="713"/>
      <c r="DPD673" s="713"/>
      <c r="DPE673" s="713"/>
      <c r="DPF673" s="713"/>
      <c r="DPG673" s="713"/>
      <c r="DPH673" s="713"/>
      <c r="DPI673" s="713"/>
      <c r="DPJ673" s="713"/>
      <c r="DPK673" s="713"/>
      <c r="DPL673" s="713"/>
      <c r="DPM673" s="713"/>
      <c r="DPN673" s="713"/>
      <c r="DPO673" s="713"/>
      <c r="DPP673" s="713"/>
      <c r="DPQ673" s="713"/>
      <c r="DPR673" s="713"/>
      <c r="DPS673" s="713"/>
      <c r="DPT673" s="713"/>
      <c r="DPU673" s="713"/>
      <c r="DPV673" s="713"/>
      <c r="DPW673" s="713"/>
      <c r="DPX673" s="713"/>
      <c r="DPY673" s="713"/>
      <c r="DPZ673" s="713"/>
      <c r="DQA673" s="713"/>
      <c r="DQB673" s="713"/>
      <c r="DQC673" s="713"/>
      <c r="DQD673" s="713"/>
      <c r="DQE673" s="713"/>
      <c r="DQF673" s="713"/>
      <c r="DQG673" s="713"/>
      <c r="DQH673" s="713"/>
      <c r="DQI673" s="713"/>
      <c r="DQJ673" s="713"/>
      <c r="DQK673" s="713"/>
      <c r="DQL673" s="713"/>
      <c r="DQM673" s="713"/>
      <c r="DQN673" s="713"/>
      <c r="DQO673" s="713"/>
      <c r="DQP673" s="713"/>
      <c r="DQQ673" s="713"/>
      <c r="DQR673" s="713"/>
      <c r="DQS673" s="713"/>
      <c r="DQT673" s="713"/>
      <c r="DQU673" s="713"/>
      <c r="DQV673" s="713"/>
      <c r="DQW673" s="713"/>
      <c r="DQX673" s="713"/>
      <c r="DQY673" s="713"/>
      <c r="DQZ673" s="713"/>
      <c r="DRA673" s="713"/>
      <c r="DRB673" s="713"/>
      <c r="DRC673" s="713"/>
      <c r="DRD673" s="713"/>
      <c r="DRE673" s="713"/>
      <c r="DRF673" s="713"/>
      <c r="DRG673" s="713"/>
      <c r="DRH673" s="713"/>
      <c r="DRI673" s="713"/>
      <c r="DRJ673" s="713"/>
      <c r="DRK673" s="713"/>
      <c r="DRL673" s="713"/>
      <c r="DRM673" s="713"/>
      <c r="DRN673" s="713"/>
      <c r="DRO673" s="713"/>
      <c r="DRP673" s="713"/>
      <c r="DRQ673" s="713"/>
      <c r="DRR673" s="713"/>
      <c r="DRS673" s="713"/>
      <c r="DRT673" s="713"/>
      <c r="DRU673" s="713"/>
      <c r="DRV673" s="713"/>
      <c r="DRW673" s="713"/>
      <c r="DRX673" s="713"/>
      <c r="DRY673" s="713"/>
      <c r="DRZ673" s="713"/>
      <c r="DSA673" s="713"/>
      <c r="DSB673" s="713"/>
      <c r="DSC673" s="713"/>
      <c r="DSD673" s="713"/>
      <c r="DSE673" s="713"/>
      <c r="DSF673" s="713"/>
      <c r="DSG673" s="713"/>
      <c r="DSH673" s="713"/>
      <c r="DSI673" s="713"/>
      <c r="DSJ673" s="713"/>
      <c r="DSK673" s="713"/>
      <c r="DSL673" s="713"/>
      <c r="DSM673" s="713"/>
      <c r="DSN673" s="713"/>
      <c r="DSO673" s="713"/>
      <c r="DSP673" s="713"/>
      <c r="DSQ673" s="713"/>
      <c r="DSR673" s="713"/>
      <c r="DSS673" s="713"/>
      <c r="DST673" s="713"/>
      <c r="DSU673" s="713"/>
      <c r="DSV673" s="713"/>
      <c r="DSW673" s="713"/>
      <c r="DSX673" s="713"/>
      <c r="DSY673" s="713"/>
      <c r="DSZ673" s="713"/>
      <c r="DTA673" s="713"/>
      <c r="DTB673" s="713"/>
      <c r="DTC673" s="713"/>
      <c r="DTD673" s="713"/>
      <c r="DTE673" s="713"/>
      <c r="DTF673" s="713"/>
      <c r="DTG673" s="713"/>
      <c r="DTH673" s="713"/>
      <c r="DTI673" s="713"/>
      <c r="DTJ673" s="713"/>
      <c r="DTK673" s="713"/>
      <c r="DTL673" s="713"/>
      <c r="DTM673" s="713"/>
      <c r="DTN673" s="713"/>
      <c r="DTO673" s="713"/>
      <c r="DTP673" s="713"/>
      <c r="DTQ673" s="713"/>
      <c r="DTR673" s="713"/>
      <c r="DTS673" s="713"/>
      <c r="DTT673" s="713"/>
      <c r="DTU673" s="713"/>
      <c r="DTV673" s="713"/>
      <c r="DTW673" s="713"/>
      <c r="DTX673" s="713"/>
      <c r="DTY673" s="713"/>
      <c r="DTZ673" s="713"/>
      <c r="DUA673" s="713"/>
      <c r="DUB673" s="713"/>
      <c r="DUC673" s="713"/>
      <c r="DUD673" s="713"/>
      <c r="DUE673" s="713"/>
      <c r="DUF673" s="713"/>
      <c r="DUG673" s="713"/>
      <c r="DUH673" s="713"/>
      <c r="DUI673" s="713"/>
      <c r="DUJ673" s="713"/>
      <c r="DUK673" s="713"/>
      <c r="DUL673" s="713"/>
      <c r="DUM673" s="713"/>
      <c r="DUN673" s="713"/>
      <c r="DUO673" s="713"/>
      <c r="DUP673" s="713"/>
      <c r="DUQ673" s="713"/>
      <c r="DUR673" s="713"/>
      <c r="DUS673" s="713"/>
      <c r="DUT673" s="713"/>
      <c r="DUU673" s="713"/>
      <c r="DUV673" s="713"/>
      <c r="DUW673" s="713"/>
      <c r="DUX673" s="713"/>
      <c r="DUY673" s="713"/>
      <c r="DUZ673" s="713"/>
      <c r="DVA673" s="713"/>
      <c r="DVB673" s="713"/>
      <c r="DVC673" s="713"/>
      <c r="DVD673" s="713"/>
      <c r="DVE673" s="713"/>
      <c r="DVF673" s="713"/>
      <c r="DVG673" s="713"/>
      <c r="DVH673" s="713"/>
      <c r="DVI673" s="713"/>
      <c r="DVJ673" s="713"/>
      <c r="DVK673" s="713"/>
      <c r="DVL673" s="713"/>
      <c r="DVM673" s="713"/>
      <c r="DVN673" s="713"/>
      <c r="DVO673" s="713"/>
      <c r="DVP673" s="713"/>
      <c r="DVQ673" s="713"/>
      <c r="DVR673" s="713"/>
      <c r="DVS673" s="713"/>
      <c r="DVT673" s="713"/>
      <c r="DVU673" s="713"/>
      <c r="DVV673" s="713"/>
      <c r="DVW673" s="713"/>
      <c r="DVX673" s="713"/>
      <c r="DVY673" s="713"/>
      <c r="DVZ673" s="713"/>
      <c r="DWA673" s="713"/>
      <c r="DWB673" s="713"/>
      <c r="DWC673" s="713"/>
      <c r="DWD673" s="713"/>
      <c r="DWE673" s="713"/>
      <c r="DWF673" s="713"/>
      <c r="DWG673" s="713"/>
      <c r="DWH673" s="713"/>
      <c r="DWI673" s="713"/>
      <c r="DWJ673" s="713"/>
      <c r="DWK673" s="713"/>
      <c r="DWL673" s="713"/>
      <c r="DWM673" s="713"/>
      <c r="DWN673" s="713"/>
      <c r="DWO673" s="713"/>
      <c r="DWP673" s="713"/>
      <c r="DWQ673" s="713"/>
      <c r="DWR673" s="713"/>
      <c r="DWS673" s="713"/>
      <c r="DWT673" s="713"/>
      <c r="DWU673" s="713"/>
      <c r="DWV673" s="713"/>
      <c r="DWW673" s="713"/>
      <c r="DWX673" s="713"/>
      <c r="DWY673" s="713"/>
      <c r="DWZ673" s="713"/>
      <c r="DXA673" s="713"/>
      <c r="DXB673" s="713"/>
      <c r="DXC673" s="713"/>
      <c r="DXD673" s="713"/>
      <c r="DXE673" s="713"/>
      <c r="DXF673" s="713"/>
      <c r="DXG673" s="713"/>
      <c r="DXH673" s="713"/>
      <c r="DXI673" s="713"/>
      <c r="DXJ673" s="713"/>
      <c r="DXK673" s="713"/>
      <c r="DXL673" s="713"/>
      <c r="DXM673" s="713"/>
      <c r="DXN673" s="713"/>
      <c r="DXO673" s="713"/>
      <c r="DXP673" s="713"/>
      <c r="DXQ673" s="713"/>
      <c r="DXR673" s="713"/>
      <c r="DXS673" s="713"/>
      <c r="DXT673" s="713"/>
      <c r="DXU673" s="713"/>
      <c r="DXV673" s="713"/>
      <c r="DXW673" s="713"/>
      <c r="DXX673" s="713"/>
      <c r="DXY673" s="713"/>
      <c r="DXZ673" s="713"/>
      <c r="DYA673" s="713"/>
      <c r="DYB673" s="713"/>
      <c r="DYC673" s="713"/>
      <c r="DYD673" s="713"/>
      <c r="DYE673" s="713"/>
      <c r="DYF673" s="713"/>
      <c r="DYG673" s="713"/>
      <c r="DYH673" s="713"/>
      <c r="DYI673" s="713"/>
      <c r="DYJ673" s="713"/>
      <c r="DYK673" s="713"/>
      <c r="DYL673" s="713"/>
      <c r="DYM673" s="713"/>
      <c r="DYN673" s="713"/>
      <c r="DYO673" s="713"/>
      <c r="DYP673" s="713"/>
      <c r="DYQ673" s="713"/>
      <c r="DYR673" s="713"/>
      <c r="DYS673" s="713"/>
      <c r="DYT673" s="713"/>
      <c r="DYU673" s="713"/>
      <c r="DYV673" s="713"/>
      <c r="DYW673" s="713"/>
      <c r="DYX673" s="713"/>
      <c r="DYY673" s="713"/>
      <c r="DYZ673" s="713"/>
      <c r="DZA673" s="713"/>
      <c r="DZB673" s="713"/>
      <c r="DZC673" s="713"/>
      <c r="DZD673" s="713"/>
      <c r="DZE673" s="713"/>
      <c r="DZF673" s="713"/>
      <c r="DZG673" s="713"/>
      <c r="DZH673" s="713"/>
      <c r="DZI673" s="713"/>
      <c r="DZJ673" s="713"/>
      <c r="DZK673" s="713"/>
      <c r="DZL673" s="713"/>
      <c r="DZM673" s="713"/>
      <c r="DZN673" s="713"/>
      <c r="DZO673" s="713"/>
      <c r="DZP673" s="713"/>
      <c r="DZQ673" s="713"/>
      <c r="DZR673" s="713"/>
      <c r="DZS673" s="713"/>
      <c r="DZT673" s="713"/>
      <c r="DZU673" s="713"/>
      <c r="DZV673" s="713"/>
      <c r="DZW673" s="713"/>
      <c r="DZX673" s="713"/>
      <c r="DZY673" s="713"/>
      <c r="DZZ673" s="713"/>
      <c r="EAA673" s="713"/>
      <c r="EAB673" s="713"/>
      <c r="EAC673" s="713"/>
      <c r="EAD673" s="713"/>
      <c r="EAE673" s="713"/>
      <c r="EAF673" s="713"/>
      <c r="EAG673" s="713"/>
      <c r="EAH673" s="713"/>
      <c r="EAI673" s="713"/>
      <c r="EAJ673" s="713"/>
      <c r="EAK673" s="713"/>
      <c r="EAL673" s="713"/>
      <c r="EAM673" s="713"/>
      <c r="EAN673" s="713"/>
      <c r="EAO673" s="713"/>
      <c r="EAP673" s="713"/>
      <c r="EAQ673" s="713"/>
      <c r="EAR673" s="713"/>
      <c r="EAS673" s="713"/>
      <c r="EAT673" s="713"/>
      <c r="EAU673" s="713"/>
      <c r="EAV673" s="713"/>
      <c r="EAW673" s="713"/>
      <c r="EAX673" s="713"/>
      <c r="EAY673" s="713"/>
      <c r="EAZ673" s="713"/>
      <c r="EBA673" s="713"/>
      <c r="EBB673" s="713"/>
      <c r="EBC673" s="713"/>
      <c r="EBD673" s="713"/>
      <c r="EBE673" s="713"/>
      <c r="EBF673" s="713"/>
      <c r="EBG673" s="713"/>
      <c r="EBH673" s="713"/>
      <c r="EBI673" s="713"/>
      <c r="EBJ673" s="713"/>
      <c r="EBK673" s="713"/>
      <c r="EBL673" s="713"/>
      <c r="EBM673" s="713"/>
      <c r="EBN673" s="713"/>
      <c r="EBO673" s="713"/>
      <c r="EBP673" s="713"/>
      <c r="EBQ673" s="713"/>
      <c r="EBR673" s="713"/>
      <c r="EBS673" s="713"/>
      <c r="EBT673" s="713"/>
      <c r="EBU673" s="713"/>
      <c r="EBV673" s="713"/>
      <c r="EBW673" s="713"/>
      <c r="EBX673" s="713"/>
      <c r="EBY673" s="713"/>
      <c r="EBZ673" s="713"/>
      <c r="ECA673" s="713"/>
      <c r="ECB673" s="713"/>
      <c r="ECC673" s="713"/>
      <c r="ECD673" s="713"/>
      <c r="ECE673" s="713"/>
      <c r="ECF673" s="713"/>
      <c r="ECG673" s="713"/>
      <c r="ECH673" s="713"/>
      <c r="ECI673" s="713"/>
      <c r="ECJ673" s="713"/>
      <c r="ECK673" s="713"/>
      <c r="ECL673" s="713"/>
      <c r="ECM673" s="713"/>
      <c r="ECN673" s="713"/>
      <c r="ECO673" s="713"/>
      <c r="ECP673" s="713"/>
      <c r="ECQ673" s="713"/>
      <c r="ECR673" s="713"/>
      <c r="ECS673" s="713"/>
      <c r="ECT673" s="713"/>
      <c r="ECU673" s="713"/>
      <c r="ECV673" s="713"/>
      <c r="ECW673" s="713"/>
      <c r="ECX673" s="713"/>
      <c r="ECY673" s="713"/>
      <c r="ECZ673" s="713"/>
      <c r="EDA673" s="713"/>
      <c r="EDB673" s="713"/>
      <c r="EDC673" s="713"/>
      <c r="EDD673" s="713"/>
      <c r="EDE673" s="713"/>
      <c r="EDF673" s="713"/>
      <c r="EDG673" s="713"/>
      <c r="EDH673" s="713"/>
      <c r="EDI673" s="713"/>
      <c r="EDJ673" s="713"/>
      <c r="EDK673" s="713"/>
      <c r="EDL673" s="713"/>
      <c r="EDM673" s="713"/>
      <c r="EDN673" s="713"/>
      <c r="EDO673" s="713"/>
      <c r="EDP673" s="713"/>
      <c r="EDQ673" s="713"/>
      <c r="EDR673" s="713"/>
      <c r="EDS673" s="713"/>
      <c r="EDT673" s="713"/>
      <c r="EDU673" s="713"/>
      <c r="EDV673" s="713"/>
      <c r="EDW673" s="713"/>
      <c r="EDX673" s="713"/>
      <c r="EDY673" s="713"/>
      <c r="EDZ673" s="713"/>
      <c r="EEA673" s="713"/>
      <c r="EEB673" s="713"/>
      <c r="EEC673" s="713"/>
      <c r="EED673" s="713"/>
      <c r="EEE673" s="713"/>
      <c r="EEF673" s="713"/>
      <c r="EEG673" s="713"/>
      <c r="EEH673" s="713"/>
      <c r="EEI673" s="713"/>
      <c r="EEJ673" s="713"/>
      <c r="EEK673" s="713"/>
      <c r="EEL673" s="713"/>
      <c r="EEM673" s="713"/>
      <c r="EEN673" s="713"/>
      <c r="EEO673" s="713"/>
      <c r="EEP673" s="713"/>
      <c r="EEQ673" s="713"/>
      <c r="EER673" s="713"/>
      <c r="EES673" s="713"/>
      <c r="EET673" s="713"/>
      <c r="EEU673" s="713"/>
      <c r="EEV673" s="713"/>
      <c r="EEW673" s="713"/>
      <c r="EEX673" s="713"/>
      <c r="EEY673" s="713"/>
      <c r="EEZ673" s="713"/>
      <c r="EFA673" s="713"/>
      <c r="EFB673" s="713"/>
      <c r="EFC673" s="713"/>
      <c r="EFD673" s="713"/>
      <c r="EFE673" s="713"/>
      <c r="EFF673" s="713"/>
      <c r="EFG673" s="713"/>
      <c r="EFH673" s="713"/>
      <c r="EFI673" s="713"/>
      <c r="EFJ673" s="713"/>
      <c r="EFK673" s="713"/>
      <c r="EFL673" s="713"/>
      <c r="EFM673" s="713"/>
      <c r="EFN673" s="713"/>
      <c r="EFO673" s="713"/>
      <c r="EFP673" s="713"/>
      <c r="EFQ673" s="713"/>
      <c r="EFR673" s="713"/>
      <c r="EFS673" s="713"/>
      <c r="EFT673" s="713"/>
      <c r="EFU673" s="713"/>
      <c r="EFV673" s="713"/>
      <c r="EFW673" s="713"/>
      <c r="EFX673" s="713"/>
      <c r="EFY673" s="713"/>
      <c r="EFZ673" s="713"/>
      <c r="EGA673" s="713"/>
      <c r="EGB673" s="713"/>
      <c r="EGC673" s="713"/>
      <c r="EGD673" s="713"/>
      <c r="EGE673" s="713"/>
      <c r="EGF673" s="713"/>
      <c r="EGG673" s="713"/>
      <c r="EGH673" s="713"/>
      <c r="EGI673" s="713"/>
      <c r="EGJ673" s="713"/>
      <c r="EGK673" s="713"/>
      <c r="EGL673" s="713"/>
      <c r="EGM673" s="713"/>
      <c r="EGN673" s="713"/>
      <c r="EGO673" s="713"/>
      <c r="EGP673" s="713"/>
      <c r="EGQ673" s="713"/>
      <c r="EGR673" s="713"/>
      <c r="EGS673" s="713"/>
      <c r="EGT673" s="713"/>
      <c r="EGU673" s="713"/>
      <c r="EGV673" s="713"/>
      <c r="EGW673" s="713"/>
      <c r="EGX673" s="713"/>
      <c r="EGY673" s="713"/>
      <c r="EGZ673" s="713"/>
      <c r="EHA673" s="713"/>
      <c r="EHB673" s="713"/>
      <c r="EHC673" s="713"/>
      <c r="EHD673" s="713"/>
      <c r="EHE673" s="713"/>
      <c r="EHF673" s="713"/>
      <c r="EHG673" s="713"/>
      <c r="EHH673" s="713"/>
      <c r="EHI673" s="713"/>
      <c r="EHJ673" s="713"/>
      <c r="EHK673" s="713"/>
      <c r="EHL673" s="713"/>
      <c r="EHM673" s="713"/>
      <c r="EHN673" s="713"/>
      <c r="EHO673" s="713"/>
      <c r="EHP673" s="713"/>
      <c r="EHQ673" s="713"/>
      <c r="EHR673" s="713"/>
      <c r="EHS673" s="713"/>
      <c r="EHT673" s="713"/>
      <c r="EHU673" s="713"/>
      <c r="EHV673" s="713"/>
      <c r="EHW673" s="713"/>
      <c r="EHX673" s="713"/>
      <c r="EHY673" s="713"/>
      <c r="EHZ673" s="713"/>
      <c r="EIA673" s="713"/>
      <c r="EIB673" s="713"/>
      <c r="EIC673" s="713"/>
      <c r="EID673" s="713"/>
      <c r="EIE673" s="713"/>
      <c r="EIF673" s="713"/>
      <c r="EIG673" s="713"/>
      <c r="EIH673" s="713"/>
      <c r="EII673" s="713"/>
      <c r="EIJ673" s="713"/>
      <c r="EIK673" s="713"/>
      <c r="EIL673" s="713"/>
      <c r="EIM673" s="713"/>
      <c r="EIN673" s="713"/>
      <c r="EIO673" s="713"/>
      <c r="EIP673" s="713"/>
      <c r="EIQ673" s="713"/>
      <c r="EIR673" s="713"/>
      <c r="EIS673" s="713"/>
      <c r="EIT673" s="713"/>
      <c r="EIU673" s="713"/>
      <c r="EIV673" s="713"/>
      <c r="EIW673" s="713"/>
      <c r="EIX673" s="713"/>
      <c r="EIY673" s="713"/>
      <c r="EIZ673" s="713"/>
      <c r="EJA673" s="713"/>
      <c r="EJB673" s="713"/>
      <c r="EJC673" s="713"/>
      <c r="EJD673" s="713"/>
      <c r="EJE673" s="713"/>
      <c r="EJF673" s="713"/>
      <c r="EJG673" s="713"/>
      <c r="EJH673" s="713"/>
      <c r="EJI673" s="713"/>
      <c r="EJJ673" s="713"/>
      <c r="EJK673" s="713"/>
      <c r="EJL673" s="713"/>
      <c r="EJM673" s="713"/>
      <c r="EJN673" s="713"/>
      <c r="EJO673" s="713"/>
      <c r="EJP673" s="713"/>
      <c r="EJQ673" s="713"/>
      <c r="EJR673" s="713"/>
      <c r="EJS673" s="713"/>
      <c r="EJT673" s="713"/>
      <c r="EJU673" s="713"/>
      <c r="EJV673" s="713"/>
      <c r="EJW673" s="713"/>
      <c r="EJX673" s="713"/>
      <c r="EJY673" s="713"/>
      <c r="EJZ673" s="713"/>
      <c r="EKA673" s="713"/>
      <c r="EKB673" s="713"/>
      <c r="EKC673" s="713"/>
      <c r="EKD673" s="713"/>
      <c r="EKE673" s="713"/>
      <c r="EKF673" s="713"/>
      <c r="EKG673" s="713"/>
      <c r="EKH673" s="713"/>
      <c r="EKI673" s="713"/>
      <c r="EKJ673" s="713"/>
      <c r="EKK673" s="713"/>
      <c r="EKL673" s="713"/>
      <c r="EKM673" s="713"/>
      <c r="EKN673" s="713"/>
      <c r="EKO673" s="713"/>
      <c r="EKP673" s="713"/>
      <c r="EKQ673" s="713"/>
      <c r="EKR673" s="713"/>
      <c r="EKS673" s="713"/>
      <c r="EKT673" s="713"/>
      <c r="EKU673" s="713"/>
      <c r="EKV673" s="713"/>
      <c r="EKW673" s="713"/>
      <c r="EKX673" s="713"/>
      <c r="EKY673" s="713"/>
      <c r="EKZ673" s="713"/>
      <c r="ELA673" s="713"/>
      <c r="ELB673" s="713"/>
      <c r="ELC673" s="713"/>
      <c r="ELD673" s="713"/>
      <c r="ELE673" s="713"/>
      <c r="ELF673" s="713"/>
      <c r="ELG673" s="713"/>
      <c r="ELH673" s="713"/>
      <c r="ELI673" s="713"/>
      <c r="ELJ673" s="713"/>
      <c r="ELK673" s="713"/>
      <c r="ELL673" s="713"/>
      <c r="ELM673" s="713"/>
      <c r="ELN673" s="713"/>
      <c r="ELO673" s="713"/>
      <c r="ELP673" s="713"/>
      <c r="ELQ673" s="713"/>
      <c r="ELR673" s="713"/>
      <c r="ELS673" s="713"/>
      <c r="ELT673" s="713"/>
      <c r="ELU673" s="713"/>
      <c r="ELV673" s="713"/>
      <c r="ELW673" s="713"/>
      <c r="ELX673" s="713"/>
      <c r="ELY673" s="713"/>
      <c r="ELZ673" s="713"/>
      <c r="EMA673" s="713"/>
      <c r="EMB673" s="713"/>
      <c r="EMC673" s="713"/>
      <c r="EMD673" s="713"/>
      <c r="EME673" s="713"/>
      <c r="EMF673" s="713"/>
      <c r="EMG673" s="713"/>
      <c r="EMH673" s="713"/>
      <c r="EMI673" s="713"/>
      <c r="EMJ673" s="713"/>
      <c r="EMK673" s="713"/>
      <c r="EML673" s="713"/>
      <c r="EMM673" s="713"/>
      <c r="EMN673" s="713"/>
      <c r="EMO673" s="713"/>
      <c r="EMP673" s="713"/>
      <c r="EMQ673" s="713"/>
      <c r="EMR673" s="713"/>
      <c r="EMS673" s="713"/>
      <c r="EMT673" s="713"/>
      <c r="EMU673" s="713"/>
      <c r="EMV673" s="713"/>
      <c r="EMW673" s="713"/>
      <c r="EMX673" s="713"/>
      <c r="EMY673" s="713"/>
      <c r="EMZ673" s="713"/>
      <c r="ENA673" s="713"/>
      <c r="ENB673" s="713"/>
      <c r="ENC673" s="713"/>
      <c r="END673" s="713"/>
      <c r="ENE673" s="713"/>
      <c r="ENF673" s="713"/>
      <c r="ENG673" s="713"/>
      <c r="ENH673" s="713"/>
      <c r="ENI673" s="713"/>
      <c r="ENJ673" s="713"/>
      <c r="ENK673" s="713"/>
      <c r="ENL673" s="713"/>
      <c r="ENM673" s="713"/>
      <c r="ENN673" s="713"/>
      <c r="ENO673" s="713"/>
      <c r="ENP673" s="713"/>
      <c r="ENQ673" s="713"/>
      <c r="ENR673" s="713"/>
      <c r="ENS673" s="713"/>
      <c r="ENT673" s="713"/>
      <c r="ENU673" s="713"/>
      <c r="ENV673" s="713"/>
      <c r="ENW673" s="713"/>
      <c r="ENX673" s="713"/>
      <c r="ENY673" s="713"/>
      <c r="ENZ673" s="713"/>
      <c r="EOA673" s="713"/>
      <c r="EOB673" s="713"/>
      <c r="EOC673" s="713"/>
      <c r="EOD673" s="713"/>
      <c r="EOE673" s="713"/>
      <c r="EOF673" s="713"/>
      <c r="EOG673" s="713"/>
      <c r="EOH673" s="713"/>
      <c r="EOI673" s="713"/>
      <c r="EOJ673" s="713"/>
      <c r="EOK673" s="713"/>
      <c r="EOL673" s="713"/>
      <c r="EOM673" s="713"/>
      <c r="EON673" s="713"/>
      <c r="EOO673" s="713"/>
      <c r="EOP673" s="713"/>
      <c r="EOQ673" s="713"/>
      <c r="EOR673" s="713"/>
      <c r="EOS673" s="713"/>
      <c r="EOT673" s="713"/>
      <c r="EOU673" s="713"/>
      <c r="EOV673" s="713"/>
      <c r="EOW673" s="713"/>
      <c r="EOX673" s="713"/>
      <c r="EOY673" s="713"/>
      <c r="EOZ673" s="713"/>
      <c r="EPA673" s="713"/>
      <c r="EPB673" s="713"/>
      <c r="EPC673" s="713"/>
      <c r="EPD673" s="713"/>
      <c r="EPE673" s="713"/>
      <c r="EPF673" s="713"/>
      <c r="EPG673" s="713"/>
      <c r="EPH673" s="713"/>
      <c r="EPI673" s="713"/>
      <c r="EPJ673" s="713"/>
      <c r="EPK673" s="713"/>
      <c r="EPL673" s="713"/>
      <c r="EPM673" s="713"/>
      <c r="EPN673" s="713"/>
      <c r="EPO673" s="713"/>
      <c r="EPP673" s="713"/>
      <c r="EPQ673" s="713"/>
      <c r="EPR673" s="713"/>
      <c r="EPS673" s="713"/>
      <c r="EPT673" s="713"/>
      <c r="EPU673" s="713"/>
      <c r="EPV673" s="713"/>
      <c r="EPW673" s="713"/>
      <c r="EPX673" s="713"/>
      <c r="EPY673" s="713"/>
      <c r="EPZ673" s="713"/>
      <c r="EQA673" s="713"/>
      <c r="EQB673" s="713"/>
      <c r="EQC673" s="713"/>
      <c r="EQD673" s="713"/>
      <c r="EQE673" s="713"/>
      <c r="EQF673" s="713"/>
      <c r="EQG673" s="713"/>
      <c r="EQH673" s="713"/>
      <c r="EQI673" s="713"/>
      <c r="EQJ673" s="713"/>
      <c r="EQK673" s="713"/>
      <c r="EQL673" s="713"/>
      <c r="EQM673" s="713"/>
      <c r="EQN673" s="713"/>
      <c r="EQO673" s="713"/>
      <c r="EQP673" s="713"/>
      <c r="EQQ673" s="713"/>
      <c r="EQR673" s="713"/>
      <c r="EQS673" s="713"/>
      <c r="EQT673" s="713"/>
      <c r="EQU673" s="713"/>
      <c r="EQV673" s="713"/>
      <c r="EQW673" s="713"/>
      <c r="EQX673" s="713"/>
      <c r="EQY673" s="713"/>
      <c r="EQZ673" s="713"/>
      <c r="ERA673" s="713"/>
      <c r="ERB673" s="713"/>
      <c r="ERC673" s="713"/>
      <c r="ERD673" s="713"/>
      <c r="ERE673" s="713"/>
      <c r="ERF673" s="713"/>
      <c r="ERG673" s="713"/>
      <c r="ERH673" s="713"/>
      <c r="ERI673" s="713"/>
      <c r="ERJ673" s="713"/>
      <c r="ERK673" s="713"/>
      <c r="ERL673" s="713"/>
      <c r="ERM673" s="713"/>
      <c r="ERN673" s="713"/>
      <c r="ERO673" s="713"/>
      <c r="ERP673" s="713"/>
      <c r="ERQ673" s="713"/>
      <c r="ERR673" s="713"/>
      <c r="ERS673" s="713"/>
      <c r="ERT673" s="713"/>
      <c r="ERU673" s="713"/>
      <c r="ERV673" s="713"/>
      <c r="ERW673" s="713"/>
      <c r="ERX673" s="713"/>
      <c r="ERY673" s="713"/>
      <c r="ERZ673" s="713"/>
      <c r="ESA673" s="713"/>
      <c r="ESB673" s="713"/>
      <c r="ESC673" s="713"/>
      <c r="ESD673" s="713"/>
      <c r="ESE673" s="713"/>
      <c r="ESF673" s="713"/>
      <c r="ESG673" s="713"/>
      <c r="ESH673" s="713"/>
      <c r="ESI673" s="713"/>
      <c r="ESJ673" s="713"/>
      <c r="ESK673" s="713"/>
      <c r="ESL673" s="713"/>
      <c r="ESM673" s="713"/>
      <c r="ESN673" s="713"/>
      <c r="ESO673" s="713"/>
      <c r="ESP673" s="713"/>
      <c r="ESQ673" s="713"/>
      <c r="ESR673" s="713"/>
      <c r="ESS673" s="713"/>
      <c r="EST673" s="713"/>
      <c r="ESU673" s="713"/>
      <c r="ESV673" s="713"/>
      <c r="ESW673" s="713"/>
      <c r="ESX673" s="713"/>
      <c r="ESY673" s="713"/>
      <c r="ESZ673" s="713"/>
      <c r="ETA673" s="713"/>
      <c r="ETB673" s="713"/>
      <c r="ETC673" s="713"/>
      <c r="ETD673" s="713"/>
      <c r="ETE673" s="713"/>
      <c r="ETF673" s="713"/>
      <c r="ETG673" s="713"/>
      <c r="ETH673" s="713"/>
      <c r="ETI673" s="713"/>
      <c r="ETJ673" s="713"/>
      <c r="ETK673" s="713"/>
      <c r="ETL673" s="713"/>
      <c r="ETM673" s="713"/>
      <c r="ETN673" s="713"/>
      <c r="ETO673" s="713"/>
      <c r="ETP673" s="713"/>
      <c r="ETQ673" s="713"/>
      <c r="ETR673" s="713"/>
      <c r="ETS673" s="713"/>
      <c r="ETT673" s="713"/>
      <c r="ETU673" s="713"/>
      <c r="ETV673" s="713"/>
      <c r="ETW673" s="713"/>
      <c r="ETX673" s="713"/>
      <c r="ETY673" s="713"/>
      <c r="ETZ673" s="713"/>
      <c r="EUA673" s="713"/>
      <c r="EUB673" s="713"/>
      <c r="EUC673" s="713"/>
      <c r="EUD673" s="713"/>
      <c r="EUE673" s="713"/>
      <c r="EUF673" s="713"/>
      <c r="EUG673" s="713"/>
      <c r="EUH673" s="713"/>
      <c r="EUI673" s="713"/>
      <c r="EUJ673" s="713"/>
      <c r="EUK673" s="713"/>
      <c r="EUL673" s="713"/>
      <c r="EUM673" s="713"/>
      <c r="EUN673" s="713"/>
      <c r="EUO673" s="713"/>
      <c r="EUP673" s="713"/>
      <c r="EUQ673" s="713"/>
      <c r="EUR673" s="713"/>
      <c r="EUS673" s="713"/>
      <c r="EUT673" s="713"/>
      <c r="EUU673" s="713"/>
      <c r="EUV673" s="713"/>
      <c r="EUW673" s="713"/>
      <c r="EUX673" s="713"/>
      <c r="EUY673" s="713"/>
      <c r="EUZ673" s="713"/>
      <c r="EVA673" s="713"/>
      <c r="EVB673" s="713"/>
      <c r="EVC673" s="713"/>
      <c r="EVD673" s="713"/>
      <c r="EVE673" s="713"/>
      <c r="EVF673" s="713"/>
      <c r="EVG673" s="713"/>
      <c r="EVH673" s="713"/>
      <c r="EVI673" s="713"/>
      <c r="EVJ673" s="713"/>
      <c r="EVK673" s="713"/>
      <c r="EVL673" s="713"/>
      <c r="EVM673" s="713"/>
      <c r="EVN673" s="713"/>
      <c r="EVO673" s="713"/>
      <c r="EVP673" s="713"/>
      <c r="EVQ673" s="713"/>
      <c r="EVR673" s="713"/>
      <c r="EVS673" s="713"/>
      <c r="EVT673" s="713"/>
      <c r="EVU673" s="713"/>
      <c r="EVV673" s="713"/>
      <c r="EVW673" s="713"/>
      <c r="EVX673" s="713"/>
      <c r="EVY673" s="713"/>
      <c r="EVZ673" s="713"/>
      <c r="EWA673" s="713"/>
      <c r="EWB673" s="713"/>
      <c r="EWC673" s="713"/>
      <c r="EWD673" s="713"/>
      <c r="EWE673" s="713"/>
      <c r="EWF673" s="713"/>
      <c r="EWG673" s="713"/>
      <c r="EWH673" s="713"/>
      <c r="EWI673" s="713"/>
      <c r="EWJ673" s="713"/>
      <c r="EWK673" s="713"/>
      <c r="EWL673" s="713"/>
      <c r="EWM673" s="713"/>
      <c r="EWN673" s="713"/>
      <c r="EWO673" s="713"/>
      <c r="EWP673" s="713"/>
      <c r="EWQ673" s="713"/>
      <c r="EWR673" s="713"/>
      <c r="EWS673" s="713"/>
      <c r="EWT673" s="713"/>
      <c r="EWU673" s="713"/>
      <c r="EWV673" s="713"/>
      <c r="EWW673" s="713"/>
      <c r="EWX673" s="713"/>
      <c r="EWY673" s="713"/>
      <c r="EWZ673" s="713"/>
      <c r="EXA673" s="713"/>
      <c r="EXB673" s="713"/>
      <c r="EXC673" s="713"/>
      <c r="EXD673" s="713"/>
      <c r="EXE673" s="713"/>
      <c r="EXF673" s="713"/>
      <c r="EXG673" s="713"/>
      <c r="EXH673" s="713"/>
      <c r="EXI673" s="713"/>
      <c r="EXJ673" s="713"/>
      <c r="EXK673" s="713"/>
      <c r="EXL673" s="713"/>
      <c r="EXM673" s="713"/>
      <c r="EXN673" s="713"/>
      <c r="EXO673" s="713"/>
      <c r="EXP673" s="713"/>
      <c r="EXQ673" s="713"/>
      <c r="EXR673" s="713"/>
      <c r="EXS673" s="713"/>
      <c r="EXT673" s="713"/>
      <c r="EXU673" s="713"/>
      <c r="EXV673" s="713"/>
      <c r="EXW673" s="713"/>
      <c r="EXX673" s="713"/>
      <c r="EXY673" s="713"/>
      <c r="EXZ673" s="713"/>
      <c r="EYA673" s="713"/>
      <c r="EYB673" s="713"/>
      <c r="EYC673" s="713"/>
      <c r="EYD673" s="713"/>
      <c r="EYE673" s="713"/>
      <c r="EYF673" s="713"/>
      <c r="EYG673" s="713"/>
      <c r="EYH673" s="713"/>
      <c r="EYI673" s="713"/>
      <c r="EYJ673" s="713"/>
      <c r="EYK673" s="713"/>
      <c r="EYL673" s="713"/>
      <c r="EYM673" s="713"/>
      <c r="EYN673" s="713"/>
      <c r="EYO673" s="713"/>
      <c r="EYP673" s="713"/>
      <c r="EYQ673" s="713"/>
      <c r="EYR673" s="713"/>
      <c r="EYS673" s="713"/>
      <c r="EYT673" s="713"/>
      <c r="EYU673" s="713"/>
      <c r="EYV673" s="713"/>
      <c r="EYW673" s="713"/>
      <c r="EYX673" s="713"/>
      <c r="EYY673" s="713"/>
      <c r="EYZ673" s="713"/>
      <c r="EZA673" s="713"/>
      <c r="EZB673" s="713"/>
      <c r="EZC673" s="713"/>
      <c r="EZD673" s="713"/>
      <c r="EZE673" s="713"/>
      <c r="EZF673" s="713"/>
      <c r="EZG673" s="713"/>
      <c r="EZH673" s="713"/>
      <c r="EZI673" s="713"/>
      <c r="EZJ673" s="713"/>
      <c r="EZK673" s="713"/>
      <c r="EZL673" s="713"/>
      <c r="EZM673" s="713"/>
      <c r="EZN673" s="713"/>
      <c r="EZO673" s="713"/>
      <c r="EZP673" s="713"/>
      <c r="EZQ673" s="713"/>
      <c r="EZR673" s="713"/>
      <c r="EZS673" s="713"/>
      <c r="EZT673" s="713"/>
      <c r="EZU673" s="713"/>
      <c r="EZV673" s="713"/>
      <c r="EZW673" s="713"/>
      <c r="EZX673" s="713"/>
      <c r="EZY673" s="713"/>
      <c r="EZZ673" s="713"/>
      <c r="FAA673" s="713"/>
      <c r="FAB673" s="713"/>
      <c r="FAC673" s="713"/>
      <c r="FAD673" s="713"/>
      <c r="FAE673" s="713"/>
      <c r="FAF673" s="713"/>
      <c r="FAG673" s="713"/>
      <c r="FAH673" s="713"/>
      <c r="FAI673" s="713"/>
      <c r="FAJ673" s="713"/>
      <c r="FAK673" s="713"/>
      <c r="FAL673" s="713"/>
      <c r="FAM673" s="713"/>
      <c r="FAN673" s="713"/>
      <c r="FAO673" s="713"/>
      <c r="FAP673" s="713"/>
      <c r="FAQ673" s="713"/>
      <c r="FAR673" s="713"/>
      <c r="FAS673" s="713"/>
      <c r="FAT673" s="713"/>
      <c r="FAU673" s="713"/>
      <c r="FAV673" s="713"/>
      <c r="FAW673" s="713"/>
      <c r="FAX673" s="713"/>
      <c r="FAY673" s="713"/>
      <c r="FAZ673" s="713"/>
      <c r="FBA673" s="713"/>
      <c r="FBB673" s="713"/>
      <c r="FBC673" s="713"/>
      <c r="FBD673" s="713"/>
      <c r="FBE673" s="713"/>
      <c r="FBF673" s="713"/>
      <c r="FBG673" s="713"/>
      <c r="FBH673" s="713"/>
      <c r="FBI673" s="713"/>
      <c r="FBJ673" s="713"/>
      <c r="FBK673" s="713"/>
      <c r="FBL673" s="713"/>
      <c r="FBM673" s="713"/>
      <c r="FBN673" s="713"/>
      <c r="FBO673" s="713"/>
      <c r="FBP673" s="713"/>
      <c r="FBQ673" s="713"/>
      <c r="FBR673" s="713"/>
      <c r="FBS673" s="713"/>
      <c r="FBT673" s="713"/>
      <c r="FBU673" s="713"/>
      <c r="FBV673" s="713"/>
      <c r="FBW673" s="713"/>
      <c r="FBX673" s="713"/>
      <c r="FBY673" s="713"/>
      <c r="FBZ673" s="713"/>
      <c r="FCA673" s="713"/>
      <c r="FCB673" s="713"/>
      <c r="FCC673" s="713"/>
      <c r="FCD673" s="713"/>
      <c r="FCE673" s="713"/>
      <c r="FCF673" s="713"/>
      <c r="FCG673" s="713"/>
      <c r="FCH673" s="713"/>
      <c r="FCI673" s="713"/>
      <c r="FCJ673" s="713"/>
      <c r="FCK673" s="713"/>
      <c r="FCL673" s="713"/>
      <c r="FCM673" s="713"/>
      <c r="FCN673" s="713"/>
      <c r="FCO673" s="713"/>
      <c r="FCP673" s="713"/>
      <c r="FCQ673" s="713"/>
      <c r="FCR673" s="713"/>
      <c r="FCS673" s="713"/>
      <c r="FCT673" s="713"/>
      <c r="FCU673" s="713"/>
      <c r="FCV673" s="713"/>
      <c r="FCW673" s="713"/>
      <c r="FCX673" s="713"/>
      <c r="FCY673" s="713"/>
      <c r="FCZ673" s="713"/>
      <c r="FDA673" s="713"/>
      <c r="FDB673" s="713"/>
      <c r="FDC673" s="713"/>
      <c r="FDD673" s="713"/>
      <c r="FDE673" s="713"/>
      <c r="FDF673" s="713"/>
      <c r="FDG673" s="713"/>
      <c r="FDH673" s="713"/>
      <c r="FDI673" s="713"/>
      <c r="FDJ673" s="713"/>
      <c r="FDK673" s="713"/>
      <c r="FDL673" s="713"/>
      <c r="FDM673" s="713"/>
      <c r="FDN673" s="713"/>
      <c r="FDO673" s="713"/>
      <c r="FDP673" s="713"/>
      <c r="FDQ673" s="713"/>
      <c r="FDR673" s="713"/>
      <c r="FDS673" s="713"/>
      <c r="FDT673" s="713"/>
      <c r="FDU673" s="713"/>
      <c r="FDV673" s="713"/>
      <c r="FDW673" s="713"/>
      <c r="FDX673" s="713"/>
      <c r="FDY673" s="713"/>
      <c r="FDZ673" s="713"/>
      <c r="FEA673" s="713"/>
      <c r="FEB673" s="713"/>
      <c r="FEC673" s="713"/>
      <c r="FED673" s="713"/>
      <c r="FEE673" s="713"/>
      <c r="FEF673" s="713"/>
      <c r="FEG673" s="713"/>
      <c r="FEH673" s="713"/>
      <c r="FEI673" s="713"/>
      <c r="FEJ673" s="713"/>
      <c r="FEK673" s="713"/>
      <c r="FEL673" s="713"/>
      <c r="FEM673" s="713"/>
      <c r="FEN673" s="713"/>
      <c r="FEO673" s="713"/>
      <c r="FEP673" s="713"/>
      <c r="FEQ673" s="713"/>
      <c r="FER673" s="713"/>
      <c r="FES673" s="713"/>
      <c r="FET673" s="713"/>
      <c r="FEU673" s="713"/>
      <c r="FEV673" s="713"/>
      <c r="FEW673" s="713"/>
      <c r="FEX673" s="713"/>
      <c r="FEY673" s="713"/>
      <c r="FEZ673" s="713"/>
      <c r="FFA673" s="713"/>
      <c r="FFB673" s="713"/>
      <c r="FFC673" s="713"/>
      <c r="FFD673" s="713"/>
      <c r="FFE673" s="713"/>
      <c r="FFF673" s="713"/>
      <c r="FFG673" s="713"/>
      <c r="FFH673" s="713"/>
      <c r="FFI673" s="713"/>
      <c r="FFJ673" s="713"/>
      <c r="FFK673" s="713"/>
      <c r="FFL673" s="713"/>
      <c r="FFM673" s="713"/>
      <c r="FFN673" s="713"/>
      <c r="FFO673" s="713"/>
      <c r="FFP673" s="713"/>
      <c r="FFQ673" s="713"/>
      <c r="FFR673" s="713"/>
      <c r="FFS673" s="713"/>
      <c r="FFT673" s="713"/>
      <c r="FFU673" s="713"/>
      <c r="FFV673" s="713"/>
      <c r="FFW673" s="713"/>
      <c r="FFX673" s="713"/>
      <c r="FFY673" s="713"/>
      <c r="FFZ673" s="713"/>
      <c r="FGA673" s="713"/>
      <c r="FGB673" s="713"/>
      <c r="FGC673" s="713"/>
      <c r="FGD673" s="713"/>
      <c r="FGE673" s="713"/>
      <c r="FGF673" s="713"/>
      <c r="FGG673" s="713"/>
      <c r="FGH673" s="713"/>
      <c r="FGI673" s="713"/>
      <c r="FGJ673" s="713"/>
      <c r="FGK673" s="713"/>
      <c r="FGL673" s="713"/>
      <c r="FGM673" s="713"/>
      <c r="FGN673" s="713"/>
      <c r="FGO673" s="713"/>
      <c r="FGP673" s="713"/>
      <c r="FGQ673" s="713"/>
      <c r="FGR673" s="713"/>
      <c r="FGS673" s="713"/>
      <c r="FGT673" s="713"/>
      <c r="FGU673" s="713"/>
      <c r="FGV673" s="713"/>
      <c r="FGW673" s="713"/>
      <c r="FGX673" s="713"/>
      <c r="FGY673" s="713"/>
      <c r="FGZ673" s="713"/>
      <c r="FHA673" s="713"/>
      <c r="FHB673" s="713"/>
      <c r="FHC673" s="713"/>
      <c r="FHD673" s="713"/>
      <c r="FHE673" s="713"/>
      <c r="FHF673" s="713"/>
      <c r="FHG673" s="713"/>
      <c r="FHH673" s="713"/>
      <c r="FHI673" s="713"/>
      <c r="FHJ673" s="713"/>
      <c r="FHK673" s="713"/>
      <c r="FHL673" s="713"/>
      <c r="FHM673" s="713"/>
      <c r="FHN673" s="713"/>
      <c r="FHO673" s="713"/>
      <c r="FHP673" s="713"/>
      <c r="FHQ673" s="713"/>
      <c r="FHR673" s="713"/>
      <c r="FHS673" s="713"/>
      <c r="FHT673" s="713"/>
      <c r="FHU673" s="713"/>
      <c r="FHV673" s="713"/>
      <c r="FHW673" s="713"/>
      <c r="FHX673" s="713"/>
      <c r="FHY673" s="713"/>
      <c r="FHZ673" s="713"/>
      <c r="FIA673" s="713"/>
      <c r="FIB673" s="713"/>
      <c r="FIC673" s="713"/>
      <c r="FID673" s="713"/>
      <c r="FIE673" s="713"/>
      <c r="FIF673" s="713"/>
      <c r="FIG673" s="713"/>
      <c r="FIH673" s="713"/>
      <c r="FII673" s="713"/>
      <c r="FIJ673" s="713"/>
      <c r="FIK673" s="713"/>
      <c r="FIL673" s="713"/>
      <c r="FIM673" s="713"/>
      <c r="FIN673" s="713"/>
      <c r="FIO673" s="713"/>
      <c r="FIP673" s="713"/>
      <c r="FIQ673" s="713"/>
      <c r="FIR673" s="713"/>
      <c r="FIS673" s="713"/>
      <c r="FIT673" s="713"/>
      <c r="FIU673" s="713"/>
      <c r="FIV673" s="713"/>
      <c r="FIW673" s="713"/>
      <c r="FIX673" s="713"/>
      <c r="FIY673" s="713"/>
      <c r="FIZ673" s="713"/>
      <c r="FJA673" s="713"/>
      <c r="FJB673" s="713"/>
      <c r="FJC673" s="713"/>
      <c r="FJD673" s="713"/>
      <c r="FJE673" s="713"/>
      <c r="FJF673" s="713"/>
      <c r="FJG673" s="713"/>
      <c r="FJH673" s="713"/>
      <c r="FJI673" s="713"/>
      <c r="FJJ673" s="713"/>
      <c r="FJK673" s="713"/>
      <c r="FJL673" s="713"/>
      <c r="FJM673" s="713"/>
      <c r="FJN673" s="713"/>
      <c r="FJO673" s="713"/>
      <c r="FJP673" s="713"/>
      <c r="FJQ673" s="713"/>
      <c r="FJR673" s="713"/>
      <c r="FJS673" s="713"/>
      <c r="FJT673" s="713"/>
      <c r="FJU673" s="713"/>
      <c r="FJV673" s="713"/>
      <c r="FJW673" s="713"/>
      <c r="FJX673" s="713"/>
      <c r="FJY673" s="713"/>
      <c r="FJZ673" s="713"/>
      <c r="FKA673" s="713"/>
      <c r="FKB673" s="713"/>
      <c r="FKC673" s="713"/>
      <c r="FKD673" s="713"/>
      <c r="FKE673" s="713"/>
      <c r="FKF673" s="713"/>
      <c r="FKG673" s="713"/>
      <c r="FKH673" s="713"/>
      <c r="FKI673" s="713"/>
      <c r="FKJ673" s="713"/>
      <c r="FKK673" s="713"/>
      <c r="FKL673" s="713"/>
      <c r="FKM673" s="713"/>
      <c r="FKN673" s="713"/>
      <c r="FKO673" s="713"/>
      <c r="FKP673" s="713"/>
      <c r="FKQ673" s="713"/>
      <c r="FKR673" s="713"/>
      <c r="FKS673" s="713"/>
      <c r="FKT673" s="713"/>
      <c r="FKU673" s="713"/>
      <c r="FKV673" s="713"/>
      <c r="FKW673" s="713"/>
      <c r="FKX673" s="713"/>
      <c r="FKY673" s="713"/>
      <c r="FKZ673" s="713"/>
      <c r="FLA673" s="713"/>
      <c r="FLB673" s="713"/>
      <c r="FLC673" s="713"/>
      <c r="FLD673" s="713"/>
      <c r="FLE673" s="713"/>
      <c r="FLF673" s="713"/>
      <c r="FLG673" s="713"/>
      <c r="FLH673" s="713"/>
      <c r="FLI673" s="713"/>
      <c r="FLJ673" s="713"/>
      <c r="FLK673" s="713"/>
      <c r="FLL673" s="713"/>
      <c r="FLM673" s="713"/>
      <c r="FLN673" s="713"/>
      <c r="FLO673" s="713"/>
      <c r="FLP673" s="713"/>
      <c r="FLQ673" s="713"/>
      <c r="FLR673" s="713"/>
      <c r="FLS673" s="713"/>
      <c r="FLT673" s="713"/>
      <c r="FLU673" s="713"/>
      <c r="FLV673" s="713"/>
      <c r="FLW673" s="713"/>
      <c r="FLX673" s="713"/>
      <c r="FLY673" s="713"/>
      <c r="FLZ673" s="713"/>
      <c r="FMA673" s="713"/>
      <c r="FMB673" s="713"/>
      <c r="FMC673" s="713"/>
      <c r="FMD673" s="713"/>
      <c r="FME673" s="713"/>
      <c r="FMF673" s="713"/>
      <c r="FMG673" s="713"/>
      <c r="FMH673" s="713"/>
      <c r="FMI673" s="713"/>
      <c r="FMJ673" s="713"/>
      <c r="FMK673" s="713"/>
      <c r="FML673" s="713"/>
      <c r="FMM673" s="713"/>
      <c r="FMN673" s="713"/>
      <c r="FMO673" s="713"/>
      <c r="FMP673" s="713"/>
      <c r="FMQ673" s="713"/>
      <c r="FMR673" s="713"/>
      <c r="FMS673" s="713"/>
      <c r="FMT673" s="713"/>
      <c r="FMU673" s="713"/>
      <c r="FMV673" s="713"/>
      <c r="FMW673" s="713"/>
      <c r="FMX673" s="713"/>
      <c r="FMY673" s="713"/>
      <c r="FMZ673" s="713"/>
      <c r="FNA673" s="713"/>
      <c r="FNB673" s="713"/>
      <c r="FNC673" s="713"/>
      <c r="FND673" s="713"/>
      <c r="FNE673" s="713"/>
      <c r="FNF673" s="713"/>
      <c r="FNG673" s="713"/>
      <c r="FNH673" s="713"/>
      <c r="FNI673" s="713"/>
      <c r="FNJ673" s="713"/>
      <c r="FNK673" s="713"/>
      <c r="FNL673" s="713"/>
      <c r="FNM673" s="713"/>
      <c r="FNN673" s="713"/>
      <c r="FNO673" s="713"/>
      <c r="FNP673" s="713"/>
      <c r="FNQ673" s="713"/>
      <c r="FNR673" s="713"/>
      <c r="FNS673" s="713"/>
      <c r="FNT673" s="713"/>
      <c r="FNU673" s="713"/>
      <c r="FNV673" s="713"/>
      <c r="FNW673" s="713"/>
      <c r="FNX673" s="713"/>
      <c r="FNY673" s="713"/>
      <c r="FNZ673" s="713"/>
      <c r="FOA673" s="713"/>
      <c r="FOB673" s="713"/>
      <c r="FOC673" s="713"/>
      <c r="FOD673" s="713"/>
      <c r="FOE673" s="713"/>
      <c r="FOF673" s="713"/>
      <c r="FOG673" s="713"/>
      <c r="FOH673" s="713"/>
      <c r="FOI673" s="713"/>
      <c r="FOJ673" s="713"/>
      <c r="FOK673" s="713"/>
      <c r="FOL673" s="713"/>
      <c r="FOM673" s="713"/>
      <c r="FON673" s="713"/>
      <c r="FOO673" s="713"/>
      <c r="FOP673" s="713"/>
      <c r="FOQ673" s="713"/>
      <c r="FOR673" s="713"/>
      <c r="FOS673" s="713"/>
      <c r="FOT673" s="713"/>
      <c r="FOU673" s="713"/>
      <c r="FOV673" s="713"/>
      <c r="FOW673" s="713"/>
      <c r="FOX673" s="713"/>
      <c r="FOY673" s="713"/>
      <c r="FOZ673" s="713"/>
      <c r="FPA673" s="713"/>
      <c r="FPB673" s="713"/>
      <c r="FPC673" s="713"/>
      <c r="FPD673" s="713"/>
      <c r="FPE673" s="713"/>
      <c r="FPF673" s="713"/>
      <c r="FPG673" s="713"/>
      <c r="FPH673" s="713"/>
      <c r="FPI673" s="713"/>
      <c r="FPJ673" s="713"/>
      <c r="FPK673" s="713"/>
      <c r="FPL673" s="713"/>
      <c r="FPM673" s="713"/>
      <c r="FPN673" s="713"/>
      <c r="FPO673" s="713"/>
      <c r="FPP673" s="713"/>
      <c r="FPQ673" s="713"/>
      <c r="FPR673" s="713"/>
      <c r="FPS673" s="713"/>
      <c r="FPT673" s="713"/>
      <c r="FPU673" s="713"/>
      <c r="FPV673" s="713"/>
      <c r="FPW673" s="713"/>
      <c r="FPX673" s="713"/>
      <c r="FPY673" s="713"/>
      <c r="FPZ673" s="713"/>
      <c r="FQA673" s="713"/>
      <c r="FQB673" s="713"/>
      <c r="FQC673" s="713"/>
      <c r="FQD673" s="713"/>
      <c r="FQE673" s="713"/>
      <c r="FQF673" s="713"/>
      <c r="FQG673" s="713"/>
      <c r="FQH673" s="713"/>
      <c r="FQI673" s="713"/>
      <c r="FQJ673" s="713"/>
      <c r="FQK673" s="713"/>
      <c r="FQL673" s="713"/>
      <c r="FQM673" s="713"/>
      <c r="FQN673" s="713"/>
      <c r="FQO673" s="713"/>
      <c r="FQP673" s="713"/>
      <c r="FQQ673" s="713"/>
      <c r="FQR673" s="713"/>
      <c r="FQS673" s="713"/>
      <c r="FQT673" s="713"/>
      <c r="FQU673" s="713"/>
      <c r="FQV673" s="713"/>
      <c r="FQW673" s="713"/>
      <c r="FQX673" s="713"/>
      <c r="FQY673" s="713"/>
      <c r="FQZ673" s="713"/>
      <c r="FRA673" s="713"/>
      <c r="FRB673" s="713"/>
      <c r="FRC673" s="713"/>
      <c r="FRD673" s="713"/>
      <c r="FRE673" s="713"/>
      <c r="FRF673" s="713"/>
      <c r="FRG673" s="713"/>
      <c r="FRH673" s="713"/>
      <c r="FRI673" s="713"/>
      <c r="FRJ673" s="713"/>
      <c r="FRK673" s="713"/>
      <c r="FRL673" s="713"/>
      <c r="FRM673" s="713"/>
      <c r="FRN673" s="713"/>
      <c r="FRO673" s="713"/>
      <c r="FRP673" s="713"/>
      <c r="FRQ673" s="713"/>
      <c r="FRR673" s="713"/>
      <c r="FRS673" s="713"/>
      <c r="FRT673" s="713"/>
      <c r="FRU673" s="713"/>
      <c r="FRV673" s="713"/>
      <c r="FRW673" s="713"/>
      <c r="FRX673" s="713"/>
      <c r="FRY673" s="713"/>
      <c r="FRZ673" s="713"/>
      <c r="FSA673" s="713"/>
      <c r="FSB673" s="713"/>
      <c r="FSC673" s="713"/>
      <c r="FSD673" s="713"/>
      <c r="FSE673" s="713"/>
      <c r="FSF673" s="713"/>
      <c r="FSG673" s="713"/>
      <c r="FSH673" s="713"/>
      <c r="FSI673" s="713"/>
      <c r="FSJ673" s="713"/>
      <c r="FSK673" s="713"/>
      <c r="FSL673" s="713"/>
      <c r="FSM673" s="713"/>
      <c r="FSN673" s="713"/>
      <c r="FSO673" s="713"/>
      <c r="FSP673" s="713"/>
      <c r="FSQ673" s="713"/>
      <c r="FSR673" s="713"/>
      <c r="FSS673" s="713"/>
      <c r="FST673" s="713"/>
      <c r="FSU673" s="713"/>
      <c r="FSV673" s="713"/>
      <c r="FSW673" s="713"/>
      <c r="FSX673" s="713"/>
      <c r="FSY673" s="713"/>
      <c r="FSZ673" s="713"/>
      <c r="FTA673" s="713"/>
      <c r="FTB673" s="713"/>
      <c r="FTC673" s="713"/>
      <c r="FTD673" s="713"/>
      <c r="FTE673" s="713"/>
      <c r="FTF673" s="713"/>
      <c r="FTG673" s="713"/>
      <c r="FTH673" s="713"/>
      <c r="FTI673" s="713"/>
      <c r="FTJ673" s="713"/>
      <c r="FTK673" s="713"/>
      <c r="FTL673" s="713"/>
      <c r="FTM673" s="713"/>
      <c r="FTN673" s="713"/>
      <c r="FTO673" s="713"/>
      <c r="FTP673" s="713"/>
      <c r="FTQ673" s="713"/>
      <c r="FTR673" s="713"/>
      <c r="FTS673" s="713"/>
      <c r="FTT673" s="713"/>
      <c r="FTU673" s="713"/>
      <c r="FTV673" s="713"/>
      <c r="FTW673" s="713"/>
      <c r="FTX673" s="713"/>
      <c r="FTY673" s="713"/>
      <c r="FTZ673" s="713"/>
      <c r="FUA673" s="713"/>
      <c r="FUB673" s="713"/>
      <c r="FUC673" s="713"/>
      <c r="FUD673" s="713"/>
      <c r="FUE673" s="713"/>
      <c r="FUF673" s="713"/>
      <c r="FUG673" s="713"/>
      <c r="FUH673" s="713"/>
      <c r="FUI673" s="713"/>
      <c r="FUJ673" s="713"/>
      <c r="FUK673" s="713"/>
      <c r="FUL673" s="713"/>
      <c r="FUM673" s="713"/>
      <c r="FUN673" s="713"/>
      <c r="FUO673" s="713"/>
      <c r="FUP673" s="713"/>
      <c r="FUQ673" s="713"/>
      <c r="FUR673" s="713"/>
      <c r="FUS673" s="713"/>
      <c r="FUT673" s="713"/>
      <c r="FUU673" s="713"/>
      <c r="FUV673" s="713"/>
      <c r="FUW673" s="713"/>
      <c r="FUX673" s="713"/>
      <c r="FUY673" s="713"/>
      <c r="FUZ673" s="713"/>
      <c r="FVA673" s="713"/>
      <c r="FVB673" s="713"/>
      <c r="FVC673" s="713"/>
      <c r="FVD673" s="713"/>
      <c r="FVE673" s="713"/>
      <c r="FVF673" s="713"/>
      <c r="FVG673" s="713"/>
      <c r="FVH673" s="713"/>
      <c r="FVI673" s="713"/>
      <c r="FVJ673" s="713"/>
      <c r="FVK673" s="713"/>
      <c r="FVL673" s="713"/>
      <c r="FVM673" s="713"/>
      <c r="FVN673" s="713"/>
      <c r="FVO673" s="713"/>
      <c r="FVP673" s="713"/>
      <c r="FVQ673" s="713"/>
      <c r="FVR673" s="713"/>
      <c r="FVS673" s="713"/>
      <c r="FVT673" s="713"/>
      <c r="FVU673" s="713"/>
      <c r="FVV673" s="713"/>
      <c r="FVW673" s="713"/>
      <c r="FVX673" s="713"/>
      <c r="FVY673" s="713"/>
      <c r="FVZ673" s="713"/>
      <c r="FWA673" s="713"/>
      <c r="FWB673" s="713"/>
      <c r="FWC673" s="713"/>
      <c r="FWD673" s="713"/>
      <c r="FWE673" s="713"/>
      <c r="FWF673" s="713"/>
      <c r="FWG673" s="713"/>
      <c r="FWH673" s="713"/>
      <c r="FWI673" s="713"/>
      <c r="FWJ673" s="713"/>
      <c r="FWK673" s="713"/>
      <c r="FWL673" s="713"/>
      <c r="FWM673" s="713"/>
      <c r="FWN673" s="713"/>
      <c r="FWO673" s="713"/>
      <c r="FWP673" s="713"/>
      <c r="FWQ673" s="713"/>
      <c r="FWR673" s="713"/>
      <c r="FWS673" s="713"/>
      <c r="FWT673" s="713"/>
      <c r="FWU673" s="713"/>
      <c r="FWV673" s="713"/>
      <c r="FWW673" s="713"/>
      <c r="FWX673" s="713"/>
      <c r="FWY673" s="713"/>
      <c r="FWZ673" s="713"/>
      <c r="FXA673" s="713"/>
      <c r="FXB673" s="713"/>
      <c r="FXC673" s="713"/>
      <c r="FXD673" s="713"/>
      <c r="FXE673" s="713"/>
      <c r="FXF673" s="713"/>
      <c r="FXG673" s="713"/>
      <c r="FXH673" s="713"/>
      <c r="FXI673" s="713"/>
      <c r="FXJ673" s="713"/>
      <c r="FXK673" s="713"/>
      <c r="FXL673" s="713"/>
      <c r="FXM673" s="713"/>
      <c r="FXN673" s="713"/>
      <c r="FXO673" s="713"/>
      <c r="FXP673" s="713"/>
      <c r="FXQ673" s="713"/>
      <c r="FXR673" s="713"/>
      <c r="FXS673" s="713"/>
      <c r="FXT673" s="713"/>
      <c r="FXU673" s="713"/>
      <c r="FXV673" s="713"/>
      <c r="FXW673" s="713"/>
      <c r="FXX673" s="713"/>
      <c r="FXY673" s="713"/>
      <c r="FXZ673" s="713"/>
      <c r="FYA673" s="713"/>
      <c r="FYB673" s="713"/>
      <c r="FYC673" s="713"/>
      <c r="FYD673" s="713"/>
      <c r="FYE673" s="713"/>
      <c r="FYF673" s="713"/>
      <c r="FYG673" s="713"/>
      <c r="FYH673" s="713"/>
      <c r="FYI673" s="713"/>
      <c r="FYJ673" s="713"/>
      <c r="FYK673" s="713"/>
      <c r="FYL673" s="713"/>
      <c r="FYM673" s="713"/>
      <c r="FYN673" s="713"/>
      <c r="FYO673" s="713"/>
      <c r="FYP673" s="713"/>
      <c r="FYQ673" s="713"/>
      <c r="FYR673" s="713"/>
      <c r="FYS673" s="713"/>
      <c r="FYT673" s="713"/>
      <c r="FYU673" s="713"/>
      <c r="FYV673" s="713"/>
      <c r="FYW673" s="713"/>
      <c r="FYX673" s="713"/>
      <c r="FYY673" s="713"/>
      <c r="FYZ673" s="713"/>
      <c r="FZA673" s="713"/>
      <c r="FZB673" s="713"/>
      <c r="FZC673" s="713"/>
      <c r="FZD673" s="713"/>
      <c r="FZE673" s="713"/>
      <c r="FZF673" s="713"/>
      <c r="FZG673" s="713"/>
      <c r="FZH673" s="713"/>
      <c r="FZI673" s="713"/>
      <c r="FZJ673" s="713"/>
      <c r="FZK673" s="713"/>
      <c r="FZL673" s="713"/>
      <c r="FZM673" s="713"/>
      <c r="FZN673" s="713"/>
      <c r="FZO673" s="713"/>
      <c r="FZP673" s="713"/>
      <c r="FZQ673" s="713"/>
      <c r="FZR673" s="713"/>
      <c r="FZS673" s="713"/>
      <c r="FZT673" s="713"/>
      <c r="FZU673" s="713"/>
      <c r="FZV673" s="713"/>
      <c r="FZW673" s="713"/>
      <c r="FZX673" s="713"/>
      <c r="FZY673" s="713"/>
      <c r="FZZ673" s="713"/>
      <c r="GAA673" s="713"/>
      <c r="GAB673" s="713"/>
      <c r="GAC673" s="713"/>
      <c r="GAD673" s="713"/>
      <c r="GAE673" s="713"/>
      <c r="GAF673" s="713"/>
      <c r="GAG673" s="713"/>
      <c r="GAH673" s="713"/>
      <c r="GAI673" s="713"/>
      <c r="GAJ673" s="713"/>
      <c r="GAK673" s="713"/>
      <c r="GAL673" s="713"/>
      <c r="GAM673" s="713"/>
      <c r="GAN673" s="713"/>
      <c r="GAO673" s="713"/>
      <c r="GAP673" s="713"/>
      <c r="GAQ673" s="713"/>
      <c r="GAR673" s="713"/>
      <c r="GAS673" s="713"/>
      <c r="GAT673" s="713"/>
      <c r="GAU673" s="713"/>
      <c r="GAV673" s="713"/>
      <c r="GAW673" s="713"/>
      <c r="GAX673" s="713"/>
      <c r="GAY673" s="713"/>
      <c r="GAZ673" s="713"/>
      <c r="GBA673" s="713"/>
      <c r="GBB673" s="713"/>
      <c r="GBC673" s="713"/>
      <c r="GBD673" s="713"/>
      <c r="GBE673" s="713"/>
      <c r="GBF673" s="713"/>
      <c r="GBG673" s="713"/>
      <c r="GBH673" s="713"/>
      <c r="GBI673" s="713"/>
      <c r="GBJ673" s="713"/>
      <c r="GBK673" s="713"/>
      <c r="GBL673" s="713"/>
      <c r="GBM673" s="713"/>
      <c r="GBN673" s="713"/>
      <c r="GBO673" s="713"/>
      <c r="GBP673" s="713"/>
      <c r="GBQ673" s="713"/>
      <c r="GBR673" s="713"/>
      <c r="GBS673" s="713"/>
      <c r="GBT673" s="713"/>
      <c r="GBU673" s="713"/>
      <c r="GBV673" s="713"/>
      <c r="GBW673" s="713"/>
      <c r="GBX673" s="713"/>
      <c r="GBY673" s="713"/>
      <c r="GBZ673" s="713"/>
      <c r="GCA673" s="713"/>
      <c r="GCB673" s="713"/>
      <c r="GCC673" s="713"/>
      <c r="GCD673" s="713"/>
      <c r="GCE673" s="713"/>
      <c r="GCF673" s="713"/>
      <c r="GCG673" s="713"/>
      <c r="GCH673" s="713"/>
      <c r="GCI673" s="713"/>
      <c r="GCJ673" s="713"/>
      <c r="GCK673" s="713"/>
      <c r="GCL673" s="713"/>
      <c r="GCM673" s="713"/>
      <c r="GCN673" s="713"/>
      <c r="GCO673" s="713"/>
      <c r="GCP673" s="713"/>
      <c r="GCQ673" s="713"/>
      <c r="GCR673" s="713"/>
      <c r="GCS673" s="713"/>
      <c r="GCT673" s="713"/>
      <c r="GCU673" s="713"/>
      <c r="GCV673" s="713"/>
      <c r="GCW673" s="713"/>
      <c r="GCX673" s="713"/>
      <c r="GCY673" s="713"/>
      <c r="GCZ673" s="713"/>
      <c r="GDA673" s="713"/>
      <c r="GDB673" s="713"/>
      <c r="GDC673" s="713"/>
      <c r="GDD673" s="713"/>
      <c r="GDE673" s="713"/>
      <c r="GDF673" s="713"/>
      <c r="GDG673" s="713"/>
      <c r="GDH673" s="713"/>
      <c r="GDI673" s="713"/>
      <c r="GDJ673" s="713"/>
      <c r="GDK673" s="713"/>
      <c r="GDL673" s="713"/>
      <c r="GDM673" s="713"/>
      <c r="GDN673" s="713"/>
      <c r="GDO673" s="713"/>
      <c r="GDP673" s="713"/>
      <c r="GDQ673" s="713"/>
      <c r="GDR673" s="713"/>
      <c r="GDS673" s="713"/>
      <c r="GDT673" s="713"/>
      <c r="GDU673" s="713"/>
      <c r="GDV673" s="713"/>
      <c r="GDW673" s="713"/>
      <c r="GDX673" s="713"/>
      <c r="GDY673" s="713"/>
      <c r="GDZ673" s="713"/>
      <c r="GEA673" s="713"/>
      <c r="GEB673" s="713"/>
      <c r="GEC673" s="713"/>
      <c r="GED673" s="713"/>
      <c r="GEE673" s="713"/>
      <c r="GEF673" s="713"/>
      <c r="GEG673" s="713"/>
      <c r="GEH673" s="713"/>
      <c r="GEI673" s="713"/>
      <c r="GEJ673" s="713"/>
      <c r="GEK673" s="713"/>
      <c r="GEL673" s="713"/>
      <c r="GEM673" s="713"/>
      <c r="GEN673" s="713"/>
      <c r="GEO673" s="713"/>
      <c r="GEP673" s="713"/>
      <c r="GEQ673" s="713"/>
      <c r="GER673" s="713"/>
      <c r="GES673" s="713"/>
      <c r="GET673" s="713"/>
      <c r="GEU673" s="713"/>
      <c r="GEV673" s="713"/>
      <c r="GEW673" s="713"/>
      <c r="GEX673" s="713"/>
      <c r="GEY673" s="713"/>
      <c r="GEZ673" s="713"/>
      <c r="GFA673" s="713"/>
      <c r="GFB673" s="713"/>
      <c r="GFC673" s="713"/>
      <c r="GFD673" s="713"/>
      <c r="GFE673" s="713"/>
      <c r="GFF673" s="713"/>
      <c r="GFG673" s="713"/>
      <c r="GFH673" s="713"/>
      <c r="GFI673" s="713"/>
      <c r="GFJ673" s="713"/>
      <c r="GFK673" s="713"/>
      <c r="GFL673" s="713"/>
      <c r="GFM673" s="713"/>
      <c r="GFN673" s="713"/>
      <c r="GFO673" s="713"/>
      <c r="GFP673" s="713"/>
      <c r="GFQ673" s="713"/>
      <c r="GFR673" s="713"/>
      <c r="GFS673" s="713"/>
      <c r="GFT673" s="713"/>
      <c r="GFU673" s="713"/>
      <c r="GFV673" s="713"/>
      <c r="GFW673" s="713"/>
      <c r="GFX673" s="713"/>
      <c r="GFY673" s="713"/>
      <c r="GFZ673" s="713"/>
      <c r="GGA673" s="713"/>
      <c r="GGB673" s="713"/>
      <c r="GGC673" s="713"/>
      <c r="GGD673" s="713"/>
      <c r="GGE673" s="713"/>
      <c r="GGF673" s="713"/>
      <c r="GGG673" s="713"/>
      <c r="GGH673" s="713"/>
      <c r="GGI673" s="713"/>
      <c r="GGJ673" s="713"/>
      <c r="GGK673" s="713"/>
      <c r="GGL673" s="713"/>
      <c r="GGM673" s="713"/>
      <c r="GGN673" s="713"/>
      <c r="GGO673" s="713"/>
      <c r="GGP673" s="713"/>
      <c r="GGQ673" s="713"/>
      <c r="GGR673" s="713"/>
      <c r="GGS673" s="713"/>
      <c r="GGT673" s="713"/>
      <c r="GGU673" s="713"/>
      <c r="GGV673" s="713"/>
      <c r="GGW673" s="713"/>
      <c r="GGX673" s="713"/>
      <c r="GGY673" s="713"/>
      <c r="GGZ673" s="713"/>
      <c r="GHA673" s="713"/>
      <c r="GHB673" s="713"/>
      <c r="GHC673" s="713"/>
      <c r="GHD673" s="713"/>
      <c r="GHE673" s="713"/>
      <c r="GHF673" s="713"/>
      <c r="GHG673" s="713"/>
      <c r="GHH673" s="713"/>
      <c r="GHI673" s="713"/>
      <c r="GHJ673" s="713"/>
      <c r="GHK673" s="713"/>
      <c r="GHL673" s="713"/>
      <c r="GHM673" s="713"/>
      <c r="GHN673" s="713"/>
      <c r="GHO673" s="713"/>
      <c r="GHP673" s="713"/>
      <c r="GHQ673" s="713"/>
      <c r="GHR673" s="713"/>
      <c r="GHS673" s="713"/>
      <c r="GHT673" s="713"/>
      <c r="GHU673" s="713"/>
      <c r="GHV673" s="713"/>
      <c r="GHW673" s="713"/>
      <c r="GHX673" s="713"/>
      <c r="GHY673" s="713"/>
      <c r="GHZ673" s="713"/>
      <c r="GIA673" s="713"/>
      <c r="GIB673" s="713"/>
      <c r="GIC673" s="713"/>
      <c r="GID673" s="713"/>
      <c r="GIE673" s="713"/>
      <c r="GIF673" s="713"/>
      <c r="GIG673" s="713"/>
      <c r="GIH673" s="713"/>
      <c r="GII673" s="713"/>
      <c r="GIJ673" s="713"/>
      <c r="GIK673" s="713"/>
      <c r="GIL673" s="713"/>
      <c r="GIM673" s="713"/>
      <c r="GIN673" s="713"/>
      <c r="GIO673" s="713"/>
      <c r="GIP673" s="713"/>
      <c r="GIQ673" s="713"/>
      <c r="GIR673" s="713"/>
      <c r="GIS673" s="713"/>
      <c r="GIT673" s="713"/>
      <c r="GIU673" s="713"/>
      <c r="GIV673" s="713"/>
      <c r="GIW673" s="713"/>
      <c r="GIX673" s="713"/>
      <c r="GIY673" s="713"/>
      <c r="GIZ673" s="713"/>
      <c r="GJA673" s="713"/>
      <c r="GJB673" s="713"/>
      <c r="GJC673" s="713"/>
      <c r="GJD673" s="713"/>
      <c r="GJE673" s="713"/>
      <c r="GJF673" s="713"/>
      <c r="GJG673" s="713"/>
      <c r="GJH673" s="713"/>
      <c r="GJI673" s="713"/>
      <c r="GJJ673" s="713"/>
      <c r="GJK673" s="713"/>
      <c r="GJL673" s="713"/>
      <c r="GJM673" s="713"/>
      <c r="GJN673" s="713"/>
      <c r="GJO673" s="713"/>
      <c r="GJP673" s="713"/>
      <c r="GJQ673" s="713"/>
      <c r="GJR673" s="713"/>
      <c r="GJS673" s="713"/>
      <c r="GJT673" s="713"/>
      <c r="GJU673" s="713"/>
      <c r="GJV673" s="713"/>
      <c r="GJW673" s="713"/>
      <c r="GJX673" s="713"/>
      <c r="GJY673" s="713"/>
      <c r="GJZ673" s="713"/>
      <c r="GKA673" s="713"/>
      <c r="GKB673" s="713"/>
      <c r="GKC673" s="713"/>
      <c r="GKD673" s="713"/>
      <c r="GKE673" s="713"/>
      <c r="GKF673" s="713"/>
      <c r="GKG673" s="713"/>
      <c r="GKH673" s="713"/>
      <c r="GKI673" s="713"/>
      <c r="GKJ673" s="713"/>
      <c r="GKK673" s="713"/>
      <c r="GKL673" s="713"/>
      <c r="GKM673" s="713"/>
      <c r="GKN673" s="713"/>
      <c r="GKO673" s="713"/>
      <c r="GKP673" s="713"/>
      <c r="GKQ673" s="713"/>
      <c r="GKR673" s="713"/>
      <c r="GKS673" s="713"/>
      <c r="GKT673" s="713"/>
      <c r="GKU673" s="713"/>
      <c r="GKV673" s="713"/>
      <c r="GKW673" s="713"/>
      <c r="GKX673" s="713"/>
      <c r="GKY673" s="713"/>
      <c r="GKZ673" s="713"/>
      <c r="GLA673" s="713"/>
      <c r="GLB673" s="713"/>
      <c r="GLC673" s="713"/>
      <c r="GLD673" s="713"/>
      <c r="GLE673" s="713"/>
      <c r="GLF673" s="713"/>
      <c r="GLG673" s="713"/>
      <c r="GLH673" s="713"/>
      <c r="GLI673" s="713"/>
      <c r="GLJ673" s="713"/>
      <c r="GLK673" s="713"/>
      <c r="GLL673" s="713"/>
      <c r="GLM673" s="713"/>
      <c r="GLN673" s="713"/>
      <c r="GLO673" s="713"/>
      <c r="GLP673" s="713"/>
      <c r="GLQ673" s="713"/>
      <c r="GLR673" s="713"/>
      <c r="GLS673" s="713"/>
      <c r="GLT673" s="713"/>
      <c r="GLU673" s="713"/>
      <c r="GLV673" s="713"/>
      <c r="GLW673" s="713"/>
      <c r="GLX673" s="713"/>
      <c r="GLY673" s="713"/>
      <c r="GLZ673" s="713"/>
      <c r="GMA673" s="713"/>
      <c r="GMB673" s="713"/>
      <c r="GMC673" s="713"/>
      <c r="GMD673" s="713"/>
      <c r="GME673" s="713"/>
      <c r="GMF673" s="713"/>
      <c r="GMG673" s="713"/>
      <c r="GMH673" s="713"/>
      <c r="GMI673" s="713"/>
      <c r="GMJ673" s="713"/>
      <c r="GMK673" s="713"/>
      <c r="GML673" s="713"/>
      <c r="GMM673" s="713"/>
      <c r="GMN673" s="713"/>
      <c r="GMO673" s="713"/>
      <c r="GMP673" s="713"/>
      <c r="GMQ673" s="713"/>
      <c r="GMR673" s="713"/>
      <c r="GMS673" s="713"/>
      <c r="GMT673" s="713"/>
      <c r="GMU673" s="713"/>
      <c r="GMV673" s="713"/>
      <c r="GMW673" s="713"/>
      <c r="GMX673" s="713"/>
      <c r="GMY673" s="713"/>
      <c r="GMZ673" s="713"/>
      <c r="GNA673" s="713"/>
      <c r="GNB673" s="713"/>
      <c r="GNC673" s="713"/>
      <c r="GND673" s="713"/>
      <c r="GNE673" s="713"/>
      <c r="GNF673" s="713"/>
      <c r="GNG673" s="713"/>
      <c r="GNH673" s="713"/>
      <c r="GNI673" s="713"/>
      <c r="GNJ673" s="713"/>
      <c r="GNK673" s="713"/>
      <c r="GNL673" s="713"/>
      <c r="GNM673" s="713"/>
      <c r="GNN673" s="713"/>
      <c r="GNO673" s="713"/>
      <c r="GNP673" s="713"/>
      <c r="GNQ673" s="713"/>
      <c r="GNR673" s="713"/>
      <c r="GNS673" s="713"/>
      <c r="GNT673" s="713"/>
      <c r="GNU673" s="713"/>
      <c r="GNV673" s="713"/>
      <c r="GNW673" s="713"/>
      <c r="GNX673" s="713"/>
      <c r="GNY673" s="713"/>
      <c r="GNZ673" s="713"/>
      <c r="GOA673" s="713"/>
      <c r="GOB673" s="713"/>
      <c r="GOC673" s="713"/>
      <c r="GOD673" s="713"/>
      <c r="GOE673" s="713"/>
      <c r="GOF673" s="713"/>
      <c r="GOG673" s="713"/>
      <c r="GOH673" s="713"/>
      <c r="GOI673" s="713"/>
      <c r="GOJ673" s="713"/>
      <c r="GOK673" s="713"/>
      <c r="GOL673" s="713"/>
      <c r="GOM673" s="713"/>
      <c r="GON673" s="713"/>
      <c r="GOO673" s="713"/>
      <c r="GOP673" s="713"/>
      <c r="GOQ673" s="713"/>
      <c r="GOR673" s="713"/>
      <c r="GOS673" s="713"/>
      <c r="GOT673" s="713"/>
      <c r="GOU673" s="713"/>
      <c r="GOV673" s="713"/>
      <c r="GOW673" s="713"/>
      <c r="GOX673" s="713"/>
      <c r="GOY673" s="713"/>
      <c r="GOZ673" s="713"/>
      <c r="GPA673" s="713"/>
      <c r="GPB673" s="713"/>
      <c r="GPC673" s="713"/>
      <c r="GPD673" s="713"/>
      <c r="GPE673" s="713"/>
      <c r="GPF673" s="713"/>
      <c r="GPG673" s="713"/>
      <c r="GPH673" s="713"/>
      <c r="GPI673" s="713"/>
      <c r="GPJ673" s="713"/>
      <c r="GPK673" s="713"/>
      <c r="GPL673" s="713"/>
      <c r="GPM673" s="713"/>
      <c r="GPN673" s="713"/>
      <c r="GPO673" s="713"/>
      <c r="GPP673" s="713"/>
      <c r="GPQ673" s="713"/>
      <c r="GPR673" s="713"/>
      <c r="GPS673" s="713"/>
      <c r="GPT673" s="713"/>
      <c r="GPU673" s="713"/>
      <c r="GPV673" s="713"/>
      <c r="GPW673" s="713"/>
      <c r="GPX673" s="713"/>
      <c r="GPY673" s="713"/>
      <c r="GPZ673" s="713"/>
      <c r="GQA673" s="713"/>
      <c r="GQB673" s="713"/>
      <c r="GQC673" s="713"/>
      <c r="GQD673" s="713"/>
      <c r="GQE673" s="713"/>
      <c r="GQF673" s="713"/>
      <c r="GQG673" s="713"/>
      <c r="GQH673" s="713"/>
      <c r="GQI673" s="713"/>
      <c r="GQJ673" s="713"/>
      <c r="GQK673" s="713"/>
      <c r="GQL673" s="713"/>
      <c r="GQM673" s="713"/>
      <c r="GQN673" s="713"/>
      <c r="GQO673" s="713"/>
      <c r="GQP673" s="713"/>
      <c r="GQQ673" s="713"/>
      <c r="GQR673" s="713"/>
      <c r="GQS673" s="713"/>
      <c r="GQT673" s="713"/>
      <c r="GQU673" s="713"/>
      <c r="GQV673" s="713"/>
      <c r="GQW673" s="713"/>
      <c r="GQX673" s="713"/>
      <c r="GQY673" s="713"/>
      <c r="GQZ673" s="713"/>
      <c r="GRA673" s="713"/>
      <c r="GRB673" s="713"/>
      <c r="GRC673" s="713"/>
      <c r="GRD673" s="713"/>
      <c r="GRE673" s="713"/>
      <c r="GRF673" s="713"/>
      <c r="GRG673" s="713"/>
      <c r="GRH673" s="713"/>
      <c r="GRI673" s="713"/>
      <c r="GRJ673" s="713"/>
      <c r="GRK673" s="713"/>
      <c r="GRL673" s="713"/>
      <c r="GRM673" s="713"/>
      <c r="GRN673" s="713"/>
      <c r="GRO673" s="713"/>
      <c r="GRP673" s="713"/>
      <c r="GRQ673" s="713"/>
      <c r="GRR673" s="713"/>
      <c r="GRS673" s="713"/>
      <c r="GRT673" s="713"/>
      <c r="GRU673" s="713"/>
      <c r="GRV673" s="713"/>
      <c r="GRW673" s="713"/>
      <c r="GRX673" s="713"/>
      <c r="GRY673" s="713"/>
      <c r="GRZ673" s="713"/>
      <c r="GSA673" s="713"/>
      <c r="GSB673" s="713"/>
      <c r="GSC673" s="713"/>
      <c r="GSD673" s="713"/>
      <c r="GSE673" s="713"/>
      <c r="GSF673" s="713"/>
      <c r="GSG673" s="713"/>
      <c r="GSH673" s="713"/>
      <c r="GSI673" s="713"/>
      <c r="GSJ673" s="713"/>
      <c r="GSK673" s="713"/>
      <c r="GSL673" s="713"/>
      <c r="GSM673" s="713"/>
      <c r="GSN673" s="713"/>
      <c r="GSO673" s="713"/>
      <c r="GSP673" s="713"/>
      <c r="GSQ673" s="713"/>
      <c r="GSR673" s="713"/>
      <c r="GSS673" s="713"/>
      <c r="GST673" s="713"/>
      <c r="GSU673" s="713"/>
      <c r="GSV673" s="713"/>
      <c r="GSW673" s="713"/>
      <c r="GSX673" s="713"/>
      <c r="GSY673" s="713"/>
      <c r="GSZ673" s="713"/>
      <c r="GTA673" s="713"/>
      <c r="GTB673" s="713"/>
      <c r="GTC673" s="713"/>
      <c r="GTD673" s="713"/>
      <c r="GTE673" s="713"/>
      <c r="GTF673" s="713"/>
      <c r="GTG673" s="713"/>
      <c r="GTH673" s="713"/>
      <c r="GTI673" s="713"/>
      <c r="GTJ673" s="713"/>
      <c r="GTK673" s="713"/>
      <c r="GTL673" s="713"/>
      <c r="GTM673" s="713"/>
      <c r="GTN673" s="713"/>
      <c r="GTO673" s="713"/>
      <c r="GTP673" s="713"/>
      <c r="GTQ673" s="713"/>
      <c r="GTR673" s="713"/>
      <c r="GTS673" s="713"/>
      <c r="GTT673" s="713"/>
      <c r="GTU673" s="713"/>
      <c r="GTV673" s="713"/>
      <c r="GTW673" s="713"/>
      <c r="GTX673" s="713"/>
      <c r="GTY673" s="713"/>
      <c r="GTZ673" s="713"/>
      <c r="GUA673" s="713"/>
      <c r="GUB673" s="713"/>
      <c r="GUC673" s="713"/>
      <c r="GUD673" s="713"/>
      <c r="GUE673" s="713"/>
      <c r="GUF673" s="713"/>
      <c r="GUG673" s="713"/>
      <c r="GUH673" s="713"/>
      <c r="GUI673" s="713"/>
      <c r="GUJ673" s="713"/>
      <c r="GUK673" s="713"/>
      <c r="GUL673" s="713"/>
      <c r="GUM673" s="713"/>
      <c r="GUN673" s="713"/>
      <c r="GUO673" s="713"/>
      <c r="GUP673" s="713"/>
      <c r="GUQ673" s="713"/>
      <c r="GUR673" s="713"/>
      <c r="GUS673" s="713"/>
      <c r="GUT673" s="713"/>
      <c r="GUU673" s="713"/>
      <c r="GUV673" s="713"/>
      <c r="GUW673" s="713"/>
      <c r="GUX673" s="713"/>
      <c r="GUY673" s="713"/>
      <c r="GUZ673" s="713"/>
      <c r="GVA673" s="713"/>
      <c r="GVB673" s="713"/>
      <c r="GVC673" s="713"/>
      <c r="GVD673" s="713"/>
      <c r="GVE673" s="713"/>
      <c r="GVF673" s="713"/>
      <c r="GVG673" s="713"/>
      <c r="GVH673" s="713"/>
      <c r="GVI673" s="713"/>
      <c r="GVJ673" s="713"/>
      <c r="GVK673" s="713"/>
      <c r="GVL673" s="713"/>
      <c r="GVM673" s="713"/>
      <c r="GVN673" s="713"/>
      <c r="GVO673" s="713"/>
      <c r="GVP673" s="713"/>
      <c r="GVQ673" s="713"/>
      <c r="GVR673" s="713"/>
      <c r="GVS673" s="713"/>
      <c r="GVT673" s="713"/>
      <c r="GVU673" s="713"/>
      <c r="GVV673" s="713"/>
      <c r="GVW673" s="713"/>
      <c r="GVX673" s="713"/>
      <c r="GVY673" s="713"/>
      <c r="GVZ673" s="713"/>
      <c r="GWA673" s="713"/>
      <c r="GWB673" s="713"/>
      <c r="GWC673" s="713"/>
      <c r="GWD673" s="713"/>
      <c r="GWE673" s="713"/>
      <c r="GWF673" s="713"/>
      <c r="GWG673" s="713"/>
      <c r="GWH673" s="713"/>
      <c r="GWI673" s="713"/>
      <c r="GWJ673" s="713"/>
      <c r="GWK673" s="713"/>
      <c r="GWL673" s="713"/>
      <c r="GWM673" s="713"/>
      <c r="GWN673" s="713"/>
      <c r="GWO673" s="713"/>
      <c r="GWP673" s="713"/>
      <c r="GWQ673" s="713"/>
      <c r="GWR673" s="713"/>
      <c r="GWS673" s="713"/>
      <c r="GWT673" s="713"/>
      <c r="GWU673" s="713"/>
      <c r="GWV673" s="713"/>
      <c r="GWW673" s="713"/>
      <c r="GWX673" s="713"/>
      <c r="GWY673" s="713"/>
      <c r="GWZ673" s="713"/>
      <c r="GXA673" s="713"/>
      <c r="GXB673" s="713"/>
      <c r="GXC673" s="713"/>
      <c r="GXD673" s="713"/>
      <c r="GXE673" s="713"/>
      <c r="GXF673" s="713"/>
      <c r="GXG673" s="713"/>
      <c r="GXH673" s="713"/>
      <c r="GXI673" s="713"/>
      <c r="GXJ673" s="713"/>
      <c r="GXK673" s="713"/>
      <c r="GXL673" s="713"/>
      <c r="GXM673" s="713"/>
      <c r="GXN673" s="713"/>
      <c r="GXO673" s="713"/>
      <c r="GXP673" s="713"/>
      <c r="GXQ673" s="713"/>
      <c r="GXR673" s="713"/>
      <c r="GXS673" s="713"/>
      <c r="GXT673" s="713"/>
      <c r="GXU673" s="713"/>
      <c r="GXV673" s="713"/>
      <c r="GXW673" s="713"/>
      <c r="GXX673" s="713"/>
      <c r="GXY673" s="713"/>
      <c r="GXZ673" s="713"/>
      <c r="GYA673" s="713"/>
      <c r="GYB673" s="713"/>
      <c r="GYC673" s="713"/>
      <c r="GYD673" s="713"/>
      <c r="GYE673" s="713"/>
      <c r="GYF673" s="713"/>
      <c r="GYG673" s="713"/>
      <c r="GYH673" s="713"/>
      <c r="GYI673" s="713"/>
      <c r="GYJ673" s="713"/>
      <c r="GYK673" s="713"/>
      <c r="GYL673" s="713"/>
      <c r="GYM673" s="713"/>
      <c r="GYN673" s="713"/>
      <c r="GYO673" s="713"/>
      <c r="GYP673" s="713"/>
      <c r="GYQ673" s="713"/>
      <c r="GYR673" s="713"/>
      <c r="GYS673" s="713"/>
      <c r="GYT673" s="713"/>
      <c r="GYU673" s="713"/>
      <c r="GYV673" s="713"/>
      <c r="GYW673" s="713"/>
      <c r="GYX673" s="713"/>
      <c r="GYY673" s="713"/>
      <c r="GYZ673" s="713"/>
      <c r="GZA673" s="713"/>
      <c r="GZB673" s="713"/>
      <c r="GZC673" s="713"/>
      <c r="GZD673" s="713"/>
      <c r="GZE673" s="713"/>
      <c r="GZF673" s="713"/>
      <c r="GZG673" s="713"/>
      <c r="GZH673" s="713"/>
      <c r="GZI673" s="713"/>
      <c r="GZJ673" s="713"/>
      <c r="GZK673" s="713"/>
      <c r="GZL673" s="713"/>
      <c r="GZM673" s="713"/>
      <c r="GZN673" s="713"/>
      <c r="GZO673" s="713"/>
      <c r="GZP673" s="713"/>
      <c r="GZQ673" s="713"/>
      <c r="GZR673" s="713"/>
      <c r="GZS673" s="713"/>
      <c r="GZT673" s="713"/>
      <c r="GZU673" s="713"/>
      <c r="GZV673" s="713"/>
      <c r="GZW673" s="713"/>
      <c r="GZX673" s="713"/>
      <c r="GZY673" s="713"/>
      <c r="GZZ673" s="713"/>
      <c r="HAA673" s="713"/>
      <c r="HAB673" s="713"/>
      <c r="HAC673" s="713"/>
      <c r="HAD673" s="713"/>
      <c r="HAE673" s="713"/>
      <c r="HAF673" s="713"/>
      <c r="HAG673" s="713"/>
      <c r="HAH673" s="713"/>
      <c r="HAI673" s="713"/>
      <c r="HAJ673" s="713"/>
      <c r="HAK673" s="713"/>
      <c r="HAL673" s="713"/>
      <c r="HAM673" s="713"/>
      <c r="HAN673" s="713"/>
      <c r="HAO673" s="713"/>
      <c r="HAP673" s="713"/>
      <c r="HAQ673" s="713"/>
      <c r="HAR673" s="713"/>
      <c r="HAS673" s="713"/>
      <c r="HAT673" s="713"/>
      <c r="HAU673" s="713"/>
      <c r="HAV673" s="713"/>
      <c r="HAW673" s="713"/>
      <c r="HAX673" s="713"/>
      <c r="HAY673" s="713"/>
      <c r="HAZ673" s="713"/>
      <c r="HBA673" s="713"/>
      <c r="HBB673" s="713"/>
      <c r="HBC673" s="713"/>
      <c r="HBD673" s="713"/>
      <c r="HBE673" s="713"/>
      <c r="HBF673" s="713"/>
      <c r="HBG673" s="713"/>
      <c r="HBH673" s="713"/>
      <c r="HBI673" s="713"/>
      <c r="HBJ673" s="713"/>
      <c r="HBK673" s="713"/>
      <c r="HBL673" s="713"/>
      <c r="HBM673" s="713"/>
      <c r="HBN673" s="713"/>
      <c r="HBO673" s="713"/>
      <c r="HBP673" s="713"/>
      <c r="HBQ673" s="713"/>
      <c r="HBR673" s="713"/>
      <c r="HBS673" s="713"/>
      <c r="HBT673" s="713"/>
      <c r="HBU673" s="713"/>
      <c r="HBV673" s="713"/>
      <c r="HBW673" s="713"/>
      <c r="HBX673" s="713"/>
      <c r="HBY673" s="713"/>
      <c r="HBZ673" s="713"/>
      <c r="HCA673" s="713"/>
      <c r="HCB673" s="713"/>
      <c r="HCC673" s="713"/>
      <c r="HCD673" s="713"/>
      <c r="HCE673" s="713"/>
      <c r="HCF673" s="713"/>
      <c r="HCG673" s="713"/>
      <c r="HCH673" s="713"/>
      <c r="HCI673" s="713"/>
      <c r="HCJ673" s="713"/>
      <c r="HCK673" s="713"/>
      <c r="HCL673" s="713"/>
      <c r="HCM673" s="713"/>
      <c r="HCN673" s="713"/>
      <c r="HCO673" s="713"/>
      <c r="HCP673" s="713"/>
      <c r="HCQ673" s="713"/>
      <c r="HCR673" s="713"/>
      <c r="HCS673" s="713"/>
      <c r="HCT673" s="713"/>
      <c r="HCU673" s="713"/>
      <c r="HCV673" s="713"/>
      <c r="HCW673" s="713"/>
      <c r="HCX673" s="713"/>
      <c r="HCY673" s="713"/>
      <c r="HCZ673" s="713"/>
      <c r="HDA673" s="713"/>
      <c r="HDB673" s="713"/>
      <c r="HDC673" s="713"/>
      <c r="HDD673" s="713"/>
      <c r="HDE673" s="713"/>
      <c r="HDF673" s="713"/>
      <c r="HDG673" s="713"/>
      <c r="HDH673" s="713"/>
      <c r="HDI673" s="713"/>
      <c r="HDJ673" s="713"/>
      <c r="HDK673" s="713"/>
      <c r="HDL673" s="713"/>
      <c r="HDM673" s="713"/>
      <c r="HDN673" s="713"/>
      <c r="HDO673" s="713"/>
      <c r="HDP673" s="713"/>
      <c r="HDQ673" s="713"/>
      <c r="HDR673" s="713"/>
      <c r="HDS673" s="713"/>
      <c r="HDT673" s="713"/>
      <c r="HDU673" s="713"/>
      <c r="HDV673" s="713"/>
      <c r="HDW673" s="713"/>
      <c r="HDX673" s="713"/>
      <c r="HDY673" s="713"/>
      <c r="HDZ673" s="713"/>
      <c r="HEA673" s="713"/>
      <c r="HEB673" s="713"/>
      <c r="HEC673" s="713"/>
      <c r="HED673" s="713"/>
      <c r="HEE673" s="713"/>
      <c r="HEF673" s="713"/>
      <c r="HEG673" s="713"/>
      <c r="HEH673" s="713"/>
      <c r="HEI673" s="713"/>
      <c r="HEJ673" s="713"/>
      <c r="HEK673" s="713"/>
      <c r="HEL673" s="713"/>
      <c r="HEM673" s="713"/>
      <c r="HEN673" s="713"/>
      <c r="HEO673" s="713"/>
      <c r="HEP673" s="713"/>
      <c r="HEQ673" s="713"/>
      <c r="HER673" s="713"/>
      <c r="HES673" s="713"/>
      <c r="HET673" s="713"/>
      <c r="HEU673" s="713"/>
      <c r="HEV673" s="713"/>
      <c r="HEW673" s="713"/>
      <c r="HEX673" s="713"/>
      <c r="HEY673" s="713"/>
      <c r="HEZ673" s="713"/>
      <c r="HFA673" s="713"/>
      <c r="HFB673" s="713"/>
      <c r="HFC673" s="713"/>
      <c r="HFD673" s="713"/>
      <c r="HFE673" s="713"/>
      <c r="HFF673" s="713"/>
      <c r="HFG673" s="713"/>
      <c r="HFH673" s="713"/>
      <c r="HFI673" s="713"/>
      <c r="HFJ673" s="713"/>
      <c r="HFK673" s="713"/>
      <c r="HFL673" s="713"/>
      <c r="HFM673" s="713"/>
      <c r="HFN673" s="713"/>
      <c r="HFO673" s="713"/>
      <c r="HFP673" s="713"/>
      <c r="HFQ673" s="713"/>
      <c r="HFR673" s="713"/>
      <c r="HFS673" s="713"/>
      <c r="HFT673" s="713"/>
      <c r="HFU673" s="713"/>
      <c r="HFV673" s="713"/>
      <c r="HFW673" s="713"/>
      <c r="HFX673" s="713"/>
      <c r="HFY673" s="713"/>
      <c r="HFZ673" s="713"/>
      <c r="HGA673" s="713"/>
      <c r="HGB673" s="713"/>
      <c r="HGC673" s="713"/>
      <c r="HGD673" s="713"/>
      <c r="HGE673" s="713"/>
      <c r="HGF673" s="713"/>
      <c r="HGG673" s="713"/>
      <c r="HGH673" s="713"/>
      <c r="HGI673" s="713"/>
      <c r="HGJ673" s="713"/>
      <c r="HGK673" s="713"/>
      <c r="HGL673" s="713"/>
      <c r="HGM673" s="713"/>
      <c r="HGN673" s="713"/>
      <c r="HGO673" s="713"/>
      <c r="HGP673" s="713"/>
      <c r="HGQ673" s="713"/>
      <c r="HGR673" s="713"/>
      <c r="HGS673" s="713"/>
      <c r="HGT673" s="713"/>
      <c r="HGU673" s="713"/>
      <c r="HGV673" s="713"/>
      <c r="HGW673" s="713"/>
      <c r="HGX673" s="713"/>
      <c r="HGY673" s="713"/>
      <c r="HGZ673" s="713"/>
      <c r="HHA673" s="713"/>
      <c r="HHB673" s="713"/>
      <c r="HHC673" s="713"/>
      <c r="HHD673" s="713"/>
      <c r="HHE673" s="713"/>
      <c r="HHF673" s="713"/>
      <c r="HHG673" s="713"/>
      <c r="HHH673" s="713"/>
      <c r="HHI673" s="713"/>
      <c r="HHJ673" s="713"/>
      <c r="HHK673" s="713"/>
      <c r="HHL673" s="713"/>
      <c r="HHM673" s="713"/>
      <c r="HHN673" s="713"/>
      <c r="HHO673" s="713"/>
      <c r="HHP673" s="713"/>
      <c r="HHQ673" s="713"/>
      <c r="HHR673" s="713"/>
      <c r="HHS673" s="713"/>
      <c r="HHT673" s="713"/>
      <c r="HHU673" s="713"/>
      <c r="HHV673" s="713"/>
      <c r="HHW673" s="713"/>
      <c r="HHX673" s="713"/>
      <c r="HHY673" s="713"/>
      <c r="HHZ673" s="713"/>
      <c r="HIA673" s="713"/>
      <c r="HIB673" s="713"/>
      <c r="HIC673" s="713"/>
      <c r="HID673" s="713"/>
      <c r="HIE673" s="713"/>
      <c r="HIF673" s="713"/>
      <c r="HIG673" s="713"/>
      <c r="HIH673" s="713"/>
      <c r="HII673" s="713"/>
      <c r="HIJ673" s="713"/>
      <c r="HIK673" s="713"/>
      <c r="HIL673" s="713"/>
      <c r="HIM673" s="713"/>
      <c r="HIN673" s="713"/>
      <c r="HIO673" s="713"/>
      <c r="HIP673" s="713"/>
      <c r="HIQ673" s="713"/>
      <c r="HIR673" s="713"/>
      <c r="HIS673" s="713"/>
      <c r="HIT673" s="713"/>
      <c r="HIU673" s="713"/>
      <c r="HIV673" s="713"/>
      <c r="HIW673" s="713"/>
      <c r="HIX673" s="713"/>
      <c r="HIY673" s="713"/>
      <c r="HIZ673" s="713"/>
      <c r="HJA673" s="713"/>
      <c r="HJB673" s="713"/>
      <c r="HJC673" s="713"/>
      <c r="HJD673" s="713"/>
      <c r="HJE673" s="713"/>
      <c r="HJF673" s="713"/>
      <c r="HJG673" s="713"/>
      <c r="HJH673" s="713"/>
      <c r="HJI673" s="713"/>
      <c r="HJJ673" s="713"/>
      <c r="HJK673" s="713"/>
      <c r="HJL673" s="713"/>
      <c r="HJM673" s="713"/>
      <c r="HJN673" s="713"/>
      <c r="HJO673" s="713"/>
      <c r="HJP673" s="713"/>
      <c r="HJQ673" s="713"/>
      <c r="HJR673" s="713"/>
      <c r="HJS673" s="713"/>
      <c r="HJT673" s="713"/>
      <c r="HJU673" s="713"/>
      <c r="HJV673" s="713"/>
      <c r="HJW673" s="713"/>
      <c r="HJX673" s="713"/>
      <c r="HJY673" s="713"/>
      <c r="HJZ673" s="713"/>
      <c r="HKA673" s="713"/>
      <c r="HKB673" s="713"/>
      <c r="HKC673" s="713"/>
      <c r="HKD673" s="713"/>
      <c r="HKE673" s="713"/>
      <c r="HKF673" s="713"/>
      <c r="HKG673" s="713"/>
      <c r="HKH673" s="713"/>
      <c r="HKI673" s="713"/>
      <c r="HKJ673" s="713"/>
      <c r="HKK673" s="713"/>
      <c r="HKL673" s="713"/>
      <c r="HKM673" s="713"/>
      <c r="HKN673" s="713"/>
      <c r="HKO673" s="713"/>
      <c r="HKP673" s="713"/>
      <c r="HKQ673" s="713"/>
      <c r="HKR673" s="713"/>
      <c r="HKS673" s="713"/>
      <c r="HKT673" s="713"/>
      <c r="HKU673" s="713"/>
      <c r="HKV673" s="713"/>
      <c r="HKW673" s="713"/>
      <c r="HKX673" s="713"/>
      <c r="HKY673" s="713"/>
      <c r="HKZ673" s="713"/>
      <c r="HLA673" s="713"/>
      <c r="HLB673" s="713"/>
      <c r="HLC673" s="713"/>
      <c r="HLD673" s="713"/>
      <c r="HLE673" s="713"/>
      <c r="HLF673" s="713"/>
      <c r="HLG673" s="713"/>
      <c r="HLH673" s="713"/>
      <c r="HLI673" s="713"/>
      <c r="HLJ673" s="713"/>
      <c r="HLK673" s="713"/>
      <c r="HLL673" s="713"/>
      <c r="HLM673" s="713"/>
      <c r="HLN673" s="713"/>
      <c r="HLO673" s="713"/>
      <c r="HLP673" s="713"/>
      <c r="HLQ673" s="713"/>
      <c r="HLR673" s="713"/>
      <c r="HLS673" s="713"/>
      <c r="HLT673" s="713"/>
      <c r="HLU673" s="713"/>
      <c r="HLV673" s="713"/>
      <c r="HLW673" s="713"/>
      <c r="HLX673" s="713"/>
      <c r="HLY673" s="713"/>
      <c r="HLZ673" s="713"/>
      <c r="HMA673" s="713"/>
      <c r="HMB673" s="713"/>
      <c r="HMC673" s="713"/>
      <c r="HMD673" s="713"/>
      <c r="HME673" s="713"/>
      <c r="HMF673" s="713"/>
      <c r="HMG673" s="713"/>
      <c r="HMH673" s="713"/>
      <c r="HMI673" s="713"/>
      <c r="HMJ673" s="713"/>
      <c r="HMK673" s="713"/>
      <c r="HML673" s="713"/>
      <c r="HMM673" s="713"/>
      <c r="HMN673" s="713"/>
      <c r="HMO673" s="713"/>
      <c r="HMP673" s="713"/>
      <c r="HMQ673" s="713"/>
      <c r="HMR673" s="713"/>
      <c r="HMS673" s="713"/>
      <c r="HMT673" s="713"/>
      <c r="HMU673" s="713"/>
      <c r="HMV673" s="713"/>
      <c r="HMW673" s="713"/>
      <c r="HMX673" s="713"/>
      <c r="HMY673" s="713"/>
      <c r="HMZ673" s="713"/>
      <c r="HNA673" s="713"/>
      <c r="HNB673" s="713"/>
      <c r="HNC673" s="713"/>
      <c r="HND673" s="713"/>
      <c r="HNE673" s="713"/>
      <c r="HNF673" s="713"/>
      <c r="HNG673" s="713"/>
      <c r="HNH673" s="713"/>
      <c r="HNI673" s="713"/>
      <c r="HNJ673" s="713"/>
      <c r="HNK673" s="713"/>
      <c r="HNL673" s="713"/>
      <c r="HNM673" s="713"/>
      <c r="HNN673" s="713"/>
      <c r="HNO673" s="713"/>
      <c r="HNP673" s="713"/>
      <c r="HNQ673" s="713"/>
      <c r="HNR673" s="713"/>
      <c r="HNS673" s="713"/>
      <c r="HNT673" s="713"/>
      <c r="HNU673" s="713"/>
      <c r="HNV673" s="713"/>
      <c r="HNW673" s="713"/>
      <c r="HNX673" s="713"/>
      <c r="HNY673" s="713"/>
      <c r="HNZ673" s="713"/>
      <c r="HOA673" s="713"/>
      <c r="HOB673" s="713"/>
      <c r="HOC673" s="713"/>
      <c r="HOD673" s="713"/>
      <c r="HOE673" s="713"/>
      <c r="HOF673" s="713"/>
      <c r="HOG673" s="713"/>
      <c r="HOH673" s="713"/>
      <c r="HOI673" s="713"/>
      <c r="HOJ673" s="713"/>
      <c r="HOK673" s="713"/>
      <c r="HOL673" s="713"/>
      <c r="HOM673" s="713"/>
      <c r="HON673" s="713"/>
      <c r="HOO673" s="713"/>
      <c r="HOP673" s="713"/>
      <c r="HOQ673" s="713"/>
      <c r="HOR673" s="713"/>
      <c r="HOS673" s="713"/>
      <c r="HOT673" s="713"/>
      <c r="HOU673" s="713"/>
      <c r="HOV673" s="713"/>
      <c r="HOW673" s="713"/>
      <c r="HOX673" s="713"/>
      <c r="HOY673" s="713"/>
      <c r="HOZ673" s="713"/>
      <c r="HPA673" s="713"/>
      <c r="HPB673" s="713"/>
      <c r="HPC673" s="713"/>
      <c r="HPD673" s="713"/>
      <c r="HPE673" s="713"/>
      <c r="HPF673" s="713"/>
      <c r="HPG673" s="713"/>
      <c r="HPH673" s="713"/>
      <c r="HPI673" s="713"/>
      <c r="HPJ673" s="713"/>
      <c r="HPK673" s="713"/>
      <c r="HPL673" s="713"/>
      <c r="HPM673" s="713"/>
      <c r="HPN673" s="713"/>
      <c r="HPO673" s="713"/>
      <c r="HPP673" s="713"/>
      <c r="HPQ673" s="713"/>
      <c r="HPR673" s="713"/>
      <c r="HPS673" s="713"/>
      <c r="HPT673" s="713"/>
      <c r="HPU673" s="713"/>
      <c r="HPV673" s="713"/>
      <c r="HPW673" s="713"/>
      <c r="HPX673" s="713"/>
      <c r="HPY673" s="713"/>
      <c r="HPZ673" s="713"/>
      <c r="HQA673" s="713"/>
      <c r="HQB673" s="713"/>
      <c r="HQC673" s="713"/>
      <c r="HQD673" s="713"/>
      <c r="HQE673" s="713"/>
      <c r="HQF673" s="713"/>
      <c r="HQG673" s="713"/>
      <c r="HQH673" s="713"/>
      <c r="HQI673" s="713"/>
      <c r="HQJ673" s="713"/>
      <c r="HQK673" s="713"/>
      <c r="HQL673" s="713"/>
      <c r="HQM673" s="713"/>
      <c r="HQN673" s="713"/>
      <c r="HQO673" s="713"/>
      <c r="HQP673" s="713"/>
      <c r="HQQ673" s="713"/>
      <c r="HQR673" s="713"/>
      <c r="HQS673" s="713"/>
      <c r="HQT673" s="713"/>
      <c r="HQU673" s="713"/>
      <c r="HQV673" s="713"/>
      <c r="HQW673" s="713"/>
      <c r="HQX673" s="713"/>
      <c r="HQY673" s="713"/>
      <c r="HQZ673" s="713"/>
      <c r="HRA673" s="713"/>
      <c r="HRB673" s="713"/>
      <c r="HRC673" s="713"/>
      <c r="HRD673" s="713"/>
      <c r="HRE673" s="713"/>
      <c r="HRF673" s="713"/>
      <c r="HRG673" s="713"/>
      <c r="HRH673" s="713"/>
      <c r="HRI673" s="713"/>
      <c r="HRJ673" s="713"/>
      <c r="HRK673" s="713"/>
      <c r="HRL673" s="713"/>
      <c r="HRM673" s="713"/>
      <c r="HRN673" s="713"/>
      <c r="HRO673" s="713"/>
      <c r="HRP673" s="713"/>
      <c r="HRQ673" s="713"/>
      <c r="HRR673" s="713"/>
      <c r="HRS673" s="713"/>
      <c r="HRT673" s="713"/>
      <c r="HRU673" s="713"/>
      <c r="HRV673" s="713"/>
      <c r="HRW673" s="713"/>
      <c r="HRX673" s="713"/>
      <c r="HRY673" s="713"/>
      <c r="HRZ673" s="713"/>
      <c r="HSA673" s="713"/>
      <c r="HSB673" s="713"/>
      <c r="HSC673" s="713"/>
      <c r="HSD673" s="713"/>
      <c r="HSE673" s="713"/>
      <c r="HSF673" s="713"/>
      <c r="HSG673" s="713"/>
      <c r="HSH673" s="713"/>
      <c r="HSI673" s="713"/>
      <c r="HSJ673" s="713"/>
      <c r="HSK673" s="713"/>
      <c r="HSL673" s="713"/>
      <c r="HSM673" s="713"/>
      <c r="HSN673" s="713"/>
      <c r="HSO673" s="713"/>
      <c r="HSP673" s="713"/>
      <c r="HSQ673" s="713"/>
      <c r="HSR673" s="713"/>
      <c r="HSS673" s="713"/>
      <c r="HST673" s="713"/>
      <c r="HSU673" s="713"/>
      <c r="HSV673" s="713"/>
      <c r="HSW673" s="713"/>
      <c r="HSX673" s="713"/>
      <c r="HSY673" s="713"/>
      <c r="HSZ673" s="713"/>
      <c r="HTA673" s="713"/>
      <c r="HTB673" s="713"/>
      <c r="HTC673" s="713"/>
      <c r="HTD673" s="713"/>
      <c r="HTE673" s="713"/>
      <c r="HTF673" s="713"/>
      <c r="HTG673" s="713"/>
      <c r="HTH673" s="713"/>
      <c r="HTI673" s="713"/>
      <c r="HTJ673" s="713"/>
      <c r="HTK673" s="713"/>
      <c r="HTL673" s="713"/>
      <c r="HTM673" s="713"/>
      <c r="HTN673" s="713"/>
      <c r="HTO673" s="713"/>
      <c r="HTP673" s="713"/>
      <c r="HTQ673" s="713"/>
      <c r="HTR673" s="713"/>
      <c r="HTS673" s="713"/>
      <c r="HTT673" s="713"/>
      <c r="HTU673" s="713"/>
      <c r="HTV673" s="713"/>
      <c r="HTW673" s="713"/>
      <c r="HTX673" s="713"/>
      <c r="HTY673" s="713"/>
      <c r="HTZ673" s="713"/>
      <c r="HUA673" s="713"/>
      <c r="HUB673" s="713"/>
      <c r="HUC673" s="713"/>
      <c r="HUD673" s="713"/>
      <c r="HUE673" s="713"/>
      <c r="HUF673" s="713"/>
      <c r="HUG673" s="713"/>
      <c r="HUH673" s="713"/>
      <c r="HUI673" s="713"/>
      <c r="HUJ673" s="713"/>
      <c r="HUK673" s="713"/>
      <c r="HUL673" s="713"/>
      <c r="HUM673" s="713"/>
      <c r="HUN673" s="713"/>
      <c r="HUO673" s="713"/>
      <c r="HUP673" s="713"/>
      <c r="HUQ673" s="713"/>
      <c r="HUR673" s="713"/>
      <c r="HUS673" s="713"/>
      <c r="HUT673" s="713"/>
      <c r="HUU673" s="713"/>
      <c r="HUV673" s="713"/>
      <c r="HUW673" s="713"/>
      <c r="HUX673" s="713"/>
      <c r="HUY673" s="713"/>
      <c r="HUZ673" s="713"/>
      <c r="HVA673" s="713"/>
      <c r="HVB673" s="713"/>
      <c r="HVC673" s="713"/>
      <c r="HVD673" s="713"/>
      <c r="HVE673" s="713"/>
      <c r="HVF673" s="713"/>
      <c r="HVG673" s="713"/>
      <c r="HVH673" s="713"/>
      <c r="HVI673" s="713"/>
      <c r="HVJ673" s="713"/>
      <c r="HVK673" s="713"/>
      <c r="HVL673" s="713"/>
      <c r="HVM673" s="713"/>
      <c r="HVN673" s="713"/>
      <c r="HVO673" s="713"/>
      <c r="HVP673" s="713"/>
      <c r="HVQ673" s="713"/>
      <c r="HVR673" s="713"/>
      <c r="HVS673" s="713"/>
      <c r="HVT673" s="713"/>
      <c r="HVU673" s="713"/>
      <c r="HVV673" s="713"/>
      <c r="HVW673" s="713"/>
      <c r="HVX673" s="713"/>
      <c r="HVY673" s="713"/>
      <c r="HVZ673" s="713"/>
      <c r="HWA673" s="713"/>
      <c r="HWB673" s="713"/>
      <c r="HWC673" s="713"/>
      <c r="HWD673" s="713"/>
      <c r="HWE673" s="713"/>
      <c r="HWF673" s="713"/>
      <c r="HWG673" s="713"/>
      <c r="HWH673" s="713"/>
      <c r="HWI673" s="713"/>
      <c r="HWJ673" s="713"/>
      <c r="HWK673" s="713"/>
      <c r="HWL673" s="713"/>
      <c r="HWM673" s="713"/>
      <c r="HWN673" s="713"/>
      <c r="HWO673" s="713"/>
      <c r="HWP673" s="713"/>
      <c r="HWQ673" s="713"/>
      <c r="HWR673" s="713"/>
      <c r="HWS673" s="713"/>
      <c r="HWT673" s="713"/>
      <c r="HWU673" s="713"/>
      <c r="HWV673" s="713"/>
      <c r="HWW673" s="713"/>
      <c r="HWX673" s="713"/>
      <c r="HWY673" s="713"/>
      <c r="HWZ673" s="713"/>
      <c r="HXA673" s="713"/>
      <c r="HXB673" s="713"/>
      <c r="HXC673" s="713"/>
      <c r="HXD673" s="713"/>
      <c r="HXE673" s="713"/>
      <c r="HXF673" s="713"/>
      <c r="HXG673" s="713"/>
      <c r="HXH673" s="713"/>
      <c r="HXI673" s="713"/>
      <c r="HXJ673" s="713"/>
      <c r="HXK673" s="713"/>
      <c r="HXL673" s="713"/>
      <c r="HXM673" s="713"/>
      <c r="HXN673" s="713"/>
      <c r="HXO673" s="713"/>
      <c r="HXP673" s="713"/>
      <c r="HXQ673" s="713"/>
      <c r="HXR673" s="713"/>
      <c r="HXS673" s="713"/>
      <c r="HXT673" s="713"/>
      <c r="HXU673" s="713"/>
      <c r="HXV673" s="713"/>
      <c r="HXW673" s="713"/>
      <c r="HXX673" s="713"/>
      <c r="HXY673" s="713"/>
      <c r="HXZ673" s="713"/>
      <c r="HYA673" s="713"/>
      <c r="HYB673" s="713"/>
      <c r="HYC673" s="713"/>
      <c r="HYD673" s="713"/>
      <c r="HYE673" s="713"/>
      <c r="HYF673" s="713"/>
      <c r="HYG673" s="713"/>
      <c r="HYH673" s="713"/>
      <c r="HYI673" s="713"/>
      <c r="HYJ673" s="713"/>
      <c r="HYK673" s="713"/>
      <c r="HYL673" s="713"/>
      <c r="HYM673" s="713"/>
      <c r="HYN673" s="713"/>
      <c r="HYO673" s="713"/>
      <c r="HYP673" s="713"/>
      <c r="HYQ673" s="713"/>
      <c r="HYR673" s="713"/>
      <c r="HYS673" s="713"/>
      <c r="HYT673" s="713"/>
      <c r="HYU673" s="713"/>
      <c r="HYV673" s="713"/>
      <c r="HYW673" s="713"/>
      <c r="HYX673" s="713"/>
      <c r="HYY673" s="713"/>
      <c r="HYZ673" s="713"/>
      <c r="HZA673" s="713"/>
      <c r="HZB673" s="713"/>
      <c r="HZC673" s="713"/>
      <c r="HZD673" s="713"/>
      <c r="HZE673" s="713"/>
      <c r="HZF673" s="713"/>
      <c r="HZG673" s="713"/>
      <c r="HZH673" s="713"/>
      <c r="HZI673" s="713"/>
      <c r="HZJ673" s="713"/>
      <c r="HZK673" s="713"/>
      <c r="HZL673" s="713"/>
      <c r="HZM673" s="713"/>
      <c r="HZN673" s="713"/>
      <c r="HZO673" s="713"/>
      <c r="HZP673" s="713"/>
      <c r="HZQ673" s="713"/>
      <c r="HZR673" s="713"/>
      <c r="HZS673" s="713"/>
      <c r="HZT673" s="713"/>
      <c r="HZU673" s="713"/>
      <c r="HZV673" s="713"/>
      <c r="HZW673" s="713"/>
      <c r="HZX673" s="713"/>
      <c r="HZY673" s="713"/>
      <c r="HZZ673" s="713"/>
      <c r="IAA673" s="713"/>
      <c r="IAB673" s="713"/>
      <c r="IAC673" s="713"/>
      <c r="IAD673" s="713"/>
      <c r="IAE673" s="713"/>
      <c r="IAF673" s="713"/>
      <c r="IAG673" s="713"/>
      <c r="IAH673" s="713"/>
      <c r="IAI673" s="713"/>
      <c r="IAJ673" s="713"/>
      <c r="IAK673" s="713"/>
      <c r="IAL673" s="713"/>
      <c r="IAM673" s="713"/>
      <c r="IAN673" s="713"/>
      <c r="IAO673" s="713"/>
      <c r="IAP673" s="713"/>
      <c r="IAQ673" s="713"/>
      <c r="IAR673" s="713"/>
      <c r="IAS673" s="713"/>
      <c r="IAT673" s="713"/>
      <c r="IAU673" s="713"/>
      <c r="IAV673" s="713"/>
      <c r="IAW673" s="713"/>
      <c r="IAX673" s="713"/>
      <c r="IAY673" s="713"/>
      <c r="IAZ673" s="713"/>
      <c r="IBA673" s="713"/>
      <c r="IBB673" s="713"/>
      <c r="IBC673" s="713"/>
      <c r="IBD673" s="713"/>
      <c r="IBE673" s="713"/>
      <c r="IBF673" s="713"/>
      <c r="IBG673" s="713"/>
      <c r="IBH673" s="713"/>
      <c r="IBI673" s="713"/>
      <c r="IBJ673" s="713"/>
      <c r="IBK673" s="713"/>
      <c r="IBL673" s="713"/>
      <c r="IBM673" s="713"/>
      <c r="IBN673" s="713"/>
      <c r="IBO673" s="713"/>
      <c r="IBP673" s="713"/>
      <c r="IBQ673" s="713"/>
      <c r="IBR673" s="713"/>
      <c r="IBS673" s="713"/>
      <c r="IBT673" s="713"/>
      <c r="IBU673" s="713"/>
      <c r="IBV673" s="713"/>
      <c r="IBW673" s="713"/>
      <c r="IBX673" s="713"/>
      <c r="IBY673" s="713"/>
      <c r="IBZ673" s="713"/>
      <c r="ICA673" s="713"/>
      <c r="ICB673" s="713"/>
      <c r="ICC673" s="713"/>
      <c r="ICD673" s="713"/>
      <c r="ICE673" s="713"/>
      <c r="ICF673" s="713"/>
      <c r="ICG673" s="713"/>
      <c r="ICH673" s="713"/>
      <c r="ICI673" s="713"/>
      <c r="ICJ673" s="713"/>
      <c r="ICK673" s="713"/>
      <c r="ICL673" s="713"/>
      <c r="ICM673" s="713"/>
      <c r="ICN673" s="713"/>
      <c r="ICO673" s="713"/>
      <c r="ICP673" s="713"/>
      <c r="ICQ673" s="713"/>
      <c r="ICR673" s="713"/>
      <c r="ICS673" s="713"/>
      <c r="ICT673" s="713"/>
      <c r="ICU673" s="713"/>
      <c r="ICV673" s="713"/>
      <c r="ICW673" s="713"/>
      <c r="ICX673" s="713"/>
      <c r="ICY673" s="713"/>
      <c r="ICZ673" s="713"/>
      <c r="IDA673" s="713"/>
      <c r="IDB673" s="713"/>
      <c r="IDC673" s="713"/>
      <c r="IDD673" s="713"/>
      <c r="IDE673" s="713"/>
      <c r="IDF673" s="713"/>
      <c r="IDG673" s="713"/>
      <c r="IDH673" s="713"/>
      <c r="IDI673" s="713"/>
      <c r="IDJ673" s="713"/>
      <c r="IDK673" s="713"/>
      <c r="IDL673" s="713"/>
      <c r="IDM673" s="713"/>
      <c r="IDN673" s="713"/>
      <c r="IDO673" s="713"/>
      <c r="IDP673" s="713"/>
      <c r="IDQ673" s="713"/>
      <c r="IDR673" s="713"/>
      <c r="IDS673" s="713"/>
      <c r="IDT673" s="713"/>
      <c r="IDU673" s="713"/>
      <c r="IDV673" s="713"/>
      <c r="IDW673" s="713"/>
      <c r="IDX673" s="713"/>
      <c r="IDY673" s="713"/>
      <c r="IDZ673" s="713"/>
      <c r="IEA673" s="713"/>
      <c r="IEB673" s="713"/>
      <c r="IEC673" s="713"/>
      <c r="IED673" s="713"/>
      <c r="IEE673" s="713"/>
      <c r="IEF673" s="713"/>
      <c r="IEG673" s="713"/>
      <c r="IEH673" s="713"/>
      <c r="IEI673" s="713"/>
      <c r="IEJ673" s="713"/>
      <c r="IEK673" s="713"/>
      <c r="IEL673" s="713"/>
      <c r="IEM673" s="713"/>
      <c r="IEN673" s="713"/>
      <c r="IEO673" s="713"/>
      <c r="IEP673" s="713"/>
      <c r="IEQ673" s="713"/>
      <c r="IER673" s="713"/>
      <c r="IES673" s="713"/>
      <c r="IET673" s="713"/>
      <c r="IEU673" s="713"/>
      <c r="IEV673" s="713"/>
      <c r="IEW673" s="713"/>
      <c r="IEX673" s="713"/>
      <c r="IEY673" s="713"/>
      <c r="IEZ673" s="713"/>
      <c r="IFA673" s="713"/>
      <c r="IFB673" s="713"/>
      <c r="IFC673" s="713"/>
      <c r="IFD673" s="713"/>
      <c r="IFE673" s="713"/>
      <c r="IFF673" s="713"/>
      <c r="IFG673" s="713"/>
      <c r="IFH673" s="713"/>
      <c r="IFI673" s="713"/>
      <c r="IFJ673" s="713"/>
      <c r="IFK673" s="713"/>
      <c r="IFL673" s="713"/>
      <c r="IFM673" s="713"/>
      <c r="IFN673" s="713"/>
      <c r="IFO673" s="713"/>
      <c r="IFP673" s="713"/>
      <c r="IFQ673" s="713"/>
      <c r="IFR673" s="713"/>
      <c r="IFS673" s="713"/>
      <c r="IFT673" s="713"/>
      <c r="IFU673" s="713"/>
      <c r="IFV673" s="713"/>
      <c r="IFW673" s="713"/>
      <c r="IFX673" s="713"/>
      <c r="IFY673" s="713"/>
      <c r="IFZ673" s="713"/>
      <c r="IGA673" s="713"/>
      <c r="IGB673" s="713"/>
      <c r="IGC673" s="713"/>
      <c r="IGD673" s="713"/>
      <c r="IGE673" s="713"/>
      <c r="IGF673" s="713"/>
      <c r="IGG673" s="713"/>
      <c r="IGH673" s="713"/>
      <c r="IGI673" s="713"/>
      <c r="IGJ673" s="713"/>
      <c r="IGK673" s="713"/>
      <c r="IGL673" s="713"/>
      <c r="IGM673" s="713"/>
      <c r="IGN673" s="713"/>
      <c r="IGO673" s="713"/>
      <c r="IGP673" s="713"/>
      <c r="IGQ673" s="713"/>
      <c r="IGR673" s="713"/>
      <c r="IGS673" s="713"/>
      <c r="IGT673" s="713"/>
      <c r="IGU673" s="713"/>
      <c r="IGV673" s="713"/>
      <c r="IGW673" s="713"/>
      <c r="IGX673" s="713"/>
      <c r="IGY673" s="713"/>
      <c r="IGZ673" s="713"/>
      <c r="IHA673" s="713"/>
      <c r="IHB673" s="713"/>
      <c r="IHC673" s="713"/>
      <c r="IHD673" s="713"/>
      <c r="IHE673" s="713"/>
      <c r="IHF673" s="713"/>
      <c r="IHG673" s="713"/>
      <c r="IHH673" s="713"/>
      <c r="IHI673" s="713"/>
      <c r="IHJ673" s="713"/>
      <c r="IHK673" s="713"/>
      <c r="IHL673" s="713"/>
      <c r="IHM673" s="713"/>
      <c r="IHN673" s="713"/>
      <c r="IHO673" s="713"/>
      <c r="IHP673" s="713"/>
      <c r="IHQ673" s="713"/>
      <c r="IHR673" s="713"/>
      <c r="IHS673" s="713"/>
      <c r="IHT673" s="713"/>
      <c r="IHU673" s="713"/>
      <c r="IHV673" s="713"/>
      <c r="IHW673" s="713"/>
      <c r="IHX673" s="713"/>
      <c r="IHY673" s="713"/>
      <c r="IHZ673" s="713"/>
      <c r="IIA673" s="713"/>
      <c r="IIB673" s="713"/>
      <c r="IIC673" s="713"/>
      <c r="IID673" s="713"/>
      <c r="IIE673" s="713"/>
      <c r="IIF673" s="713"/>
      <c r="IIG673" s="713"/>
      <c r="IIH673" s="713"/>
      <c r="III673" s="713"/>
      <c r="IIJ673" s="713"/>
      <c r="IIK673" s="713"/>
      <c r="IIL673" s="713"/>
      <c r="IIM673" s="713"/>
      <c r="IIN673" s="713"/>
      <c r="IIO673" s="713"/>
      <c r="IIP673" s="713"/>
      <c r="IIQ673" s="713"/>
      <c r="IIR673" s="713"/>
      <c r="IIS673" s="713"/>
      <c r="IIT673" s="713"/>
      <c r="IIU673" s="713"/>
      <c r="IIV673" s="713"/>
      <c r="IIW673" s="713"/>
      <c r="IIX673" s="713"/>
      <c r="IIY673" s="713"/>
      <c r="IIZ673" s="713"/>
      <c r="IJA673" s="713"/>
      <c r="IJB673" s="713"/>
      <c r="IJC673" s="713"/>
      <c r="IJD673" s="713"/>
      <c r="IJE673" s="713"/>
      <c r="IJF673" s="713"/>
      <c r="IJG673" s="713"/>
      <c r="IJH673" s="713"/>
      <c r="IJI673" s="713"/>
      <c r="IJJ673" s="713"/>
      <c r="IJK673" s="713"/>
      <c r="IJL673" s="713"/>
      <c r="IJM673" s="713"/>
      <c r="IJN673" s="713"/>
      <c r="IJO673" s="713"/>
      <c r="IJP673" s="713"/>
      <c r="IJQ673" s="713"/>
      <c r="IJR673" s="713"/>
      <c r="IJS673" s="713"/>
      <c r="IJT673" s="713"/>
      <c r="IJU673" s="713"/>
      <c r="IJV673" s="713"/>
      <c r="IJW673" s="713"/>
      <c r="IJX673" s="713"/>
      <c r="IJY673" s="713"/>
      <c r="IJZ673" s="713"/>
      <c r="IKA673" s="713"/>
      <c r="IKB673" s="713"/>
      <c r="IKC673" s="713"/>
      <c r="IKD673" s="713"/>
      <c r="IKE673" s="713"/>
      <c r="IKF673" s="713"/>
      <c r="IKG673" s="713"/>
      <c r="IKH673" s="713"/>
      <c r="IKI673" s="713"/>
      <c r="IKJ673" s="713"/>
      <c r="IKK673" s="713"/>
      <c r="IKL673" s="713"/>
      <c r="IKM673" s="713"/>
      <c r="IKN673" s="713"/>
      <c r="IKO673" s="713"/>
      <c r="IKP673" s="713"/>
      <c r="IKQ673" s="713"/>
      <c r="IKR673" s="713"/>
      <c r="IKS673" s="713"/>
      <c r="IKT673" s="713"/>
      <c r="IKU673" s="713"/>
      <c r="IKV673" s="713"/>
      <c r="IKW673" s="713"/>
      <c r="IKX673" s="713"/>
      <c r="IKY673" s="713"/>
      <c r="IKZ673" s="713"/>
      <c r="ILA673" s="713"/>
      <c r="ILB673" s="713"/>
      <c r="ILC673" s="713"/>
      <c r="ILD673" s="713"/>
      <c r="ILE673" s="713"/>
      <c r="ILF673" s="713"/>
      <c r="ILG673" s="713"/>
      <c r="ILH673" s="713"/>
      <c r="ILI673" s="713"/>
      <c r="ILJ673" s="713"/>
      <c r="ILK673" s="713"/>
      <c r="ILL673" s="713"/>
      <c r="ILM673" s="713"/>
      <c r="ILN673" s="713"/>
      <c r="ILO673" s="713"/>
      <c r="ILP673" s="713"/>
      <c r="ILQ673" s="713"/>
      <c r="ILR673" s="713"/>
      <c r="ILS673" s="713"/>
      <c r="ILT673" s="713"/>
      <c r="ILU673" s="713"/>
      <c r="ILV673" s="713"/>
      <c r="ILW673" s="713"/>
      <c r="ILX673" s="713"/>
      <c r="ILY673" s="713"/>
      <c r="ILZ673" s="713"/>
      <c r="IMA673" s="713"/>
      <c r="IMB673" s="713"/>
      <c r="IMC673" s="713"/>
      <c r="IMD673" s="713"/>
      <c r="IME673" s="713"/>
      <c r="IMF673" s="713"/>
      <c r="IMG673" s="713"/>
      <c r="IMH673" s="713"/>
      <c r="IMI673" s="713"/>
      <c r="IMJ673" s="713"/>
      <c r="IMK673" s="713"/>
      <c r="IML673" s="713"/>
      <c r="IMM673" s="713"/>
      <c r="IMN673" s="713"/>
      <c r="IMO673" s="713"/>
      <c r="IMP673" s="713"/>
      <c r="IMQ673" s="713"/>
      <c r="IMR673" s="713"/>
      <c r="IMS673" s="713"/>
      <c r="IMT673" s="713"/>
      <c r="IMU673" s="713"/>
      <c r="IMV673" s="713"/>
      <c r="IMW673" s="713"/>
      <c r="IMX673" s="713"/>
      <c r="IMY673" s="713"/>
      <c r="IMZ673" s="713"/>
      <c r="INA673" s="713"/>
      <c r="INB673" s="713"/>
      <c r="INC673" s="713"/>
      <c r="IND673" s="713"/>
      <c r="INE673" s="713"/>
      <c r="INF673" s="713"/>
      <c r="ING673" s="713"/>
      <c r="INH673" s="713"/>
      <c r="INI673" s="713"/>
      <c r="INJ673" s="713"/>
      <c r="INK673" s="713"/>
      <c r="INL673" s="713"/>
      <c r="INM673" s="713"/>
      <c r="INN673" s="713"/>
      <c r="INO673" s="713"/>
      <c r="INP673" s="713"/>
      <c r="INQ673" s="713"/>
      <c r="INR673" s="713"/>
      <c r="INS673" s="713"/>
      <c r="INT673" s="713"/>
      <c r="INU673" s="713"/>
      <c r="INV673" s="713"/>
      <c r="INW673" s="713"/>
      <c r="INX673" s="713"/>
      <c r="INY673" s="713"/>
      <c r="INZ673" s="713"/>
      <c r="IOA673" s="713"/>
      <c r="IOB673" s="713"/>
      <c r="IOC673" s="713"/>
      <c r="IOD673" s="713"/>
      <c r="IOE673" s="713"/>
      <c r="IOF673" s="713"/>
      <c r="IOG673" s="713"/>
      <c r="IOH673" s="713"/>
      <c r="IOI673" s="713"/>
      <c r="IOJ673" s="713"/>
      <c r="IOK673" s="713"/>
      <c r="IOL673" s="713"/>
      <c r="IOM673" s="713"/>
      <c r="ION673" s="713"/>
      <c r="IOO673" s="713"/>
      <c r="IOP673" s="713"/>
      <c r="IOQ673" s="713"/>
      <c r="IOR673" s="713"/>
      <c r="IOS673" s="713"/>
      <c r="IOT673" s="713"/>
      <c r="IOU673" s="713"/>
      <c r="IOV673" s="713"/>
      <c r="IOW673" s="713"/>
      <c r="IOX673" s="713"/>
      <c r="IOY673" s="713"/>
      <c r="IOZ673" s="713"/>
      <c r="IPA673" s="713"/>
      <c r="IPB673" s="713"/>
      <c r="IPC673" s="713"/>
      <c r="IPD673" s="713"/>
      <c r="IPE673" s="713"/>
      <c r="IPF673" s="713"/>
      <c r="IPG673" s="713"/>
      <c r="IPH673" s="713"/>
      <c r="IPI673" s="713"/>
      <c r="IPJ673" s="713"/>
      <c r="IPK673" s="713"/>
      <c r="IPL673" s="713"/>
      <c r="IPM673" s="713"/>
      <c r="IPN673" s="713"/>
      <c r="IPO673" s="713"/>
      <c r="IPP673" s="713"/>
      <c r="IPQ673" s="713"/>
      <c r="IPR673" s="713"/>
      <c r="IPS673" s="713"/>
      <c r="IPT673" s="713"/>
      <c r="IPU673" s="713"/>
      <c r="IPV673" s="713"/>
      <c r="IPW673" s="713"/>
      <c r="IPX673" s="713"/>
      <c r="IPY673" s="713"/>
      <c r="IPZ673" s="713"/>
      <c r="IQA673" s="713"/>
      <c r="IQB673" s="713"/>
      <c r="IQC673" s="713"/>
      <c r="IQD673" s="713"/>
      <c r="IQE673" s="713"/>
      <c r="IQF673" s="713"/>
      <c r="IQG673" s="713"/>
      <c r="IQH673" s="713"/>
      <c r="IQI673" s="713"/>
      <c r="IQJ673" s="713"/>
      <c r="IQK673" s="713"/>
      <c r="IQL673" s="713"/>
      <c r="IQM673" s="713"/>
      <c r="IQN673" s="713"/>
      <c r="IQO673" s="713"/>
      <c r="IQP673" s="713"/>
      <c r="IQQ673" s="713"/>
      <c r="IQR673" s="713"/>
      <c r="IQS673" s="713"/>
      <c r="IQT673" s="713"/>
      <c r="IQU673" s="713"/>
      <c r="IQV673" s="713"/>
      <c r="IQW673" s="713"/>
      <c r="IQX673" s="713"/>
      <c r="IQY673" s="713"/>
      <c r="IQZ673" s="713"/>
      <c r="IRA673" s="713"/>
      <c r="IRB673" s="713"/>
      <c r="IRC673" s="713"/>
      <c r="IRD673" s="713"/>
      <c r="IRE673" s="713"/>
      <c r="IRF673" s="713"/>
      <c r="IRG673" s="713"/>
      <c r="IRH673" s="713"/>
      <c r="IRI673" s="713"/>
      <c r="IRJ673" s="713"/>
      <c r="IRK673" s="713"/>
      <c r="IRL673" s="713"/>
      <c r="IRM673" s="713"/>
      <c r="IRN673" s="713"/>
      <c r="IRO673" s="713"/>
      <c r="IRP673" s="713"/>
      <c r="IRQ673" s="713"/>
      <c r="IRR673" s="713"/>
      <c r="IRS673" s="713"/>
      <c r="IRT673" s="713"/>
      <c r="IRU673" s="713"/>
      <c r="IRV673" s="713"/>
      <c r="IRW673" s="713"/>
      <c r="IRX673" s="713"/>
      <c r="IRY673" s="713"/>
      <c r="IRZ673" s="713"/>
      <c r="ISA673" s="713"/>
      <c r="ISB673" s="713"/>
      <c r="ISC673" s="713"/>
      <c r="ISD673" s="713"/>
      <c r="ISE673" s="713"/>
      <c r="ISF673" s="713"/>
      <c r="ISG673" s="713"/>
      <c r="ISH673" s="713"/>
      <c r="ISI673" s="713"/>
      <c r="ISJ673" s="713"/>
      <c r="ISK673" s="713"/>
      <c r="ISL673" s="713"/>
      <c r="ISM673" s="713"/>
      <c r="ISN673" s="713"/>
      <c r="ISO673" s="713"/>
      <c r="ISP673" s="713"/>
      <c r="ISQ673" s="713"/>
      <c r="ISR673" s="713"/>
      <c r="ISS673" s="713"/>
      <c r="IST673" s="713"/>
      <c r="ISU673" s="713"/>
      <c r="ISV673" s="713"/>
      <c r="ISW673" s="713"/>
      <c r="ISX673" s="713"/>
      <c r="ISY673" s="713"/>
      <c r="ISZ673" s="713"/>
      <c r="ITA673" s="713"/>
      <c r="ITB673" s="713"/>
      <c r="ITC673" s="713"/>
      <c r="ITD673" s="713"/>
      <c r="ITE673" s="713"/>
      <c r="ITF673" s="713"/>
      <c r="ITG673" s="713"/>
      <c r="ITH673" s="713"/>
      <c r="ITI673" s="713"/>
      <c r="ITJ673" s="713"/>
      <c r="ITK673" s="713"/>
      <c r="ITL673" s="713"/>
      <c r="ITM673" s="713"/>
      <c r="ITN673" s="713"/>
      <c r="ITO673" s="713"/>
      <c r="ITP673" s="713"/>
      <c r="ITQ673" s="713"/>
      <c r="ITR673" s="713"/>
      <c r="ITS673" s="713"/>
      <c r="ITT673" s="713"/>
      <c r="ITU673" s="713"/>
      <c r="ITV673" s="713"/>
      <c r="ITW673" s="713"/>
      <c r="ITX673" s="713"/>
      <c r="ITY673" s="713"/>
      <c r="ITZ673" s="713"/>
      <c r="IUA673" s="713"/>
      <c r="IUB673" s="713"/>
      <c r="IUC673" s="713"/>
      <c r="IUD673" s="713"/>
      <c r="IUE673" s="713"/>
      <c r="IUF673" s="713"/>
      <c r="IUG673" s="713"/>
      <c r="IUH673" s="713"/>
      <c r="IUI673" s="713"/>
      <c r="IUJ673" s="713"/>
      <c r="IUK673" s="713"/>
      <c r="IUL673" s="713"/>
      <c r="IUM673" s="713"/>
      <c r="IUN673" s="713"/>
      <c r="IUO673" s="713"/>
      <c r="IUP673" s="713"/>
      <c r="IUQ673" s="713"/>
      <c r="IUR673" s="713"/>
      <c r="IUS673" s="713"/>
      <c r="IUT673" s="713"/>
      <c r="IUU673" s="713"/>
      <c r="IUV673" s="713"/>
      <c r="IUW673" s="713"/>
      <c r="IUX673" s="713"/>
      <c r="IUY673" s="713"/>
      <c r="IUZ673" s="713"/>
      <c r="IVA673" s="713"/>
      <c r="IVB673" s="713"/>
      <c r="IVC673" s="713"/>
      <c r="IVD673" s="713"/>
      <c r="IVE673" s="713"/>
      <c r="IVF673" s="713"/>
      <c r="IVG673" s="713"/>
      <c r="IVH673" s="713"/>
      <c r="IVI673" s="713"/>
      <c r="IVJ673" s="713"/>
      <c r="IVK673" s="713"/>
      <c r="IVL673" s="713"/>
      <c r="IVM673" s="713"/>
      <c r="IVN673" s="713"/>
      <c r="IVO673" s="713"/>
      <c r="IVP673" s="713"/>
      <c r="IVQ673" s="713"/>
      <c r="IVR673" s="713"/>
      <c r="IVS673" s="713"/>
      <c r="IVT673" s="713"/>
      <c r="IVU673" s="713"/>
      <c r="IVV673" s="713"/>
      <c r="IVW673" s="713"/>
      <c r="IVX673" s="713"/>
      <c r="IVY673" s="713"/>
      <c r="IVZ673" s="713"/>
      <c r="IWA673" s="713"/>
      <c r="IWB673" s="713"/>
      <c r="IWC673" s="713"/>
      <c r="IWD673" s="713"/>
      <c r="IWE673" s="713"/>
      <c r="IWF673" s="713"/>
      <c r="IWG673" s="713"/>
      <c r="IWH673" s="713"/>
      <c r="IWI673" s="713"/>
      <c r="IWJ673" s="713"/>
      <c r="IWK673" s="713"/>
      <c r="IWL673" s="713"/>
      <c r="IWM673" s="713"/>
      <c r="IWN673" s="713"/>
      <c r="IWO673" s="713"/>
      <c r="IWP673" s="713"/>
      <c r="IWQ673" s="713"/>
      <c r="IWR673" s="713"/>
      <c r="IWS673" s="713"/>
      <c r="IWT673" s="713"/>
      <c r="IWU673" s="713"/>
      <c r="IWV673" s="713"/>
      <c r="IWW673" s="713"/>
      <c r="IWX673" s="713"/>
      <c r="IWY673" s="713"/>
      <c r="IWZ673" s="713"/>
      <c r="IXA673" s="713"/>
      <c r="IXB673" s="713"/>
      <c r="IXC673" s="713"/>
      <c r="IXD673" s="713"/>
      <c r="IXE673" s="713"/>
      <c r="IXF673" s="713"/>
      <c r="IXG673" s="713"/>
      <c r="IXH673" s="713"/>
      <c r="IXI673" s="713"/>
      <c r="IXJ673" s="713"/>
      <c r="IXK673" s="713"/>
      <c r="IXL673" s="713"/>
      <c r="IXM673" s="713"/>
      <c r="IXN673" s="713"/>
      <c r="IXO673" s="713"/>
      <c r="IXP673" s="713"/>
      <c r="IXQ673" s="713"/>
      <c r="IXR673" s="713"/>
      <c r="IXS673" s="713"/>
      <c r="IXT673" s="713"/>
      <c r="IXU673" s="713"/>
      <c r="IXV673" s="713"/>
      <c r="IXW673" s="713"/>
      <c r="IXX673" s="713"/>
      <c r="IXY673" s="713"/>
      <c r="IXZ673" s="713"/>
      <c r="IYA673" s="713"/>
      <c r="IYB673" s="713"/>
      <c r="IYC673" s="713"/>
      <c r="IYD673" s="713"/>
      <c r="IYE673" s="713"/>
      <c r="IYF673" s="713"/>
      <c r="IYG673" s="713"/>
      <c r="IYH673" s="713"/>
      <c r="IYI673" s="713"/>
      <c r="IYJ673" s="713"/>
      <c r="IYK673" s="713"/>
      <c r="IYL673" s="713"/>
      <c r="IYM673" s="713"/>
      <c r="IYN673" s="713"/>
      <c r="IYO673" s="713"/>
      <c r="IYP673" s="713"/>
      <c r="IYQ673" s="713"/>
      <c r="IYR673" s="713"/>
      <c r="IYS673" s="713"/>
      <c r="IYT673" s="713"/>
      <c r="IYU673" s="713"/>
      <c r="IYV673" s="713"/>
      <c r="IYW673" s="713"/>
      <c r="IYX673" s="713"/>
      <c r="IYY673" s="713"/>
      <c r="IYZ673" s="713"/>
      <c r="IZA673" s="713"/>
      <c r="IZB673" s="713"/>
      <c r="IZC673" s="713"/>
      <c r="IZD673" s="713"/>
      <c r="IZE673" s="713"/>
      <c r="IZF673" s="713"/>
      <c r="IZG673" s="713"/>
      <c r="IZH673" s="713"/>
      <c r="IZI673" s="713"/>
      <c r="IZJ673" s="713"/>
      <c r="IZK673" s="713"/>
      <c r="IZL673" s="713"/>
      <c r="IZM673" s="713"/>
      <c r="IZN673" s="713"/>
      <c r="IZO673" s="713"/>
      <c r="IZP673" s="713"/>
      <c r="IZQ673" s="713"/>
      <c r="IZR673" s="713"/>
      <c r="IZS673" s="713"/>
      <c r="IZT673" s="713"/>
      <c r="IZU673" s="713"/>
      <c r="IZV673" s="713"/>
      <c r="IZW673" s="713"/>
      <c r="IZX673" s="713"/>
      <c r="IZY673" s="713"/>
      <c r="IZZ673" s="713"/>
      <c r="JAA673" s="713"/>
      <c r="JAB673" s="713"/>
      <c r="JAC673" s="713"/>
      <c r="JAD673" s="713"/>
      <c r="JAE673" s="713"/>
      <c r="JAF673" s="713"/>
      <c r="JAG673" s="713"/>
      <c r="JAH673" s="713"/>
      <c r="JAI673" s="713"/>
      <c r="JAJ673" s="713"/>
      <c r="JAK673" s="713"/>
      <c r="JAL673" s="713"/>
      <c r="JAM673" s="713"/>
      <c r="JAN673" s="713"/>
      <c r="JAO673" s="713"/>
      <c r="JAP673" s="713"/>
      <c r="JAQ673" s="713"/>
      <c r="JAR673" s="713"/>
      <c r="JAS673" s="713"/>
      <c r="JAT673" s="713"/>
      <c r="JAU673" s="713"/>
      <c r="JAV673" s="713"/>
      <c r="JAW673" s="713"/>
      <c r="JAX673" s="713"/>
      <c r="JAY673" s="713"/>
      <c r="JAZ673" s="713"/>
      <c r="JBA673" s="713"/>
      <c r="JBB673" s="713"/>
      <c r="JBC673" s="713"/>
      <c r="JBD673" s="713"/>
      <c r="JBE673" s="713"/>
      <c r="JBF673" s="713"/>
      <c r="JBG673" s="713"/>
      <c r="JBH673" s="713"/>
      <c r="JBI673" s="713"/>
      <c r="JBJ673" s="713"/>
      <c r="JBK673" s="713"/>
      <c r="JBL673" s="713"/>
      <c r="JBM673" s="713"/>
      <c r="JBN673" s="713"/>
      <c r="JBO673" s="713"/>
      <c r="JBP673" s="713"/>
      <c r="JBQ673" s="713"/>
      <c r="JBR673" s="713"/>
      <c r="JBS673" s="713"/>
      <c r="JBT673" s="713"/>
      <c r="JBU673" s="713"/>
      <c r="JBV673" s="713"/>
      <c r="JBW673" s="713"/>
      <c r="JBX673" s="713"/>
      <c r="JBY673" s="713"/>
      <c r="JBZ673" s="713"/>
      <c r="JCA673" s="713"/>
      <c r="JCB673" s="713"/>
      <c r="JCC673" s="713"/>
      <c r="JCD673" s="713"/>
      <c r="JCE673" s="713"/>
      <c r="JCF673" s="713"/>
      <c r="JCG673" s="713"/>
      <c r="JCH673" s="713"/>
      <c r="JCI673" s="713"/>
      <c r="JCJ673" s="713"/>
      <c r="JCK673" s="713"/>
      <c r="JCL673" s="713"/>
      <c r="JCM673" s="713"/>
      <c r="JCN673" s="713"/>
      <c r="JCO673" s="713"/>
      <c r="JCP673" s="713"/>
      <c r="JCQ673" s="713"/>
      <c r="JCR673" s="713"/>
      <c r="JCS673" s="713"/>
      <c r="JCT673" s="713"/>
      <c r="JCU673" s="713"/>
      <c r="JCV673" s="713"/>
      <c r="JCW673" s="713"/>
      <c r="JCX673" s="713"/>
      <c r="JCY673" s="713"/>
      <c r="JCZ673" s="713"/>
      <c r="JDA673" s="713"/>
      <c r="JDB673" s="713"/>
      <c r="JDC673" s="713"/>
      <c r="JDD673" s="713"/>
      <c r="JDE673" s="713"/>
      <c r="JDF673" s="713"/>
      <c r="JDG673" s="713"/>
      <c r="JDH673" s="713"/>
      <c r="JDI673" s="713"/>
      <c r="JDJ673" s="713"/>
      <c r="JDK673" s="713"/>
      <c r="JDL673" s="713"/>
      <c r="JDM673" s="713"/>
      <c r="JDN673" s="713"/>
      <c r="JDO673" s="713"/>
      <c r="JDP673" s="713"/>
      <c r="JDQ673" s="713"/>
      <c r="JDR673" s="713"/>
      <c r="JDS673" s="713"/>
      <c r="JDT673" s="713"/>
      <c r="JDU673" s="713"/>
      <c r="JDV673" s="713"/>
      <c r="JDW673" s="713"/>
      <c r="JDX673" s="713"/>
      <c r="JDY673" s="713"/>
      <c r="JDZ673" s="713"/>
      <c r="JEA673" s="713"/>
      <c r="JEB673" s="713"/>
      <c r="JEC673" s="713"/>
      <c r="JED673" s="713"/>
      <c r="JEE673" s="713"/>
      <c r="JEF673" s="713"/>
      <c r="JEG673" s="713"/>
      <c r="JEH673" s="713"/>
      <c r="JEI673" s="713"/>
      <c r="JEJ673" s="713"/>
      <c r="JEK673" s="713"/>
      <c r="JEL673" s="713"/>
      <c r="JEM673" s="713"/>
      <c r="JEN673" s="713"/>
      <c r="JEO673" s="713"/>
      <c r="JEP673" s="713"/>
      <c r="JEQ673" s="713"/>
      <c r="JER673" s="713"/>
      <c r="JES673" s="713"/>
      <c r="JET673" s="713"/>
      <c r="JEU673" s="713"/>
      <c r="JEV673" s="713"/>
      <c r="JEW673" s="713"/>
      <c r="JEX673" s="713"/>
      <c r="JEY673" s="713"/>
      <c r="JEZ673" s="713"/>
      <c r="JFA673" s="713"/>
      <c r="JFB673" s="713"/>
      <c r="JFC673" s="713"/>
      <c r="JFD673" s="713"/>
      <c r="JFE673" s="713"/>
      <c r="JFF673" s="713"/>
      <c r="JFG673" s="713"/>
      <c r="JFH673" s="713"/>
      <c r="JFI673" s="713"/>
      <c r="JFJ673" s="713"/>
      <c r="JFK673" s="713"/>
      <c r="JFL673" s="713"/>
      <c r="JFM673" s="713"/>
      <c r="JFN673" s="713"/>
      <c r="JFO673" s="713"/>
      <c r="JFP673" s="713"/>
      <c r="JFQ673" s="713"/>
      <c r="JFR673" s="713"/>
      <c r="JFS673" s="713"/>
      <c r="JFT673" s="713"/>
      <c r="JFU673" s="713"/>
      <c r="JFV673" s="713"/>
      <c r="JFW673" s="713"/>
      <c r="JFX673" s="713"/>
      <c r="JFY673" s="713"/>
      <c r="JFZ673" s="713"/>
      <c r="JGA673" s="713"/>
      <c r="JGB673" s="713"/>
      <c r="JGC673" s="713"/>
      <c r="JGD673" s="713"/>
      <c r="JGE673" s="713"/>
      <c r="JGF673" s="713"/>
      <c r="JGG673" s="713"/>
      <c r="JGH673" s="713"/>
      <c r="JGI673" s="713"/>
      <c r="JGJ673" s="713"/>
      <c r="JGK673" s="713"/>
      <c r="JGL673" s="713"/>
      <c r="JGM673" s="713"/>
      <c r="JGN673" s="713"/>
      <c r="JGO673" s="713"/>
      <c r="JGP673" s="713"/>
      <c r="JGQ673" s="713"/>
      <c r="JGR673" s="713"/>
      <c r="JGS673" s="713"/>
      <c r="JGT673" s="713"/>
      <c r="JGU673" s="713"/>
      <c r="JGV673" s="713"/>
      <c r="JGW673" s="713"/>
      <c r="JGX673" s="713"/>
      <c r="JGY673" s="713"/>
      <c r="JGZ673" s="713"/>
      <c r="JHA673" s="713"/>
      <c r="JHB673" s="713"/>
      <c r="JHC673" s="713"/>
      <c r="JHD673" s="713"/>
      <c r="JHE673" s="713"/>
      <c r="JHF673" s="713"/>
      <c r="JHG673" s="713"/>
      <c r="JHH673" s="713"/>
      <c r="JHI673" s="713"/>
      <c r="JHJ673" s="713"/>
      <c r="JHK673" s="713"/>
      <c r="JHL673" s="713"/>
      <c r="JHM673" s="713"/>
      <c r="JHN673" s="713"/>
      <c r="JHO673" s="713"/>
      <c r="JHP673" s="713"/>
      <c r="JHQ673" s="713"/>
      <c r="JHR673" s="713"/>
      <c r="JHS673" s="713"/>
      <c r="JHT673" s="713"/>
      <c r="JHU673" s="713"/>
      <c r="JHV673" s="713"/>
      <c r="JHW673" s="713"/>
      <c r="JHX673" s="713"/>
      <c r="JHY673" s="713"/>
      <c r="JHZ673" s="713"/>
      <c r="JIA673" s="713"/>
      <c r="JIB673" s="713"/>
      <c r="JIC673" s="713"/>
      <c r="JID673" s="713"/>
      <c r="JIE673" s="713"/>
      <c r="JIF673" s="713"/>
      <c r="JIG673" s="713"/>
      <c r="JIH673" s="713"/>
      <c r="JII673" s="713"/>
      <c r="JIJ673" s="713"/>
      <c r="JIK673" s="713"/>
      <c r="JIL673" s="713"/>
      <c r="JIM673" s="713"/>
      <c r="JIN673" s="713"/>
      <c r="JIO673" s="713"/>
      <c r="JIP673" s="713"/>
      <c r="JIQ673" s="713"/>
      <c r="JIR673" s="713"/>
      <c r="JIS673" s="713"/>
      <c r="JIT673" s="713"/>
      <c r="JIU673" s="713"/>
      <c r="JIV673" s="713"/>
      <c r="JIW673" s="713"/>
      <c r="JIX673" s="713"/>
      <c r="JIY673" s="713"/>
      <c r="JIZ673" s="713"/>
      <c r="JJA673" s="713"/>
      <c r="JJB673" s="713"/>
      <c r="JJC673" s="713"/>
      <c r="JJD673" s="713"/>
      <c r="JJE673" s="713"/>
      <c r="JJF673" s="713"/>
      <c r="JJG673" s="713"/>
      <c r="JJH673" s="713"/>
      <c r="JJI673" s="713"/>
      <c r="JJJ673" s="713"/>
      <c r="JJK673" s="713"/>
      <c r="JJL673" s="713"/>
      <c r="JJM673" s="713"/>
      <c r="JJN673" s="713"/>
      <c r="JJO673" s="713"/>
      <c r="JJP673" s="713"/>
      <c r="JJQ673" s="713"/>
      <c r="JJR673" s="713"/>
      <c r="JJS673" s="713"/>
      <c r="JJT673" s="713"/>
      <c r="JJU673" s="713"/>
      <c r="JJV673" s="713"/>
      <c r="JJW673" s="713"/>
      <c r="JJX673" s="713"/>
      <c r="JJY673" s="713"/>
      <c r="JJZ673" s="713"/>
      <c r="JKA673" s="713"/>
      <c r="JKB673" s="713"/>
      <c r="JKC673" s="713"/>
      <c r="JKD673" s="713"/>
      <c r="JKE673" s="713"/>
      <c r="JKF673" s="713"/>
      <c r="JKG673" s="713"/>
      <c r="JKH673" s="713"/>
      <c r="JKI673" s="713"/>
      <c r="JKJ673" s="713"/>
      <c r="JKK673" s="713"/>
      <c r="JKL673" s="713"/>
      <c r="JKM673" s="713"/>
      <c r="JKN673" s="713"/>
      <c r="JKO673" s="713"/>
      <c r="JKP673" s="713"/>
      <c r="JKQ673" s="713"/>
      <c r="JKR673" s="713"/>
      <c r="JKS673" s="713"/>
      <c r="JKT673" s="713"/>
      <c r="JKU673" s="713"/>
      <c r="JKV673" s="713"/>
      <c r="JKW673" s="713"/>
      <c r="JKX673" s="713"/>
      <c r="JKY673" s="713"/>
      <c r="JKZ673" s="713"/>
      <c r="JLA673" s="713"/>
      <c r="JLB673" s="713"/>
      <c r="JLC673" s="713"/>
      <c r="JLD673" s="713"/>
      <c r="JLE673" s="713"/>
      <c r="JLF673" s="713"/>
      <c r="JLG673" s="713"/>
      <c r="JLH673" s="713"/>
      <c r="JLI673" s="713"/>
      <c r="JLJ673" s="713"/>
      <c r="JLK673" s="713"/>
      <c r="JLL673" s="713"/>
      <c r="JLM673" s="713"/>
      <c r="JLN673" s="713"/>
      <c r="JLO673" s="713"/>
      <c r="JLP673" s="713"/>
      <c r="JLQ673" s="713"/>
      <c r="JLR673" s="713"/>
      <c r="JLS673" s="713"/>
      <c r="JLT673" s="713"/>
      <c r="JLU673" s="713"/>
      <c r="JLV673" s="713"/>
      <c r="JLW673" s="713"/>
      <c r="JLX673" s="713"/>
      <c r="JLY673" s="713"/>
      <c r="JLZ673" s="713"/>
      <c r="JMA673" s="713"/>
      <c r="JMB673" s="713"/>
      <c r="JMC673" s="713"/>
      <c r="JMD673" s="713"/>
      <c r="JME673" s="713"/>
      <c r="JMF673" s="713"/>
      <c r="JMG673" s="713"/>
      <c r="JMH673" s="713"/>
      <c r="JMI673" s="713"/>
      <c r="JMJ673" s="713"/>
      <c r="JMK673" s="713"/>
      <c r="JML673" s="713"/>
      <c r="JMM673" s="713"/>
      <c r="JMN673" s="713"/>
      <c r="JMO673" s="713"/>
      <c r="JMP673" s="713"/>
      <c r="JMQ673" s="713"/>
      <c r="JMR673" s="713"/>
      <c r="JMS673" s="713"/>
      <c r="JMT673" s="713"/>
      <c r="JMU673" s="713"/>
      <c r="JMV673" s="713"/>
      <c r="JMW673" s="713"/>
      <c r="JMX673" s="713"/>
      <c r="JMY673" s="713"/>
      <c r="JMZ673" s="713"/>
      <c r="JNA673" s="713"/>
      <c r="JNB673" s="713"/>
      <c r="JNC673" s="713"/>
      <c r="JND673" s="713"/>
      <c r="JNE673" s="713"/>
      <c r="JNF673" s="713"/>
      <c r="JNG673" s="713"/>
      <c r="JNH673" s="713"/>
      <c r="JNI673" s="713"/>
      <c r="JNJ673" s="713"/>
      <c r="JNK673" s="713"/>
      <c r="JNL673" s="713"/>
      <c r="JNM673" s="713"/>
      <c r="JNN673" s="713"/>
      <c r="JNO673" s="713"/>
      <c r="JNP673" s="713"/>
      <c r="JNQ673" s="713"/>
      <c r="JNR673" s="713"/>
      <c r="JNS673" s="713"/>
      <c r="JNT673" s="713"/>
      <c r="JNU673" s="713"/>
      <c r="JNV673" s="713"/>
      <c r="JNW673" s="713"/>
      <c r="JNX673" s="713"/>
      <c r="JNY673" s="713"/>
      <c r="JNZ673" s="713"/>
      <c r="JOA673" s="713"/>
      <c r="JOB673" s="713"/>
      <c r="JOC673" s="713"/>
      <c r="JOD673" s="713"/>
      <c r="JOE673" s="713"/>
      <c r="JOF673" s="713"/>
      <c r="JOG673" s="713"/>
      <c r="JOH673" s="713"/>
      <c r="JOI673" s="713"/>
      <c r="JOJ673" s="713"/>
      <c r="JOK673" s="713"/>
      <c r="JOL673" s="713"/>
      <c r="JOM673" s="713"/>
      <c r="JON673" s="713"/>
      <c r="JOO673" s="713"/>
      <c r="JOP673" s="713"/>
      <c r="JOQ673" s="713"/>
      <c r="JOR673" s="713"/>
      <c r="JOS673" s="713"/>
      <c r="JOT673" s="713"/>
      <c r="JOU673" s="713"/>
      <c r="JOV673" s="713"/>
      <c r="JOW673" s="713"/>
      <c r="JOX673" s="713"/>
      <c r="JOY673" s="713"/>
      <c r="JOZ673" s="713"/>
      <c r="JPA673" s="713"/>
      <c r="JPB673" s="713"/>
      <c r="JPC673" s="713"/>
      <c r="JPD673" s="713"/>
      <c r="JPE673" s="713"/>
      <c r="JPF673" s="713"/>
      <c r="JPG673" s="713"/>
      <c r="JPH673" s="713"/>
      <c r="JPI673" s="713"/>
      <c r="JPJ673" s="713"/>
      <c r="JPK673" s="713"/>
      <c r="JPL673" s="713"/>
      <c r="JPM673" s="713"/>
      <c r="JPN673" s="713"/>
      <c r="JPO673" s="713"/>
      <c r="JPP673" s="713"/>
      <c r="JPQ673" s="713"/>
      <c r="JPR673" s="713"/>
      <c r="JPS673" s="713"/>
      <c r="JPT673" s="713"/>
      <c r="JPU673" s="713"/>
      <c r="JPV673" s="713"/>
      <c r="JPW673" s="713"/>
      <c r="JPX673" s="713"/>
      <c r="JPY673" s="713"/>
      <c r="JPZ673" s="713"/>
      <c r="JQA673" s="713"/>
      <c r="JQB673" s="713"/>
      <c r="JQC673" s="713"/>
      <c r="JQD673" s="713"/>
      <c r="JQE673" s="713"/>
      <c r="JQF673" s="713"/>
      <c r="JQG673" s="713"/>
      <c r="JQH673" s="713"/>
      <c r="JQI673" s="713"/>
      <c r="JQJ673" s="713"/>
      <c r="JQK673" s="713"/>
      <c r="JQL673" s="713"/>
      <c r="JQM673" s="713"/>
      <c r="JQN673" s="713"/>
      <c r="JQO673" s="713"/>
      <c r="JQP673" s="713"/>
      <c r="JQQ673" s="713"/>
      <c r="JQR673" s="713"/>
      <c r="JQS673" s="713"/>
      <c r="JQT673" s="713"/>
      <c r="JQU673" s="713"/>
      <c r="JQV673" s="713"/>
      <c r="JQW673" s="713"/>
      <c r="JQX673" s="713"/>
      <c r="JQY673" s="713"/>
      <c r="JQZ673" s="713"/>
      <c r="JRA673" s="713"/>
      <c r="JRB673" s="713"/>
      <c r="JRC673" s="713"/>
      <c r="JRD673" s="713"/>
      <c r="JRE673" s="713"/>
      <c r="JRF673" s="713"/>
      <c r="JRG673" s="713"/>
      <c r="JRH673" s="713"/>
      <c r="JRI673" s="713"/>
      <c r="JRJ673" s="713"/>
      <c r="JRK673" s="713"/>
      <c r="JRL673" s="713"/>
      <c r="JRM673" s="713"/>
      <c r="JRN673" s="713"/>
      <c r="JRO673" s="713"/>
      <c r="JRP673" s="713"/>
      <c r="JRQ673" s="713"/>
      <c r="JRR673" s="713"/>
      <c r="JRS673" s="713"/>
      <c r="JRT673" s="713"/>
      <c r="JRU673" s="713"/>
      <c r="JRV673" s="713"/>
      <c r="JRW673" s="713"/>
      <c r="JRX673" s="713"/>
      <c r="JRY673" s="713"/>
      <c r="JRZ673" s="713"/>
      <c r="JSA673" s="713"/>
      <c r="JSB673" s="713"/>
      <c r="JSC673" s="713"/>
      <c r="JSD673" s="713"/>
      <c r="JSE673" s="713"/>
      <c r="JSF673" s="713"/>
      <c r="JSG673" s="713"/>
      <c r="JSH673" s="713"/>
      <c r="JSI673" s="713"/>
      <c r="JSJ673" s="713"/>
      <c r="JSK673" s="713"/>
      <c r="JSL673" s="713"/>
      <c r="JSM673" s="713"/>
      <c r="JSN673" s="713"/>
      <c r="JSO673" s="713"/>
      <c r="JSP673" s="713"/>
      <c r="JSQ673" s="713"/>
      <c r="JSR673" s="713"/>
      <c r="JSS673" s="713"/>
      <c r="JST673" s="713"/>
      <c r="JSU673" s="713"/>
      <c r="JSV673" s="713"/>
      <c r="JSW673" s="713"/>
      <c r="JSX673" s="713"/>
      <c r="JSY673" s="713"/>
      <c r="JSZ673" s="713"/>
      <c r="JTA673" s="713"/>
      <c r="JTB673" s="713"/>
      <c r="JTC673" s="713"/>
      <c r="JTD673" s="713"/>
      <c r="JTE673" s="713"/>
      <c r="JTF673" s="713"/>
      <c r="JTG673" s="713"/>
      <c r="JTH673" s="713"/>
      <c r="JTI673" s="713"/>
      <c r="JTJ673" s="713"/>
      <c r="JTK673" s="713"/>
      <c r="JTL673" s="713"/>
      <c r="JTM673" s="713"/>
      <c r="JTN673" s="713"/>
      <c r="JTO673" s="713"/>
      <c r="JTP673" s="713"/>
      <c r="JTQ673" s="713"/>
      <c r="JTR673" s="713"/>
      <c r="JTS673" s="713"/>
      <c r="JTT673" s="713"/>
      <c r="JTU673" s="713"/>
      <c r="JTV673" s="713"/>
      <c r="JTW673" s="713"/>
      <c r="JTX673" s="713"/>
      <c r="JTY673" s="713"/>
      <c r="JTZ673" s="713"/>
      <c r="JUA673" s="713"/>
      <c r="JUB673" s="713"/>
      <c r="JUC673" s="713"/>
      <c r="JUD673" s="713"/>
      <c r="JUE673" s="713"/>
      <c r="JUF673" s="713"/>
      <c r="JUG673" s="713"/>
      <c r="JUH673" s="713"/>
      <c r="JUI673" s="713"/>
      <c r="JUJ673" s="713"/>
      <c r="JUK673" s="713"/>
      <c r="JUL673" s="713"/>
      <c r="JUM673" s="713"/>
      <c r="JUN673" s="713"/>
      <c r="JUO673" s="713"/>
      <c r="JUP673" s="713"/>
      <c r="JUQ673" s="713"/>
      <c r="JUR673" s="713"/>
      <c r="JUS673" s="713"/>
      <c r="JUT673" s="713"/>
      <c r="JUU673" s="713"/>
      <c r="JUV673" s="713"/>
      <c r="JUW673" s="713"/>
      <c r="JUX673" s="713"/>
      <c r="JUY673" s="713"/>
      <c r="JUZ673" s="713"/>
      <c r="JVA673" s="713"/>
      <c r="JVB673" s="713"/>
      <c r="JVC673" s="713"/>
      <c r="JVD673" s="713"/>
      <c r="JVE673" s="713"/>
      <c r="JVF673" s="713"/>
      <c r="JVG673" s="713"/>
      <c r="JVH673" s="713"/>
      <c r="JVI673" s="713"/>
      <c r="JVJ673" s="713"/>
      <c r="JVK673" s="713"/>
      <c r="JVL673" s="713"/>
      <c r="JVM673" s="713"/>
      <c r="JVN673" s="713"/>
      <c r="JVO673" s="713"/>
      <c r="JVP673" s="713"/>
      <c r="JVQ673" s="713"/>
      <c r="JVR673" s="713"/>
      <c r="JVS673" s="713"/>
      <c r="JVT673" s="713"/>
      <c r="JVU673" s="713"/>
      <c r="JVV673" s="713"/>
      <c r="JVW673" s="713"/>
      <c r="JVX673" s="713"/>
      <c r="JVY673" s="713"/>
      <c r="JVZ673" s="713"/>
      <c r="JWA673" s="713"/>
      <c r="JWB673" s="713"/>
      <c r="JWC673" s="713"/>
      <c r="JWD673" s="713"/>
      <c r="JWE673" s="713"/>
      <c r="JWF673" s="713"/>
      <c r="JWG673" s="713"/>
      <c r="JWH673" s="713"/>
      <c r="JWI673" s="713"/>
      <c r="JWJ673" s="713"/>
      <c r="JWK673" s="713"/>
      <c r="JWL673" s="713"/>
      <c r="JWM673" s="713"/>
      <c r="JWN673" s="713"/>
      <c r="JWO673" s="713"/>
      <c r="JWP673" s="713"/>
      <c r="JWQ673" s="713"/>
      <c r="JWR673" s="713"/>
      <c r="JWS673" s="713"/>
      <c r="JWT673" s="713"/>
      <c r="JWU673" s="713"/>
      <c r="JWV673" s="713"/>
      <c r="JWW673" s="713"/>
      <c r="JWX673" s="713"/>
      <c r="JWY673" s="713"/>
      <c r="JWZ673" s="713"/>
      <c r="JXA673" s="713"/>
      <c r="JXB673" s="713"/>
      <c r="JXC673" s="713"/>
      <c r="JXD673" s="713"/>
      <c r="JXE673" s="713"/>
      <c r="JXF673" s="713"/>
      <c r="JXG673" s="713"/>
      <c r="JXH673" s="713"/>
      <c r="JXI673" s="713"/>
      <c r="JXJ673" s="713"/>
      <c r="JXK673" s="713"/>
      <c r="JXL673" s="713"/>
      <c r="JXM673" s="713"/>
      <c r="JXN673" s="713"/>
      <c r="JXO673" s="713"/>
      <c r="JXP673" s="713"/>
      <c r="JXQ673" s="713"/>
      <c r="JXR673" s="713"/>
      <c r="JXS673" s="713"/>
      <c r="JXT673" s="713"/>
      <c r="JXU673" s="713"/>
      <c r="JXV673" s="713"/>
      <c r="JXW673" s="713"/>
      <c r="JXX673" s="713"/>
      <c r="JXY673" s="713"/>
      <c r="JXZ673" s="713"/>
      <c r="JYA673" s="713"/>
      <c r="JYB673" s="713"/>
      <c r="JYC673" s="713"/>
      <c r="JYD673" s="713"/>
      <c r="JYE673" s="713"/>
      <c r="JYF673" s="713"/>
      <c r="JYG673" s="713"/>
      <c r="JYH673" s="713"/>
      <c r="JYI673" s="713"/>
      <c r="JYJ673" s="713"/>
      <c r="JYK673" s="713"/>
      <c r="JYL673" s="713"/>
      <c r="JYM673" s="713"/>
      <c r="JYN673" s="713"/>
      <c r="JYO673" s="713"/>
      <c r="JYP673" s="713"/>
      <c r="JYQ673" s="713"/>
      <c r="JYR673" s="713"/>
      <c r="JYS673" s="713"/>
      <c r="JYT673" s="713"/>
      <c r="JYU673" s="713"/>
      <c r="JYV673" s="713"/>
      <c r="JYW673" s="713"/>
      <c r="JYX673" s="713"/>
      <c r="JYY673" s="713"/>
      <c r="JYZ673" s="713"/>
      <c r="JZA673" s="713"/>
      <c r="JZB673" s="713"/>
      <c r="JZC673" s="713"/>
      <c r="JZD673" s="713"/>
      <c r="JZE673" s="713"/>
      <c r="JZF673" s="713"/>
      <c r="JZG673" s="713"/>
      <c r="JZH673" s="713"/>
      <c r="JZI673" s="713"/>
      <c r="JZJ673" s="713"/>
      <c r="JZK673" s="713"/>
      <c r="JZL673" s="713"/>
      <c r="JZM673" s="713"/>
      <c r="JZN673" s="713"/>
      <c r="JZO673" s="713"/>
      <c r="JZP673" s="713"/>
      <c r="JZQ673" s="713"/>
      <c r="JZR673" s="713"/>
      <c r="JZS673" s="713"/>
      <c r="JZT673" s="713"/>
      <c r="JZU673" s="713"/>
      <c r="JZV673" s="713"/>
      <c r="JZW673" s="713"/>
      <c r="JZX673" s="713"/>
      <c r="JZY673" s="713"/>
      <c r="JZZ673" s="713"/>
      <c r="KAA673" s="713"/>
      <c r="KAB673" s="713"/>
      <c r="KAC673" s="713"/>
      <c r="KAD673" s="713"/>
      <c r="KAE673" s="713"/>
      <c r="KAF673" s="713"/>
      <c r="KAG673" s="713"/>
      <c r="KAH673" s="713"/>
      <c r="KAI673" s="713"/>
      <c r="KAJ673" s="713"/>
      <c r="KAK673" s="713"/>
      <c r="KAL673" s="713"/>
      <c r="KAM673" s="713"/>
      <c r="KAN673" s="713"/>
      <c r="KAO673" s="713"/>
      <c r="KAP673" s="713"/>
      <c r="KAQ673" s="713"/>
      <c r="KAR673" s="713"/>
      <c r="KAS673" s="713"/>
      <c r="KAT673" s="713"/>
      <c r="KAU673" s="713"/>
      <c r="KAV673" s="713"/>
      <c r="KAW673" s="713"/>
      <c r="KAX673" s="713"/>
      <c r="KAY673" s="713"/>
      <c r="KAZ673" s="713"/>
      <c r="KBA673" s="713"/>
      <c r="KBB673" s="713"/>
      <c r="KBC673" s="713"/>
      <c r="KBD673" s="713"/>
      <c r="KBE673" s="713"/>
      <c r="KBF673" s="713"/>
      <c r="KBG673" s="713"/>
      <c r="KBH673" s="713"/>
      <c r="KBI673" s="713"/>
      <c r="KBJ673" s="713"/>
      <c r="KBK673" s="713"/>
      <c r="KBL673" s="713"/>
      <c r="KBM673" s="713"/>
      <c r="KBN673" s="713"/>
      <c r="KBO673" s="713"/>
      <c r="KBP673" s="713"/>
      <c r="KBQ673" s="713"/>
      <c r="KBR673" s="713"/>
      <c r="KBS673" s="713"/>
      <c r="KBT673" s="713"/>
      <c r="KBU673" s="713"/>
      <c r="KBV673" s="713"/>
      <c r="KBW673" s="713"/>
      <c r="KBX673" s="713"/>
      <c r="KBY673" s="713"/>
      <c r="KBZ673" s="713"/>
      <c r="KCA673" s="713"/>
      <c r="KCB673" s="713"/>
      <c r="KCC673" s="713"/>
      <c r="KCD673" s="713"/>
      <c r="KCE673" s="713"/>
      <c r="KCF673" s="713"/>
      <c r="KCG673" s="713"/>
      <c r="KCH673" s="713"/>
      <c r="KCI673" s="713"/>
      <c r="KCJ673" s="713"/>
      <c r="KCK673" s="713"/>
      <c r="KCL673" s="713"/>
      <c r="KCM673" s="713"/>
      <c r="KCN673" s="713"/>
      <c r="KCO673" s="713"/>
      <c r="KCP673" s="713"/>
      <c r="KCQ673" s="713"/>
      <c r="KCR673" s="713"/>
      <c r="KCS673" s="713"/>
      <c r="KCT673" s="713"/>
      <c r="KCU673" s="713"/>
      <c r="KCV673" s="713"/>
      <c r="KCW673" s="713"/>
      <c r="KCX673" s="713"/>
      <c r="KCY673" s="713"/>
      <c r="KCZ673" s="713"/>
      <c r="KDA673" s="713"/>
      <c r="KDB673" s="713"/>
      <c r="KDC673" s="713"/>
      <c r="KDD673" s="713"/>
      <c r="KDE673" s="713"/>
      <c r="KDF673" s="713"/>
      <c r="KDG673" s="713"/>
      <c r="KDH673" s="713"/>
      <c r="KDI673" s="713"/>
      <c r="KDJ673" s="713"/>
      <c r="KDK673" s="713"/>
      <c r="KDL673" s="713"/>
      <c r="KDM673" s="713"/>
      <c r="KDN673" s="713"/>
      <c r="KDO673" s="713"/>
      <c r="KDP673" s="713"/>
      <c r="KDQ673" s="713"/>
      <c r="KDR673" s="713"/>
      <c r="KDS673" s="713"/>
      <c r="KDT673" s="713"/>
      <c r="KDU673" s="713"/>
      <c r="KDV673" s="713"/>
      <c r="KDW673" s="713"/>
      <c r="KDX673" s="713"/>
      <c r="KDY673" s="713"/>
      <c r="KDZ673" s="713"/>
      <c r="KEA673" s="713"/>
      <c r="KEB673" s="713"/>
      <c r="KEC673" s="713"/>
      <c r="KED673" s="713"/>
      <c r="KEE673" s="713"/>
      <c r="KEF673" s="713"/>
      <c r="KEG673" s="713"/>
      <c r="KEH673" s="713"/>
      <c r="KEI673" s="713"/>
      <c r="KEJ673" s="713"/>
      <c r="KEK673" s="713"/>
      <c r="KEL673" s="713"/>
      <c r="KEM673" s="713"/>
      <c r="KEN673" s="713"/>
      <c r="KEO673" s="713"/>
      <c r="KEP673" s="713"/>
      <c r="KEQ673" s="713"/>
      <c r="KER673" s="713"/>
      <c r="KES673" s="713"/>
      <c r="KET673" s="713"/>
      <c r="KEU673" s="713"/>
      <c r="KEV673" s="713"/>
      <c r="KEW673" s="713"/>
      <c r="KEX673" s="713"/>
      <c r="KEY673" s="713"/>
      <c r="KEZ673" s="713"/>
      <c r="KFA673" s="713"/>
      <c r="KFB673" s="713"/>
      <c r="KFC673" s="713"/>
      <c r="KFD673" s="713"/>
      <c r="KFE673" s="713"/>
      <c r="KFF673" s="713"/>
      <c r="KFG673" s="713"/>
      <c r="KFH673" s="713"/>
      <c r="KFI673" s="713"/>
      <c r="KFJ673" s="713"/>
      <c r="KFK673" s="713"/>
      <c r="KFL673" s="713"/>
      <c r="KFM673" s="713"/>
      <c r="KFN673" s="713"/>
      <c r="KFO673" s="713"/>
      <c r="KFP673" s="713"/>
      <c r="KFQ673" s="713"/>
      <c r="KFR673" s="713"/>
      <c r="KFS673" s="713"/>
      <c r="KFT673" s="713"/>
      <c r="KFU673" s="713"/>
      <c r="KFV673" s="713"/>
      <c r="KFW673" s="713"/>
      <c r="KFX673" s="713"/>
      <c r="KFY673" s="713"/>
      <c r="KFZ673" s="713"/>
      <c r="KGA673" s="713"/>
      <c r="KGB673" s="713"/>
      <c r="KGC673" s="713"/>
      <c r="KGD673" s="713"/>
      <c r="KGE673" s="713"/>
      <c r="KGF673" s="713"/>
      <c r="KGG673" s="713"/>
      <c r="KGH673" s="713"/>
      <c r="KGI673" s="713"/>
      <c r="KGJ673" s="713"/>
      <c r="KGK673" s="713"/>
      <c r="KGL673" s="713"/>
      <c r="KGM673" s="713"/>
      <c r="KGN673" s="713"/>
      <c r="KGO673" s="713"/>
      <c r="KGP673" s="713"/>
      <c r="KGQ673" s="713"/>
      <c r="KGR673" s="713"/>
      <c r="KGS673" s="713"/>
      <c r="KGT673" s="713"/>
      <c r="KGU673" s="713"/>
      <c r="KGV673" s="713"/>
      <c r="KGW673" s="713"/>
      <c r="KGX673" s="713"/>
      <c r="KGY673" s="713"/>
      <c r="KGZ673" s="713"/>
      <c r="KHA673" s="713"/>
      <c r="KHB673" s="713"/>
      <c r="KHC673" s="713"/>
      <c r="KHD673" s="713"/>
      <c r="KHE673" s="713"/>
      <c r="KHF673" s="713"/>
      <c r="KHG673" s="713"/>
      <c r="KHH673" s="713"/>
      <c r="KHI673" s="713"/>
      <c r="KHJ673" s="713"/>
      <c r="KHK673" s="713"/>
      <c r="KHL673" s="713"/>
      <c r="KHM673" s="713"/>
      <c r="KHN673" s="713"/>
      <c r="KHO673" s="713"/>
      <c r="KHP673" s="713"/>
      <c r="KHQ673" s="713"/>
      <c r="KHR673" s="713"/>
      <c r="KHS673" s="713"/>
      <c r="KHT673" s="713"/>
      <c r="KHU673" s="713"/>
      <c r="KHV673" s="713"/>
      <c r="KHW673" s="713"/>
      <c r="KHX673" s="713"/>
      <c r="KHY673" s="713"/>
      <c r="KHZ673" s="713"/>
      <c r="KIA673" s="713"/>
      <c r="KIB673" s="713"/>
      <c r="KIC673" s="713"/>
      <c r="KID673" s="713"/>
      <c r="KIE673" s="713"/>
      <c r="KIF673" s="713"/>
      <c r="KIG673" s="713"/>
      <c r="KIH673" s="713"/>
      <c r="KII673" s="713"/>
      <c r="KIJ673" s="713"/>
      <c r="KIK673" s="713"/>
      <c r="KIL673" s="713"/>
      <c r="KIM673" s="713"/>
      <c r="KIN673" s="713"/>
      <c r="KIO673" s="713"/>
      <c r="KIP673" s="713"/>
      <c r="KIQ673" s="713"/>
      <c r="KIR673" s="713"/>
      <c r="KIS673" s="713"/>
      <c r="KIT673" s="713"/>
      <c r="KIU673" s="713"/>
      <c r="KIV673" s="713"/>
      <c r="KIW673" s="713"/>
      <c r="KIX673" s="713"/>
      <c r="KIY673" s="713"/>
      <c r="KIZ673" s="713"/>
      <c r="KJA673" s="713"/>
      <c r="KJB673" s="713"/>
      <c r="KJC673" s="713"/>
      <c r="KJD673" s="713"/>
      <c r="KJE673" s="713"/>
      <c r="KJF673" s="713"/>
      <c r="KJG673" s="713"/>
      <c r="KJH673" s="713"/>
      <c r="KJI673" s="713"/>
      <c r="KJJ673" s="713"/>
      <c r="KJK673" s="713"/>
      <c r="KJL673" s="713"/>
      <c r="KJM673" s="713"/>
      <c r="KJN673" s="713"/>
      <c r="KJO673" s="713"/>
      <c r="KJP673" s="713"/>
      <c r="KJQ673" s="713"/>
      <c r="KJR673" s="713"/>
      <c r="KJS673" s="713"/>
      <c r="KJT673" s="713"/>
      <c r="KJU673" s="713"/>
      <c r="KJV673" s="713"/>
      <c r="KJW673" s="713"/>
      <c r="KJX673" s="713"/>
      <c r="KJY673" s="713"/>
      <c r="KJZ673" s="713"/>
      <c r="KKA673" s="713"/>
      <c r="KKB673" s="713"/>
      <c r="KKC673" s="713"/>
      <c r="KKD673" s="713"/>
      <c r="KKE673" s="713"/>
      <c r="KKF673" s="713"/>
      <c r="KKG673" s="713"/>
      <c r="KKH673" s="713"/>
      <c r="KKI673" s="713"/>
      <c r="KKJ673" s="713"/>
      <c r="KKK673" s="713"/>
      <c r="KKL673" s="713"/>
      <c r="KKM673" s="713"/>
      <c r="KKN673" s="713"/>
      <c r="KKO673" s="713"/>
      <c r="KKP673" s="713"/>
      <c r="KKQ673" s="713"/>
      <c r="KKR673" s="713"/>
      <c r="KKS673" s="713"/>
      <c r="KKT673" s="713"/>
      <c r="KKU673" s="713"/>
      <c r="KKV673" s="713"/>
      <c r="KKW673" s="713"/>
      <c r="KKX673" s="713"/>
      <c r="KKY673" s="713"/>
      <c r="KKZ673" s="713"/>
      <c r="KLA673" s="713"/>
      <c r="KLB673" s="713"/>
      <c r="KLC673" s="713"/>
      <c r="KLD673" s="713"/>
      <c r="KLE673" s="713"/>
      <c r="KLF673" s="713"/>
      <c r="KLG673" s="713"/>
      <c r="KLH673" s="713"/>
      <c r="KLI673" s="713"/>
      <c r="KLJ673" s="713"/>
      <c r="KLK673" s="713"/>
      <c r="KLL673" s="713"/>
      <c r="KLM673" s="713"/>
      <c r="KLN673" s="713"/>
      <c r="KLO673" s="713"/>
      <c r="KLP673" s="713"/>
      <c r="KLQ673" s="713"/>
      <c r="KLR673" s="713"/>
      <c r="KLS673" s="713"/>
      <c r="KLT673" s="713"/>
      <c r="KLU673" s="713"/>
      <c r="KLV673" s="713"/>
      <c r="KLW673" s="713"/>
      <c r="KLX673" s="713"/>
      <c r="KLY673" s="713"/>
      <c r="KLZ673" s="713"/>
      <c r="KMA673" s="713"/>
      <c r="KMB673" s="713"/>
      <c r="KMC673" s="713"/>
      <c r="KMD673" s="713"/>
      <c r="KME673" s="713"/>
      <c r="KMF673" s="713"/>
      <c r="KMG673" s="713"/>
      <c r="KMH673" s="713"/>
      <c r="KMI673" s="713"/>
      <c r="KMJ673" s="713"/>
      <c r="KMK673" s="713"/>
      <c r="KML673" s="713"/>
      <c r="KMM673" s="713"/>
      <c r="KMN673" s="713"/>
      <c r="KMO673" s="713"/>
      <c r="KMP673" s="713"/>
      <c r="KMQ673" s="713"/>
      <c r="KMR673" s="713"/>
      <c r="KMS673" s="713"/>
      <c r="KMT673" s="713"/>
      <c r="KMU673" s="713"/>
      <c r="KMV673" s="713"/>
      <c r="KMW673" s="713"/>
      <c r="KMX673" s="713"/>
      <c r="KMY673" s="713"/>
      <c r="KMZ673" s="713"/>
      <c r="KNA673" s="713"/>
      <c r="KNB673" s="713"/>
      <c r="KNC673" s="713"/>
      <c r="KND673" s="713"/>
      <c r="KNE673" s="713"/>
      <c r="KNF673" s="713"/>
      <c r="KNG673" s="713"/>
      <c r="KNH673" s="713"/>
      <c r="KNI673" s="713"/>
      <c r="KNJ673" s="713"/>
      <c r="KNK673" s="713"/>
      <c r="KNL673" s="713"/>
      <c r="KNM673" s="713"/>
      <c r="KNN673" s="713"/>
      <c r="KNO673" s="713"/>
      <c r="KNP673" s="713"/>
      <c r="KNQ673" s="713"/>
      <c r="KNR673" s="713"/>
      <c r="KNS673" s="713"/>
      <c r="KNT673" s="713"/>
      <c r="KNU673" s="713"/>
      <c r="KNV673" s="713"/>
      <c r="KNW673" s="713"/>
      <c r="KNX673" s="713"/>
      <c r="KNY673" s="713"/>
      <c r="KNZ673" s="713"/>
      <c r="KOA673" s="713"/>
      <c r="KOB673" s="713"/>
      <c r="KOC673" s="713"/>
      <c r="KOD673" s="713"/>
      <c r="KOE673" s="713"/>
      <c r="KOF673" s="713"/>
      <c r="KOG673" s="713"/>
      <c r="KOH673" s="713"/>
      <c r="KOI673" s="713"/>
      <c r="KOJ673" s="713"/>
      <c r="KOK673" s="713"/>
      <c r="KOL673" s="713"/>
      <c r="KOM673" s="713"/>
      <c r="KON673" s="713"/>
      <c r="KOO673" s="713"/>
      <c r="KOP673" s="713"/>
      <c r="KOQ673" s="713"/>
      <c r="KOR673" s="713"/>
      <c r="KOS673" s="713"/>
      <c r="KOT673" s="713"/>
      <c r="KOU673" s="713"/>
      <c r="KOV673" s="713"/>
      <c r="KOW673" s="713"/>
      <c r="KOX673" s="713"/>
      <c r="KOY673" s="713"/>
      <c r="KOZ673" s="713"/>
      <c r="KPA673" s="713"/>
      <c r="KPB673" s="713"/>
      <c r="KPC673" s="713"/>
      <c r="KPD673" s="713"/>
      <c r="KPE673" s="713"/>
      <c r="KPF673" s="713"/>
      <c r="KPG673" s="713"/>
      <c r="KPH673" s="713"/>
      <c r="KPI673" s="713"/>
      <c r="KPJ673" s="713"/>
      <c r="KPK673" s="713"/>
      <c r="KPL673" s="713"/>
      <c r="KPM673" s="713"/>
      <c r="KPN673" s="713"/>
      <c r="KPO673" s="713"/>
      <c r="KPP673" s="713"/>
      <c r="KPQ673" s="713"/>
      <c r="KPR673" s="713"/>
      <c r="KPS673" s="713"/>
      <c r="KPT673" s="713"/>
      <c r="KPU673" s="713"/>
      <c r="KPV673" s="713"/>
      <c r="KPW673" s="713"/>
      <c r="KPX673" s="713"/>
      <c r="KPY673" s="713"/>
      <c r="KPZ673" s="713"/>
      <c r="KQA673" s="713"/>
      <c r="KQB673" s="713"/>
      <c r="KQC673" s="713"/>
      <c r="KQD673" s="713"/>
      <c r="KQE673" s="713"/>
      <c r="KQF673" s="713"/>
      <c r="KQG673" s="713"/>
      <c r="KQH673" s="713"/>
      <c r="KQI673" s="713"/>
      <c r="KQJ673" s="713"/>
      <c r="KQK673" s="713"/>
      <c r="KQL673" s="713"/>
      <c r="KQM673" s="713"/>
      <c r="KQN673" s="713"/>
      <c r="KQO673" s="713"/>
      <c r="KQP673" s="713"/>
      <c r="KQQ673" s="713"/>
      <c r="KQR673" s="713"/>
      <c r="KQS673" s="713"/>
      <c r="KQT673" s="713"/>
      <c r="KQU673" s="713"/>
      <c r="KQV673" s="713"/>
      <c r="KQW673" s="713"/>
      <c r="KQX673" s="713"/>
      <c r="KQY673" s="713"/>
      <c r="KQZ673" s="713"/>
      <c r="KRA673" s="713"/>
      <c r="KRB673" s="713"/>
      <c r="KRC673" s="713"/>
      <c r="KRD673" s="713"/>
      <c r="KRE673" s="713"/>
      <c r="KRF673" s="713"/>
      <c r="KRG673" s="713"/>
      <c r="KRH673" s="713"/>
      <c r="KRI673" s="713"/>
      <c r="KRJ673" s="713"/>
      <c r="KRK673" s="713"/>
      <c r="KRL673" s="713"/>
      <c r="KRM673" s="713"/>
      <c r="KRN673" s="713"/>
      <c r="KRO673" s="713"/>
      <c r="KRP673" s="713"/>
      <c r="KRQ673" s="713"/>
      <c r="KRR673" s="713"/>
      <c r="KRS673" s="713"/>
      <c r="KRT673" s="713"/>
      <c r="KRU673" s="713"/>
      <c r="KRV673" s="713"/>
      <c r="KRW673" s="713"/>
      <c r="KRX673" s="713"/>
      <c r="KRY673" s="713"/>
      <c r="KRZ673" s="713"/>
      <c r="KSA673" s="713"/>
      <c r="KSB673" s="713"/>
      <c r="KSC673" s="713"/>
      <c r="KSD673" s="713"/>
      <c r="KSE673" s="713"/>
      <c r="KSF673" s="713"/>
      <c r="KSG673" s="713"/>
      <c r="KSH673" s="713"/>
      <c r="KSI673" s="713"/>
      <c r="KSJ673" s="713"/>
      <c r="KSK673" s="713"/>
      <c r="KSL673" s="713"/>
      <c r="KSM673" s="713"/>
      <c r="KSN673" s="713"/>
      <c r="KSO673" s="713"/>
      <c r="KSP673" s="713"/>
      <c r="KSQ673" s="713"/>
      <c r="KSR673" s="713"/>
      <c r="KSS673" s="713"/>
      <c r="KST673" s="713"/>
      <c r="KSU673" s="713"/>
      <c r="KSV673" s="713"/>
      <c r="KSW673" s="713"/>
      <c r="KSX673" s="713"/>
      <c r="KSY673" s="713"/>
      <c r="KSZ673" s="713"/>
      <c r="KTA673" s="713"/>
      <c r="KTB673" s="713"/>
      <c r="KTC673" s="713"/>
      <c r="KTD673" s="713"/>
      <c r="KTE673" s="713"/>
      <c r="KTF673" s="713"/>
      <c r="KTG673" s="713"/>
      <c r="KTH673" s="713"/>
      <c r="KTI673" s="713"/>
      <c r="KTJ673" s="713"/>
      <c r="KTK673" s="713"/>
      <c r="KTL673" s="713"/>
      <c r="KTM673" s="713"/>
      <c r="KTN673" s="713"/>
      <c r="KTO673" s="713"/>
      <c r="KTP673" s="713"/>
      <c r="KTQ673" s="713"/>
      <c r="KTR673" s="713"/>
      <c r="KTS673" s="713"/>
      <c r="KTT673" s="713"/>
      <c r="KTU673" s="713"/>
      <c r="KTV673" s="713"/>
      <c r="KTW673" s="713"/>
      <c r="KTX673" s="713"/>
      <c r="KTY673" s="713"/>
      <c r="KTZ673" s="713"/>
      <c r="KUA673" s="713"/>
      <c r="KUB673" s="713"/>
      <c r="KUC673" s="713"/>
      <c r="KUD673" s="713"/>
      <c r="KUE673" s="713"/>
      <c r="KUF673" s="713"/>
      <c r="KUG673" s="713"/>
      <c r="KUH673" s="713"/>
      <c r="KUI673" s="713"/>
      <c r="KUJ673" s="713"/>
      <c r="KUK673" s="713"/>
      <c r="KUL673" s="713"/>
      <c r="KUM673" s="713"/>
      <c r="KUN673" s="713"/>
      <c r="KUO673" s="713"/>
      <c r="KUP673" s="713"/>
      <c r="KUQ673" s="713"/>
      <c r="KUR673" s="713"/>
      <c r="KUS673" s="713"/>
      <c r="KUT673" s="713"/>
      <c r="KUU673" s="713"/>
      <c r="KUV673" s="713"/>
      <c r="KUW673" s="713"/>
      <c r="KUX673" s="713"/>
      <c r="KUY673" s="713"/>
      <c r="KUZ673" s="713"/>
      <c r="KVA673" s="713"/>
      <c r="KVB673" s="713"/>
      <c r="KVC673" s="713"/>
      <c r="KVD673" s="713"/>
      <c r="KVE673" s="713"/>
      <c r="KVF673" s="713"/>
      <c r="KVG673" s="713"/>
      <c r="KVH673" s="713"/>
      <c r="KVI673" s="713"/>
      <c r="KVJ673" s="713"/>
      <c r="KVK673" s="713"/>
      <c r="KVL673" s="713"/>
      <c r="KVM673" s="713"/>
      <c r="KVN673" s="713"/>
      <c r="KVO673" s="713"/>
      <c r="KVP673" s="713"/>
      <c r="KVQ673" s="713"/>
      <c r="KVR673" s="713"/>
      <c r="KVS673" s="713"/>
      <c r="KVT673" s="713"/>
      <c r="KVU673" s="713"/>
      <c r="KVV673" s="713"/>
      <c r="KVW673" s="713"/>
      <c r="KVX673" s="713"/>
      <c r="KVY673" s="713"/>
      <c r="KVZ673" s="713"/>
      <c r="KWA673" s="713"/>
      <c r="KWB673" s="713"/>
      <c r="KWC673" s="713"/>
      <c r="KWD673" s="713"/>
      <c r="KWE673" s="713"/>
      <c r="KWF673" s="713"/>
      <c r="KWG673" s="713"/>
      <c r="KWH673" s="713"/>
      <c r="KWI673" s="713"/>
      <c r="KWJ673" s="713"/>
      <c r="KWK673" s="713"/>
      <c r="KWL673" s="713"/>
      <c r="KWM673" s="713"/>
      <c r="KWN673" s="713"/>
      <c r="KWO673" s="713"/>
      <c r="KWP673" s="713"/>
      <c r="KWQ673" s="713"/>
      <c r="KWR673" s="713"/>
      <c r="KWS673" s="713"/>
      <c r="KWT673" s="713"/>
      <c r="KWU673" s="713"/>
      <c r="KWV673" s="713"/>
      <c r="KWW673" s="713"/>
      <c r="KWX673" s="713"/>
      <c r="KWY673" s="713"/>
      <c r="KWZ673" s="713"/>
      <c r="KXA673" s="713"/>
      <c r="KXB673" s="713"/>
      <c r="KXC673" s="713"/>
      <c r="KXD673" s="713"/>
      <c r="KXE673" s="713"/>
      <c r="KXF673" s="713"/>
      <c r="KXG673" s="713"/>
      <c r="KXH673" s="713"/>
      <c r="KXI673" s="713"/>
      <c r="KXJ673" s="713"/>
      <c r="KXK673" s="713"/>
      <c r="KXL673" s="713"/>
      <c r="KXM673" s="713"/>
      <c r="KXN673" s="713"/>
      <c r="KXO673" s="713"/>
      <c r="KXP673" s="713"/>
      <c r="KXQ673" s="713"/>
      <c r="KXR673" s="713"/>
      <c r="KXS673" s="713"/>
      <c r="KXT673" s="713"/>
      <c r="KXU673" s="713"/>
      <c r="KXV673" s="713"/>
      <c r="KXW673" s="713"/>
      <c r="KXX673" s="713"/>
      <c r="KXY673" s="713"/>
      <c r="KXZ673" s="713"/>
      <c r="KYA673" s="713"/>
      <c r="KYB673" s="713"/>
      <c r="KYC673" s="713"/>
      <c r="KYD673" s="713"/>
      <c r="KYE673" s="713"/>
      <c r="KYF673" s="713"/>
      <c r="KYG673" s="713"/>
      <c r="KYH673" s="713"/>
      <c r="KYI673" s="713"/>
      <c r="KYJ673" s="713"/>
      <c r="KYK673" s="713"/>
      <c r="KYL673" s="713"/>
      <c r="KYM673" s="713"/>
      <c r="KYN673" s="713"/>
      <c r="KYO673" s="713"/>
      <c r="KYP673" s="713"/>
      <c r="KYQ673" s="713"/>
      <c r="KYR673" s="713"/>
      <c r="KYS673" s="713"/>
      <c r="KYT673" s="713"/>
      <c r="KYU673" s="713"/>
      <c r="KYV673" s="713"/>
      <c r="KYW673" s="713"/>
      <c r="KYX673" s="713"/>
      <c r="KYY673" s="713"/>
      <c r="KYZ673" s="713"/>
      <c r="KZA673" s="713"/>
      <c r="KZB673" s="713"/>
      <c r="KZC673" s="713"/>
      <c r="KZD673" s="713"/>
      <c r="KZE673" s="713"/>
      <c r="KZF673" s="713"/>
      <c r="KZG673" s="713"/>
      <c r="KZH673" s="713"/>
      <c r="KZI673" s="713"/>
      <c r="KZJ673" s="713"/>
      <c r="KZK673" s="713"/>
      <c r="KZL673" s="713"/>
      <c r="KZM673" s="713"/>
      <c r="KZN673" s="713"/>
      <c r="KZO673" s="713"/>
      <c r="KZP673" s="713"/>
      <c r="KZQ673" s="713"/>
      <c r="KZR673" s="713"/>
      <c r="KZS673" s="713"/>
      <c r="KZT673" s="713"/>
      <c r="KZU673" s="713"/>
      <c r="KZV673" s="713"/>
      <c r="KZW673" s="713"/>
      <c r="KZX673" s="713"/>
      <c r="KZY673" s="713"/>
      <c r="KZZ673" s="713"/>
      <c r="LAA673" s="713"/>
      <c r="LAB673" s="713"/>
      <c r="LAC673" s="713"/>
      <c r="LAD673" s="713"/>
      <c r="LAE673" s="713"/>
      <c r="LAF673" s="713"/>
      <c r="LAG673" s="713"/>
      <c r="LAH673" s="713"/>
      <c r="LAI673" s="713"/>
      <c r="LAJ673" s="713"/>
      <c r="LAK673" s="713"/>
      <c r="LAL673" s="713"/>
      <c r="LAM673" s="713"/>
      <c r="LAN673" s="713"/>
      <c r="LAO673" s="713"/>
      <c r="LAP673" s="713"/>
      <c r="LAQ673" s="713"/>
      <c r="LAR673" s="713"/>
      <c r="LAS673" s="713"/>
      <c r="LAT673" s="713"/>
      <c r="LAU673" s="713"/>
      <c r="LAV673" s="713"/>
      <c r="LAW673" s="713"/>
      <c r="LAX673" s="713"/>
      <c r="LAY673" s="713"/>
      <c r="LAZ673" s="713"/>
      <c r="LBA673" s="713"/>
      <c r="LBB673" s="713"/>
      <c r="LBC673" s="713"/>
      <c r="LBD673" s="713"/>
      <c r="LBE673" s="713"/>
      <c r="LBF673" s="713"/>
      <c r="LBG673" s="713"/>
      <c r="LBH673" s="713"/>
      <c r="LBI673" s="713"/>
      <c r="LBJ673" s="713"/>
      <c r="LBK673" s="713"/>
      <c r="LBL673" s="713"/>
      <c r="LBM673" s="713"/>
      <c r="LBN673" s="713"/>
      <c r="LBO673" s="713"/>
      <c r="LBP673" s="713"/>
      <c r="LBQ673" s="713"/>
      <c r="LBR673" s="713"/>
      <c r="LBS673" s="713"/>
      <c r="LBT673" s="713"/>
      <c r="LBU673" s="713"/>
      <c r="LBV673" s="713"/>
      <c r="LBW673" s="713"/>
      <c r="LBX673" s="713"/>
      <c r="LBY673" s="713"/>
      <c r="LBZ673" s="713"/>
      <c r="LCA673" s="713"/>
      <c r="LCB673" s="713"/>
      <c r="LCC673" s="713"/>
      <c r="LCD673" s="713"/>
      <c r="LCE673" s="713"/>
      <c r="LCF673" s="713"/>
      <c r="LCG673" s="713"/>
      <c r="LCH673" s="713"/>
      <c r="LCI673" s="713"/>
      <c r="LCJ673" s="713"/>
      <c r="LCK673" s="713"/>
      <c r="LCL673" s="713"/>
      <c r="LCM673" s="713"/>
      <c r="LCN673" s="713"/>
      <c r="LCO673" s="713"/>
      <c r="LCP673" s="713"/>
      <c r="LCQ673" s="713"/>
      <c r="LCR673" s="713"/>
      <c r="LCS673" s="713"/>
      <c r="LCT673" s="713"/>
      <c r="LCU673" s="713"/>
      <c r="LCV673" s="713"/>
      <c r="LCW673" s="713"/>
      <c r="LCX673" s="713"/>
      <c r="LCY673" s="713"/>
      <c r="LCZ673" s="713"/>
      <c r="LDA673" s="713"/>
      <c r="LDB673" s="713"/>
      <c r="LDC673" s="713"/>
      <c r="LDD673" s="713"/>
      <c r="LDE673" s="713"/>
      <c r="LDF673" s="713"/>
      <c r="LDG673" s="713"/>
      <c r="LDH673" s="713"/>
      <c r="LDI673" s="713"/>
      <c r="LDJ673" s="713"/>
      <c r="LDK673" s="713"/>
      <c r="LDL673" s="713"/>
      <c r="LDM673" s="713"/>
      <c r="LDN673" s="713"/>
      <c r="LDO673" s="713"/>
      <c r="LDP673" s="713"/>
      <c r="LDQ673" s="713"/>
      <c r="LDR673" s="713"/>
      <c r="LDS673" s="713"/>
      <c r="LDT673" s="713"/>
      <c r="LDU673" s="713"/>
      <c r="LDV673" s="713"/>
      <c r="LDW673" s="713"/>
      <c r="LDX673" s="713"/>
      <c r="LDY673" s="713"/>
      <c r="LDZ673" s="713"/>
      <c r="LEA673" s="713"/>
      <c r="LEB673" s="713"/>
      <c r="LEC673" s="713"/>
      <c r="LED673" s="713"/>
      <c r="LEE673" s="713"/>
      <c r="LEF673" s="713"/>
      <c r="LEG673" s="713"/>
      <c r="LEH673" s="713"/>
      <c r="LEI673" s="713"/>
      <c r="LEJ673" s="713"/>
      <c r="LEK673" s="713"/>
      <c r="LEL673" s="713"/>
      <c r="LEM673" s="713"/>
      <c r="LEN673" s="713"/>
      <c r="LEO673" s="713"/>
      <c r="LEP673" s="713"/>
      <c r="LEQ673" s="713"/>
      <c r="LER673" s="713"/>
      <c r="LES673" s="713"/>
      <c r="LET673" s="713"/>
      <c r="LEU673" s="713"/>
      <c r="LEV673" s="713"/>
      <c r="LEW673" s="713"/>
      <c r="LEX673" s="713"/>
      <c r="LEY673" s="713"/>
      <c r="LEZ673" s="713"/>
      <c r="LFA673" s="713"/>
      <c r="LFB673" s="713"/>
      <c r="LFC673" s="713"/>
      <c r="LFD673" s="713"/>
      <c r="LFE673" s="713"/>
      <c r="LFF673" s="713"/>
      <c r="LFG673" s="713"/>
      <c r="LFH673" s="713"/>
      <c r="LFI673" s="713"/>
      <c r="LFJ673" s="713"/>
      <c r="LFK673" s="713"/>
      <c r="LFL673" s="713"/>
      <c r="LFM673" s="713"/>
      <c r="LFN673" s="713"/>
      <c r="LFO673" s="713"/>
      <c r="LFP673" s="713"/>
      <c r="LFQ673" s="713"/>
      <c r="LFR673" s="713"/>
      <c r="LFS673" s="713"/>
      <c r="LFT673" s="713"/>
      <c r="LFU673" s="713"/>
      <c r="LFV673" s="713"/>
      <c r="LFW673" s="713"/>
      <c r="LFX673" s="713"/>
      <c r="LFY673" s="713"/>
      <c r="LFZ673" s="713"/>
      <c r="LGA673" s="713"/>
      <c r="LGB673" s="713"/>
      <c r="LGC673" s="713"/>
      <c r="LGD673" s="713"/>
      <c r="LGE673" s="713"/>
      <c r="LGF673" s="713"/>
      <c r="LGG673" s="713"/>
      <c r="LGH673" s="713"/>
      <c r="LGI673" s="713"/>
      <c r="LGJ673" s="713"/>
      <c r="LGK673" s="713"/>
      <c r="LGL673" s="713"/>
      <c r="LGM673" s="713"/>
      <c r="LGN673" s="713"/>
      <c r="LGO673" s="713"/>
      <c r="LGP673" s="713"/>
      <c r="LGQ673" s="713"/>
      <c r="LGR673" s="713"/>
      <c r="LGS673" s="713"/>
      <c r="LGT673" s="713"/>
      <c r="LGU673" s="713"/>
      <c r="LGV673" s="713"/>
      <c r="LGW673" s="713"/>
      <c r="LGX673" s="713"/>
      <c r="LGY673" s="713"/>
      <c r="LGZ673" s="713"/>
      <c r="LHA673" s="713"/>
      <c r="LHB673" s="713"/>
      <c r="LHC673" s="713"/>
      <c r="LHD673" s="713"/>
      <c r="LHE673" s="713"/>
      <c r="LHF673" s="713"/>
      <c r="LHG673" s="713"/>
      <c r="LHH673" s="713"/>
      <c r="LHI673" s="713"/>
      <c r="LHJ673" s="713"/>
      <c r="LHK673" s="713"/>
      <c r="LHL673" s="713"/>
      <c r="LHM673" s="713"/>
      <c r="LHN673" s="713"/>
      <c r="LHO673" s="713"/>
      <c r="LHP673" s="713"/>
      <c r="LHQ673" s="713"/>
      <c r="LHR673" s="713"/>
      <c r="LHS673" s="713"/>
      <c r="LHT673" s="713"/>
      <c r="LHU673" s="713"/>
      <c r="LHV673" s="713"/>
      <c r="LHW673" s="713"/>
      <c r="LHX673" s="713"/>
      <c r="LHY673" s="713"/>
      <c r="LHZ673" s="713"/>
      <c r="LIA673" s="713"/>
      <c r="LIB673" s="713"/>
      <c r="LIC673" s="713"/>
      <c r="LID673" s="713"/>
      <c r="LIE673" s="713"/>
      <c r="LIF673" s="713"/>
      <c r="LIG673" s="713"/>
      <c r="LIH673" s="713"/>
      <c r="LII673" s="713"/>
      <c r="LIJ673" s="713"/>
      <c r="LIK673" s="713"/>
      <c r="LIL673" s="713"/>
      <c r="LIM673" s="713"/>
      <c r="LIN673" s="713"/>
      <c r="LIO673" s="713"/>
      <c r="LIP673" s="713"/>
      <c r="LIQ673" s="713"/>
      <c r="LIR673" s="713"/>
      <c r="LIS673" s="713"/>
      <c r="LIT673" s="713"/>
      <c r="LIU673" s="713"/>
      <c r="LIV673" s="713"/>
      <c r="LIW673" s="713"/>
      <c r="LIX673" s="713"/>
      <c r="LIY673" s="713"/>
      <c r="LIZ673" s="713"/>
      <c r="LJA673" s="713"/>
      <c r="LJB673" s="713"/>
      <c r="LJC673" s="713"/>
      <c r="LJD673" s="713"/>
      <c r="LJE673" s="713"/>
      <c r="LJF673" s="713"/>
      <c r="LJG673" s="713"/>
      <c r="LJH673" s="713"/>
      <c r="LJI673" s="713"/>
      <c r="LJJ673" s="713"/>
      <c r="LJK673" s="713"/>
      <c r="LJL673" s="713"/>
      <c r="LJM673" s="713"/>
      <c r="LJN673" s="713"/>
      <c r="LJO673" s="713"/>
      <c r="LJP673" s="713"/>
      <c r="LJQ673" s="713"/>
      <c r="LJR673" s="713"/>
      <c r="LJS673" s="713"/>
      <c r="LJT673" s="713"/>
      <c r="LJU673" s="713"/>
      <c r="LJV673" s="713"/>
      <c r="LJW673" s="713"/>
      <c r="LJX673" s="713"/>
      <c r="LJY673" s="713"/>
      <c r="LJZ673" s="713"/>
      <c r="LKA673" s="713"/>
      <c r="LKB673" s="713"/>
      <c r="LKC673" s="713"/>
      <c r="LKD673" s="713"/>
      <c r="LKE673" s="713"/>
      <c r="LKF673" s="713"/>
      <c r="LKG673" s="713"/>
      <c r="LKH673" s="713"/>
      <c r="LKI673" s="713"/>
      <c r="LKJ673" s="713"/>
      <c r="LKK673" s="713"/>
      <c r="LKL673" s="713"/>
      <c r="LKM673" s="713"/>
      <c r="LKN673" s="713"/>
      <c r="LKO673" s="713"/>
      <c r="LKP673" s="713"/>
      <c r="LKQ673" s="713"/>
      <c r="LKR673" s="713"/>
      <c r="LKS673" s="713"/>
      <c r="LKT673" s="713"/>
      <c r="LKU673" s="713"/>
      <c r="LKV673" s="713"/>
      <c r="LKW673" s="713"/>
      <c r="LKX673" s="713"/>
      <c r="LKY673" s="713"/>
      <c r="LKZ673" s="713"/>
      <c r="LLA673" s="713"/>
      <c r="LLB673" s="713"/>
      <c r="LLC673" s="713"/>
      <c r="LLD673" s="713"/>
      <c r="LLE673" s="713"/>
      <c r="LLF673" s="713"/>
      <c r="LLG673" s="713"/>
      <c r="LLH673" s="713"/>
      <c r="LLI673" s="713"/>
      <c r="LLJ673" s="713"/>
      <c r="LLK673" s="713"/>
      <c r="LLL673" s="713"/>
      <c r="LLM673" s="713"/>
      <c r="LLN673" s="713"/>
      <c r="LLO673" s="713"/>
      <c r="LLP673" s="713"/>
      <c r="LLQ673" s="713"/>
      <c r="LLR673" s="713"/>
      <c r="LLS673" s="713"/>
      <c r="LLT673" s="713"/>
      <c r="LLU673" s="713"/>
      <c r="LLV673" s="713"/>
      <c r="LLW673" s="713"/>
      <c r="LLX673" s="713"/>
      <c r="LLY673" s="713"/>
      <c r="LLZ673" s="713"/>
      <c r="LMA673" s="713"/>
      <c r="LMB673" s="713"/>
      <c r="LMC673" s="713"/>
      <c r="LMD673" s="713"/>
      <c r="LME673" s="713"/>
      <c r="LMF673" s="713"/>
      <c r="LMG673" s="713"/>
      <c r="LMH673" s="713"/>
      <c r="LMI673" s="713"/>
      <c r="LMJ673" s="713"/>
      <c r="LMK673" s="713"/>
      <c r="LML673" s="713"/>
      <c r="LMM673" s="713"/>
      <c r="LMN673" s="713"/>
      <c r="LMO673" s="713"/>
      <c r="LMP673" s="713"/>
      <c r="LMQ673" s="713"/>
      <c r="LMR673" s="713"/>
      <c r="LMS673" s="713"/>
      <c r="LMT673" s="713"/>
      <c r="LMU673" s="713"/>
      <c r="LMV673" s="713"/>
      <c r="LMW673" s="713"/>
      <c r="LMX673" s="713"/>
      <c r="LMY673" s="713"/>
      <c r="LMZ673" s="713"/>
      <c r="LNA673" s="713"/>
      <c r="LNB673" s="713"/>
      <c r="LNC673" s="713"/>
      <c r="LND673" s="713"/>
      <c r="LNE673" s="713"/>
      <c r="LNF673" s="713"/>
      <c r="LNG673" s="713"/>
      <c r="LNH673" s="713"/>
      <c r="LNI673" s="713"/>
      <c r="LNJ673" s="713"/>
      <c r="LNK673" s="713"/>
      <c r="LNL673" s="713"/>
      <c r="LNM673" s="713"/>
      <c r="LNN673" s="713"/>
      <c r="LNO673" s="713"/>
      <c r="LNP673" s="713"/>
      <c r="LNQ673" s="713"/>
      <c r="LNR673" s="713"/>
      <c r="LNS673" s="713"/>
      <c r="LNT673" s="713"/>
      <c r="LNU673" s="713"/>
      <c r="LNV673" s="713"/>
      <c r="LNW673" s="713"/>
      <c r="LNX673" s="713"/>
      <c r="LNY673" s="713"/>
      <c r="LNZ673" s="713"/>
      <c r="LOA673" s="713"/>
      <c r="LOB673" s="713"/>
      <c r="LOC673" s="713"/>
      <c r="LOD673" s="713"/>
      <c r="LOE673" s="713"/>
      <c r="LOF673" s="713"/>
      <c r="LOG673" s="713"/>
      <c r="LOH673" s="713"/>
      <c r="LOI673" s="713"/>
      <c r="LOJ673" s="713"/>
      <c r="LOK673" s="713"/>
      <c r="LOL673" s="713"/>
      <c r="LOM673" s="713"/>
      <c r="LON673" s="713"/>
      <c r="LOO673" s="713"/>
      <c r="LOP673" s="713"/>
      <c r="LOQ673" s="713"/>
      <c r="LOR673" s="713"/>
      <c r="LOS673" s="713"/>
      <c r="LOT673" s="713"/>
      <c r="LOU673" s="713"/>
      <c r="LOV673" s="713"/>
      <c r="LOW673" s="713"/>
      <c r="LOX673" s="713"/>
      <c r="LOY673" s="713"/>
      <c r="LOZ673" s="713"/>
      <c r="LPA673" s="713"/>
      <c r="LPB673" s="713"/>
      <c r="LPC673" s="713"/>
      <c r="LPD673" s="713"/>
      <c r="LPE673" s="713"/>
      <c r="LPF673" s="713"/>
      <c r="LPG673" s="713"/>
      <c r="LPH673" s="713"/>
      <c r="LPI673" s="713"/>
      <c r="LPJ673" s="713"/>
      <c r="LPK673" s="713"/>
      <c r="LPL673" s="713"/>
      <c r="LPM673" s="713"/>
      <c r="LPN673" s="713"/>
      <c r="LPO673" s="713"/>
      <c r="LPP673" s="713"/>
      <c r="LPQ673" s="713"/>
      <c r="LPR673" s="713"/>
      <c r="LPS673" s="713"/>
      <c r="LPT673" s="713"/>
      <c r="LPU673" s="713"/>
      <c r="LPV673" s="713"/>
      <c r="LPW673" s="713"/>
      <c r="LPX673" s="713"/>
      <c r="LPY673" s="713"/>
      <c r="LPZ673" s="713"/>
      <c r="LQA673" s="713"/>
      <c r="LQB673" s="713"/>
      <c r="LQC673" s="713"/>
      <c r="LQD673" s="713"/>
      <c r="LQE673" s="713"/>
      <c r="LQF673" s="713"/>
      <c r="LQG673" s="713"/>
      <c r="LQH673" s="713"/>
      <c r="LQI673" s="713"/>
      <c r="LQJ673" s="713"/>
      <c r="LQK673" s="713"/>
      <c r="LQL673" s="713"/>
      <c r="LQM673" s="713"/>
      <c r="LQN673" s="713"/>
      <c r="LQO673" s="713"/>
      <c r="LQP673" s="713"/>
      <c r="LQQ673" s="713"/>
      <c r="LQR673" s="713"/>
      <c r="LQS673" s="713"/>
      <c r="LQT673" s="713"/>
      <c r="LQU673" s="713"/>
      <c r="LQV673" s="713"/>
      <c r="LQW673" s="713"/>
      <c r="LQX673" s="713"/>
      <c r="LQY673" s="713"/>
      <c r="LQZ673" s="713"/>
      <c r="LRA673" s="713"/>
      <c r="LRB673" s="713"/>
      <c r="LRC673" s="713"/>
      <c r="LRD673" s="713"/>
      <c r="LRE673" s="713"/>
      <c r="LRF673" s="713"/>
      <c r="LRG673" s="713"/>
      <c r="LRH673" s="713"/>
      <c r="LRI673" s="713"/>
      <c r="LRJ673" s="713"/>
      <c r="LRK673" s="713"/>
      <c r="LRL673" s="713"/>
      <c r="LRM673" s="713"/>
      <c r="LRN673" s="713"/>
      <c r="LRO673" s="713"/>
      <c r="LRP673" s="713"/>
      <c r="LRQ673" s="713"/>
      <c r="LRR673" s="713"/>
      <c r="LRS673" s="713"/>
      <c r="LRT673" s="713"/>
      <c r="LRU673" s="713"/>
      <c r="LRV673" s="713"/>
      <c r="LRW673" s="713"/>
      <c r="LRX673" s="713"/>
      <c r="LRY673" s="713"/>
      <c r="LRZ673" s="713"/>
      <c r="LSA673" s="713"/>
      <c r="LSB673" s="713"/>
      <c r="LSC673" s="713"/>
      <c r="LSD673" s="713"/>
      <c r="LSE673" s="713"/>
      <c r="LSF673" s="713"/>
      <c r="LSG673" s="713"/>
      <c r="LSH673" s="713"/>
      <c r="LSI673" s="713"/>
      <c r="LSJ673" s="713"/>
      <c r="LSK673" s="713"/>
      <c r="LSL673" s="713"/>
      <c r="LSM673" s="713"/>
      <c r="LSN673" s="713"/>
      <c r="LSO673" s="713"/>
      <c r="LSP673" s="713"/>
      <c r="LSQ673" s="713"/>
      <c r="LSR673" s="713"/>
      <c r="LSS673" s="713"/>
      <c r="LST673" s="713"/>
      <c r="LSU673" s="713"/>
      <c r="LSV673" s="713"/>
      <c r="LSW673" s="713"/>
      <c r="LSX673" s="713"/>
      <c r="LSY673" s="713"/>
      <c r="LSZ673" s="713"/>
      <c r="LTA673" s="713"/>
      <c r="LTB673" s="713"/>
      <c r="LTC673" s="713"/>
      <c r="LTD673" s="713"/>
      <c r="LTE673" s="713"/>
      <c r="LTF673" s="713"/>
      <c r="LTG673" s="713"/>
      <c r="LTH673" s="713"/>
      <c r="LTI673" s="713"/>
      <c r="LTJ673" s="713"/>
      <c r="LTK673" s="713"/>
      <c r="LTL673" s="713"/>
      <c r="LTM673" s="713"/>
      <c r="LTN673" s="713"/>
      <c r="LTO673" s="713"/>
      <c r="LTP673" s="713"/>
      <c r="LTQ673" s="713"/>
      <c r="LTR673" s="713"/>
      <c r="LTS673" s="713"/>
      <c r="LTT673" s="713"/>
      <c r="LTU673" s="713"/>
      <c r="LTV673" s="713"/>
      <c r="LTW673" s="713"/>
      <c r="LTX673" s="713"/>
      <c r="LTY673" s="713"/>
      <c r="LTZ673" s="713"/>
      <c r="LUA673" s="713"/>
      <c r="LUB673" s="713"/>
      <c r="LUC673" s="713"/>
      <c r="LUD673" s="713"/>
      <c r="LUE673" s="713"/>
      <c r="LUF673" s="713"/>
      <c r="LUG673" s="713"/>
      <c r="LUH673" s="713"/>
      <c r="LUI673" s="713"/>
      <c r="LUJ673" s="713"/>
      <c r="LUK673" s="713"/>
      <c r="LUL673" s="713"/>
      <c r="LUM673" s="713"/>
      <c r="LUN673" s="713"/>
      <c r="LUO673" s="713"/>
      <c r="LUP673" s="713"/>
      <c r="LUQ673" s="713"/>
      <c r="LUR673" s="713"/>
      <c r="LUS673" s="713"/>
      <c r="LUT673" s="713"/>
      <c r="LUU673" s="713"/>
      <c r="LUV673" s="713"/>
      <c r="LUW673" s="713"/>
      <c r="LUX673" s="713"/>
      <c r="LUY673" s="713"/>
      <c r="LUZ673" s="713"/>
      <c r="LVA673" s="713"/>
      <c r="LVB673" s="713"/>
      <c r="LVC673" s="713"/>
      <c r="LVD673" s="713"/>
      <c r="LVE673" s="713"/>
      <c r="LVF673" s="713"/>
      <c r="LVG673" s="713"/>
      <c r="LVH673" s="713"/>
      <c r="LVI673" s="713"/>
      <c r="LVJ673" s="713"/>
      <c r="LVK673" s="713"/>
      <c r="LVL673" s="713"/>
      <c r="LVM673" s="713"/>
      <c r="LVN673" s="713"/>
      <c r="LVO673" s="713"/>
      <c r="LVP673" s="713"/>
      <c r="LVQ673" s="713"/>
      <c r="LVR673" s="713"/>
      <c r="LVS673" s="713"/>
      <c r="LVT673" s="713"/>
      <c r="LVU673" s="713"/>
      <c r="LVV673" s="713"/>
      <c r="LVW673" s="713"/>
      <c r="LVX673" s="713"/>
      <c r="LVY673" s="713"/>
      <c r="LVZ673" s="713"/>
      <c r="LWA673" s="713"/>
      <c r="LWB673" s="713"/>
      <c r="LWC673" s="713"/>
      <c r="LWD673" s="713"/>
      <c r="LWE673" s="713"/>
      <c r="LWF673" s="713"/>
      <c r="LWG673" s="713"/>
      <c r="LWH673" s="713"/>
      <c r="LWI673" s="713"/>
      <c r="LWJ673" s="713"/>
      <c r="LWK673" s="713"/>
      <c r="LWL673" s="713"/>
      <c r="LWM673" s="713"/>
      <c r="LWN673" s="713"/>
      <c r="LWO673" s="713"/>
      <c r="LWP673" s="713"/>
      <c r="LWQ673" s="713"/>
      <c r="LWR673" s="713"/>
      <c r="LWS673" s="713"/>
      <c r="LWT673" s="713"/>
      <c r="LWU673" s="713"/>
      <c r="LWV673" s="713"/>
      <c r="LWW673" s="713"/>
      <c r="LWX673" s="713"/>
      <c r="LWY673" s="713"/>
      <c r="LWZ673" s="713"/>
      <c r="LXA673" s="713"/>
      <c r="LXB673" s="713"/>
      <c r="LXC673" s="713"/>
      <c r="LXD673" s="713"/>
      <c r="LXE673" s="713"/>
      <c r="LXF673" s="713"/>
      <c r="LXG673" s="713"/>
      <c r="LXH673" s="713"/>
      <c r="LXI673" s="713"/>
      <c r="LXJ673" s="713"/>
      <c r="LXK673" s="713"/>
      <c r="LXL673" s="713"/>
      <c r="LXM673" s="713"/>
      <c r="LXN673" s="713"/>
      <c r="LXO673" s="713"/>
      <c r="LXP673" s="713"/>
      <c r="LXQ673" s="713"/>
      <c r="LXR673" s="713"/>
      <c r="LXS673" s="713"/>
      <c r="LXT673" s="713"/>
      <c r="LXU673" s="713"/>
      <c r="LXV673" s="713"/>
      <c r="LXW673" s="713"/>
      <c r="LXX673" s="713"/>
      <c r="LXY673" s="713"/>
      <c r="LXZ673" s="713"/>
      <c r="LYA673" s="713"/>
      <c r="LYB673" s="713"/>
      <c r="LYC673" s="713"/>
      <c r="LYD673" s="713"/>
      <c r="LYE673" s="713"/>
      <c r="LYF673" s="713"/>
      <c r="LYG673" s="713"/>
      <c r="LYH673" s="713"/>
      <c r="LYI673" s="713"/>
      <c r="LYJ673" s="713"/>
      <c r="LYK673" s="713"/>
      <c r="LYL673" s="713"/>
      <c r="LYM673" s="713"/>
      <c r="LYN673" s="713"/>
      <c r="LYO673" s="713"/>
      <c r="LYP673" s="713"/>
      <c r="LYQ673" s="713"/>
      <c r="LYR673" s="713"/>
      <c r="LYS673" s="713"/>
      <c r="LYT673" s="713"/>
      <c r="LYU673" s="713"/>
      <c r="LYV673" s="713"/>
      <c r="LYW673" s="713"/>
      <c r="LYX673" s="713"/>
      <c r="LYY673" s="713"/>
      <c r="LYZ673" s="713"/>
      <c r="LZA673" s="713"/>
      <c r="LZB673" s="713"/>
      <c r="LZC673" s="713"/>
      <c r="LZD673" s="713"/>
      <c r="LZE673" s="713"/>
      <c r="LZF673" s="713"/>
      <c r="LZG673" s="713"/>
      <c r="LZH673" s="713"/>
      <c r="LZI673" s="713"/>
      <c r="LZJ673" s="713"/>
      <c r="LZK673" s="713"/>
      <c r="LZL673" s="713"/>
      <c r="LZM673" s="713"/>
      <c r="LZN673" s="713"/>
      <c r="LZO673" s="713"/>
      <c r="LZP673" s="713"/>
      <c r="LZQ673" s="713"/>
      <c r="LZR673" s="713"/>
      <c r="LZS673" s="713"/>
      <c r="LZT673" s="713"/>
      <c r="LZU673" s="713"/>
      <c r="LZV673" s="713"/>
      <c r="LZW673" s="713"/>
      <c r="LZX673" s="713"/>
      <c r="LZY673" s="713"/>
      <c r="LZZ673" s="713"/>
      <c r="MAA673" s="713"/>
      <c r="MAB673" s="713"/>
      <c r="MAC673" s="713"/>
      <c r="MAD673" s="713"/>
      <c r="MAE673" s="713"/>
      <c r="MAF673" s="713"/>
      <c r="MAG673" s="713"/>
      <c r="MAH673" s="713"/>
      <c r="MAI673" s="713"/>
      <c r="MAJ673" s="713"/>
      <c r="MAK673" s="713"/>
      <c r="MAL673" s="713"/>
      <c r="MAM673" s="713"/>
      <c r="MAN673" s="713"/>
      <c r="MAO673" s="713"/>
      <c r="MAP673" s="713"/>
      <c r="MAQ673" s="713"/>
      <c r="MAR673" s="713"/>
      <c r="MAS673" s="713"/>
      <c r="MAT673" s="713"/>
      <c r="MAU673" s="713"/>
      <c r="MAV673" s="713"/>
      <c r="MAW673" s="713"/>
      <c r="MAX673" s="713"/>
      <c r="MAY673" s="713"/>
      <c r="MAZ673" s="713"/>
      <c r="MBA673" s="713"/>
      <c r="MBB673" s="713"/>
      <c r="MBC673" s="713"/>
      <c r="MBD673" s="713"/>
      <c r="MBE673" s="713"/>
      <c r="MBF673" s="713"/>
      <c r="MBG673" s="713"/>
      <c r="MBH673" s="713"/>
      <c r="MBI673" s="713"/>
      <c r="MBJ673" s="713"/>
      <c r="MBK673" s="713"/>
      <c r="MBL673" s="713"/>
      <c r="MBM673" s="713"/>
      <c r="MBN673" s="713"/>
      <c r="MBO673" s="713"/>
      <c r="MBP673" s="713"/>
      <c r="MBQ673" s="713"/>
      <c r="MBR673" s="713"/>
      <c r="MBS673" s="713"/>
      <c r="MBT673" s="713"/>
      <c r="MBU673" s="713"/>
      <c r="MBV673" s="713"/>
      <c r="MBW673" s="713"/>
      <c r="MBX673" s="713"/>
      <c r="MBY673" s="713"/>
      <c r="MBZ673" s="713"/>
      <c r="MCA673" s="713"/>
      <c r="MCB673" s="713"/>
      <c r="MCC673" s="713"/>
      <c r="MCD673" s="713"/>
      <c r="MCE673" s="713"/>
      <c r="MCF673" s="713"/>
      <c r="MCG673" s="713"/>
      <c r="MCH673" s="713"/>
      <c r="MCI673" s="713"/>
      <c r="MCJ673" s="713"/>
      <c r="MCK673" s="713"/>
      <c r="MCL673" s="713"/>
      <c r="MCM673" s="713"/>
      <c r="MCN673" s="713"/>
      <c r="MCO673" s="713"/>
      <c r="MCP673" s="713"/>
      <c r="MCQ673" s="713"/>
      <c r="MCR673" s="713"/>
      <c r="MCS673" s="713"/>
      <c r="MCT673" s="713"/>
      <c r="MCU673" s="713"/>
      <c r="MCV673" s="713"/>
      <c r="MCW673" s="713"/>
      <c r="MCX673" s="713"/>
      <c r="MCY673" s="713"/>
      <c r="MCZ673" s="713"/>
      <c r="MDA673" s="713"/>
      <c r="MDB673" s="713"/>
      <c r="MDC673" s="713"/>
      <c r="MDD673" s="713"/>
      <c r="MDE673" s="713"/>
      <c r="MDF673" s="713"/>
      <c r="MDG673" s="713"/>
      <c r="MDH673" s="713"/>
      <c r="MDI673" s="713"/>
      <c r="MDJ673" s="713"/>
      <c r="MDK673" s="713"/>
      <c r="MDL673" s="713"/>
      <c r="MDM673" s="713"/>
      <c r="MDN673" s="713"/>
      <c r="MDO673" s="713"/>
      <c r="MDP673" s="713"/>
      <c r="MDQ673" s="713"/>
      <c r="MDR673" s="713"/>
      <c r="MDS673" s="713"/>
      <c r="MDT673" s="713"/>
      <c r="MDU673" s="713"/>
      <c r="MDV673" s="713"/>
      <c r="MDW673" s="713"/>
      <c r="MDX673" s="713"/>
      <c r="MDY673" s="713"/>
      <c r="MDZ673" s="713"/>
      <c r="MEA673" s="713"/>
      <c r="MEB673" s="713"/>
      <c r="MEC673" s="713"/>
      <c r="MED673" s="713"/>
      <c r="MEE673" s="713"/>
      <c r="MEF673" s="713"/>
      <c r="MEG673" s="713"/>
      <c r="MEH673" s="713"/>
      <c r="MEI673" s="713"/>
      <c r="MEJ673" s="713"/>
      <c r="MEK673" s="713"/>
      <c r="MEL673" s="713"/>
      <c r="MEM673" s="713"/>
      <c r="MEN673" s="713"/>
      <c r="MEO673" s="713"/>
      <c r="MEP673" s="713"/>
      <c r="MEQ673" s="713"/>
      <c r="MER673" s="713"/>
      <c r="MES673" s="713"/>
      <c r="MET673" s="713"/>
      <c r="MEU673" s="713"/>
      <c r="MEV673" s="713"/>
      <c r="MEW673" s="713"/>
      <c r="MEX673" s="713"/>
      <c r="MEY673" s="713"/>
      <c r="MEZ673" s="713"/>
      <c r="MFA673" s="713"/>
      <c r="MFB673" s="713"/>
      <c r="MFC673" s="713"/>
      <c r="MFD673" s="713"/>
      <c r="MFE673" s="713"/>
      <c r="MFF673" s="713"/>
      <c r="MFG673" s="713"/>
      <c r="MFH673" s="713"/>
      <c r="MFI673" s="713"/>
      <c r="MFJ673" s="713"/>
      <c r="MFK673" s="713"/>
      <c r="MFL673" s="713"/>
      <c r="MFM673" s="713"/>
      <c r="MFN673" s="713"/>
      <c r="MFO673" s="713"/>
      <c r="MFP673" s="713"/>
      <c r="MFQ673" s="713"/>
      <c r="MFR673" s="713"/>
      <c r="MFS673" s="713"/>
      <c r="MFT673" s="713"/>
      <c r="MFU673" s="713"/>
      <c r="MFV673" s="713"/>
      <c r="MFW673" s="713"/>
      <c r="MFX673" s="713"/>
      <c r="MFY673" s="713"/>
      <c r="MFZ673" s="713"/>
      <c r="MGA673" s="713"/>
      <c r="MGB673" s="713"/>
      <c r="MGC673" s="713"/>
      <c r="MGD673" s="713"/>
      <c r="MGE673" s="713"/>
      <c r="MGF673" s="713"/>
      <c r="MGG673" s="713"/>
      <c r="MGH673" s="713"/>
      <c r="MGI673" s="713"/>
      <c r="MGJ673" s="713"/>
      <c r="MGK673" s="713"/>
      <c r="MGL673" s="713"/>
      <c r="MGM673" s="713"/>
      <c r="MGN673" s="713"/>
      <c r="MGO673" s="713"/>
      <c r="MGP673" s="713"/>
      <c r="MGQ673" s="713"/>
      <c r="MGR673" s="713"/>
      <c r="MGS673" s="713"/>
      <c r="MGT673" s="713"/>
      <c r="MGU673" s="713"/>
      <c r="MGV673" s="713"/>
      <c r="MGW673" s="713"/>
      <c r="MGX673" s="713"/>
      <c r="MGY673" s="713"/>
      <c r="MGZ673" s="713"/>
      <c r="MHA673" s="713"/>
      <c r="MHB673" s="713"/>
      <c r="MHC673" s="713"/>
      <c r="MHD673" s="713"/>
      <c r="MHE673" s="713"/>
      <c r="MHF673" s="713"/>
      <c r="MHG673" s="713"/>
      <c r="MHH673" s="713"/>
      <c r="MHI673" s="713"/>
      <c r="MHJ673" s="713"/>
      <c r="MHK673" s="713"/>
      <c r="MHL673" s="713"/>
      <c r="MHM673" s="713"/>
      <c r="MHN673" s="713"/>
      <c r="MHO673" s="713"/>
      <c r="MHP673" s="713"/>
      <c r="MHQ673" s="713"/>
      <c r="MHR673" s="713"/>
      <c r="MHS673" s="713"/>
      <c r="MHT673" s="713"/>
      <c r="MHU673" s="713"/>
      <c r="MHV673" s="713"/>
      <c r="MHW673" s="713"/>
      <c r="MHX673" s="713"/>
      <c r="MHY673" s="713"/>
      <c r="MHZ673" s="713"/>
      <c r="MIA673" s="713"/>
      <c r="MIB673" s="713"/>
      <c r="MIC673" s="713"/>
      <c r="MID673" s="713"/>
      <c r="MIE673" s="713"/>
      <c r="MIF673" s="713"/>
      <c r="MIG673" s="713"/>
      <c r="MIH673" s="713"/>
      <c r="MII673" s="713"/>
      <c r="MIJ673" s="713"/>
      <c r="MIK673" s="713"/>
      <c r="MIL673" s="713"/>
      <c r="MIM673" s="713"/>
      <c r="MIN673" s="713"/>
      <c r="MIO673" s="713"/>
      <c r="MIP673" s="713"/>
      <c r="MIQ673" s="713"/>
      <c r="MIR673" s="713"/>
      <c r="MIS673" s="713"/>
      <c r="MIT673" s="713"/>
      <c r="MIU673" s="713"/>
      <c r="MIV673" s="713"/>
      <c r="MIW673" s="713"/>
      <c r="MIX673" s="713"/>
      <c r="MIY673" s="713"/>
      <c r="MIZ673" s="713"/>
      <c r="MJA673" s="713"/>
      <c r="MJB673" s="713"/>
      <c r="MJC673" s="713"/>
      <c r="MJD673" s="713"/>
      <c r="MJE673" s="713"/>
      <c r="MJF673" s="713"/>
      <c r="MJG673" s="713"/>
      <c r="MJH673" s="713"/>
      <c r="MJI673" s="713"/>
      <c r="MJJ673" s="713"/>
      <c r="MJK673" s="713"/>
      <c r="MJL673" s="713"/>
      <c r="MJM673" s="713"/>
      <c r="MJN673" s="713"/>
      <c r="MJO673" s="713"/>
      <c r="MJP673" s="713"/>
      <c r="MJQ673" s="713"/>
      <c r="MJR673" s="713"/>
      <c r="MJS673" s="713"/>
      <c r="MJT673" s="713"/>
      <c r="MJU673" s="713"/>
      <c r="MJV673" s="713"/>
      <c r="MJW673" s="713"/>
      <c r="MJX673" s="713"/>
      <c r="MJY673" s="713"/>
      <c r="MJZ673" s="713"/>
      <c r="MKA673" s="713"/>
      <c r="MKB673" s="713"/>
      <c r="MKC673" s="713"/>
      <c r="MKD673" s="713"/>
      <c r="MKE673" s="713"/>
      <c r="MKF673" s="713"/>
      <c r="MKG673" s="713"/>
      <c r="MKH673" s="713"/>
      <c r="MKI673" s="713"/>
      <c r="MKJ673" s="713"/>
      <c r="MKK673" s="713"/>
      <c r="MKL673" s="713"/>
      <c r="MKM673" s="713"/>
      <c r="MKN673" s="713"/>
      <c r="MKO673" s="713"/>
      <c r="MKP673" s="713"/>
      <c r="MKQ673" s="713"/>
      <c r="MKR673" s="713"/>
      <c r="MKS673" s="713"/>
      <c r="MKT673" s="713"/>
      <c r="MKU673" s="713"/>
      <c r="MKV673" s="713"/>
      <c r="MKW673" s="713"/>
      <c r="MKX673" s="713"/>
      <c r="MKY673" s="713"/>
      <c r="MKZ673" s="713"/>
      <c r="MLA673" s="713"/>
      <c r="MLB673" s="713"/>
      <c r="MLC673" s="713"/>
      <c r="MLD673" s="713"/>
      <c r="MLE673" s="713"/>
      <c r="MLF673" s="713"/>
      <c r="MLG673" s="713"/>
      <c r="MLH673" s="713"/>
      <c r="MLI673" s="713"/>
      <c r="MLJ673" s="713"/>
      <c r="MLK673" s="713"/>
      <c r="MLL673" s="713"/>
      <c r="MLM673" s="713"/>
      <c r="MLN673" s="713"/>
      <c r="MLO673" s="713"/>
      <c r="MLP673" s="713"/>
      <c r="MLQ673" s="713"/>
      <c r="MLR673" s="713"/>
      <c r="MLS673" s="713"/>
      <c r="MLT673" s="713"/>
      <c r="MLU673" s="713"/>
      <c r="MLV673" s="713"/>
      <c r="MLW673" s="713"/>
      <c r="MLX673" s="713"/>
      <c r="MLY673" s="713"/>
      <c r="MLZ673" s="713"/>
      <c r="MMA673" s="713"/>
      <c r="MMB673" s="713"/>
      <c r="MMC673" s="713"/>
      <c r="MMD673" s="713"/>
      <c r="MME673" s="713"/>
      <c r="MMF673" s="713"/>
      <c r="MMG673" s="713"/>
      <c r="MMH673" s="713"/>
      <c r="MMI673" s="713"/>
      <c r="MMJ673" s="713"/>
      <c r="MMK673" s="713"/>
      <c r="MML673" s="713"/>
      <c r="MMM673" s="713"/>
      <c r="MMN673" s="713"/>
      <c r="MMO673" s="713"/>
      <c r="MMP673" s="713"/>
      <c r="MMQ673" s="713"/>
      <c r="MMR673" s="713"/>
      <c r="MMS673" s="713"/>
      <c r="MMT673" s="713"/>
      <c r="MMU673" s="713"/>
      <c r="MMV673" s="713"/>
      <c r="MMW673" s="713"/>
      <c r="MMX673" s="713"/>
      <c r="MMY673" s="713"/>
      <c r="MMZ673" s="713"/>
      <c r="MNA673" s="713"/>
      <c r="MNB673" s="713"/>
      <c r="MNC673" s="713"/>
      <c r="MND673" s="713"/>
      <c r="MNE673" s="713"/>
      <c r="MNF673" s="713"/>
      <c r="MNG673" s="713"/>
      <c r="MNH673" s="713"/>
      <c r="MNI673" s="713"/>
      <c r="MNJ673" s="713"/>
      <c r="MNK673" s="713"/>
      <c r="MNL673" s="713"/>
      <c r="MNM673" s="713"/>
      <c r="MNN673" s="713"/>
      <c r="MNO673" s="713"/>
      <c r="MNP673" s="713"/>
      <c r="MNQ673" s="713"/>
      <c r="MNR673" s="713"/>
      <c r="MNS673" s="713"/>
      <c r="MNT673" s="713"/>
      <c r="MNU673" s="713"/>
      <c r="MNV673" s="713"/>
      <c r="MNW673" s="713"/>
      <c r="MNX673" s="713"/>
      <c r="MNY673" s="713"/>
      <c r="MNZ673" s="713"/>
      <c r="MOA673" s="713"/>
      <c r="MOB673" s="713"/>
      <c r="MOC673" s="713"/>
      <c r="MOD673" s="713"/>
      <c r="MOE673" s="713"/>
      <c r="MOF673" s="713"/>
      <c r="MOG673" s="713"/>
      <c r="MOH673" s="713"/>
      <c r="MOI673" s="713"/>
      <c r="MOJ673" s="713"/>
      <c r="MOK673" s="713"/>
      <c r="MOL673" s="713"/>
      <c r="MOM673" s="713"/>
      <c r="MON673" s="713"/>
      <c r="MOO673" s="713"/>
      <c r="MOP673" s="713"/>
      <c r="MOQ673" s="713"/>
      <c r="MOR673" s="713"/>
      <c r="MOS673" s="713"/>
      <c r="MOT673" s="713"/>
      <c r="MOU673" s="713"/>
      <c r="MOV673" s="713"/>
      <c r="MOW673" s="713"/>
      <c r="MOX673" s="713"/>
      <c r="MOY673" s="713"/>
      <c r="MOZ673" s="713"/>
      <c r="MPA673" s="713"/>
      <c r="MPB673" s="713"/>
      <c r="MPC673" s="713"/>
      <c r="MPD673" s="713"/>
      <c r="MPE673" s="713"/>
      <c r="MPF673" s="713"/>
      <c r="MPG673" s="713"/>
      <c r="MPH673" s="713"/>
      <c r="MPI673" s="713"/>
      <c r="MPJ673" s="713"/>
      <c r="MPK673" s="713"/>
      <c r="MPL673" s="713"/>
      <c r="MPM673" s="713"/>
      <c r="MPN673" s="713"/>
      <c r="MPO673" s="713"/>
      <c r="MPP673" s="713"/>
      <c r="MPQ673" s="713"/>
      <c r="MPR673" s="713"/>
      <c r="MPS673" s="713"/>
      <c r="MPT673" s="713"/>
      <c r="MPU673" s="713"/>
      <c r="MPV673" s="713"/>
      <c r="MPW673" s="713"/>
      <c r="MPX673" s="713"/>
      <c r="MPY673" s="713"/>
      <c r="MPZ673" s="713"/>
      <c r="MQA673" s="713"/>
      <c r="MQB673" s="713"/>
      <c r="MQC673" s="713"/>
      <c r="MQD673" s="713"/>
      <c r="MQE673" s="713"/>
      <c r="MQF673" s="713"/>
      <c r="MQG673" s="713"/>
      <c r="MQH673" s="713"/>
      <c r="MQI673" s="713"/>
      <c r="MQJ673" s="713"/>
      <c r="MQK673" s="713"/>
      <c r="MQL673" s="713"/>
      <c r="MQM673" s="713"/>
      <c r="MQN673" s="713"/>
      <c r="MQO673" s="713"/>
      <c r="MQP673" s="713"/>
      <c r="MQQ673" s="713"/>
      <c r="MQR673" s="713"/>
      <c r="MQS673" s="713"/>
      <c r="MQT673" s="713"/>
      <c r="MQU673" s="713"/>
      <c r="MQV673" s="713"/>
      <c r="MQW673" s="713"/>
      <c r="MQX673" s="713"/>
      <c r="MQY673" s="713"/>
      <c r="MQZ673" s="713"/>
      <c r="MRA673" s="713"/>
      <c r="MRB673" s="713"/>
      <c r="MRC673" s="713"/>
      <c r="MRD673" s="713"/>
      <c r="MRE673" s="713"/>
      <c r="MRF673" s="713"/>
      <c r="MRG673" s="713"/>
      <c r="MRH673" s="713"/>
      <c r="MRI673" s="713"/>
      <c r="MRJ673" s="713"/>
      <c r="MRK673" s="713"/>
      <c r="MRL673" s="713"/>
      <c r="MRM673" s="713"/>
      <c r="MRN673" s="713"/>
      <c r="MRO673" s="713"/>
      <c r="MRP673" s="713"/>
      <c r="MRQ673" s="713"/>
      <c r="MRR673" s="713"/>
      <c r="MRS673" s="713"/>
      <c r="MRT673" s="713"/>
      <c r="MRU673" s="713"/>
      <c r="MRV673" s="713"/>
      <c r="MRW673" s="713"/>
      <c r="MRX673" s="713"/>
      <c r="MRY673" s="713"/>
      <c r="MRZ673" s="713"/>
      <c r="MSA673" s="713"/>
      <c r="MSB673" s="713"/>
      <c r="MSC673" s="713"/>
      <c r="MSD673" s="713"/>
      <c r="MSE673" s="713"/>
      <c r="MSF673" s="713"/>
      <c r="MSG673" s="713"/>
      <c r="MSH673" s="713"/>
      <c r="MSI673" s="713"/>
      <c r="MSJ673" s="713"/>
      <c r="MSK673" s="713"/>
      <c r="MSL673" s="713"/>
      <c r="MSM673" s="713"/>
      <c r="MSN673" s="713"/>
      <c r="MSO673" s="713"/>
      <c r="MSP673" s="713"/>
      <c r="MSQ673" s="713"/>
      <c r="MSR673" s="713"/>
      <c r="MSS673" s="713"/>
      <c r="MST673" s="713"/>
      <c r="MSU673" s="713"/>
      <c r="MSV673" s="713"/>
      <c r="MSW673" s="713"/>
      <c r="MSX673" s="713"/>
      <c r="MSY673" s="713"/>
      <c r="MSZ673" s="713"/>
      <c r="MTA673" s="713"/>
      <c r="MTB673" s="713"/>
      <c r="MTC673" s="713"/>
      <c r="MTD673" s="713"/>
      <c r="MTE673" s="713"/>
      <c r="MTF673" s="713"/>
      <c r="MTG673" s="713"/>
      <c r="MTH673" s="713"/>
      <c r="MTI673" s="713"/>
      <c r="MTJ673" s="713"/>
      <c r="MTK673" s="713"/>
      <c r="MTL673" s="713"/>
      <c r="MTM673" s="713"/>
      <c r="MTN673" s="713"/>
      <c r="MTO673" s="713"/>
      <c r="MTP673" s="713"/>
      <c r="MTQ673" s="713"/>
      <c r="MTR673" s="713"/>
      <c r="MTS673" s="713"/>
      <c r="MTT673" s="713"/>
      <c r="MTU673" s="713"/>
      <c r="MTV673" s="713"/>
      <c r="MTW673" s="713"/>
      <c r="MTX673" s="713"/>
      <c r="MTY673" s="713"/>
      <c r="MTZ673" s="713"/>
      <c r="MUA673" s="713"/>
      <c r="MUB673" s="713"/>
      <c r="MUC673" s="713"/>
      <c r="MUD673" s="713"/>
      <c r="MUE673" s="713"/>
      <c r="MUF673" s="713"/>
      <c r="MUG673" s="713"/>
      <c r="MUH673" s="713"/>
      <c r="MUI673" s="713"/>
      <c r="MUJ673" s="713"/>
      <c r="MUK673" s="713"/>
      <c r="MUL673" s="713"/>
      <c r="MUM673" s="713"/>
      <c r="MUN673" s="713"/>
      <c r="MUO673" s="713"/>
      <c r="MUP673" s="713"/>
      <c r="MUQ673" s="713"/>
      <c r="MUR673" s="713"/>
      <c r="MUS673" s="713"/>
      <c r="MUT673" s="713"/>
      <c r="MUU673" s="713"/>
      <c r="MUV673" s="713"/>
      <c r="MUW673" s="713"/>
      <c r="MUX673" s="713"/>
      <c r="MUY673" s="713"/>
      <c r="MUZ673" s="713"/>
      <c r="MVA673" s="713"/>
      <c r="MVB673" s="713"/>
      <c r="MVC673" s="713"/>
      <c r="MVD673" s="713"/>
      <c r="MVE673" s="713"/>
      <c r="MVF673" s="713"/>
      <c r="MVG673" s="713"/>
      <c r="MVH673" s="713"/>
      <c r="MVI673" s="713"/>
      <c r="MVJ673" s="713"/>
      <c r="MVK673" s="713"/>
      <c r="MVL673" s="713"/>
      <c r="MVM673" s="713"/>
      <c r="MVN673" s="713"/>
      <c r="MVO673" s="713"/>
      <c r="MVP673" s="713"/>
      <c r="MVQ673" s="713"/>
      <c r="MVR673" s="713"/>
      <c r="MVS673" s="713"/>
      <c r="MVT673" s="713"/>
      <c r="MVU673" s="713"/>
      <c r="MVV673" s="713"/>
      <c r="MVW673" s="713"/>
      <c r="MVX673" s="713"/>
      <c r="MVY673" s="713"/>
      <c r="MVZ673" s="713"/>
      <c r="MWA673" s="713"/>
      <c r="MWB673" s="713"/>
      <c r="MWC673" s="713"/>
      <c r="MWD673" s="713"/>
      <c r="MWE673" s="713"/>
      <c r="MWF673" s="713"/>
      <c r="MWG673" s="713"/>
      <c r="MWH673" s="713"/>
      <c r="MWI673" s="713"/>
      <c r="MWJ673" s="713"/>
      <c r="MWK673" s="713"/>
      <c r="MWL673" s="713"/>
      <c r="MWM673" s="713"/>
      <c r="MWN673" s="713"/>
      <c r="MWO673" s="713"/>
      <c r="MWP673" s="713"/>
      <c r="MWQ673" s="713"/>
      <c r="MWR673" s="713"/>
      <c r="MWS673" s="713"/>
      <c r="MWT673" s="713"/>
      <c r="MWU673" s="713"/>
      <c r="MWV673" s="713"/>
      <c r="MWW673" s="713"/>
      <c r="MWX673" s="713"/>
      <c r="MWY673" s="713"/>
      <c r="MWZ673" s="713"/>
      <c r="MXA673" s="713"/>
      <c r="MXB673" s="713"/>
      <c r="MXC673" s="713"/>
      <c r="MXD673" s="713"/>
      <c r="MXE673" s="713"/>
      <c r="MXF673" s="713"/>
      <c r="MXG673" s="713"/>
      <c r="MXH673" s="713"/>
      <c r="MXI673" s="713"/>
      <c r="MXJ673" s="713"/>
      <c r="MXK673" s="713"/>
      <c r="MXL673" s="713"/>
      <c r="MXM673" s="713"/>
      <c r="MXN673" s="713"/>
      <c r="MXO673" s="713"/>
      <c r="MXP673" s="713"/>
      <c r="MXQ673" s="713"/>
      <c r="MXR673" s="713"/>
      <c r="MXS673" s="713"/>
      <c r="MXT673" s="713"/>
      <c r="MXU673" s="713"/>
      <c r="MXV673" s="713"/>
      <c r="MXW673" s="713"/>
      <c r="MXX673" s="713"/>
      <c r="MXY673" s="713"/>
      <c r="MXZ673" s="713"/>
      <c r="MYA673" s="713"/>
      <c r="MYB673" s="713"/>
      <c r="MYC673" s="713"/>
      <c r="MYD673" s="713"/>
      <c r="MYE673" s="713"/>
      <c r="MYF673" s="713"/>
      <c r="MYG673" s="713"/>
      <c r="MYH673" s="713"/>
      <c r="MYI673" s="713"/>
      <c r="MYJ673" s="713"/>
      <c r="MYK673" s="713"/>
      <c r="MYL673" s="713"/>
      <c r="MYM673" s="713"/>
      <c r="MYN673" s="713"/>
      <c r="MYO673" s="713"/>
      <c r="MYP673" s="713"/>
      <c r="MYQ673" s="713"/>
      <c r="MYR673" s="713"/>
      <c r="MYS673" s="713"/>
      <c r="MYT673" s="713"/>
      <c r="MYU673" s="713"/>
      <c r="MYV673" s="713"/>
      <c r="MYW673" s="713"/>
      <c r="MYX673" s="713"/>
      <c r="MYY673" s="713"/>
      <c r="MYZ673" s="713"/>
      <c r="MZA673" s="713"/>
      <c r="MZB673" s="713"/>
      <c r="MZC673" s="713"/>
      <c r="MZD673" s="713"/>
      <c r="MZE673" s="713"/>
      <c r="MZF673" s="713"/>
      <c r="MZG673" s="713"/>
      <c r="MZH673" s="713"/>
      <c r="MZI673" s="713"/>
      <c r="MZJ673" s="713"/>
      <c r="MZK673" s="713"/>
      <c r="MZL673" s="713"/>
      <c r="MZM673" s="713"/>
      <c r="MZN673" s="713"/>
      <c r="MZO673" s="713"/>
      <c r="MZP673" s="713"/>
      <c r="MZQ673" s="713"/>
      <c r="MZR673" s="713"/>
      <c r="MZS673" s="713"/>
      <c r="MZT673" s="713"/>
      <c r="MZU673" s="713"/>
      <c r="MZV673" s="713"/>
      <c r="MZW673" s="713"/>
      <c r="MZX673" s="713"/>
      <c r="MZY673" s="713"/>
      <c r="MZZ673" s="713"/>
      <c r="NAA673" s="713"/>
      <c r="NAB673" s="713"/>
      <c r="NAC673" s="713"/>
      <c r="NAD673" s="713"/>
      <c r="NAE673" s="713"/>
      <c r="NAF673" s="713"/>
      <c r="NAG673" s="713"/>
      <c r="NAH673" s="713"/>
      <c r="NAI673" s="713"/>
      <c r="NAJ673" s="713"/>
      <c r="NAK673" s="713"/>
      <c r="NAL673" s="713"/>
      <c r="NAM673" s="713"/>
      <c r="NAN673" s="713"/>
      <c r="NAO673" s="713"/>
      <c r="NAP673" s="713"/>
      <c r="NAQ673" s="713"/>
      <c r="NAR673" s="713"/>
      <c r="NAS673" s="713"/>
      <c r="NAT673" s="713"/>
      <c r="NAU673" s="713"/>
      <c r="NAV673" s="713"/>
      <c r="NAW673" s="713"/>
      <c r="NAX673" s="713"/>
      <c r="NAY673" s="713"/>
      <c r="NAZ673" s="713"/>
      <c r="NBA673" s="713"/>
      <c r="NBB673" s="713"/>
      <c r="NBC673" s="713"/>
      <c r="NBD673" s="713"/>
      <c r="NBE673" s="713"/>
      <c r="NBF673" s="713"/>
      <c r="NBG673" s="713"/>
      <c r="NBH673" s="713"/>
      <c r="NBI673" s="713"/>
      <c r="NBJ673" s="713"/>
      <c r="NBK673" s="713"/>
      <c r="NBL673" s="713"/>
      <c r="NBM673" s="713"/>
      <c r="NBN673" s="713"/>
      <c r="NBO673" s="713"/>
      <c r="NBP673" s="713"/>
      <c r="NBQ673" s="713"/>
      <c r="NBR673" s="713"/>
      <c r="NBS673" s="713"/>
      <c r="NBT673" s="713"/>
      <c r="NBU673" s="713"/>
      <c r="NBV673" s="713"/>
      <c r="NBW673" s="713"/>
      <c r="NBX673" s="713"/>
      <c r="NBY673" s="713"/>
      <c r="NBZ673" s="713"/>
      <c r="NCA673" s="713"/>
      <c r="NCB673" s="713"/>
      <c r="NCC673" s="713"/>
      <c r="NCD673" s="713"/>
      <c r="NCE673" s="713"/>
      <c r="NCF673" s="713"/>
      <c r="NCG673" s="713"/>
      <c r="NCH673" s="713"/>
      <c r="NCI673" s="713"/>
      <c r="NCJ673" s="713"/>
      <c r="NCK673" s="713"/>
      <c r="NCL673" s="713"/>
      <c r="NCM673" s="713"/>
      <c r="NCN673" s="713"/>
      <c r="NCO673" s="713"/>
      <c r="NCP673" s="713"/>
      <c r="NCQ673" s="713"/>
      <c r="NCR673" s="713"/>
      <c r="NCS673" s="713"/>
      <c r="NCT673" s="713"/>
      <c r="NCU673" s="713"/>
      <c r="NCV673" s="713"/>
      <c r="NCW673" s="713"/>
      <c r="NCX673" s="713"/>
      <c r="NCY673" s="713"/>
      <c r="NCZ673" s="713"/>
      <c r="NDA673" s="713"/>
      <c r="NDB673" s="713"/>
      <c r="NDC673" s="713"/>
      <c r="NDD673" s="713"/>
      <c r="NDE673" s="713"/>
      <c r="NDF673" s="713"/>
      <c r="NDG673" s="713"/>
      <c r="NDH673" s="713"/>
      <c r="NDI673" s="713"/>
      <c r="NDJ673" s="713"/>
      <c r="NDK673" s="713"/>
      <c r="NDL673" s="713"/>
      <c r="NDM673" s="713"/>
      <c r="NDN673" s="713"/>
      <c r="NDO673" s="713"/>
      <c r="NDP673" s="713"/>
      <c r="NDQ673" s="713"/>
      <c r="NDR673" s="713"/>
      <c r="NDS673" s="713"/>
      <c r="NDT673" s="713"/>
      <c r="NDU673" s="713"/>
      <c r="NDV673" s="713"/>
      <c r="NDW673" s="713"/>
      <c r="NDX673" s="713"/>
      <c r="NDY673" s="713"/>
      <c r="NDZ673" s="713"/>
      <c r="NEA673" s="713"/>
      <c r="NEB673" s="713"/>
      <c r="NEC673" s="713"/>
      <c r="NED673" s="713"/>
      <c r="NEE673" s="713"/>
      <c r="NEF673" s="713"/>
      <c r="NEG673" s="713"/>
      <c r="NEH673" s="713"/>
      <c r="NEI673" s="713"/>
      <c r="NEJ673" s="713"/>
      <c r="NEK673" s="713"/>
      <c r="NEL673" s="713"/>
      <c r="NEM673" s="713"/>
      <c r="NEN673" s="713"/>
      <c r="NEO673" s="713"/>
      <c r="NEP673" s="713"/>
      <c r="NEQ673" s="713"/>
      <c r="NER673" s="713"/>
      <c r="NES673" s="713"/>
      <c r="NET673" s="713"/>
      <c r="NEU673" s="713"/>
      <c r="NEV673" s="713"/>
      <c r="NEW673" s="713"/>
      <c r="NEX673" s="713"/>
      <c r="NEY673" s="713"/>
      <c r="NEZ673" s="713"/>
      <c r="NFA673" s="713"/>
      <c r="NFB673" s="713"/>
      <c r="NFC673" s="713"/>
      <c r="NFD673" s="713"/>
      <c r="NFE673" s="713"/>
      <c r="NFF673" s="713"/>
      <c r="NFG673" s="713"/>
      <c r="NFH673" s="713"/>
      <c r="NFI673" s="713"/>
      <c r="NFJ673" s="713"/>
      <c r="NFK673" s="713"/>
      <c r="NFL673" s="713"/>
      <c r="NFM673" s="713"/>
      <c r="NFN673" s="713"/>
      <c r="NFO673" s="713"/>
      <c r="NFP673" s="713"/>
      <c r="NFQ673" s="713"/>
      <c r="NFR673" s="713"/>
      <c r="NFS673" s="713"/>
      <c r="NFT673" s="713"/>
      <c r="NFU673" s="713"/>
      <c r="NFV673" s="713"/>
      <c r="NFW673" s="713"/>
      <c r="NFX673" s="713"/>
      <c r="NFY673" s="713"/>
      <c r="NFZ673" s="713"/>
      <c r="NGA673" s="713"/>
      <c r="NGB673" s="713"/>
      <c r="NGC673" s="713"/>
      <c r="NGD673" s="713"/>
      <c r="NGE673" s="713"/>
      <c r="NGF673" s="713"/>
      <c r="NGG673" s="713"/>
      <c r="NGH673" s="713"/>
      <c r="NGI673" s="713"/>
      <c r="NGJ673" s="713"/>
      <c r="NGK673" s="713"/>
      <c r="NGL673" s="713"/>
      <c r="NGM673" s="713"/>
      <c r="NGN673" s="713"/>
      <c r="NGO673" s="713"/>
      <c r="NGP673" s="713"/>
      <c r="NGQ673" s="713"/>
      <c r="NGR673" s="713"/>
      <c r="NGS673" s="713"/>
      <c r="NGT673" s="713"/>
      <c r="NGU673" s="713"/>
      <c r="NGV673" s="713"/>
      <c r="NGW673" s="713"/>
      <c r="NGX673" s="713"/>
      <c r="NGY673" s="713"/>
      <c r="NGZ673" s="713"/>
      <c r="NHA673" s="713"/>
      <c r="NHB673" s="713"/>
      <c r="NHC673" s="713"/>
      <c r="NHD673" s="713"/>
      <c r="NHE673" s="713"/>
      <c r="NHF673" s="713"/>
      <c r="NHG673" s="713"/>
      <c r="NHH673" s="713"/>
      <c r="NHI673" s="713"/>
      <c r="NHJ673" s="713"/>
      <c r="NHK673" s="713"/>
      <c r="NHL673" s="713"/>
      <c r="NHM673" s="713"/>
      <c r="NHN673" s="713"/>
      <c r="NHO673" s="713"/>
      <c r="NHP673" s="713"/>
      <c r="NHQ673" s="713"/>
      <c r="NHR673" s="713"/>
      <c r="NHS673" s="713"/>
      <c r="NHT673" s="713"/>
      <c r="NHU673" s="713"/>
      <c r="NHV673" s="713"/>
      <c r="NHW673" s="713"/>
      <c r="NHX673" s="713"/>
      <c r="NHY673" s="713"/>
      <c r="NHZ673" s="713"/>
      <c r="NIA673" s="713"/>
      <c r="NIB673" s="713"/>
      <c r="NIC673" s="713"/>
      <c r="NID673" s="713"/>
      <c r="NIE673" s="713"/>
      <c r="NIF673" s="713"/>
      <c r="NIG673" s="713"/>
      <c r="NIH673" s="713"/>
      <c r="NII673" s="713"/>
      <c r="NIJ673" s="713"/>
      <c r="NIK673" s="713"/>
      <c r="NIL673" s="713"/>
      <c r="NIM673" s="713"/>
      <c r="NIN673" s="713"/>
      <c r="NIO673" s="713"/>
      <c r="NIP673" s="713"/>
      <c r="NIQ673" s="713"/>
      <c r="NIR673" s="713"/>
      <c r="NIS673" s="713"/>
      <c r="NIT673" s="713"/>
      <c r="NIU673" s="713"/>
      <c r="NIV673" s="713"/>
      <c r="NIW673" s="713"/>
      <c r="NIX673" s="713"/>
      <c r="NIY673" s="713"/>
      <c r="NIZ673" s="713"/>
      <c r="NJA673" s="713"/>
      <c r="NJB673" s="713"/>
      <c r="NJC673" s="713"/>
      <c r="NJD673" s="713"/>
      <c r="NJE673" s="713"/>
      <c r="NJF673" s="713"/>
      <c r="NJG673" s="713"/>
      <c r="NJH673" s="713"/>
      <c r="NJI673" s="713"/>
      <c r="NJJ673" s="713"/>
      <c r="NJK673" s="713"/>
      <c r="NJL673" s="713"/>
      <c r="NJM673" s="713"/>
      <c r="NJN673" s="713"/>
      <c r="NJO673" s="713"/>
      <c r="NJP673" s="713"/>
      <c r="NJQ673" s="713"/>
      <c r="NJR673" s="713"/>
      <c r="NJS673" s="713"/>
      <c r="NJT673" s="713"/>
      <c r="NJU673" s="713"/>
      <c r="NJV673" s="713"/>
      <c r="NJW673" s="713"/>
      <c r="NJX673" s="713"/>
      <c r="NJY673" s="713"/>
      <c r="NJZ673" s="713"/>
      <c r="NKA673" s="713"/>
      <c r="NKB673" s="713"/>
      <c r="NKC673" s="713"/>
      <c r="NKD673" s="713"/>
      <c r="NKE673" s="713"/>
      <c r="NKF673" s="713"/>
      <c r="NKG673" s="713"/>
      <c r="NKH673" s="713"/>
      <c r="NKI673" s="713"/>
      <c r="NKJ673" s="713"/>
      <c r="NKK673" s="713"/>
      <c r="NKL673" s="713"/>
      <c r="NKM673" s="713"/>
      <c r="NKN673" s="713"/>
      <c r="NKO673" s="713"/>
      <c r="NKP673" s="713"/>
      <c r="NKQ673" s="713"/>
      <c r="NKR673" s="713"/>
      <c r="NKS673" s="713"/>
      <c r="NKT673" s="713"/>
      <c r="NKU673" s="713"/>
      <c r="NKV673" s="713"/>
      <c r="NKW673" s="713"/>
      <c r="NKX673" s="713"/>
      <c r="NKY673" s="713"/>
      <c r="NKZ673" s="713"/>
      <c r="NLA673" s="713"/>
      <c r="NLB673" s="713"/>
      <c r="NLC673" s="713"/>
      <c r="NLD673" s="713"/>
      <c r="NLE673" s="713"/>
      <c r="NLF673" s="713"/>
      <c r="NLG673" s="713"/>
      <c r="NLH673" s="713"/>
      <c r="NLI673" s="713"/>
      <c r="NLJ673" s="713"/>
      <c r="NLK673" s="713"/>
      <c r="NLL673" s="713"/>
      <c r="NLM673" s="713"/>
      <c r="NLN673" s="713"/>
      <c r="NLO673" s="713"/>
      <c r="NLP673" s="713"/>
      <c r="NLQ673" s="713"/>
      <c r="NLR673" s="713"/>
      <c r="NLS673" s="713"/>
      <c r="NLT673" s="713"/>
      <c r="NLU673" s="713"/>
      <c r="NLV673" s="713"/>
      <c r="NLW673" s="713"/>
      <c r="NLX673" s="713"/>
      <c r="NLY673" s="713"/>
      <c r="NLZ673" s="713"/>
      <c r="NMA673" s="713"/>
      <c r="NMB673" s="713"/>
      <c r="NMC673" s="713"/>
      <c r="NMD673" s="713"/>
      <c r="NME673" s="713"/>
      <c r="NMF673" s="713"/>
      <c r="NMG673" s="713"/>
      <c r="NMH673" s="713"/>
      <c r="NMI673" s="713"/>
      <c r="NMJ673" s="713"/>
      <c r="NMK673" s="713"/>
      <c r="NML673" s="713"/>
      <c r="NMM673" s="713"/>
      <c r="NMN673" s="713"/>
      <c r="NMO673" s="713"/>
      <c r="NMP673" s="713"/>
      <c r="NMQ673" s="713"/>
      <c r="NMR673" s="713"/>
      <c r="NMS673" s="713"/>
      <c r="NMT673" s="713"/>
      <c r="NMU673" s="713"/>
      <c r="NMV673" s="713"/>
      <c r="NMW673" s="713"/>
      <c r="NMX673" s="713"/>
      <c r="NMY673" s="713"/>
      <c r="NMZ673" s="713"/>
      <c r="NNA673" s="713"/>
      <c r="NNB673" s="713"/>
      <c r="NNC673" s="713"/>
      <c r="NND673" s="713"/>
      <c r="NNE673" s="713"/>
      <c r="NNF673" s="713"/>
      <c r="NNG673" s="713"/>
      <c r="NNH673" s="713"/>
      <c r="NNI673" s="713"/>
      <c r="NNJ673" s="713"/>
      <c r="NNK673" s="713"/>
      <c r="NNL673" s="713"/>
      <c r="NNM673" s="713"/>
      <c r="NNN673" s="713"/>
      <c r="NNO673" s="713"/>
      <c r="NNP673" s="713"/>
      <c r="NNQ673" s="713"/>
      <c r="NNR673" s="713"/>
      <c r="NNS673" s="713"/>
      <c r="NNT673" s="713"/>
      <c r="NNU673" s="713"/>
      <c r="NNV673" s="713"/>
      <c r="NNW673" s="713"/>
      <c r="NNX673" s="713"/>
      <c r="NNY673" s="713"/>
      <c r="NNZ673" s="713"/>
      <c r="NOA673" s="713"/>
      <c r="NOB673" s="713"/>
      <c r="NOC673" s="713"/>
      <c r="NOD673" s="713"/>
      <c r="NOE673" s="713"/>
      <c r="NOF673" s="713"/>
      <c r="NOG673" s="713"/>
      <c r="NOH673" s="713"/>
      <c r="NOI673" s="713"/>
      <c r="NOJ673" s="713"/>
      <c r="NOK673" s="713"/>
      <c r="NOL673" s="713"/>
      <c r="NOM673" s="713"/>
      <c r="NON673" s="713"/>
      <c r="NOO673" s="713"/>
      <c r="NOP673" s="713"/>
      <c r="NOQ673" s="713"/>
      <c r="NOR673" s="713"/>
      <c r="NOS673" s="713"/>
      <c r="NOT673" s="713"/>
      <c r="NOU673" s="713"/>
      <c r="NOV673" s="713"/>
      <c r="NOW673" s="713"/>
      <c r="NOX673" s="713"/>
      <c r="NOY673" s="713"/>
      <c r="NOZ673" s="713"/>
      <c r="NPA673" s="713"/>
      <c r="NPB673" s="713"/>
      <c r="NPC673" s="713"/>
      <c r="NPD673" s="713"/>
      <c r="NPE673" s="713"/>
      <c r="NPF673" s="713"/>
      <c r="NPG673" s="713"/>
      <c r="NPH673" s="713"/>
      <c r="NPI673" s="713"/>
      <c r="NPJ673" s="713"/>
      <c r="NPK673" s="713"/>
      <c r="NPL673" s="713"/>
      <c r="NPM673" s="713"/>
      <c r="NPN673" s="713"/>
      <c r="NPO673" s="713"/>
      <c r="NPP673" s="713"/>
      <c r="NPQ673" s="713"/>
      <c r="NPR673" s="713"/>
      <c r="NPS673" s="713"/>
      <c r="NPT673" s="713"/>
      <c r="NPU673" s="713"/>
      <c r="NPV673" s="713"/>
      <c r="NPW673" s="713"/>
      <c r="NPX673" s="713"/>
      <c r="NPY673" s="713"/>
      <c r="NPZ673" s="713"/>
      <c r="NQA673" s="713"/>
      <c r="NQB673" s="713"/>
      <c r="NQC673" s="713"/>
      <c r="NQD673" s="713"/>
      <c r="NQE673" s="713"/>
      <c r="NQF673" s="713"/>
      <c r="NQG673" s="713"/>
      <c r="NQH673" s="713"/>
      <c r="NQI673" s="713"/>
      <c r="NQJ673" s="713"/>
      <c r="NQK673" s="713"/>
      <c r="NQL673" s="713"/>
      <c r="NQM673" s="713"/>
      <c r="NQN673" s="713"/>
      <c r="NQO673" s="713"/>
      <c r="NQP673" s="713"/>
      <c r="NQQ673" s="713"/>
      <c r="NQR673" s="713"/>
      <c r="NQS673" s="713"/>
      <c r="NQT673" s="713"/>
      <c r="NQU673" s="713"/>
      <c r="NQV673" s="713"/>
      <c r="NQW673" s="713"/>
      <c r="NQX673" s="713"/>
      <c r="NQY673" s="713"/>
      <c r="NQZ673" s="713"/>
      <c r="NRA673" s="713"/>
      <c r="NRB673" s="713"/>
      <c r="NRC673" s="713"/>
      <c r="NRD673" s="713"/>
      <c r="NRE673" s="713"/>
      <c r="NRF673" s="713"/>
      <c r="NRG673" s="713"/>
      <c r="NRH673" s="713"/>
      <c r="NRI673" s="713"/>
      <c r="NRJ673" s="713"/>
      <c r="NRK673" s="713"/>
      <c r="NRL673" s="713"/>
      <c r="NRM673" s="713"/>
      <c r="NRN673" s="713"/>
      <c r="NRO673" s="713"/>
      <c r="NRP673" s="713"/>
      <c r="NRQ673" s="713"/>
      <c r="NRR673" s="713"/>
      <c r="NRS673" s="713"/>
      <c r="NRT673" s="713"/>
      <c r="NRU673" s="713"/>
      <c r="NRV673" s="713"/>
      <c r="NRW673" s="713"/>
      <c r="NRX673" s="713"/>
      <c r="NRY673" s="713"/>
      <c r="NRZ673" s="713"/>
      <c r="NSA673" s="713"/>
      <c r="NSB673" s="713"/>
      <c r="NSC673" s="713"/>
      <c r="NSD673" s="713"/>
      <c r="NSE673" s="713"/>
      <c r="NSF673" s="713"/>
      <c r="NSG673" s="713"/>
      <c r="NSH673" s="713"/>
      <c r="NSI673" s="713"/>
      <c r="NSJ673" s="713"/>
      <c r="NSK673" s="713"/>
      <c r="NSL673" s="713"/>
      <c r="NSM673" s="713"/>
      <c r="NSN673" s="713"/>
      <c r="NSO673" s="713"/>
      <c r="NSP673" s="713"/>
      <c r="NSQ673" s="713"/>
      <c r="NSR673" s="713"/>
      <c r="NSS673" s="713"/>
      <c r="NST673" s="713"/>
      <c r="NSU673" s="713"/>
      <c r="NSV673" s="713"/>
      <c r="NSW673" s="713"/>
      <c r="NSX673" s="713"/>
      <c r="NSY673" s="713"/>
      <c r="NSZ673" s="713"/>
      <c r="NTA673" s="713"/>
      <c r="NTB673" s="713"/>
      <c r="NTC673" s="713"/>
      <c r="NTD673" s="713"/>
      <c r="NTE673" s="713"/>
      <c r="NTF673" s="713"/>
      <c r="NTG673" s="713"/>
      <c r="NTH673" s="713"/>
      <c r="NTI673" s="713"/>
      <c r="NTJ673" s="713"/>
      <c r="NTK673" s="713"/>
      <c r="NTL673" s="713"/>
      <c r="NTM673" s="713"/>
      <c r="NTN673" s="713"/>
      <c r="NTO673" s="713"/>
      <c r="NTP673" s="713"/>
      <c r="NTQ673" s="713"/>
      <c r="NTR673" s="713"/>
      <c r="NTS673" s="713"/>
      <c r="NTT673" s="713"/>
      <c r="NTU673" s="713"/>
      <c r="NTV673" s="713"/>
      <c r="NTW673" s="713"/>
      <c r="NTX673" s="713"/>
      <c r="NTY673" s="713"/>
      <c r="NTZ673" s="713"/>
      <c r="NUA673" s="713"/>
      <c r="NUB673" s="713"/>
      <c r="NUC673" s="713"/>
      <c r="NUD673" s="713"/>
      <c r="NUE673" s="713"/>
      <c r="NUF673" s="713"/>
      <c r="NUG673" s="713"/>
      <c r="NUH673" s="713"/>
      <c r="NUI673" s="713"/>
      <c r="NUJ673" s="713"/>
      <c r="NUK673" s="713"/>
      <c r="NUL673" s="713"/>
      <c r="NUM673" s="713"/>
      <c r="NUN673" s="713"/>
      <c r="NUO673" s="713"/>
      <c r="NUP673" s="713"/>
      <c r="NUQ673" s="713"/>
      <c r="NUR673" s="713"/>
      <c r="NUS673" s="713"/>
      <c r="NUT673" s="713"/>
      <c r="NUU673" s="713"/>
      <c r="NUV673" s="713"/>
      <c r="NUW673" s="713"/>
      <c r="NUX673" s="713"/>
      <c r="NUY673" s="713"/>
      <c r="NUZ673" s="713"/>
      <c r="NVA673" s="713"/>
      <c r="NVB673" s="713"/>
      <c r="NVC673" s="713"/>
      <c r="NVD673" s="713"/>
      <c r="NVE673" s="713"/>
      <c r="NVF673" s="713"/>
      <c r="NVG673" s="713"/>
      <c r="NVH673" s="713"/>
      <c r="NVI673" s="713"/>
      <c r="NVJ673" s="713"/>
      <c r="NVK673" s="713"/>
      <c r="NVL673" s="713"/>
      <c r="NVM673" s="713"/>
      <c r="NVN673" s="713"/>
      <c r="NVO673" s="713"/>
      <c r="NVP673" s="713"/>
      <c r="NVQ673" s="713"/>
      <c r="NVR673" s="713"/>
      <c r="NVS673" s="713"/>
      <c r="NVT673" s="713"/>
      <c r="NVU673" s="713"/>
      <c r="NVV673" s="713"/>
      <c r="NVW673" s="713"/>
      <c r="NVX673" s="713"/>
      <c r="NVY673" s="713"/>
      <c r="NVZ673" s="713"/>
      <c r="NWA673" s="713"/>
      <c r="NWB673" s="713"/>
      <c r="NWC673" s="713"/>
      <c r="NWD673" s="713"/>
      <c r="NWE673" s="713"/>
      <c r="NWF673" s="713"/>
      <c r="NWG673" s="713"/>
      <c r="NWH673" s="713"/>
      <c r="NWI673" s="713"/>
      <c r="NWJ673" s="713"/>
      <c r="NWK673" s="713"/>
      <c r="NWL673" s="713"/>
      <c r="NWM673" s="713"/>
      <c r="NWN673" s="713"/>
      <c r="NWO673" s="713"/>
      <c r="NWP673" s="713"/>
      <c r="NWQ673" s="713"/>
      <c r="NWR673" s="713"/>
      <c r="NWS673" s="713"/>
      <c r="NWT673" s="713"/>
      <c r="NWU673" s="713"/>
      <c r="NWV673" s="713"/>
      <c r="NWW673" s="713"/>
      <c r="NWX673" s="713"/>
      <c r="NWY673" s="713"/>
      <c r="NWZ673" s="713"/>
      <c r="NXA673" s="713"/>
      <c r="NXB673" s="713"/>
      <c r="NXC673" s="713"/>
      <c r="NXD673" s="713"/>
      <c r="NXE673" s="713"/>
      <c r="NXF673" s="713"/>
      <c r="NXG673" s="713"/>
      <c r="NXH673" s="713"/>
      <c r="NXI673" s="713"/>
      <c r="NXJ673" s="713"/>
      <c r="NXK673" s="713"/>
      <c r="NXL673" s="713"/>
      <c r="NXM673" s="713"/>
      <c r="NXN673" s="713"/>
      <c r="NXO673" s="713"/>
      <c r="NXP673" s="713"/>
      <c r="NXQ673" s="713"/>
      <c r="NXR673" s="713"/>
      <c r="NXS673" s="713"/>
      <c r="NXT673" s="713"/>
      <c r="NXU673" s="713"/>
      <c r="NXV673" s="713"/>
      <c r="NXW673" s="713"/>
      <c r="NXX673" s="713"/>
      <c r="NXY673" s="713"/>
      <c r="NXZ673" s="713"/>
      <c r="NYA673" s="713"/>
      <c r="NYB673" s="713"/>
      <c r="NYC673" s="713"/>
      <c r="NYD673" s="713"/>
      <c r="NYE673" s="713"/>
      <c r="NYF673" s="713"/>
      <c r="NYG673" s="713"/>
      <c r="NYH673" s="713"/>
      <c r="NYI673" s="713"/>
      <c r="NYJ673" s="713"/>
      <c r="NYK673" s="713"/>
      <c r="NYL673" s="713"/>
      <c r="NYM673" s="713"/>
      <c r="NYN673" s="713"/>
      <c r="NYO673" s="713"/>
      <c r="NYP673" s="713"/>
      <c r="NYQ673" s="713"/>
      <c r="NYR673" s="713"/>
      <c r="NYS673" s="713"/>
      <c r="NYT673" s="713"/>
      <c r="NYU673" s="713"/>
      <c r="NYV673" s="713"/>
      <c r="NYW673" s="713"/>
      <c r="NYX673" s="713"/>
      <c r="NYY673" s="713"/>
      <c r="NYZ673" s="713"/>
      <c r="NZA673" s="713"/>
      <c r="NZB673" s="713"/>
      <c r="NZC673" s="713"/>
      <c r="NZD673" s="713"/>
      <c r="NZE673" s="713"/>
      <c r="NZF673" s="713"/>
      <c r="NZG673" s="713"/>
      <c r="NZH673" s="713"/>
      <c r="NZI673" s="713"/>
      <c r="NZJ673" s="713"/>
      <c r="NZK673" s="713"/>
      <c r="NZL673" s="713"/>
      <c r="NZM673" s="713"/>
      <c r="NZN673" s="713"/>
      <c r="NZO673" s="713"/>
      <c r="NZP673" s="713"/>
      <c r="NZQ673" s="713"/>
      <c r="NZR673" s="713"/>
      <c r="NZS673" s="713"/>
      <c r="NZT673" s="713"/>
      <c r="NZU673" s="713"/>
      <c r="NZV673" s="713"/>
      <c r="NZW673" s="713"/>
      <c r="NZX673" s="713"/>
      <c r="NZY673" s="713"/>
      <c r="NZZ673" s="713"/>
      <c r="OAA673" s="713"/>
      <c r="OAB673" s="713"/>
      <c r="OAC673" s="713"/>
      <c r="OAD673" s="713"/>
      <c r="OAE673" s="713"/>
      <c r="OAF673" s="713"/>
      <c r="OAG673" s="713"/>
      <c r="OAH673" s="713"/>
      <c r="OAI673" s="713"/>
      <c r="OAJ673" s="713"/>
      <c r="OAK673" s="713"/>
      <c r="OAL673" s="713"/>
      <c r="OAM673" s="713"/>
      <c r="OAN673" s="713"/>
      <c r="OAO673" s="713"/>
      <c r="OAP673" s="713"/>
      <c r="OAQ673" s="713"/>
      <c r="OAR673" s="713"/>
      <c r="OAS673" s="713"/>
      <c r="OAT673" s="713"/>
      <c r="OAU673" s="713"/>
      <c r="OAV673" s="713"/>
      <c r="OAW673" s="713"/>
      <c r="OAX673" s="713"/>
      <c r="OAY673" s="713"/>
      <c r="OAZ673" s="713"/>
      <c r="OBA673" s="713"/>
      <c r="OBB673" s="713"/>
      <c r="OBC673" s="713"/>
      <c r="OBD673" s="713"/>
      <c r="OBE673" s="713"/>
      <c r="OBF673" s="713"/>
      <c r="OBG673" s="713"/>
      <c r="OBH673" s="713"/>
      <c r="OBI673" s="713"/>
      <c r="OBJ673" s="713"/>
      <c r="OBK673" s="713"/>
      <c r="OBL673" s="713"/>
      <c r="OBM673" s="713"/>
      <c r="OBN673" s="713"/>
      <c r="OBO673" s="713"/>
      <c r="OBP673" s="713"/>
      <c r="OBQ673" s="713"/>
      <c r="OBR673" s="713"/>
      <c r="OBS673" s="713"/>
      <c r="OBT673" s="713"/>
      <c r="OBU673" s="713"/>
      <c r="OBV673" s="713"/>
      <c r="OBW673" s="713"/>
      <c r="OBX673" s="713"/>
      <c r="OBY673" s="713"/>
      <c r="OBZ673" s="713"/>
      <c r="OCA673" s="713"/>
      <c r="OCB673" s="713"/>
      <c r="OCC673" s="713"/>
      <c r="OCD673" s="713"/>
      <c r="OCE673" s="713"/>
      <c r="OCF673" s="713"/>
      <c r="OCG673" s="713"/>
      <c r="OCH673" s="713"/>
      <c r="OCI673" s="713"/>
      <c r="OCJ673" s="713"/>
      <c r="OCK673" s="713"/>
      <c r="OCL673" s="713"/>
      <c r="OCM673" s="713"/>
      <c r="OCN673" s="713"/>
      <c r="OCO673" s="713"/>
      <c r="OCP673" s="713"/>
      <c r="OCQ673" s="713"/>
      <c r="OCR673" s="713"/>
      <c r="OCS673" s="713"/>
      <c r="OCT673" s="713"/>
      <c r="OCU673" s="713"/>
      <c r="OCV673" s="713"/>
      <c r="OCW673" s="713"/>
      <c r="OCX673" s="713"/>
      <c r="OCY673" s="713"/>
      <c r="OCZ673" s="713"/>
      <c r="ODA673" s="713"/>
      <c r="ODB673" s="713"/>
      <c r="ODC673" s="713"/>
      <c r="ODD673" s="713"/>
      <c r="ODE673" s="713"/>
      <c r="ODF673" s="713"/>
      <c r="ODG673" s="713"/>
      <c r="ODH673" s="713"/>
      <c r="ODI673" s="713"/>
      <c r="ODJ673" s="713"/>
      <c r="ODK673" s="713"/>
      <c r="ODL673" s="713"/>
      <c r="ODM673" s="713"/>
      <c r="ODN673" s="713"/>
      <c r="ODO673" s="713"/>
      <c r="ODP673" s="713"/>
      <c r="ODQ673" s="713"/>
      <c r="ODR673" s="713"/>
      <c r="ODS673" s="713"/>
      <c r="ODT673" s="713"/>
      <c r="ODU673" s="713"/>
      <c r="ODV673" s="713"/>
      <c r="ODW673" s="713"/>
      <c r="ODX673" s="713"/>
      <c r="ODY673" s="713"/>
      <c r="ODZ673" s="713"/>
      <c r="OEA673" s="713"/>
      <c r="OEB673" s="713"/>
      <c r="OEC673" s="713"/>
      <c r="OED673" s="713"/>
      <c r="OEE673" s="713"/>
      <c r="OEF673" s="713"/>
      <c r="OEG673" s="713"/>
      <c r="OEH673" s="713"/>
      <c r="OEI673" s="713"/>
      <c r="OEJ673" s="713"/>
      <c r="OEK673" s="713"/>
      <c r="OEL673" s="713"/>
      <c r="OEM673" s="713"/>
      <c r="OEN673" s="713"/>
      <c r="OEO673" s="713"/>
      <c r="OEP673" s="713"/>
      <c r="OEQ673" s="713"/>
      <c r="OER673" s="713"/>
      <c r="OES673" s="713"/>
      <c r="OET673" s="713"/>
      <c r="OEU673" s="713"/>
      <c r="OEV673" s="713"/>
      <c r="OEW673" s="713"/>
      <c r="OEX673" s="713"/>
      <c r="OEY673" s="713"/>
      <c r="OEZ673" s="713"/>
      <c r="OFA673" s="713"/>
      <c r="OFB673" s="713"/>
      <c r="OFC673" s="713"/>
      <c r="OFD673" s="713"/>
      <c r="OFE673" s="713"/>
      <c r="OFF673" s="713"/>
      <c r="OFG673" s="713"/>
      <c r="OFH673" s="713"/>
      <c r="OFI673" s="713"/>
      <c r="OFJ673" s="713"/>
      <c r="OFK673" s="713"/>
      <c r="OFL673" s="713"/>
      <c r="OFM673" s="713"/>
      <c r="OFN673" s="713"/>
      <c r="OFO673" s="713"/>
      <c r="OFP673" s="713"/>
      <c r="OFQ673" s="713"/>
      <c r="OFR673" s="713"/>
      <c r="OFS673" s="713"/>
      <c r="OFT673" s="713"/>
      <c r="OFU673" s="713"/>
      <c r="OFV673" s="713"/>
      <c r="OFW673" s="713"/>
      <c r="OFX673" s="713"/>
      <c r="OFY673" s="713"/>
      <c r="OFZ673" s="713"/>
      <c r="OGA673" s="713"/>
      <c r="OGB673" s="713"/>
      <c r="OGC673" s="713"/>
      <c r="OGD673" s="713"/>
      <c r="OGE673" s="713"/>
      <c r="OGF673" s="713"/>
      <c r="OGG673" s="713"/>
      <c r="OGH673" s="713"/>
      <c r="OGI673" s="713"/>
      <c r="OGJ673" s="713"/>
      <c r="OGK673" s="713"/>
      <c r="OGL673" s="713"/>
      <c r="OGM673" s="713"/>
      <c r="OGN673" s="713"/>
      <c r="OGO673" s="713"/>
      <c r="OGP673" s="713"/>
      <c r="OGQ673" s="713"/>
      <c r="OGR673" s="713"/>
      <c r="OGS673" s="713"/>
      <c r="OGT673" s="713"/>
      <c r="OGU673" s="713"/>
      <c r="OGV673" s="713"/>
      <c r="OGW673" s="713"/>
      <c r="OGX673" s="713"/>
      <c r="OGY673" s="713"/>
      <c r="OGZ673" s="713"/>
      <c r="OHA673" s="713"/>
      <c r="OHB673" s="713"/>
      <c r="OHC673" s="713"/>
      <c r="OHD673" s="713"/>
      <c r="OHE673" s="713"/>
      <c r="OHF673" s="713"/>
      <c r="OHG673" s="713"/>
      <c r="OHH673" s="713"/>
      <c r="OHI673" s="713"/>
      <c r="OHJ673" s="713"/>
      <c r="OHK673" s="713"/>
      <c r="OHL673" s="713"/>
      <c r="OHM673" s="713"/>
      <c r="OHN673" s="713"/>
      <c r="OHO673" s="713"/>
      <c r="OHP673" s="713"/>
      <c r="OHQ673" s="713"/>
      <c r="OHR673" s="713"/>
      <c r="OHS673" s="713"/>
      <c r="OHT673" s="713"/>
      <c r="OHU673" s="713"/>
      <c r="OHV673" s="713"/>
      <c r="OHW673" s="713"/>
      <c r="OHX673" s="713"/>
      <c r="OHY673" s="713"/>
      <c r="OHZ673" s="713"/>
      <c r="OIA673" s="713"/>
      <c r="OIB673" s="713"/>
      <c r="OIC673" s="713"/>
      <c r="OID673" s="713"/>
      <c r="OIE673" s="713"/>
      <c r="OIF673" s="713"/>
      <c r="OIG673" s="713"/>
      <c r="OIH673" s="713"/>
      <c r="OII673" s="713"/>
      <c r="OIJ673" s="713"/>
      <c r="OIK673" s="713"/>
      <c r="OIL673" s="713"/>
      <c r="OIM673" s="713"/>
      <c r="OIN673" s="713"/>
      <c r="OIO673" s="713"/>
      <c r="OIP673" s="713"/>
      <c r="OIQ673" s="713"/>
      <c r="OIR673" s="713"/>
      <c r="OIS673" s="713"/>
      <c r="OIT673" s="713"/>
      <c r="OIU673" s="713"/>
      <c r="OIV673" s="713"/>
      <c r="OIW673" s="713"/>
      <c r="OIX673" s="713"/>
      <c r="OIY673" s="713"/>
      <c r="OIZ673" s="713"/>
      <c r="OJA673" s="713"/>
      <c r="OJB673" s="713"/>
      <c r="OJC673" s="713"/>
      <c r="OJD673" s="713"/>
      <c r="OJE673" s="713"/>
      <c r="OJF673" s="713"/>
      <c r="OJG673" s="713"/>
      <c r="OJH673" s="713"/>
      <c r="OJI673" s="713"/>
      <c r="OJJ673" s="713"/>
      <c r="OJK673" s="713"/>
      <c r="OJL673" s="713"/>
      <c r="OJM673" s="713"/>
      <c r="OJN673" s="713"/>
      <c r="OJO673" s="713"/>
      <c r="OJP673" s="713"/>
      <c r="OJQ673" s="713"/>
      <c r="OJR673" s="713"/>
      <c r="OJS673" s="713"/>
      <c r="OJT673" s="713"/>
      <c r="OJU673" s="713"/>
      <c r="OJV673" s="713"/>
      <c r="OJW673" s="713"/>
      <c r="OJX673" s="713"/>
      <c r="OJY673" s="713"/>
      <c r="OJZ673" s="713"/>
      <c r="OKA673" s="713"/>
      <c r="OKB673" s="713"/>
      <c r="OKC673" s="713"/>
      <c r="OKD673" s="713"/>
      <c r="OKE673" s="713"/>
      <c r="OKF673" s="713"/>
      <c r="OKG673" s="713"/>
      <c r="OKH673" s="713"/>
      <c r="OKI673" s="713"/>
      <c r="OKJ673" s="713"/>
      <c r="OKK673" s="713"/>
      <c r="OKL673" s="713"/>
      <c r="OKM673" s="713"/>
      <c r="OKN673" s="713"/>
      <c r="OKO673" s="713"/>
      <c r="OKP673" s="713"/>
      <c r="OKQ673" s="713"/>
      <c r="OKR673" s="713"/>
      <c r="OKS673" s="713"/>
      <c r="OKT673" s="713"/>
      <c r="OKU673" s="713"/>
      <c r="OKV673" s="713"/>
      <c r="OKW673" s="713"/>
      <c r="OKX673" s="713"/>
      <c r="OKY673" s="713"/>
      <c r="OKZ673" s="713"/>
      <c r="OLA673" s="713"/>
      <c r="OLB673" s="713"/>
      <c r="OLC673" s="713"/>
      <c r="OLD673" s="713"/>
      <c r="OLE673" s="713"/>
      <c r="OLF673" s="713"/>
      <c r="OLG673" s="713"/>
      <c r="OLH673" s="713"/>
      <c r="OLI673" s="713"/>
      <c r="OLJ673" s="713"/>
      <c r="OLK673" s="713"/>
      <c r="OLL673" s="713"/>
      <c r="OLM673" s="713"/>
      <c r="OLN673" s="713"/>
      <c r="OLO673" s="713"/>
      <c r="OLP673" s="713"/>
      <c r="OLQ673" s="713"/>
      <c r="OLR673" s="713"/>
      <c r="OLS673" s="713"/>
      <c r="OLT673" s="713"/>
      <c r="OLU673" s="713"/>
      <c r="OLV673" s="713"/>
      <c r="OLW673" s="713"/>
      <c r="OLX673" s="713"/>
      <c r="OLY673" s="713"/>
      <c r="OLZ673" s="713"/>
      <c r="OMA673" s="713"/>
      <c r="OMB673" s="713"/>
      <c r="OMC673" s="713"/>
      <c r="OMD673" s="713"/>
      <c r="OME673" s="713"/>
      <c r="OMF673" s="713"/>
      <c r="OMG673" s="713"/>
      <c r="OMH673" s="713"/>
      <c r="OMI673" s="713"/>
      <c r="OMJ673" s="713"/>
      <c r="OMK673" s="713"/>
      <c r="OML673" s="713"/>
      <c r="OMM673" s="713"/>
      <c r="OMN673" s="713"/>
      <c r="OMO673" s="713"/>
      <c r="OMP673" s="713"/>
      <c r="OMQ673" s="713"/>
      <c r="OMR673" s="713"/>
      <c r="OMS673" s="713"/>
      <c r="OMT673" s="713"/>
      <c r="OMU673" s="713"/>
      <c r="OMV673" s="713"/>
      <c r="OMW673" s="713"/>
      <c r="OMX673" s="713"/>
      <c r="OMY673" s="713"/>
      <c r="OMZ673" s="713"/>
      <c r="ONA673" s="713"/>
      <c r="ONB673" s="713"/>
      <c r="ONC673" s="713"/>
      <c r="OND673" s="713"/>
      <c r="ONE673" s="713"/>
      <c r="ONF673" s="713"/>
      <c r="ONG673" s="713"/>
      <c r="ONH673" s="713"/>
      <c r="ONI673" s="713"/>
      <c r="ONJ673" s="713"/>
      <c r="ONK673" s="713"/>
      <c r="ONL673" s="713"/>
      <c r="ONM673" s="713"/>
      <c r="ONN673" s="713"/>
      <c r="ONO673" s="713"/>
      <c r="ONP673" s="713"/>
      <c r="ONQ673" s="713"/>
      <c r="ONR673" s="713"/>
      <c r="ONS673" s="713"/>
      <c r="ONT673" s="713"/>
      <c r="ONU673" s="713"/>
      <c r="ONV673" s="713"/>
      <c r="ONW673" s="713"/>
      <c r="ONX673" s="713"/>
      <c r="ONY673" s="713"/>
      <c r="ONZ673" s="713"/>
      <c r="OOA673" s="713"/>
      <c r="OOB673" s="713"/>
      <c r="OOC673" s="713"/>
      <c r="OOD673" s="713"/>
      <c r="OOE673" s="713"/>
      <c r="OOF673" s="713"/>
      <c r="OOG673" s="713"/>
      <c r="OOH673" s="713"/>
      <c r="OOI673" s="713"/>
      <c r="OOJ673" s="713"/>
      <c r="OOK673" s="713"/>
      <c r="OOL673" s="713"/>
      <c r="OOM673" s="713"/>
      <c r="OON673" s="713"/>
      <c r="OOO673" s="713"/>
      <c r="OOP673" s="713"/>
      <c r="OOQ673" s="713"/>
      <c r="OOR673" s="713"/>
      <c r="OOS673" s="713"/>
      <c r="OOT673" s="713"/>
      <c r="OOU673" s="713"/>
      <c r="OOV673" s="713"/>
      <c r="OOW673" s="713"/>
      <c r="OOX673" s="713"/>
      <c r="OOY673" s="713"/>
      <c r="OOZ673" s="713"/>
      <c r="OPA673" s="713"/>
      <c r="OPB673" s="713"/>
      <c r="OPC673" s="713"/>
      <c r="OPD673" s="713"/>
      <c r="OPE673" s="713"/>
      <c r="OPF673" s="713"/>
      <c r="OPG673" s="713"/>
      <c r="OPH673" s="713"/>
      <c r="OPI673" s="713"/>
      <c r="OPJ673" s="713"/>
      <c r="OPK673" s="713"/>
      <c r="OPL673" s="713"/>
      <c r="OPM673" s="713"/>
      <c r="OPN673" s="713"/>
      <c r="OPO673" s="713"/>
      <c r="OPP673" s="713"/>
      <c r="OPQ673" s="713"/>
      <c r="OPR673" s="713"/>
      <c r="OPS673" s="713"/>
      <c r="OPT673" s="713"/>
      <c r="OPU673" s="713"/>
      <c r="OPV673" s="713"/>
      <c r="OPW673" s="713"/>
      <c r="OPX673" s="713"/>
      <c r="OPY673" s="713"/>
      <c r="OPZ673" s="713"/>
      <c r="OQA673" s="713"/>
      <c r="OQB673" s="713"/>
      <c r="OQC673" s="713"/>
      <c r="OQD673" s="713"/>
      <c r="OQE673" s="713"/>
      <c r="OQF673" s="713"/>
      <c r="OQG673" s="713"/>
      <c r="OQH673" s="713"/>
      <c r="OQI673" s="713"/>
      <c r="OQJ673" s="713"/>
      <c r="OQK673" s="713"/>
      <c r="OQL673" s="713"/>
      <c r="OQM673" s="713"/>
      <c r="OQN673" s="713"/>
      <c r="OQO673" s="713"/>
      <c r="OQP673" s="713"/>
      <c r="OQQ673" s="713"/>
      <c r="OQR673" s="713"/>
      <c r="OQS673" s="713"/>
      <c r="OQT673" s="713"/>
      <c r="OQU673" s="713"/>
      <c r="OQV673" s="713"/>
      <c r="OQW673" s="713"/>
      <c r="OQX673" s="713"/>
      <c r="OQY673" s="713"/>
      <c r="OQZ673" s="713"/>
      <c r="ORA673" s="713"/>
      <c r="ORB673" s="713"/>
      <c r="ORC673" s="713"/>
      <c r="ORD673" s="713"/>
      <c r="ORE673" s="713"/>
      <c r="ORF673" s="713"/>
      <c r="ORG673" s="713"/>
      <c r="ORH673" s="713"/>
      <c r="ORI673" s="713"/>
      <c r="ORJ673" s="713"/>
      <c r="ORK673" s="713"/>
      <c r="ORL673" s="713"/>
      <c r="ORM673" s="713"/>
      <c r="ORN673" s="713"/>
      <c r="ORO673" s="713"/>
      <c r="ORP673" s="713"/>
      <c r="ORQ673" s="713"/>
      <c r="ORR673" s="713"/>
      <c r="ORS673" s="713"/>
      <c r="ORT673" s="713"/>
      <c r="ORU673" s="713"/>
      <c r="ORV673" s="713"/>
      <c r="ORW673" s="713"/>
      <c r="ORX673" s="713"/>
      <c r="ORY673" s="713"/>
      <c r="ORZ673" s="713"/>
      <c r="OSA673" s="713"/>
      <c r="OSB673" s="713"/>
      <c r="OSC673" s="713"/>
      <c r="OSD673" s="713"/>
      <c r="OSE673" s="713"/>
      <c r="OSF673" s="713"/>
      <c r="OSG673" s="713"/>
      <c r="OSH673" s="713"/>
      <c r="OSI673" s="713"/>
      <c r="OSJ673" s="713"/>
      <c r="OSK673" s="713"/>
      <c r="OSL673" s="713"/>
      <c r="OSM673" s="713"/>
      <c r="OSN673" s="713"/>
      <c r="OSO673" s="713"/>
      <c r="OSP673" s="713"/>
      <c r="OSQ673" s="713"/>
      <c r="OSR673" s="713"/>
      <c r="OSS673" s="713"/>
      <c r="OST673" s="713"/>
      <c r="OSU673" s="713"/>
      <c r="OSV673" s="713"/>
      <c r="OSW673" s="713"/>
      <c r="OSX673" s="713"/>
      <c r="OSY673" s="713"/>
      <c r="OSZ673" s="713"/>
      <c r="OTA673" s="713"/>
      <c r="OTB673" s="713"/>
      <c r="OTC673" s="713"/>
      <c r="OTD673" s="713"/>
      <c r="OTE673" s="713"/>
      <c r="OTF673" s="713"/>
      <c r="OTG673" s="713"/>
      <c r="OTH673" s="713"/>
      <c r="OTI673" s="713"/>
      <c r="OTJ673" s="713"/>
      <c r="OTK673" s="713"/>
      <c r="OTL673" s="713"/>
      <c r="OTM673" s="713"/>
      <c r="OTN673" s="713"/>
      <c r="OTO673" s="713"/>
      <c r="OTP673" s="713"/>
      <c r="OTQ673" s="713"/>
      <c r="OTR673" s="713"/>
      <c r="OTS673" s="713"/>
      <c r="OTT673" s="713"/>
      <c r="OTU673" s="713"/>
      <c r="OTV673" s="713"/>
      <c r="OTW673" s="713"/>
      <c r="OTX673" s="713"/>
      <c r="OTY673" s="713"/>
      <c r="OTZ673" s="713"/>
      <c r="OUA673" s="713"/>
      <c r="OUB673" s="713"/>
      <c r="OUC673" s="713"/>
      <c r="OUD673" s="713"/>
      <c r="OUE673" s="713"/>
      <c r="OUF673" s="713"/>
      <c r="OUG673" s="713"/>
      <c r="OUH673" s="713"/>
      <c r="OUI673" s="713"/>
      <c r="OUJ673" s="713"/>
      <c r="OUK673" s="713"/>
      <c r="OUL673" s="713"/>
      <c r="OUM673" s="713"/>
      <c r="OUN673" s="713"/>
      <c r="OUO673" s="713"/>
      <c r="OUP673" s="713"/>
      <c r="OUQ673" s="713"/>
      <c r="OUR673" s="713"/>
      <c r="OUS673" s="713"/>
      <c r="OUT673" s="713"/>
      <c r="OUU673" s="713"/>
      <c r="OUV673" s="713"/>
      <c r="OUW673" s="713"/>
      <c r="OUX673" s="713"/>
      <c r="OUY673" s="713"/>
      <c r="OUZ673" s="713"/>
      <c r="OVA673" s="713"/>
      <c r="OVB673" s="713"/>
      <c r="OVC673" s="713"/>
      <c r="OVD673" s="713"/>
      <c r="OVE673" s="713"/>
      <c r="OVF673" s="713"/>
      <c r="OVG673" s="713"/>
      <c r="OVH673" s="713"/>
      <c r="OVI673" s="713"/>
      <c r="OVJ673" s="713"/>
      <c r="OVK673" s="713"/>
      <c r="OVL673" s="713"/>
      <c r="OVM673" s="713"/>
      <c r="OVN673" s="713"/>
      <c r="OVO673" s="713"/>
      <c r="OVP673" s="713"/>
      <c r="OVQ673" s="713"/>
      <c r="OVR673" s="713"/>
      <c r="OVS673" s="713"/>
      <c r="OVT673" s="713"/>
      <c r="OVU673" s="713"/>
      <c r="OVV673" s="713"/>
      <c r="OVW673" s="713"/>
      <c r="OVX673" s="713"/>
      <c r="OVY673" s="713"/>
      <c r="OVZ673" s="713"/>
      <c r="OWA673" s="713"/>
      <c r="OWB673" s="713"/>
      <c r="OWC673" s="713"/>
      <c r="OWD673" s="713"/>
      <c r="OWE673" s="713"/>
      <c r="OWF673" s="713"/>
      <c r="OWG673" s="713"/>
      <c r="OWH673" s="713"/>
      <c r="OWI673" s="713"/>
      <c r="OWJ673" s="713"/>
      <c r="OWK673" s="713"/>
      <c r="OWL673" s="713"/>
      <c r="OWM673" s="713"/>
      <c r="OWN673" s="713"/>
      <c r="OWO673" s="713"/>
      <c r="OWP673" s="713"/>
      <c r="OWQ673" s="713"/>
      <c r="OWR673" s="713"/>
      <c r="OWS673" s="713"/>
      <c r="OWT673" s="713"/>
      <c r="OWU673" s="713"/>
      <c r="OWV673" s="713"/>
      <c r="OWW673" s="713"/>
      <c r="OWX673" s="713"/>
      <c r="OWY673" s="713"/>
      <c r="OWZ673" s="713"/>
      <c r="OXA673" s="713"/>
      <c r="OXB673" s="713"/>
      <c r="OXC673" s="713"/>
      <c r="OXD673" s="713"/>
      <c r="OXE673" s="713"/>
      <c r="OXF673" s="713"/>
      <c r="OXG673" s="713"/>
      <c r="OXH673" s="713"/>
      <c r="OXI673" s="713"/>
      <c r="OXJ673" s="713"/>
      <c r="OXK673" s="713"/>
      <c r="OXL673" s="713"/>
      <c r="OXM673" s="713"/>
      <c r="OXN673" s="713"/>
      <c r="OXO673" s="713"/>
      <c r="OXP673" s="713"/>
      <c r="OXQ673" s="713"/>
      <c r="OXR673" s="713"/>
      <c r="OXS673" s="713"/>
      <c r="OXT673" s="713"/>
      <c r="OXU673" s="713"/>
      <c r="OXV673" s="713"/>
      <c r="OXW673" s="713"/>
      <c r="OXX673" s="713"/>
      <c r="OXY673" s="713"/>
      <c r="OXZ673" s="713"/>
      <c r="OYA673" s="713"/>
      <c r="OYB673" s="713"/>
      <c r="OYC673" s="713"/>
      <c r="OYD673" s="713"/>
      <c r="OYE673" s="713"/>
      <c r="OYF673" s="713"/>
      <c r="OYG673" s="713"/>
      <c r="OYH673" s="713"/>
      <c r="OYI673" s="713"/>
      <c r="OYJ673" s="713"/>
      <c r="OYK673" s="713"/>
      <c r="OYL673" s="713"/>
      <c r="OYM673" s="713"/>
      <c r="OYN673" s="713"/>
      <c r="OYO673" s="713"/>
      <c r="OYP673" s="713"/>
      <c r="OYQ673" s="713"/>
      <c r="OYR673" s="713"/>
      <c r="OYS673" s="713"/>
      <c r="OYT673" s="713"/>
      <c r="OYU673" s="713"/>
      <c r="OYV673" s="713"/>
      <c r="OYW673" s="713"/>
      <c r="OYX673" s="713"/>
      <c r="OYY673" s="713"/>
      <c r="OYZ673" s="713"/>
      <c r="OZA673" s="713"/>
      <c r="OZB673" s="713"/>
      <c r="OZC673" s="713"/>
      <c r="OZD673" s="713"/>
      <c r="OZE673" s="713"/>
      <c r="OZF673" s="713"/>
      <c r="OZG673" s="713"/>
      <c r="OZH673" s="713"/>
      <c r="OZI673" s="713"/>
      <c r="OZJ673" s="713"/>
      <c r="OZK673" s="713"/>
      <c r="OZL673" s="713"/>
      <c r="OZM673" s="713"/>
      <c r="OZN673" s="713"/>
      <c r="OZO673" s="713"/>
      <c r="OZP673" s="713"/>
      <c r="OZQ673" s="713"/>
      <c r="OZR673" s="713"/>
      <c r="OZS673" s="713"/>
      <c r="OZT673" s="713"/>
      <c r="OZU673" s="713"/>
      <c r="OZV673" s="713"/>
      <c r="OZW673" s="713"/>
      <c r="OZX673" s="713"/>
      <c r="OZY673" s="713"/>
      <c r="OZZ673" s="713"/>
      <c r="PAA673" s="713"/>
      <c r="PAB673" s="713"/>
      <c r="PAC673" s="713"/>
      <c r="PAD673" s="713"/>
      <c r="PAE673" s="713"/>
      <c r="PAF673" s="713"/>
      <c r="PAG673" s="713"/>
      <c r="PAH673" s="713"/>
      <c r="PAI673" s="713"/>
      <c r="PAJ673" s="713"/>
      <c r="PAK673" s="713"/>
      <c r="PAL673" s="713"/>
      <c r="PAM673" s="713"/>
      <c r="PAN673" s="713"/>
      <c r="PAO673" s="713"/>
      <c r="PAP673" s="713"/>
      <c r="PAQ673" s="713"/>
      <c r="PAR673" s="713"/>
      <c r="PAS673" s="713"/>
      <c r="PAT673" s="713"/>
      <c r="PAU673" s="713"/>
      <c r="PAV673" s="713"/>
      <c r="PAW673" s="713"/>
      <c r="PAX673" s="713"/>
      <c r="PAY673" s="713"/>
      <c r="PAZ673" s="713"/>
      <c r="PBA673" s="713"/>
      <c r="PBB673" s="713"/>
      <c r="PBC673" s="713"/>
      <c r="PBD673" s="713"/>
      <c r="PBE673" s="713"/>
      <c r="PBF673" s="713"/>
      <c r="PBG673" s="713"/>
      <c r="PBH673" s="713"/>
      <c r="PBI673" s="713"/>
      <c r="PBJ673" s="713"/>
      <c r="PBK673" s="713"/>
      <c r="PBL673" s="713"/>
      <c r="PBM673" s="713"/>
      <c r="PBN673" s="713"/>
      <c r="PBO673" s="713"/>
      <c r="PBP673" s="713"/>
      <c r="PBQ673" s="713"/>
      <c r="PBR673" s="713"/>
      <c r="PBS673" s="713"/>
      <c r="PBT673" s="713"/>
      <c r="PBU673" s="713"/>
      <c r="PBV673" s="713"/>
      <c r="PBW673" s="713"/>
      <c r="PBX673" s="713"/>
      <c r="PBY673" s="713"/>
      <c r="PBZ673" s="713"/>
      <c r="PCA673" s="713"/>
      <c r="PCB673" s="713"/>
      <c r="PCC673" s="713"/>
      <c r="PCD673" s="713"/>
      <c r="PCE673" s="713"/>
      <c r="PCF673" s="713"/>
      <c r="PCG673" s="713"/>
      <c r="PCH673" s="713"/>
      <c r="PCI673" s="713"/>
      <c r="PCJ673" s="713"/>
      <c r="PCK673" s="713"/>
      <c r="PCL673" s="713"/>
      <c r="PCM673" s="713"/>
      <c r="PCN673" s="713"/>
      <c r="PCO673" s="713"/>
      <c r="PCP673" s="713"/>
      <c r="PCQ673" s="713"/>
      <c r="PCR673" s="713"/>
      <c r="PCS673" s="713"/>
      <c r="PCT673" s="713"/>
      <c r="PCU673" s="713"/>
      <c r="PCV673" s="713"/>
      <c r="PCW673" s="713"/>
      <c r="PCX673" s="713"/>
      <c r="PCY673" s="713"/>
      <c r="PCZ673" s="713"/>
      <c r="PDA673" s="713"/>
      <c r="PDB673" s="713"/>
      <c r="PDC673" s="713"/>
      <c r="PDD673" s="713"/>
      <c r="PDE673" s="713"/>
      <c r="PDF673" s="713"/>
      <c r="PDG673" s="713"/>
      <c r="PDH673" s="713"/>
      <c r="PDI673" s="713"/>
      <c r="PDJ673" s="713"/>
      <c r="PDK673" s="713"/>
      <c r="PDL673" s="713"/>
      <c r="PDM673" s="713"/>
      <c r="PDN673" s="713"/>
      <c r="PDO673" s="713"/>
      <c r="PDP673" s="713"/>
      <c r="PDQ673" s="713"/>
      <c r="PDR673" s="713"/>
      <c r="PDS673" s="713"/>
      <c r="PDT673" s="713"/>
      <c r="PDU673" s="713"/>
      <c r="PDV673" s="713"/>
      <c r="PDW673" s="713"/>
      <c r="PDX673" s="713"/>
      <c r="PDY673" s="713"/>
      <c r="PDZ673" s="713"/>
      <c r="PEA673" s="713"/>
      <c r="PEB673" s="713"/>
      <c r="PEC673" s="713"/>
      <c r="PED673" s="713"/>
      <c r="PEE673" s="713"/>
      <c r="PEF673" s="713"/>
      <c r="PEG673" s="713"/>
      <c r="PEH673" s="713"/>
      <c r="PEI673" s="713"/>
      <c r="PEJ673" s="713"/>
      <c r="PEK673" s="713"/>
      <c r="PEL673" s="713"/>
      <c r="PEM673" s="713"/>
      <c r="PEN673" s="713"/>
      <c r="PEO673" s="713"/>
      <c r="PEP673" s="713"/>
      <c r="PEQ673" s="713"/>
      <c r="PER673" s="713"/>
      <c r="PES673" s="713"/>
      <c r="PET673" s="713"/>
      <c r="PEU673" s="713"/>
      <c r="PEV673" s="713"/>
      <c r="PEW673" s="713"/>
      <c r="PEX673" s="713"/>
      <c r="PEY673" s="713"/>
      <c r="PEZ673" s="713"/>
      <c r="PFA673" s="713"/>
      <c r="PFB673" s="713"/>
      <c r="PFC673" s="713"/>
      <c r="PFD673" s="713"/>
      <c r="PFE673" s="713"/>
      <c r="PFF673" s="713"/>
      <c r="PFG673" s="713"/>
      <c r="PFH673" s="713"/>
      <c r="PFI673" s="713"/>
      <c r="PFJ673" s="713"/>
      <c r="PFK673" s="713"/>
      <c r="PFL673" s="713"/>
      <c r="PFM673" s="713"/>
      <c r="PFN673" s="713"/>
      <c r="PFO673" s="713"/>
      <c r="PFP673" s="713"/>
      <c r="PFQ673" s="713"/>
      <c r="PFR673" s="713"/>
      <c r="PFS673" s="713"/>
      <c r="PFT673" s="713"/>
      <c r="PFU673" s="713"/>
      <c r="PFV673" s="713"/>
      <c r="PFW673" s="713"/>
      <c r="PFX673" s="713"/>
      <c r="PFY673" s="713"/>
      <c r="PFZ673" s="713"/>
      <c r="PGA673" s="713"/>
      <c r="PGB673" s="713"/>
      <c r="PGC673" s="713"/>
      <c r="PGD673" s="713"/>
      <c r="PGE673" s="713"/>
      <c r="PGF673" s="713"/>
      <c r="PGG673" s="713"/>
      <c r="PGH673" s="713"/>
      <c r="PGI673" s="713"/>
      <c r="PGJ673" s="713"/>
      <c r="PGK673" s="713"/>
      <c r="PGL673" s="713"/>
      <c r="PGM673" s="713"/>
      <c r="PGN673" s="713"/>
      <c r="PGO673" s="713"/>
      <c r="PGP673" s="713"/>
      <c r="PGQ673" s="713"/>
      <c r="PGR673" s="713"/>
      <c r="PGS673" s="713"/>
      <c r="PGT673" s="713"/>
      <c r="PGU673" s="713"/>
      <c r="PGV673" s="713"/>
      <c r="PGW673" s="713"/>
      <c r="PGX673" s="713"/>
      <c r="PGY673" s="713"/>
      <c r="PGZ673" s="713"/>
      <c r="PHA673" s="713"/>
      <c r="PHB673" s="713"/>
      <c r="PHC673" s="713"/>
      <c r="PHD673" s="713"/>
      <c r="PHE673" s="713"/>
      <c r="PHF673" s="713"/>
      <c r="PHG673" s="713"/>
      <c r="PHH673" s="713"/>
      <c r="PHI673" s="713"/>
      <c r="PHJ673" s="713"/>
      <c r="PHK673" s="713"/>
      <c r="PHL673" s="713"/>
      <c r="PHM673" s="713"/>
      <c r="PHN673" s="713"/>
      <c r="PHO673" s="713"/>
      <c r="PHP673" s="713"/>
      <c r="PHQ673" s="713"/>
      <c r="PHR673" s="713"/>
      <c r="PHS673" s="713"/>
      <c r="PHT673" s="713"/>
      <c r="PHU673" s="713"/>
      <c r="PHV673" s="713"/>
      <c r="PHW673" s="713"/>
      <c r="PHX673" s="713"/>
      <c r="PHY673" s="713"/>
      <c r="PHZ673" s="713"/>
      <c r="PIA673" s="713"/>
      <c r="PIB673" s="713"/>
      <c r="PIC673" s="713"/>
      <c r="PID673" s="713"/>
      <c r="PIE673" s="713"/>
      <c r="PIF673" s="713"/>
      <c r="PIG673" s="713"/>
      <c r="PIH673" s="713"/>
      <c r="PII673" s="713"/>
      <c r="PIJ673" s="713"/>
      <c r="PIK673" s="713"/>
      <c r="PIL673" s="713"/>
      <c r="PIM673" s="713"/>
      <c r="PIN673" s="713"/>
      <c r="PIO673" s="713"/>
      <c r="PIP673" s="713"/>
      <c r="PIQ673" s="713"/>
      <c r="PIR673" s="713"/>
      <c r="PIS673" s="713"/>
      <c r="PIT673" s="713"/>
      <c r="PIU673" s="713"/>
      <c r="PIV673" s="713"/>
      <c r="PIW673" s="713"/>
      <c r="PIX673" s="713"/>
      <c r="PIY673" s="713"/>
      <c r="PIZ673" s="713"/>
      <c r="PJA673" s="713"/>
      <c r="PJB673" s="713"/>
      <c r="PJC673" s="713"/>
      <c r="PJD673" s="713"/>
      <c r="PJE673" s="713"/>
      <c r="PJF673" s="713"/>
      <c r="PJG673" s="713"/>
      <c r="PJH673" s="713"/>
      <c r="PJI673" s="713"/>
      <c r="PJJ673" s="713"/>
      <c r="PJK673" s="713"/>
      <c r="PJL673" s="713"/>
      <c r="PJM673" s="713"/>
      <c r="PJN673" s="713"/>
      <c r="PJO673" s="713"/>
      <c r="PJP673" s="713"/>
      <c r="PJQ673" s="713"/>
      <c r="PJR673" s="713"/>
      <c r="PJS673" s="713"/>
      <c r="PJT673" s="713"/>
      <c r="PJU673" s="713"/>
      <c r="PJV673" s="713"/>
      <c r="PJW673" s="713"/>
      <c r="PJX673" s="713"/>
      <c r="PJY673" s="713"/>
      <c r="PJZ673" s="713"/>
      <c r="PKA673" s="713"/>
      <c r="PKB673" s="713"/>
      <c r="PKC673" s="713"/>
      <c r="PKD673" s="713"/>
      <c r="PKE673" s="713"/>
      <c r="PKF673" s="713"/>
      <c r="PKG673" s="713"/>
      <c r="PKH673" s="713"/>
      <c r="PKI673" s="713"/>
      <c r="PKJ673" s="713"/>
      <c r="PKK673" s="713"/>
      <c r="PKL673" s="713"/>
      <c r="PKM673" s="713"/>
      <c r="PKN673" s="713"/>
      <c r="PKO673" s="713"/>
      <c r="PKP673" s="713"/>
      <c r="PKQ673" s="713"/>
      <c r="PKR673" s="713"/>
      <c r="PKS673" s="713"/>
      <c r="PKT673" s="713"/>
      <c r="PKU673" s="713"/>
      <c r="PKV673" s="713"/>
      <c r="PKW673" s="713"/>
      <c r="PKX673" s="713"/>
      <c r="PKY673" s="713"/>
      <c r="PKZ673" s="713"/>
      <c r="PLA673" s="713"/>
      <c r="PLB673" s="713"/>
      <c r="PLC673" s="713"/>
      <c r="PLD673" s="713"/>
      <c r="PLE673" s="713"/>
      <c r="PLF673" s="713"/>
      <c r="PLG673" s="713"/>
      <c r="PLH673" s="713"/>
      <c r="PLI673" s="713"/>
      <c r="PLJ673" s="713"/>
      <c r="PLK673" s="713"/>
      <c r="PLL673" s="713"/>
      <c r="PLM673" s="713"/>
      <c r="PLN673" s="713"/>
      <c r="PLO673" s="713"/>
      <c r="PLP673" s="713"/>
      <c r="PLQ673" s="713"/>
      <c r="PLR673" s="713"/>
      <c r="PLS673" s="713"/>
      <c r="PLT673" s="713"/>
      <c r="PLU673" s="713"/>
      <c r="PLV673" s="713"/>
      <c r="PLW673" s="713"/>
      <c r="PLX673" s="713"/>
      <c r="PLY673" s="713"/>
      <c r="PLZ673" s="713"/>
      <c r="PMA673" s="713"/>
      <c r="PMB673" s="713"/>
      <c r="PMC673" s="713"/>
      <c r="PMD673" s="713"/>
      <c r="PME673" s="713"/>
      <c r="PMF673" s="713"/>
      <c r="PMG673" s="713"/>
      <c r="PMH673" s="713"/>
      <c r="PMI673" s="713"/>
      <c r="PMJ673" s="713"/>
      <c r="PMK673" s="713"/>
      <c r="PML673" s="713"/>
      <c r="PMM673" s="713"/>
      <c r="PMN673" s="713"/>
      <c r="PMO673" s="713"/>
      <c r="PMP673" s="713"/>
      <c r="PMQ673" s="713"/>
      <c r="PMR673" s="713"/>
      <c r="PMS673" s="713"/>
      <c r="PMT673" s="713"/>
      <c r="PMU673" s="713"/>
      <c r="PMV673" s="713"/>
      <c r="PMW673" s="713"/>
      <c r="PMX673" s="713"/>
      <c r="PMY673" s="713"/>
      <c r="PMZ673" s="713"/>
      <c r="PNA673" s="713"/>
      <c r="PNB673" s="713"/>
      <c r="PNC673" s="713"/>
      <c r="PND673" s="713"/>
      <c r="PNE673" s="713"/>
      <c r="PNF673" s="713"/>
      <c r="PNG673" s="713"/>
      <c r="PNH673" s="713"/>
      <c r="PNI673" s="713"/>
      <c r="PNJ673" s="713"/>
      <c r="PNK673" s="713"/>
      <c r="PNL673" s="713"/>
      <c r="PNM673" s="713"/>
      <c r="PNN673" s="713"/>
      <c r="PNO673" s="713"/>
      <c r="PNP673" s="713"/>
      <c r="PNQ673" s="713"/>
      <c r="PNR673" s="713"/>
      <c r="PNS673" s="713"/>
      <c r="PNT673" s="713"/>
      <c r="PNU673" s="713"/>
      <c r="PNV673" s="713"/>
      <c r="PNW673" s="713"/>
      <c r="PNX673" s="713"/>
      <c r="PNY673" s="713"/>
      <c r="PNZ673" s="713"/>
      <c r="POA673" s="713"/>
      <c r="POB673" s="713"/>
      <c r="POC673" s="713"/>
      <c r="POD673" s="713"/>
      <c r="POE673" s="713"/>
      <c r="POF673" s="713"/>
      <c r="POG673" s="713"/>
      <c r="POH673" s="713"/>
      <c r="POI673" s="713"/>
      <c r="POJ673" s="713"/>
      <c r="POK673" s="713"/>
      <c r="POL673" s="713"/>
      <c r="POM673" s="713"/>
      <c r="PON673" s="713"/>
      <c r="POO673" s="713"/>
      <c r="POP673" s="713"/>
      <c r="POQ673" s="713"/>
      <c r="POR673" s="713"/>
      <c r="POS673" s="713"/>
      <c r="POT673" s="713"/>
      <c r="POU673" s="713"/>
      <c r="POV673" s="713"/>
      <c r="POW673" s="713"/>
      <c r="POX673" s="713"/>
      <c r="POY673" s="713"/>
      <c r="POZ673" s="713"/>
      <c r="PPA673" s="713"/>
      <c r="PPB673" s="713"/>
      <c r="PPC673" s="713"/>
      <c r="PPD673" s="713"/>
      <c r="PPE673" s="713"/>
      <c r="PPF673" s="713"/>
      <c r="PPG673" s="713"/>
      <c r="PPH673" s="713"/>
      <c r="PPI673" s="713"/>
      <c r="PPJ673" s="713"/>
      <c r="PPK673" s="713"/>
      <c r="PPL673" s="713"/>
      <c r="PPM673" s="713"/>
      <c r="PPN673" s="713"/>
      <c r="PPO673" s="713"/>
      <c r="PPP673" s="713"/>
      <c r="PPQ673" s="713"/>
      <c r="PPR673" s="713"/>
      <c r="PPS673" s="713"/>
      <c r="PPT673" s="713"/>
      <c r="PPU673" s="713"/>
      <c r="PPV673" s="713"/>
      <c r="PPW673" s="713"/>
      <c r="PPX673" s="713"/>
      <c r="PPY673" s="713"/>
      <c r="PPZ673" s="713"/>
      <c r="PQA673" s="713"/>
      <c r="PQB673" s="713"/>
      <c r="PQC673" s="713"/>
      <c r="PQD673" s="713"/>
      <c r="PQE673" s="713"/>
      <c r="PQF673" s="713"/>
      <c r="PQG673" s="713"/>
      <c r="PQH673" s="713"/>
      <c r="PQI673" s="713"/>
      <c r="PQJ673" s="713"/>
      <c r="PQK673" s="713"/>
      <c r="PQL673" s="713"/>
      <c r="PQM673" s="713"/>
      <c r="PQN673" s="713"/>
      <c r="PQO673" s="713"/>
      <c r="PQP673" s="713"/>
      <c r="PQQ673" s="713"/>
      <c r="PQR673" s="713"/>
      <c r="PQS673" s="713"/>
      <c r="PQT673" s="713"/>
      <c r="PQU673" s="713"/>
      <c r="PQV673" s="713"/>
      <c r="PQW673" s="713"/>
      <c r="PQX673" s="713"/>
      <c r="PQY673" s="713"/>
      <c r="PQZ673" s="713"/>
      <c r="PRA673" s="713"/>
      <c r="PRB673" s="713"/>
      <c r="PRC673" s="713"/>
      <c r="PRD673" s="713"/>
      <c r="PRE673" s="713"/>
      <c r="PRF673" s="713"/>
      <c r="PRG673" s="713"/>
      <c r="PRH673" s="713"/>
      <c r="PRI673" s="713"/>
      <c r="PRJ673" s="713"/>
      <c r="PRK673" s="713"/>
      <c r="PRL673" s="713"/>
      <c r="PRM673" s="713"/>
      <c r="PRN673" s="713"/>
      <c r="PRO673" s="713"/>
      <c r="PRP673" s="713"/>
      <c r="PRQ673" s="713"/>
      <c r="PRR673" s="713"/>
      <c r="PRS673" s="713"/>
      <c r="PRT673" s="713"/>
      <c r="PRU673" s="713"/>
      <c r="PRV673" s="713"/>
      <c r="PRW673" s="713"/>
      <c r="PRX673" s="713"/>
      <c r="PRY673" s="713"/>
      <c r="PRZ673" s="713"/>
      <c r="PSA673" s="713"/>
      <c r="PSB673" s="713"/>
      <c r="PSC673" s="713"/>
      <c r="PSD673" s="713"/>
      <c r="PSE673" s="713"/>
      <c r="PSF673" s="713"/>
      <c r="PSG673" s="713"/>
      <c r="PSH673" s="713"/>
      <c r="PSI673" s="713"/>
      <c r="PSJ673" s="713"/>
      <c r="PSK673" s="713"/>
      <c r="PSL673" s="713"/>
      <c r="PSM673" s="713"/>
      <c r="PSN673" s="713"/>
      <c r="PSO673" s="713"/>
      <c r="PSP673" s="713"/>
      <c r="PSQ673" s="713"/>
      <c r="PSR673" s="713"/>
      <c r="PSS673" s="713"/>
      <c r="PST673" s="713"/>
      <c r="PSU673" s="713"/>
      <c r="PSV673" s="713"/>
      <c r="PSW673" s="713"/>
      <c r="PSX673" s="713"/>
      <c r="PSY673" s="713"/>
      <c r="PSZ673" s="713"/>
      <c r="PTA673" s="713"/>
      <c r="PTB673" s="713"/>
      <c r="PTC673" s="713"/>
      <c r="PTD673" s="713"/>
      <c r="PTE673" s="713"/>
      <c r="PTF673" s="713"/>
      <c r="PTG673" s="713"/>
      <c r="PTH673" s="713"/>
      <c r="PTI673" s="713"/>
      <c r="PTJ673" s="713"/>
      <c r="PTK673" s="713"/>
      <c r="PTL673" s="713"/>
      <c r="PTM673" s="713"/>
      <c r="PTN673" s="713"/>
      <c r="PTO673" s="713"/>
      <c r="PTP673" s="713"/>
      <c r="PTQ673" s="713"/>
      <c r="PTR673" s="713"/>
      <c r="PTS673" s="713"/>
      <c r="PTT673" s="713"/>
      <c r="PTU673" s="713"/>
      <c r="PTV673" s="713"/>
      <c r="PTW673" s="713"/>
      <c r="PTX673" s="713"/>
      <c r="PTY673" s="713"/>
      <c r="PTZ673" s="713"/>
      <c r="PUA673" s="713"/>
      <c r="PUB673" s="713"/>
      <c r="PUC673" s="713"/>
      <c r="PUD673" s="713"/>
      <c r="PUE673" s="713"/>
      <c r="PUF673" s="713"/>
      <c r="PUG673" s="713"/>
      <c r="PUH673" s="713"/>
      <c r="PUI673" s="713"/>
      <c r="PUJ673" s="713"/>
      <c r="PUK673" s="713"/>
      <c r="PUL673" s="713"/>
      <c r="PUM673" s="713"/>
      <c r="PUN673" s="713"/>
      <c r="PUO673" s="713"/>
      <c r="PUP673" s="713"/>
      <c r="PUQ673" s="713"/>
      <c r="PUR673" s="713"/>
      <c r="PUS673" s="713"/>
      <c r="PUT673" s="713"/>
      <c r="PUU673" s="713"/>
      <c r="PUV673" s="713"/>
      <c r="PUW673" s="713"/>
      <c r="PUX673" s="713"/>
      <c r="PUY673" s="713"/>
      <c r="PUZ673" s="713"/>
      <c r="PVA673" s="713"/>
      <c r="PVB673" s="713"/>
      <c r="PVC673" s="713"/>
      <c r="PVD673" s="713"/>
      <c r="PVE673" s="713"/>
      <c r="PVF673" s="713"/>
      <c r="PVG673" s="713"/>
      <c r="PVH673" s="713"/>
      <c r="PVI673" s="713"/>
      <c r="PVJ673" s="713"/>
      <c r="PVK673" s="713"/>
      <c r="PVL673" s="713"/>
      <c r="PVM673" s="713"/>
      <c r="PVN673" s="713"/>
      <c r="PVO673" s="713"/>
      <c r="PVP673" s="713"/>
      <c r="PVQ673" s="713"/>
      <c r="PVR673" s="713"/>
      <c r="PVS673" s="713"/>
      <c r="PVT673" s="713"/>
      <c r="PVU673" s="713"/>
      <c r="PVV673" s="713"/>
      <c r="PVW673" s="713"/>
      <c r="PVX673" s="713"/>
      <c r="PVY673" s="713"/>
      <c r="PVZ673" s="713"/>
      <c r="PWA673" s="713"/>
      <c r="PWB673" s="713"/>
      <c r="PWC673" s="713"/>
      <c r="PWD673" s="713"/>
      <c r="PWE673" s="713"/>
      <c r="PWF673" s="713"/>
      <c r="PWG673" s="713"/>
      <c r="PWH673" s="713"/>
      <c r="PWI673" s="713"/>
      <c r="PWJ673" s="713"/>
      <c r="PWK673" s="713"/>
      <c r="PWL673" s="713"/>
      <c r="PWM673" s="713"/>
      <c r="PWN673" s="713"/>
      <c r="PWO673" s="713"/>
      <c r="PWP673" s="713"/>
      <c r="PWQ673" s="713"/>
      <c r="PWR673" s="713"/>
      <c r="PWS673" s="713"/>
      <c r="PWT673" s="713"/>
      <c r="PWU673" s="713"/>
      <c r="PWV673" s="713"/>
      <c r="PWW673" s="713"/>
      <c r="PWX673" s="713"/>
      <c r="PWY673" s="713"/>
      <c r="PWZ673" s="713"/>
      <c r="PXA673" s="713"/>
      <c r="PXB673" s="713"/>
      <c r="PXC673" s="713"/>
      <c r="PXD673" s="713"/>
      <c r="PXE673" s="713"/>
      <c r="PXF673" s="713"/>
      <c r="PXG673" s="713"/>
      <c r="PXH673" s="713"/>
      <c r="PXI673" s="713"/>
      <c r="PXJ673" s="713"/>
      <c r="PXK673" s="713"/>
      <c r="PXL673" s="713"/>
      <c r="PXM673" s="713"/>
      <c r="PXN673" s="713"/>
      <c r="PXO673" s="713"/>
      <c r="PXP673" s="713"/>
      <c r="PXQ673" s="713"/>
      <c r="PXR673" s="713"/>
      <c r="PXS673" s="713"/>
      <c r="PXT673" s="713"/>
      <c r="PXU673" s="713"/>
      <c r="PXV673" s="713"/>
      <c r="PXW673" s="713"/>
      <c r="PXX673" s="713"/>
      <c r="PXY673" s="713"/>
      <c r="PXZ673" s="713"/>
      <c r="PYA673" s="713"/>
      <c r="PYB673" s="713"/>
      <c r="PYC673" s="713"/>
      <c r="PYD673" s="713"/>
      <c r="PYE673" s="713"/>
      <c r="PYF673" s="713"/>
      <c r="PYG673" s="713"/>
      <c r="PYH673" s="713"/>
      <c r="PYI673" s="713"/>
      <c r="PYJ673" s="713"/>
      <c r="PYK673" s="713"/>
      <c r="PYL673" s="713"/>
      <c r="PYM673" s="713"/>
      <c r="PYN673" s="713"/>
      <c r="PYO673" s="713"/>
      <c r="PYP673" s="713"/>
      <c r="PYQ673" s="713"/>
      <c r="PYR673" s="713"/>
      <c r="PYS673" s="713"/>
      <c r="PYT673" s="713"/>
      <c r="PYU673" s="713"/>
      <c r="PYV673" s="713"/>
      <c r="PYW673" s="713"/>
      <c r="PYX673" s="713"/>
      <c r="PYY673" s="713"/>
      <c r="PYZ673" s="713"/>
      <c r="PZA673" s="713"/>
      <c r="PZB673" s="713"/>
      <c r="PZC673" s="713"/>
      <c r="PZD673" s="713"/>
      <c r="PZE673" s="713"/>
      <c r="PZF673" s="713"/>
      <c r="PZG673" s="713"/>
      <c r="PZH673" s="713"/>
      <c r="PZI673" s="713"/>
      <c r="PZJ673" s="713"/>
      <c r="PZK673" s="713"/>
      <c r="PZL673" s="713"/>
      <c r="PZM673" s="713"/>
      <c r="PZN673" s="713"/>
      <c r="PZO673" s="713"/>
      <c r="PZP673" s="713"/>
      <c r="PZQ673" s="713"/>
      <c r="PZR673" s="713"/>
      <c r="PZS673" s="713"/>
      <c r="PZT673" s="713"/>
      <c r="PZU673" s="713"/>
      <c r="PZV673" s="713"/>
      <c r="PZW673" s="713"/>
      <c r="PZX673" s="713"/>
      <c r="PZY673" s="713"/>
      <c r="PZZ673" s="713"/>
      <c r="QAA673" s="713"/>
      <c r="QAB673" s="713"/>
      <c r="QAC673" s="713"/>
      <c r="QAD673" s="713"/>
      <c r="QAE673" s="713"/>
      <c r="QAF673" s="713"/>
      <c r="QAG673" s="713"/>
      <c r="QAH673" s="713"/>
      <c r="QAI673" s="713"/>
      <c r="QAJ673" s="713"/>
      <c r="QAK673" s="713"/>
      <c r="QAL673" s="713"/>
      <c r="QAM673" s="713"/>
      <c r="QAN673" s="713"/>
      <c r="QAO673" s="713"/>
      <c r="QAP673" s="713"/>
      <c r="QAQ673" s="713"/>
      <c r="QAR673" s="713"/>
      <c r="QAS673" s="713"/>
      <c r="QAT673" s="713"/>
      <c r="QAU673" s="713"/>
      <c r="QAV673" s="713"/>
      <c r="QAW673" s="713"/>
      <c r="QAX673" s="713"/>
      <c r="QAY673" s="713"/>
      <c r="QAZ673" s="713"/>
      <c r="QBA673" s="713"/>
      <c r="QBB673" s="713"/>
      <c r="QBC673" s="713"/>
      <c r="QBD673" s="713"/>
      <c r="QBE673" s="713"/>
      <c r="QBF673" s="713"/>
      <c r="QBG673" s="713"/>
      <c r="QBH673" s="713"/>
      <c r="QBI673" s="713"/>
      <c r="QBJ673" s="713"/>
      <c r="QBK673" s="713"/>
      <c r="QBL673" s="713"/>
      <c r="QBM673" s="713"/>
      <c r="QBN673" s="713"/>
      <c r="QBO673" s="713"/>
      <c r="QBP673" s="713"/>
      <c r="QBQ673" s="713"/>
      <c r="QBR673" s="713"/>
      <c r="QBS673" s="713"/>
      <c r="QBT673" s="713"/>
      <c r="QBU673" s="713"/>
      <c r="QBV673" s="713"/>
      <c r="QBW673" s="713"/>
      <c r="QBX673" s="713"/>
      <c r="QBY673" s="713"/>
      <c r="QBZ673" s="713"/>
      <c r="QCA673" s="713"/>
      <c r="QCB673" s="713"/>
      <c r="QCC673" s="713"/>
      <c r="QCD673" s="713"/>
      <c r="QCE673" s="713"/>
      <c r="QCF673" s="713"/>
      <c r="QCG673" s="713"/>
      <c r="QCH673" s="713"/>
      <c r="QCI673" s="713"/>
      <c r="QCJ673" s="713"/>
      <c r="QCK673" s="713"/>
      <c r="QCL673" s="713"/>
      <c r="QCM673" s="713"/>
      <c r="QCN673" s="713"/>
      <c r="QCO673" s="713"/>
      <c r="QCP673" s="713"/>
      <c r="QCQ673" s="713"/>
      <c r="QCR673" s="713"/>
      <c r="QCS673" s="713"/>
      <c r="QCT673" s="713"/>
      <c r="QCU673" s="713"/>
      <c r="QCV673" s="713"/>
      <c r="QCW673" s="713"/>
      <c r="QCX673" s="713"/>
      <c r="QCY673" s="713"/>
      <c r="QCZ673" s="713"/>
      <c r="QDA673" s="713"/>
      <c r="QDB673" s="713"/>
      <c r="QDC673" s="713"/>
      <c r="QDD673" s="713"/>
      <c r="QDE673" s="713"/>
      <c r="QDF673" s="713"/>
      <c r="QDG673" s="713"/>
      <c r="QDH673" s="713"/>
      <c r="QDI673" s="713"/>
      <c r="QDJ673" s="713"/>
      <c r="QDK673" s="713"/>
      <c r="QDL673" s="713"/>
      <c r="QDM673" s="713"/>
      <c r="QDN673" s="713"/>
      <c r="QDO673" s="713"/>
      <c r="QDP673" s="713"/>
      <c r="QDQ673" s="713"/>
      <c r="QDR673" s="713"/>
      <c r="QDS673" s="713"/>
      <c r="QDT673" s="713"/>
      <c r="QDU673" s="713"/>
      <c r="QDV673" s="713"/>
      <c r="QDW673" s="713"/>
      <c r="QDX673" s="713"/>
      <c r="QDY673" s="713"/>
      <c r="QDZ673" s="713"/>
      <c r="QEA673" s="713"/>
      <c r="QEB673" s="713"/>
      <c r="QEC673" s="713"/>
      <c r="QED673" s="713"/>
      <c r="QEE673" s="713"/>
      <c r="QEF673" s="713"/>
      <c r="QEG673" s="713"/>
      <c r="QEH673" s="713"/>
      <c r="QEI673" s="713"/>
      <c r="QEJ673" s="713"/>
      <c r="QEK673" s="713"/>
      <c r="QEL673" s="713"/>
      <c r="QEM673" s="713"/>
      <c r="QEN673" s="713"/>
      <c r="QEO673" s="713"/>
      <c r="QEP673" s="713"/>
      <c r="QEQ673" s="713"/>
      <c r="QER673" s="713"/>
      <c r="QES673" s="713"/>
      <c r="QET673" s="713"/>
      <c r="QEU673" s="713"/>
      <c r="QEV673" s="713"/>
      <c r="QEW673" s="713"/>
      <c r="QEX673" s="713"/>
      <c r="QEY673" s="713"/>
      <c r="QEZ673" s="713"/>
      <c r="QFA673" s="713"/>
      <c r="QFB673" s="713"/>
      <c r="QFC673" s="713"/>
      <c r="QFD673" s="713"/>
      <c r="QFE673" s="713"/>
      <c r="QFF673" s="713"/>
      <c r="QFG673" s="713"/>
      <c r="QFH673" s="713"/>
      <c r="QFI673" s="713"/>
      <c r="QFJ673" s="713"/>
      <c r="QFK673" s="713"/>
      <c r="QFL673" s="713"/>
      <c r="QFM673" s="713"/>
      <c r="QFN673" s="713"/>
      <c r="QFO673" s="713"/>
      <c r="QFP673" s="713"/>
      <c r="QFQ673" s="713"/>
      <c r="QFR673" s="713"/>
      <c r="QFS673" s="713"/>
      <c r="QFT673" s="713"/>
      <c r="QFU673" s="713"/>
      <c r="QFV673" s="713"/>
      <c r="QFW673" s="713"/>
      <c r="QFX673" s="713"/>
      <c r="QFY673" s="713"/>
      <c r="QFZ673" s="713"/>
      <c r="QGA673" s="713"/>
      <c r="QGB673" s="713"/>
      <c r="QGC673" s="713"/>
      <c r="QGD673" s="713"/>
      <c r="QGE673" s="713"/>
      <c r="QGF673" s="713"/>
      <c r="QGG673" s="713"/>
      <c r="QGH673" s="713"/>
      <c r="QGI673" s="713"/>
      <c r="QGJ673" s="713"/>
      <c r="QGK673" s="713"/>
      <c r="QGL673" s="713"/>
      <c r="QGM673" s="713"/>
      <c r="QGN673" s="713"/>
      <c r="QGO673" s="713"/>
      <c r="QGP673" s="713"/>
      <c r="QGQ673" s="713"/>
      <c r="QGR673" s="713"/>
      <c r="QGS673" s="713"/>
      <c r="QGT673" s="713"/>
      <c r="QGU673" s="713"/>
      <c r="QGV673" s="713"/>
      <c r="QGW673" s="713"/>
      <c r="QGX673" s="713"/>
      <c r="QGY673" s="713"/>
      <c r="QGZ673" s="713"/>
      <c r="QHA673" s="713"/>
      <c r="QHB673" s="713"/>
      <c r="QHC673" s="713"/>
      <c r="QHD673" s="713"/>
      <c r="QHE673" s="713"/>
      <c r="QHF673" s="713"/>
      <c r="QHG673" s="713"/>
      <c r="QHH673" s="713"/>
      <c r="QHI673" s="713"/>
      <c r="QHJ673" s="713"/>
      <c r="QHK673" s="713"/>
      <c r="QHL673" s="713"/>
      <c r="QHM673" s="713"/>
      <c r="QHN673" s="713"/>
      <c r="QHO673" s="713"/>
      <c r="QHP673" s="713"/>
      <c r="QHQ673" s="713"/>
      <c r="QHR673" s="713"/>
      <c r="QHS673" s="713"/>
      <c r="QHT673" s="713"/>
      <c r="QHU673" s="713"/>
      <c r="QHV673" s="713"/>
      <c r="QHW673" s="713"/>
      <c r="QHX673" s="713"/>
      <c r="QHY673" s="713"/>
      <c r="QHZ673" s="713"/>
      <c r="QIA673" s="713"/>
      <c r="QIB673" s="713"/>
      <c r="QIC673" s="713"/>
      <c r="QID673" s="713"/>
      <c r="QIE673" s="713"/>
      <c r="QIF673" s="713"/>
      <c r="QIG673" s="713"/>
      <c r="QIH673" s="713"/>
      <c r="QII673" s="713"/>
      <c r="QIJ673" s="713"/>
      <c r="QIK673" s="713"/>
      <c r="QIL673" s="713"/>
      <c r="QIM673" s="713"/>
      <c r="QIN673" s="713"/>
      <c r="QIO673" s="713"/>
      <c r="QIP673" s="713"/>
      <c r="QIQ673" s="713"/>
      <c r="QIR673" s="713"/>
      <c r="QIS673" s="713"/>
      <c r="QIT673" s="713"/>
      <c r="QIU673" s="713"/>
      <c r="QIV673" s="713"/>
      <c r="QIW673" s="713"/>
      <c r="QIX673" s="713"/>
      <c r="QIY673" s="713"/>
      <c r="QIZ673" s="713"/>
      <c r="QJA673" s="713"/>
      <c r="QJB673" s="713"/>
      <c r="QJC673" s="713"/>
      <c r="QJD673" s="713"/>
      <c r="QJE673" s="713"/>
      <c r="QJF673" s="713"/>
      <c r="QJG673" s="713"/>
      <c r="QJH673" s="713"/>
      <c r="QJI673" s="713"/>
      <c r="QJJ673" s="713"/>
      <c r="QJK673" s="713"/>
      <c r="QJL673" s="713"/>
      <c r="QJM673" s="713"/>
      <c r="QJN673" s="713"/>
      <c r="QJO673" s="713"/>
      <c r="QJP673" s="713"/>
      <c r="QJQ673" s="713"/>
      <c r="QJR673" s="713"/>
      <c r="QJS673" s="713"/>
      <c r="QJT673" s="713"/>
      <c r="QJU673" s="713"/>
      <c r="QJV673" s="713"/>
      <c r="QJW673" s="713"/>
      <c r="QJX673" s="713"/>
      <c r="QJY673" s="713"/>
      <c r="QJZ673" s="713"/>
      <c r="QKA673" s="713"/>
      <c r="QKB673" s="713"/>
      <c r="QKC673" s="713"/>
      <c r="QKD673" s="713"/>
      <c r="QKE673" s="713"/>
      <c r="QKF673" s="713"/>
      <c r="QKG673" s="713"/>
      <c r="QKH673" s="713"/>
      <c r="QKI673" s="713"/>
      <c r="QKJ673" s="713"/>
      <c r="QKK673" s="713"/>
      <c r="QKL673" s="713"/>
      <c r="QKM673" s="713"/>
      <c r="QKN673" s="713"/>
      <c r="QKO673" s="713"/>
      <c r="QKP673" s="713"/>
      <c r="QKQ673" s="713"/>
      <c r="QKR673" s="713"/>
      <c r="QKS673" s="713"/>
      <c r="QKT673" s="713"/>
      <c r="QKU673" s="713"/>
      <c r="QKV673" s="713"/>
      <c r="QKW673" s="713"/>
      <c r="QKX673" s="713"/>
      <c r="QKY673" s="713"/>
      <c r="QKZ673" s="713"/>
      <c r="QLA673" s="713"/>
      <c r="QLB673" s="713"/>
      <c r="QLC673" s="713"/>
      <c r="QLD673" s="713"/>
      <c r="QLE673" s="713"/>
      <c r="QLF673" s="713"/>
      <c r="QLG673" s="713"/>
      <c r="QLH673" s="713"/>
      <c r="QLI673" s="713"/>
      <c r="QLJ673" s="713"/>
      <c r="QLK673" s="713"/>
      <c r="QLL673" s="713"/>
      <c r="QLM673" s="713"/>
      <c r="QLN673" s="713"/>
      <c r="QLO673" s="713"/>
      <c r="QLP673" s="713"/>
      <c r="QLQ673" s="713"/>
      <c r="QLR673" s="713"/>
      <c r="QLS673" s="713"/>
      <c r="QLT673" s="713"/>
      <c r="QLU673" s="713"/>
      <c r="QLV673" s="713"/>
      <c r="QLW673" s="713"/>
      <c r="QLX673" s="713"/>
      <c r="QLY673" s="713"/>
      <c r="QLZ673" s="713"/>
      <c r="QMA673" s="713"/>
      <c r="QMB673" s="713"/>
      <c r="QMC673" s="713"/>
      <c r="QMD673" s="713"/>
      <c r="QME673" s="713"/>
      <c r="QMF673" s="713"/>
      <c r="QMG673" s="713"/>
      <c r="QMH673" s="713"/>
      <c r="QMI673" s="713"/>
      <c r="QMJ673" s="713"/>
      <c r="QMK673" s="713"/>
      <c r="QML673" s="713"/>
      <c r="QMM673" s="713"/>
      <c r="QMN673" s="713"/>
      <c r="QMO673" s="713"/>
      <c r="QMP673" s="713"/>
      <c r="QMQ673" s="713"/>
      <c r="QMR673" s="713"/>
      <c r="QMS673" s="713"/>
      <c r="QMT673" s="713"/>
      <c r="QMU673" s="713"/>
      <c r="QMV673" s="713"/>
      <c r="QMW673" s="713"/>
      <c r="QMX673" s="713"/>
      <c r="QMY673" s="713"/>
      <c r="QMZ673" s="713"/>
      <c r="QNA673" s="713"/>
      <c r="QNB673" s="713"/>
      <c r="QNC673" s="713"/>
      <c r="QND673" s="713"/>
      <c r="QNE673" s="713"/>
      <c r="QNF673" s="713"/>
      <c r="QNG673" s="713"/>
      <c r="QNH673" s="713"/>
      <c r="QNI673" s="713"/>
      <c r="QNJ673" s="713"/>
      <c r="QNK673" s="713"/>
      <c r="QNL673" s="713"/>
      <c r="QNM673" s="713"/>
      <c r="QNN673" s="713"/>
      <c r="QNO673" s="713"/>
      <c r="QNP673" s="713"/>
      <c r="QNQ673" s="713"/>
      <c r="QNR673" s="713"/>
      <c r="QNS673" s="713"/>
      <c r="QNT673" s="713"/>
      <c r="QNU673" s="713"/>
      <c r="QNV673" s="713"/>
      <c r="QNW673" s="713"/>
      <c r="QNX673" s="713"/>
      <c r="QNY673" s="713"/>
      <c r="QNZ673" s="713"/>
      <c r="QOA673" s="713"/>
      <c r="QOB673" s="713"/>
      <c r="QOC673" s="713"/>
      <c r="QOD673" s="713"/>
      <c r="QOE673" s="713"/>
      <c r="QOF673" s="713"/>
      <c r="QOG673" s="713"/>
      <c r="QOH673" s="713"/>
      <c r="QOI673" s="713"/>
      <c r="QOJ673" s="713"/>
      <c r="QOK673" s="713"/>
      <c r="QOL673" s="713"/>
      <c r="QOM673" s="713"/>
      <c r="QON673" s="713"/>
      <c r="QOO673" s="713"/>
      <c r="QOP673" s="713"/>
      <c r="QOQ673" s="713"/>
      <c r="QOR673" s="713"/>
      <c r="QOS673" s="713"/>
      <c r="QOT673" s="713"/>
      <c r="QOU673" s="713"/>
      <c r="QOV673" s="713"/>
      <c r="QOW673" s="713"/>
      <c r="QOX673" s="713"/>
      <c r="QOY673" s="713"/>
      <c r="QOZ673" s="713"/>
      <c r="QPA673" s="713"/>
      <c r="QPB673" s="713"/>
      <c r="QPC673" s="713"/>
      <c r="QPD673" s="713"/>
      <c r="QPE673" s="713"/>
      <c r="QPF673" s="713"/>
      <c r="QPG673" s="713"/>
      <c r="QPH673" s="713"/>
      <c r="QPI673" s="713"/>
      <c r="QPJ673" s="713"/>
      <c r="QPK673" s="713"/>
      <c r="QPL673" s="713"/>
      <c r="QPM673" s="713"/>
      <c r="QPN673" s="713"/>
      <c r="QPO673" s="713"/>
      <c r="QPP673" s="713"/>
      <c r="QPQ673" s="713"/>
      <c r="QPR673" s="713"/>
      <c r="QPS673" s="713"/>
      <c r="QPT673" s="713"/>
      <c r="QPU673" s="713"/>
      <c r="QPV673" s="713"/>
      <c r="QPW673" s="713"/>
      <c r="QPX673" s="713"/>
      <c r="QPY673" s="713"/>
      <c r="QPZ673" s="713"/>
      <c r="QQA673" s="713"/>
      <c r="QQB673" s="713"/>
      <c r="QQC673" s="713"/>
      <c r="QQD673" s="713"/>
      <c r="QQE673" s="713"/>
      <c r="QQF673" s="713"/>
      <c r="QQG673" s="713"/>
      <c r="QQH673" s="713"/>
      <c r="QQI673" s="713"/>
      <c r="QQJ673" s="713"/>
      <c r="QQK673" s="713"/>
      <c r="QQL673" s="713"/>
      <c r="QQM673" s="713"/>
      <c r="QQN673" s="713"/>
      <c r="QQO673" s="713"/>
      <c r="QQP673" s="713"/>
      <c r="QQQ673" s="713"/>
      <c r="QQR673" s="713"/>
      <c r="QQS673" s="713"/>
      <c r="QQT673" s="713"/>
      <c r="QQU673" s="713"/>
      <c r="QQV673" s="713"/>
      <c r="QQW673" s="713"/>
      <c r="QQX673" s="713"/>
      <c r="QQY673" s="713"/>
      <c r="QQZ673" s="713"/>
      <c r="QRA673" s="713"/>
      <c r="QRB673" s="713"/>
      <c r="QRC673" s="713"/>
      <c r="QRD673" s="713"/>
      <c r="QRE673" s="713"/>
      <c r="QRF673" s="713"/>
      <c r="QRG673" s="713"/>
      <c r="QRH673" s="713"/>
      <c r="QRI673" s="713"/>
      <c r="QRJ673" s="713"/>
      <c r="QRK673" s="713"/>
      <c r="QRL673" s="713"/>
      <c r="QRM673" s="713"/>
      <c r="QRN673" s="713"/>
      <c r="QRO673" s="713"/>
      <c r="QRP673" s="713"/>
      <c r="QRQ673" s="713"/>
      <c r="QRR673" s="713"/>
      <c r="QRS673" s="713"/>
      <c r="QRT673" s="713"/>
      <c r="QRU673" s="713"/>
      <c r="QRV673" s="713"/>
      <c r="QRW673" s="713"/>
      <c r="QRX673" s="713"/>
      <c r="QRY673" s="713"/>
      <c r="QRZ673" s="713"/>
      <c r="QSA673" s="713"/>
      <c r="QSB673" s="713"/>
      <c r="QSC673" s="713"/>
      <c r="QSD673" s="713"/>
      <c r="QSE673" s="713"/>
      <c r="QSF673" s="713"/>
      <c r="QSG673" s="713"/>
      <c r="QSH673" s="713"/>
      <c r="QSI673" s="713"/>
      <c r="QSJ673" s="713"/>
      <c r="QSK673" s="713"/>
      <c r="QSL673" s="713"/>
      <c r="QSM673" s="713"/>
      <c r="QSN673" s="713"/>
      <c r="QSO673" s="713"/>
      <c r="QSP673" s="713"/>
      <c r="QSQ673" s="713"/>
      <c r="QSR673" s="713"/>
      <c r="QSS673" s="713"/>
      <c r="QST673" s="713"/>
      <c r="QSU673" s="713"/>
      <c r="QSV673" s="713"/>
      <c r="QSW673" s="713"/>
      <c r="QSX673" s="713"/>
      <c r="QSY673" s="713"/>
      <c r="QSZ673" s="713"/>
      <c r="QTA673" s="713"/>
      <c r="QTB673" s="713"/>
      <c r="QTC673" s="713"/>
      <c r="QTD673" s="713"/>
      <c r="QTE673" s="713"/>
      <c r="QTF673" s="713"/>
      <c r="QTG673" s="713"/>
      <c r="QTH673" s="713"/>
      <c r="QTI673" s="713"/>
      <c r="QTJ673" s="713"/>
      <c r="QTK673" s="713"/>
      <c r="QTL673" s="713"/>
      <c r="QTM673" s="713"/>
      <c r="QTN673" s="713"/>
      <c r="QTO673" s="713"/>
      <c r="QTP673" s="713"/>
      <c r="QTQ673" s="713"/>
      <c r="QTR673" s="713"/>
      <c r="QTS673" s="713"/>
      <c r="QTT673" s="713"/>
      <c r="QTU673" s="713"/>
      <c r="QTV673" s="713"/>
      <c r="QTW673" s="713"/>
      <c r="QTX673" s="713"/>
      <c r="QTY673" s="713"/>
      <c r="QTZ673" s="713"/>
      <c r="QUA673" s="713"/>
      <c r="QUB673" s="713"/>
      <c r="QUC673" s="713"/>
      <c r="QUD673" s="713"/>
      <c r="QUE673" s="713"/>
      <c r="QUF673" s="713"/>
      <c r="QUG673" s="713"/>
      <c r="QUH673" s="713"/>
      <c r="QUI673" s="713"/>
      <c r="QUJ673" s="713"/>
      <c r="QUK673" s="713"/>
      <c r="QUL673" s="713"/>
      <c r="QUM673" s="713"/>
      <c r="QUN673" s="713"/>
      <c r="QUO673" s="713"/>
      <c r="QUP673" s="713"/>
      <c r="QUQ673" s="713"/>
      <c r="QUR673" s="713"/>
      <c r="QUS673" s="713"/>
      <c r="QUT673" s="713"/>
      <c r="QUU673" s="713"/>
      <c r="QUV673" s="713"/>
      <c r="QUW673" s="713"/>
      <c r="QUX673" s="713"/>
      <c r="QUY673" s="713"/>
      <c r="QUZ673" s="713"/>
      <c r="QVA673" s="713"/>
      <c r="QVB673" s="713"/>
      <c r="QVC673" s="713"/>
      <c r="QVD673" s="713"/>
      <c r="QVE673" s="713"/>
      <c r="QVF673" s="713"/>
      <c r="QVG673" s="713"/>
      <c r="QVH673" s="713"/>
      <c r="QVI673" s="713"/>
      <c r="QVJ673" s="713"/>
      <c r="QVK673" s="713"/>
      <c r="QVL673" s="713"/>
      <c r="QVM673" s="713"/>
      <c r="QVN673" s="713"/>
      <c r="QVO673" s="713"/>
      <c r="QVP673" s="713"/>
      <c r="QVQ673" s="713"/>
      <c r="QVR673" s="713"/>
      <c r="QVS673" s="713"/>
      <c r="QVT673" s="713"/>
      <c r="QVU673" s="713"/>
      <c r="QVV673" s="713"/>
      <c r="QVW673" s="713"/>
      <c r="QVX673" s="713"/>
      <c r="QVY673" s="713"/>
      <c r="QVZ673" s="713"/>
      <c r="QWA673" s="713"/>
      <c r="QWB673" s="713"/>
      <c r="QWC673" s="713"/>
      <c r="QWD673" s="713"/>
      <c r="QWE673" s="713"/>
      <c r="QWF673" s="713"/>
      <c r="QWG673" s="713"/>
      <c r="QWH673" s="713"/>
      <c r="QWI673" s="713"/>
      <c r="QWJ673" s="713"/>
      <c r="QWK673" s="713"/>
      <c r="QWL673" s="713"/>
      <c r="QWM673" s="713"/>
      <c r="QWN673" s="713"/>
      <c r="QWO673" s="713"/>
      <c r="QWP673" s="713"/>
      <c r="QWQ673" s="713"/>
      <c r="QWR673" s="713"/>
      <c r="QWS673" s="713"/>
      <c r="QWT673" s="713"/>
      <c r="QWU673" s="713"/>
      <c r="QWV673" s="713"/>
      <c r="QWW673" s="713"/>
      <c r="QWX673" s="713"/>
      <c r="QWY673" s="713"/>
      <c r="QWZ673" s="713"/>
      <c r="QXA673" s="713"/>
      <c r="QXB673" s="713"/>
      <c r="QXC673" s="713"/>
      <c r="QXD673" s="713"/>
      <c r="QXE673" s="713"/>
      <c r="QXF673" s="713"/>
      <c r="QXG673" s="713"/>
      <c r="QXH673" s="713"/>
      <c r="QXI673" s="713"/>
      <c r="QXJ673" s="713"/>
      <c r="QXK673" s="713"/>
      <c r="QXL673" s="713"/>
      <c r="QXM673" s="713"/>
      <c r="QXN673" s="713"/>
      <c r="QXO673" s="713"/>
      <c r="QXP673" s="713"/>
      <c r="QXQ673" s="713"/>
      <c r="QXR673" s="713"/>
      <c r="QXS673" s="713"/>
      <c r="QXT673" s="713"/>
      <c r="QXU673" s="713"/>
      <c r="QXV673" s="713"/>
      <c r="QXW673" s="713"/>
      <c r="QXX673" s="713"/>
      <c r="QXY673" s="713"/>
      <c r="QXZ673" s="713"/>
      <c r="QYA673" s="713"/>
      <c r="QYB673" s="713"/>
      <c r="QYC673" s="713"/>
      <c r="QYD673" s="713"/>
      <c r="QYE673" s="713"/>
      <c r="QYF673" s="713"/>
      <c r="QYG673" s="713"/>
      <c r="QYH673" s="713"/>
      <c r="QYI673" s="713"/>
      <c r="QYJ673" s="713"/>
      <c r="QYK673" s="713"/>
      <c r="QYL673" s="713"/>
      <c r="QYM673" s="713"/>
      <c r="QYN673" s="713"/>
      <c r="QYO673" s="713"/>
      <c r="QYP673" s="713"/>
      <c r="QYQ673" s="713"/>
      <c r="QYR673" s="713"/>
      <c r="QYS673" s="713"/>
      <c r="QYT673" s="713"/>
      <c r="QYU673" s="713"/>
      <c r="QYV673" s="713"/>
      <c r="QYW673" s="713"/>
      <c r="QYX673" s="713"/>
      <c r="QYY673" s="713"/>
      <c r="QYZ673" s="713"/>
      <c r="QZA673" s="713"/>
      <c r="QZB673" s="713"/>
      <c r="QZC673" s="713"/>
      <c r="QZD673" s="713"/>
      <c r="QZE673" s="713"/>
      <c r="QZF673" s="713"/>
      <c r="QZG673" s="713"/>
      <c r="QZH673" s="713"/>
      <c r="QZI673" s="713"/>
      <c r="QZJ673" s="713"/>
      <c r="QZK673" s="713"/>
      <c r="QZL673" s="713"/>
      <c r="QZM673" s="713"/>
      <c r="QZN673" s="713"/>
      <c r="QZO673" s="713"/>
      <c r="QZP673" s="713"/>
      <c r="QZQ673" s="713"/>
      <c r="QZR673" s="713"/>
      <c r="QZS673" s="713"/>
      <c r="QZT673" s="713"/>
      <c r="QZU673" s="713"/>
      <c r="QZV673" s="713"/>
      <c r="QZW673" s="713"/>
      <c r="QZX673" s="713"/>
      <c r="QZY673" s="713"/>
      <c r="QZZ673" s="713"/>
      <c r="RAA673" s="713"/>
      <c r="RAB673" s="713"/>
      <c r="RAC673" s="713"/>
      <c r="RAD673" s="713"/>
      <c r="RAE673" s="713"/>
      <c r="RAF673" s="713"/>
      <c r="RAG673" s="713"/>
      <c r="RAH673" s="713"/>
      <c r="RAI673" s="713"/>
      <c r="RAJ673" s="713"/>
      <c r="RAK673" s="713"/>
      <c r="RAL673" s="713"/>
      <c r="RAM673" s="713"/>
      <c r="RAN673" s="713"/>
      <c r="RAO673" s="713"/>
      <c r="RAP673" s="713"/>
      <c r="RAQ673" s="713"/>
      <c r="RAR673" s="713"/>
      <c r="RAS673" s="713"/>
      <c r="RAT673" s="713"/>
      <c r="RAU673" s="713"/>
      <c r="RAV673" s="713"/>
      <c r="RAW673" s="713"/>
      <c r="RAX673" s="713"/>
      <c r="RAY673" s="713"/>
      <c r="RAZ673" s="713"/>
      <c r="RBA673" s="713"/>
      <c r="RBB673" s="713"/>
      <c r="RBC673" s="713"/>
      <c r="RBD673" s="713"/>
      <c r="RBE673" s="713"/>
      <c r="RBF673" s="713"/>
      <c r="RBG673" s="713"/>
      <c r="RBH673" s="713"/>
      <c r="RBI673" s="713"/>
      <c r="RBJ673" s="713"/>
      <c r="RBK673" s="713"/>
      <c r="RBL673" s="713"/>
      <c r="RBM673" s="713"/>
      <c r="RBN673" s="713"/>
      <c r="RBO673" s="713"/>
      <c r="RBP673" s="713"/>
      <c r="RBQ673" s="713"/>
      <c r="RBR673" s="713"/>
      <c r="RBS673" s="713"/>
      <c r="RBT673" s="713"/>
      <c r="RBU673" s="713"/>
      <c r="RBV673" s="713"/>
      <c r="RBW673" s="713"/>
      <c r="RBX673" s="713"/>
      <c r="RBY673" s="713"/>
      <c r="RBZ673" s="713"/>
      <c r="RCA673" s="713"/>
      <c r="RCB673" s="713"/>
      <c r="RCC673" s="713"/>
      <c r="RCD673" s="713"/>
      <c r="RCE673" s="713"/>
      <c r="RCF673" s="713"/>
      <c r="RCG673" s="713"/>
      <c r="RCH673" s="713"/>
      <c r="RCI673" s="713"/>
      <c r="RCJ673" s="713"/>
      <c r="RCK673" s="713"/>
      <c r="RCL673" s="713"/>
      <c r="RCM673" s="713"/>
      <c r="RCN673" s="713"/>
      <c r="RCO673" s="713"/>
      <c r="RCP673" s="713"/>
      <c r="RCQ673" s="713"/>
      <c r="RCR673" s="713"/>
      <c r="RCS673" s="713"/>
      <c r="RCT673" s="713"/>
      <c r="RCU673" s="713"/>
      <c r="RCV673" s="713"/>
      <c r="RCW673" s="713"/>
      <c r="RCX673" s="713"/>
      <c r="RCY673" s="713"/>
      <c r="RCZ673" s="713"/>
      <c r="RDA673" s="713"/>
      <c r="RDB673" s="713"/>
      <c r="RDC673" s="713"/>
      <c r="RDD673" s="713"/>
      <c r="RDE673" s="713"/>
      <c r="RDF673" s="713"/>
      <c r="RDG673" s="713"/>
      <c r="RDH673" s="713"/>
      <c r="RDI673" s="713"/>
      <c r="RDJ673" s="713"/>
      <c r="RDK673" s="713"/>
      <c r="RDL673" s="713"/>
      <c r="RDM673" s="713"/>
      <c r="RDN673" s="713"/>
      <c r="RDO673" s="713"/>
      <c r="RDP673" s="713"/>
      <c r="RDQ673" s="713"/>
      <c r="RDR673" s="713"/>
      <c r="RDS673" s="713"/>
      <c r="RDT673" s="713"/>
      <c r="RDU673" s="713"/>
      <c r="RDV673" s="713"/>
      <c r="RDW673" s="713"/>
      <c r="RDX673" s="713"/>
      <c r="RDY673" s="713"/>
      <c r="RDZ673" s="713"/>
      <c r="REA673" s="713"/>
      <c r="REB673" s="713"/>
      <c r="REC673" s="713"/>
      <c r="RED673" s="713"/>
      <c r="REE673" s="713"/>
      <c r="REF673" s="713"/>
      <c r="REG673" s="713"/>
      <c r="REH673" s="713"/>
      <c r="REI673" s="713"/>
      <c r="REJ673" s="713"/>
      <c r="REK673" s="713"/>
      <c r="REL673" s="713"/>
      <c r="REM673" s="713"/>
      <c r="REN673" s="713"/>
      <c r="REO673" s="713"/>
      <c r="REP673" s="713"/>
      <c r="REQ673" s="713"/>
      <c r="RER673" s="713"/>
      <c r="RES673" s="713"/>
      <c r="RET673" s="713"/>
      <c r="REU673" s="713"/>
      <c r="REV673" s="713"/>
      <c r="REW673" s="713"/>
      <c r="REX673" s="713"/>
      <c r="REY673" s="713"/>
      <c r="REZ673" s="713"/>
      <c r="RFA673" s="713"/>
      <c r="RFB673" s="713"/>
      <c r="RFC673" s="713"/>
      <c r="RFD673" s="713"/>
      <c r="RFE673" s="713"/>
      <c r="RFF673" s="713"/>
      <c r="RFG673" s="713"/>
      <c r="RFH673" s="713"/>
      <c r="RFI673" s="713"/>
      <c r="RFJ673" s="713"/>
      <c r="RFK673" s="713"/>
      <c r="RFL673" s="713"/>
      <c r="RFM673" s="713"/>
      <c r="RFN673" s="713"/>
      <c r="RFO673" s="713"/>
      <c r="RFP673" s="713"/>
      <c r="RFQ673" s="713"/>
      <c r="RFR673" s="713"/>
      <c r="RFS673" s="713"/>
      <c r="RFT673" s="713"/>
      <c r="RFU673" s="713"/>
      <c r="RFV673" s="713"/>
      <c r="RFW673" s="713"/>
      <c r="RFX673" s="713"/>
      <c r="RFY673" s="713"/>
      <c r="RFZ673" s="713"/>
      <c r="RGA673" s="713"/>
      <c r="RGB673" s="713"/>
      <c r="RGC673" s="713"/>
      <c r="RGD673" s="713"/>
      <c r="RGE673" s="713"/>
      <c r="RGF673" s="713"/>
      <c r="RGG673" s="713"/>
      <c r="RGH673" s="713"/>
      <c r="RGI673" s="713"/>
      <c r="RGJ673" s="713"/>
      <c r="RGK673" s="713"/>
      <c r="RGL673" s="713"/>
      <c r="RGM673" s="713"/>
      <c r="RGN673" s="713"/>
      <c r="RGO673" s="713"/>
      <c r="RGP673" s="713"/>
      <c r="RGQ673" s="713"/>
      <c r="RGR673" s="713"/>
      <c r="RGS673" s="713"/>
      <c r="RGT673" s="713"/>
      <c r="RGU673" s="713"/>
      <c r="RGV673" s="713"/>
      <c r="RGW673" s="713"/>
      <c r="RGX673" s="713"/>
      <c r="RGY673" s="713"/>
      <c r="RGZ673" s="713"/>
      <c r="RHA673" s="713"/>
      <c r="RHB673" s="713"/>
      <c r="RHC673" s="713"/>
      <c r="RHD673" s="713"/>
      <c r="RHE673" s="713"/>
      <c r="RHF673" s="713"/>
      <c r="RHG673" s="713"/>
      <c r="RHH673" s="713"/>
      <c r="RHI673" s="713"/>
      <c r="RHJ673" s="713"/>
      <c r="RHK673" s="713"/>
      <c r="RHL673" s="713"/>
      <c r="RHM673" s="713"/>
      <c r="RHN673" s="713"/>
      <c r="RHO673" s="713"/>
      <c r="RHP673" s="713"/>
      <c r="RHQ673" s="713"/>
      <c r="RHR673" s="713"/>
      <c r="RHS673" s="713"/>
      <c r="RHT673" s="713"/>
      <c r="RHU673" s="713"/>
      <c r="RHV673" s="713"/>
      <c r="RHW673" s="713"/>
      <c r="RHX673" s="713"/>
      <c r="RHY673" s="713"/>
      <c r="RHZ673" s="713"/>
      <c r="RIA673" s="713"/>
      <c r="RIB673" s="713"/>
      <c r="RIC673" s="713"/>
      <c r="RID673" s="713"/>
      <c r="RIE673" s="713"/>
      <c r="RIF673" s="713"/>
      <c r="RIG673" s="713"/>
      <c r="RIH673" s="713"/>
      <c r="RII673" s="713"/>
      <c r="RIJ673" s="713"/>
      <c r="RIK673" s="713"/>
      <c r="RIL673" s="713"/>
      <c r="RIM673" s="713"/>
      <c r="RIN673" s="713"/>
      <c r="RIO673" s="713"/>
      <c r="RIP673" s="713"/>
      <c r="RIQ673" s="713"/>
      <c r="RIR673" s="713"/>
      <c r="RIS673" s="713"/>
      <c r="RIT673" s="713"/>
      <c r="RIU673" s="713"/>
      <c r="RIV673" s="713"/>
      <c r="RIW673" s="713"/>
      <c r="RIX673" s="713"/>
      <c r="RIY673" s="713"/>
      <c r="RIZ673" s="713"/>
      <c r="RJA673" s="713"/>
      <c r="RJB673" s="713"/>
      <c r="RJC673" s="713"/>
      <c r="RJD673" s="713"/>
      <c r="RJE673" s="713"/>
      <c r="RJF673" s="713"/>
      <c r="RJG673" s="713"/>
      <c r="RJH673" s="713"/>
      <c r="RJI673" s="713"/>
      <c r="RJJ673" s="713"/>
      <c r="RJK673" s="713"/>
      <c r="RJL673" s="713"/>
      <c r="RJM673" s="713"/>
      <c r="RJN673" s="713"/>
      <c r="RJO673" s="713"/>
      <c r="RJP673" s="713"/>
      <c r="RJQ673" s="713"/>
      <c r="RJR673" s="713"/>
      <c r="RJS673" s="713"/>
      <c r="RJT673" s="713"/>
      <c r="RJU673" s="713"/>
      <c r="RJV673" s="713"/>
      <c r="RJW673" s="713"/>
      <c r="RJX673" s="713"/>
      <c r="RJY673" s="713"/>
      <c r="RJZ673" s="713"/>
      <c r="RKA673" s="713"/>
      <c r="RKB673" s="713"/>
      <c r="RKC673" s="713"/>
      <c r="RKD673" s="713"/>
      <c r="RKE673" s="713"/>
      <c r="RKF673" s="713"/>
      <c r="RKG673" s="713"/>
      <c r="RKH673" s="713"/>
      <c r="RKI673" s="713"/>
      <c r="RKJ673" s="713"/>
      <c r="RKK673" s="713"/>
      <c r="RKL673" s="713"/>
      <c r="RKM673" s="713"/>
      <c r="RKN673" s="713"/>
      <c r="RKO673" s="713"/>
      <c r="RKP673" s="713"/>
      <c r="RKQ673" s="713"/>
      <c r="RKR673" s="713"/>
      <c r="RKS673" s="713"/>
      <c r="RKT673" s="713"/>
      <c r="RKU673" s="713"/>
      <c r="RKV673" s="713"/>
      <c r="RKW673" s="713"/>
      <c r="RKX673" s="713"/>
      <c r="RKY673" s="713"/>
      <c r="RKZ673" s="713"/>
      <c r="RLA673" s="713"/>
      <c r="RLB673" s="713"/>
      <c r="RLC673" s="713"/>
      <c r="RLD673" s="713"/>
      <c r="RLE673" s="713"/>
      <c r="RLF673" s="713"/>
      <c r="RLG673" s="713"/>
      <c r="RLH673" s="713"/>
      <c r="RLI673" s="713"/>
      <c r="RLJ673" s="713"/>
      <c r="RLK673" s="713"/>
      <c r="RLL673" s="713"/>
      <c r="RLM673" s="713"/>
      <c r="RLN673" s="713"/>
      <c r="RLO673" s="713"/>
      <c r="RLP673" s="713"/>
      <c r="RLQ673" s="713"/>
      <c r="RLR673" s="713"/>
      <c r="RLS673" s="713"/>
      <c r="RLT673" s="713"/>
      <c r="RLU673" s="713"/>
      <c r="RLV673" s="713"/>
      <c r="RLW673" s="713"/>
      <c r="RLX673" s="713"/>
      <c r="RLY673" s="713"/>
      <c r="RLZ673" s="713"/>
      <c r="RMA673" s="713"/>
      <c r="RMB673" s="713"/>
      <c r="RMC673" s="713"/>
      <c r="RMD673" s="713"/>
      <c r="RME673" s="713"/>
      <c r="RMF673" s="713"/>
      <c r="RMG673" s="713"/>
      <c r="RMH673" s="713"/>
      <c r="RMI673" s="713"/>
      <c r="RMJ673" s="713"/>
      <c r="RMK673" s="713"/>
      <c r="RML673" s="713"/>
      <c r="RMM673" s="713"/>
      <c r="RMN673" s="713"/>
      <c r="RMO673" s="713"/>
      <c r="RMP673" s="713"/>
      <c r="RMQ673" s="713"/>
      <c r="RMR673" s="713"/>
      <c r="RMS673" s="713"/>
      <c r="RMT673" s="713"/>
      <c r="RMU673" s="713"/>
      <c r="RMV673" s="713"/>
      <c r="RMW673" s="713"/>
      <c r="RMX673" s="713"/>
      <c r="RMY673" s="713"/>
      <c r="RMZ673" s="713"/>
      <c r="RNA673" s="713"/>
      <c r="RNB673" s="713"/>
      <c r="RNC673" s="713"/>
      <c r="RND673" s="713"/>
      <c r="RNE673" s="713"/>
      <c r="RNF673" s="713"/>
      <c r="RNG673" s="713"/>
      <c r="RNH673" s="713"/>
      <c r="RNI673" s="713"/>
      <c r="RNJ673" s="713"/>
      <c r="RNK673" s="713"/>
      <c r="RNL673" s="713"/>
      <c r="RNM673" s="713"/>
      <c r="RNN673" s="713"/>
      <c r="RNO673" s="713"/>
      <c r="RNP673" s="713"/>
      <c r="RNQ673" s="713"/>
      <c r="RNR673" s="713"/>
      <c r="RNS673" s="713"/>
      <c r="RNT673" s="713"/>
      <c r="RNU673" s="713"/>
      <c r="RNV673" s="713"/>
      <c r="RNW673" s="713"/>
      <c r="RNX673" s="713"/>
      <c r="RNY673" s="713"/>
      <c r="RNZ673" s="713"/>
      <c r="ROA673" s="713"/>
      <c r="ROB673" s="713"/>
      <c r="ROC673" s="713"/>
      <c r="ROD673" s="713"/>
      <c r="ROE673" s="713"/>
      <c r="ROF673" s="713"/>
      <c r="ROG673" s="713"/>
      <c r="ROH673" s="713"/>
      <c r="ROI673" s="713"/>
      <c r="ROJ673" s="713"/>
      <c r="ROK673" s="713"/>
      <c r="ROL673" s="713"/>
      <c r="ROM673" s="713"/>
      <c r="RON673" s="713"/>
      <c r="ROO673" s="713"/>
      <c r="ROP673" s="713"/>
      <c r="ROQ673" s="713"/>
      <c r="ROR673" s="713"/>
      <c r="ROS673" s="713"/>
      <c r="ROT673" s="713"/>
      <c r="ROU673" s="713"/>
      <c r="ROV673" s="713"/>
      <c r="ROW673" s="713"/>
      <c r="ROX673" s="713"/>
      <c r="ROY673" s="713"/>
      <c r="ROZ673" s="713"/>
      <c r="RPA673" s="713"/>
      <c r="RPB673" s="713"/>
      <c r="RPC673" s="713"/>
      <c r="RPD673" s="713"/>
      <c r="RPE673" s="713"/>
      <c r="RPF673" s="713"/>
      <c r="RPG673" s="713"/>
      <c r="RPH673" s="713"/>
      <c r="RPI673" s="713"/>
      <c r="RPJ673" s="713"/>
      <c r="RPK673" s="713"/>
      <c r="RPL673" s="713"/>
      <c r="RPM673" s="713"/>
      <c r="RPN673" s="713"/>
      <c r="RPO673" s="713"/>
      <c r="RPP673" s="713"/>
      <c r="RPQ673" s="713"/>
      <c r="RPR673" s="713"/>
      <c r="RPS673" s="713"/>
      <c r="RPT673" s="713"/>
      <c r="RPU673" s="713"/>
      <c r="RPV673" s="713"/>
      <c r="RPW673" s="713"/>
      <c r="RPX673" s="713"/>
      <c r="RPY673" s="713"/>
      <c r="RPZ673" s="713"/>
      <c r="RQA673" s="713"/>
      <c r="RQB673" s="713"/>
      <c r="RQC673" s="713"/>
      <c r="RQD673" s="713"/>
      <c r="RQE673" s="713"/>
      <c r="RQF673" s="713"/>
      <c r="RQG673" s="713"/>
      <c r="RQH673" s="713"/>
      <c r="RQI673" s="713"/>
      <c r="RQJ673" s="713"/>
      <c r="RQK673" s="713"/>
      <c r="RQL673" s="713"/>
      <c r="RQM673" s="713"/>
      <c r="RQN673" s="713"/>
      <c r="RQO673" s="713"/>
      <c r="RQP673" s="713"/>
      <c r="RQQ673" s="713"/>
      <c r="RQR673" s="713"/>
      <c r="RQS673" s="713"/>
      <c r="RQT673" s="713"/>
      <c r="RQU673" s="713"/>
      <c r="RQV673" s="713"/>
      <c r="RQW673" s="713"/>
      <c r="RQX673" s="713"/>
      <c r="RQY673" s="713"/>
      <c r="RQZ673" s="713"/>
      <c r="RRA673" s="713"/>
      <c r="RRB673" s="713"/>
      <c r="RRC673" s="713"/>
      <c r="RRD673" s="713"/>
      <c r="RRE673" s="713"/>
      <c r="RRF673" s="713"/>
      <c r="RRG673" s="713"/>
      <c r="RRH673" s="713"/>
      <c r="RRI673" s="713"/>
      <c r="RRJ673" s="713"/>
      <c r="RRK673" s="713"/>
      <c r="RRL673" s="713"/>
      <c r="RRM673" s="713"/>
      <c r="RRN673" s="713"/>
      <c r="RRO673" s="713"/>
      <c r="RRP673" s="713"/>
      <c r="RRQ673" s="713"/>
      <c r="RRR673" s="713"/>
      <c r="RRS673" s="713"/>
      <c r="RRT673" s="713"/>
      <c r="RRU673" s="713"/>
      <c r="RRV673" s="713"/>
      <c r="RRW673" s="713"/>
      <c r="RRX673" s="713"/>
      <c r="RRY673" s="713"/>
      <c r="RRZ673" s="713"/>
      <c r="RSA673" s="713"/>
      <c r="RSB673" s="713"/>
      <c r="RSC673" s="713"/>
      <c r="RSD673" s="713"/>
      <c r="RSE673" s="713"/>
      <c r="RSF673" s="713"/>
      <c r="RSG673" s="713"/>
      <c r="RSH673" s="713"/>
      <c r="RSI673" s="713"/>
      <c r="RSJ673" s="713"/>
      <c r="RSK673" s="713"/>
      <c r="RSL673" s="713"/>
      <c r="RSM673" s="713"/>
      <c r="RSN673" s="713"/>
      <c r="RSO673" s="713"/>
      <c r="RSP673" s="713"/>
      <c r="RSQ673" s="713"/>
      <c r="RSR673" s="713"/>
      <c r="RSS673" s="713"/>
      <c r="RST673" s="713"/>
      <c r="RSU673" s="713"/>
      <c r="RSV673" s="713"/>
      <c r="RSW673" s="713"/>
      <c r="RSX673" s="713"/>
      <c r="RSY673" s="713"/>
      <c r="RSZ673" s="713"/>
      <c r="RTA673" s="713"/>
      <c r="RTB673" s="713"/>
      <c r="RTC673" s="713"/>
      <c r="RTD673" s="713"/>
      <c r="RTE673" s="713"/>
      <c r="RTF673" s="713"/>
      <c r="RTG673" s="713"/>
      <c r="RTH673" s="713"/>
      <c r="RTI673" s="713"/>
      <c r="RTJ673" s="713"/>
      <c r="RTK673" s="713"/>
      <c r="RTL673" s="713"/>
      <c r="RTM673" s="713"/>
      <c r="RTN673" s="713"/>
      <c r="RTO673" s="713"/>
      <c r="RTP673" s="713"/>
      <c r="RTQ673" s="713"/>
      <c r="RTR673" s="713"/>
      <c r="RTS673" s="713"/>
      <c r="RTT673" s="713"/>
      <c r="RTU673" s="713"/>
      <c r="RTV673" s="713"/>
      <c r="RTW673" s="713"/>
      <c r="RTX673" s="713"/>
      <c r="RTY673" s="713"/>
      <c r="RTZ673" s="713"/>
      <c r="RUA673" s="713"/>
      <c r="RUB673" s="713"/>
      <c r="RUC673" s="713"/>
      <c r="RUD673" s="713"/>
      <c r="RUE673" s="713"/>
      <c r="RUF673" s="713"/>
      <c r="RUG673" s="713"/>
      <c r="RUH673" s="713"/>
      <c r="RUI673" s="713"/>
      <c r="RUJ673" s="713"/>
      <c r="RUK673" s="713"/>
      <c r="RUL673" s="713"/>
      <c r="RUM673" s="713"/>
      <c r="RUN673" s="713"/>
      <c r="RUO673" s="713"/>
      <c r="RUP673" s="713"/>
      <c r="RUQ673" s="713"/>
      <c r="RUR673" s="713"/>
      <c r="RUS673" s="713"/>
      <c r="RUT673" s="713"/>
      <c r="RUU673" s="713"/>
      <c r="RUV673" s="713"/>
      <c r="RUW673" s="713"/>
      <c r="RUX673" s="713"/>
      <c r="RUY673" s="713"/>
      <c r="RUZ673" s="713"/>
      <c r="RVA673" s="713"/>
      <c r="RVB673" s="713"/>
      <c r="RVC673" s="713"/>
      <c r="RVD673" s="713"/>
      <c r="RVE673" s="713"/>
      <c r="RVF673" s="713"/>
      <c r="RVG673" s="713"/>
      <c r="RVH673" s="713"/>
      <c r="RVI673" s="713"/>
      <c r="RVJ673" s="713"/>
      <c r="RVK673" s="713"/>
      <c r="RVL673" s="713"/>
      <c r="RVM673" s="713"/>
      <c r="RVN673" s="713"/>
      <c r="RVO673" s="713"/>
      <c r="RVP673" s="713"/>
      <c r="RVQ673" s="713"/>
      <c r="RVR673" s="713"/>
      <c r="RVS673" s="713"/>
      <c r="RVT673" s="713"/>
      <c r="RVU673" s="713"/>
      <c r="RVV673" s="713"/>
      <c r="RVW673" s="713"/>
      <c r="RVX673" s="713"/>
      <c r="RVY673" s="713"/>
      <c r="RVZ673" s="713"/>
      <c r="RWA673" s="713"/>
      <c r="RWB673" s="713"/>
      <c r="RWC673" s="713"/>
      <c r="RWD673" s="713"/>
      <c r="RWE673" s="713"/>
      <c r="RWF673" s="713"/>
      <c r="RWG673" s="713"/>
      <c r="RWH673" s="713"/>
      <c r="RWI673" s="713"/>
      <c r="RWJ673" s="713"/>
      <c r="RWK673" s="713"/>
      <c r="RWL673" s="713"/>
      <c r="RWM673" s="713"/>
      <c r="RWN673" s="713"/>
      <c r="RWO673" s="713"/>
      <c r="RWP673" s="713"/>
      <c r="RWQ673" s="713"/>
      <c r="RWR673" s="713"/>
      <c r="RWS673" s="713"/>
      <c r="RWT673" s="713"/>
      <c r="RWU673" s="713"/>
      <c r="RWV673" s="713"/>
      <c r="RWW673" s="713"/>
      <c r="RWX673" s="713"/>
      <c r="RWY673" s="713"/>
      <c r="RWZ673" s="713"/>
      <c r="RXA673" s="713"/>
      <c r="RXB673" s="713"/>
      <c r="RXC673" s="713"/>
      <c r="RXD673" s="713"/>
      <c r="RXE673" s="713"/>
      <c r="RXF673" s="713"/>
      <c r="RXG673" s="713"/>
      <c r="RXH673" s="713"/>
      <c r="RXI673" s="713"/>
      <c r="RXJ673" s="713"/>
      <c r="RXK673" s="713"/>
      <c r="RXL673" s="713"/>
      <c r="RXM673" s="713"/>
      <c r="RXN673" s="713"/>
      <c r="RXO673" s="713"/>
      <c r="RXP673" s="713"/>
      <c r="RXQ673" s="713"/>
      <c r="RXR673" s="713"/>
      <c r="RXS673" s="713"/>
      <c r="RXT673" s="713"/>
      <c r="RXU673" s="713"/>
      <c r="RXV673" s="713"/>
      <c r="RXW673" s="713"/>
      <c r="RXX673" s="713"/>
      <c r="RXY673" s="713"/>
      <c r="RXZ673" s="713"/>
      <c r="RYA673" s="713"/>
      <c r="RYB673" s="713"/>
      <c r="RYC673" s="713"/>
      <c r="RYD673" s="713"/>
      <c r="RYE673" s="713"/>
      <c r="RYF673" s="713"/>
      <c r="RYG673" s="713"/>
      <c r="RYH673" s="713"/>
      <c r="RYI673" s="713"/>
      <c r="RYJ673" s="713"/>
      <c r="RYK673" s="713"/>
      <c r="RYL673" s="713"/>
      <c r="RYM673" s="713"/>
      <c r="RYN673" s="713"/>
      <c r="RYO673" s="713"/>
      <c r="RYP673" s="713"/>
      <c r="RYQ673" s="713"/>
      <c r="RYR673" s="713"/>
      <c r="RYS673" s="713"/>
      <c r="RYT673" s="713"/>
      <c r="RYU673" s="713"/>
      <c r="RYV673" s="713"/>
      <c r="RYW673" s="713"/>
      <c r="RYX673" s="713"/>
      <c r="RYY673" s="713"/>
      <c r="RYZ673" s="713"/>
      <c r="RZA673" s="713"/>
      <c r="RZB673" s="713"/>
      <c r="RZC673" s="713"/>
      <c r="RZD673" s="713"/>
      <c r="RZE673" s="713"/>
      <c r="RZF673" s="713"/>
      <c r="RZG673" s="713"/>
      <c r="RZH673" s="713"/>
      <c r="RZI673" s="713"/>
      <c r="RZJ673" s="713"/>
      <c r="RZK673" s="713"/>
      <c r="RZL673" s="713"/>
      <c r="RZM673" s="713"/>
      <c r="RZN673" s="713"/>
      <c r="RZO673" s="713"/>
      <c r="RZP673" s="713"/>
      <c r="RZQ673" s="713"/>
      <c r="RZR673" s="713"/>
      <c r="RZS673" s="713"/>
      <c r="RZT673" s="713"/>
      <c r="RZU673" s="713"/>
      <c r="RZV673" s="713"/>
      <c r="RZW673" s="713"/>
      <c r="RZX673" s="713"/>
      <c r="RZY673" s="713"/>
      <c r="RZZ673" s="713"/>
      <c r="SAA673" s="713"/>
      <c r="SAB673" s="713"/>
      <c r="SAC673" s="713"/>
      <c r="SAD673" s="713"/>
      <c r="SAE673" s="713"/>
      <c r="SAF673" s="713"/>
      <c r="SAG673" s="713"/>
      <c r="SAH673" s="713"/>
      <c r="SAI673" s="713"/>
      <c r="SAJ673" s="713"/>
      <c r="SAK673" s="713"/>
      <c r="SAL673" s="713"/>
      <c r="SAM673" s="713"/>
      <c r="SAN673" s="713"/>
      <c r="SAO673" s="713"/>
      <c r="SAP673" s="713"/>
      <c r="SAQ673" s="713"/>
      <c r="SAR673" s="713"/>
      <c r="SAS673" s="713"/>
      <c r="SAT673" s="713"/>
      <c r="SAU673" s="713"/>
      <c r="SAV673" s="713"/>
      <c r="SAW673" s="713"/>
      <c r="SAX673" s="713"/>
      <c r="SAY673" s="713"/>
      <c r="SAZ673" s="713"/>
      <c r="SBA673" s="713"/>
      <c r="SBB673" s="713"/>
      <c r="SBC673" s="713"/>
      <c r="SBD673" s="713"/>
      <c r="SBE673" s="713"/>
      <c r="SBF673" s="713"/>
      <c r="SBG673" s="713"/>
      <c r="SBH673" s="713"/>
      <c r="SBI673" s="713"/>
      <c r="SBJ673" s="713"/>
      <c r="SBK673" s="713"/>
      <c r="SBL673" s="713"/>
      <c r="SBM673" s="713"/>
      <c r="SBN673" s="713"/>
      <c r="SBO673" s="713"/>
      <c r="SBP673" s="713"/>
      <c r="SBQ673" s="713"/>
      <c r="SBR673" s="713"/>
      <c r="SBS673" s="713"/>
      <c r="SBT673" s="713"/>
      <c r="SBU673" s="713"/>
      <c r="SBV673" s="713"/>
      <c r="SBW673" s="713"/>
      <c r="SBX673" s="713"/>
      <c r="SBY673" s="713"/>
      <c r="SBZ673" s="713"/>
      <c r="SCA673" s="713"/>
      <c r="SCB673" s="713"/>
      <c r="SCC673" s="713"/>
      <c r="SCD673" s="713"/>
      <c r="SCE673" s="713"/>
      <c r="SCF673" s="713"/>
      <c r="SCG673" s="713"/>
      <c r="SCH673" s="713"/>
      <c r="SCI673" s="713"/>
      <c r="SCJ673" s="713"/>
      <c r="SCK673" s="713"/>
      <c r="SCL673" s="713"/>
      <c r="SCM673" s="713"/>
      <c r="SCN673" s="713"/>
      <c r="SCO673" s="713"/>
      <c r="SCP673" s="713"/>
      <c r="SCQ673" s="713"/>
      <c r="SCR673" s="713"/>
      <c r="SCS673" s="713"/>
      <c r="SCT673" s="713"/>
      <c r="SCU673" s="713"/>
      <c r="SCV673" s="713"/>
      <c r="SCW673" s="713"/>
      <c r="SCX673" s="713"/>
      <c r="SCY673" s="713"/>
      <c r="SCZ673" s="713"/>
      <c r="SDA673" s="713"/>
      <c r="SDB673" s="713"/>
      <c r="SDC673" s="713"/>
      <c r="SDD673" s="713"/>
      <c r="SDE673" s="713"/>
      <c r="SDF673" s="713"/>
      <c r="SDG673" s="713"/>
      <c r="SDH673" s="713"/>
      <c r="SDI673" s="713"/>
      <c r="SDJ673" s="713"/>
      <c r="SDK673" s="713"/>
      <c r="SDL673" s="713"/>
      <c r="SDM673" s="713"/>
      <c r="SDN673" s="713"/>
      <c r="SDO673" s="713"/>
      <c r="SDP673" s="713"/>
      <c r="SDQ673" s="713"/>
      <c r="SDR673" s="713"/>
      <c r="SDS673" s="713"/>
      <c r="SDT673" s="713"/>
      <c r="SDU673" s="713"/>
      <c r="SDV673" s="713"/>
      <c r="SDW673" s="713"/>
      <c r="SDX673" s="713"/>
      <c r="SDY673" s="713"/>
      <c r="SDZ673" s="713"/>
      <c r="SEA673" s="713"/>
      <c r="SEB673" s="713"/>
      <c r="SEC673" s="713"/>
      <c r="SED673" s="713"/>
      <c r="SEE673" s="713"/>
      <c r="SEF673" s="713"/>
      <c r="SEG673" s="713"/>
      <c r="SEH673" s="713"/>
      <c r="SEI673" s="713"/>
      <c r="SEJ673" s="713"/>
      <c r="SEK673" s="713"/>
      <c r="SEL673" s="713"/>
      <c r="SEM673" s="713"/>
      <c r="SEN673" s="713"/>
      <c r="SEO673" s="713"/>
      <c r="SEP673" s="713"/>
      <c r="SEQ673" s="713"/>
      <c r="SER673" s="713"/>
      <c r="SES673" s="713"/>
      <c r="SET673" s="713"/>
      <c r="SEU673" s="713"/>
      <c r="SEV673" s="713"/>
      <c r="SEW673" s="713"/>
      <c r="SEX673" s="713"/>
      <c r="SEY673" s="713"/>
      <c r="SEZ673" s="713"/>
      <c r="SFA673" s="713"/>
      <c r="SFB673" s="713"/>
      <c r="SFC673" s="713"/>
      <c r="SFD673" s="713"/>
      <c r="SFE673" s="713"/>
      <c r="SFF673" s="713"/>
      <c r="SFG673" s="713"/>
      <c r="SFH673" s="713"/>
      <c r="SFI673" s="713"/>
      <c r="SFJ673" s="713"/>
      <c r="SFK673" s="713"/>
      <c r="SFL673" s="713"/>
      <c r="SFM673" s="713"/>
      <c r="SFN673" s="713"/>
      <c r="SFO673" s="713"/>
      <c r="SFP673" s="713"/>
      <c r="SFQ673" s="713"/>
      <c r="SFR673" s="713"/>
      <c r="SFS673" s="713"/>
      <c r="SFT673" s="713"/>
      <c r="SFU673" s="713"/>
      <c r="SFV673" s="713"/>
      <c r="SFW673" s="713"/>
      <c r="SFX673" s="713"/>
      <c r="SFY673" s="713"/>
      <c r="SFZ673" s="713"/>
      <c r="SGA673" s="713"/>
      <c r="SGB673" s="713"/>
      <c r="SGC673" s="713"/>
      <c r="SGD673" s="713"/>
      <c r="SGE673" s="713"/>
      <c r="SGF673" s="713"/>
      <c r="SGG673" s="713"/>
      <c r="SGH673" s="713"/>
      <c r="SGI673" s="713"/>
      <c r="SGJ673" s="713"/>
      <c r="SGK673" s="713"/>
      <c r="SGL673" s="713"/>
      <c r="SGM673" s="713"/>
      <c r="SGN673" s="713"/>
      <c r="SGO673" s="713"/>
      <c r="SGP673" s="713"/>
      <c r="SGQ673" s="713"/>
      <c r="SGR673" s="713"/>
      <c r="SGS673" s="713"/>
      <c r="SGT673" s="713"/>
      <c r="SGU673" s="713"/>
      <c r="SGV673" s="713"/>
      <c r="SGW673" s="713"/>
      <c r="SGX673" s="713"/>
      <c r="SGY673" s="713"/>
      <c r="SGZ673" s="713"/>
      <c r="SHA673" s="713"/>
      <c r="SHB673" s="713"/>
      <c r="SHC673" s="713"/>
      <c r="SHD673" s="713"/>
      <c r="SHE673" s="713"/>
      <c r="SHF673" s="713"/>
      <c r="SHG673" s="713"/>
      <c r="SHH673" s="713"/>
      <c r="SHI673" s="713"/>
      <c r="SHJ673" s="713"/>
      <c r="SHK673" s="713"/>
      <c r="SHL673" s="713"/>
      <c r="SHM673" s="713"/>
      <c r="SHN673" s="713"/>
      <c r="SHO673" s="713"/>
      <c r="SHP673" s="713"/>
      <c r="SHQ673" s="713"/>
      <c r="SHR673" s="713"/>
      <c r="SHS673" s="713"/>
      <c r="SHT673" s="713"/>
      <c r="SHU673" s="713"/>
      <c r="SHV673" s="713"/>
      <c r="SHW673" s="713"/>
      <c r="SHX673" s="713"/>
      <c r="SHY673" s="713"/>
      <c r="SHZ673" s="713"/>
      <c r="SIA673" s="713"/>
      <c r="SIB673" s="713"/>
      <c r="SIC673" s="713"/>
      <c r="SID673" s="713"/>
      <c r="SIE673" s="713"/>
      <c r="SIF673" s="713"/>
      <c r="SIG673" s="713"/>
      <c r="SIH673" s="713"/>
      <c r="SII673" s="713"/>
      <c r="SIJ673" s="713"/>
      <c r="SIK673" s="713"/>
      <c r="SIL673" s="713"/>
      <c r="SIM673" s="713"/>
      <c r="SIN673" s="713"/>
      <c r="SIO673" s="713"/>
      <c r="SIP673" s="713"/>
      <c r="SIQ673" s="713"/>
      <c r="SIR673" s="713"/>
      <c r="SIS673" s="713"/>
      <c r="SIT673" s="713"/>
      <c r="SIU673" s="713"/>
      <c r="SIV673" s="713"/>
      <c r="SIW673" s="713"/>
      <c r="SIX673" s="713"/>
      <c r="SIY673" s="713"/>
      <c r="SIZ673" s="713"/>
      <c r="SJA673" s="713"/>
      <c r="SJB673" s="713"/>
      <c r="SJC673" s="713"/>
      <c r="SJD673" s="713"/>
      <c r="SJE673" s="713"/>
      <c r="SJF673" s="713"/>
      <c r="SJG673" s="713"/>
      <c r="SJH673" s="713"/>
      <c r="SJI673" s="713"/>
      <c r="SJJ673" s="713"/>
      <c r="SJK673" s="713"/>
      <c r="SJL673" s="713"/>
      <c r="SJM673" s="713"/>
      <c r="SJN673" s="713"/>
      <c r="SJO673" s="713"/>
      <c r="SJP673" s="713"/>
      <c r="SJQ673" s="713"/>
      <c r="SJR673" s="713"/>
      <c r="SJS673" s="713"/>
      <c r="SJT673" s="713"/>
      <c r="SJU673" s="713"/>
      <c r="SJV673" s="713"/>
      <c r="SJW673" s="713"/>
      <c r="SJX673" s="713"/>
      <c r="SJY673" s="713"/>
      <c r="SJZ673" s="713"/>
      <c r="SKA673" s="713"/>
      <c r="SKB673" s="713"/>
      <c r="SKC673" s="713"/>
      <c r="SKD673" s="713"/>
      <c r="SKE673" s="713"/>
      <c r="SKF673" s="713"/>
      <c r="SKG673" s="713"/>
      <c r="SKH673" s="713"/>
      <c r="SKI673" s="713"/>
      <c r="SKJ673" s="713"/>
      <c r="SKK673" s="713"/>
      <c r="SKL673" s="713"/>
      <c r="SKM673" s="713"/>
      <c r="SKN673" s="713"/>
      <c r="SKO673" s="713"/>
      <c r="SKP673" s="713"/>
      <c r="SKQ673" s="713"/>
      <c r="SKR673" s="713"/>
      <c r="SKS673" s="713"/>
      <c r="SKT673" s="713"/>
      <c r="SKU673" s="713"/>
      <c r="SKV673" s="713"/>
      <c r="SKW673" s="713"/>
      <c r="SKX673" s="713"/>
      <c r="SKY673" s="713"/>
      <c r="SKZ673" s="713"/>
      <c r="SLA673" s="713"/>
      <c r="SLB673" s="713"/>
      <c r="SLC673" s="713"/>
      <c r="SLD673" s="713"/>
      <c r="SLE673" s="713"/>
      <c r="SLF673" s="713"/>
      <c r="SLG673" s="713"/>
      <c r="SLH673" s="713"/>
      <c r="SLI673" s="713"/>
      <c r="SLJ673" s="713"/>
      <c r="SLK673" s="713"/>
      <c r="SLL673" s="713"/>
      <c r="SLM673" s="713"/>
      <c r="SLN673" s="713"/>
      <c r="SLO673" s="713"/>
      <c r="SLP673" s="713"/>
      <c r="SLQ673" s="713"/>
      <c r="SLR673" s="713"/>
      <c r="SLS673" s="713"/>
      <c r="SLT673" s="713"/>
      <c r="SLU673" s="713"/>
      <c r="SLV673" s="713"/>
      <c r="SLW673" s="713"/>
      <c r="SLX673" s="713"/>
      <c r="SLY673" s="713"/>
      <c r="SLZ673" s="713"/>
      <c r="SMA673" s="713"/>
      <c r="SMB673" s="713"/>
      <c r="SMC673" s="713"/>
      <c r="SMD673" s="713"/>
      <c r="SME673" s="713"/>
      <c r="SMF673" s="713"/>
      <c r="SMG673" s="713"/>
      <c r="SMH673" s="713"/>
      <c r="SMI673" s="713"/>
      <c r="SMJ673" s="713"/>
      <c r="SMK673" s="713"/>
      <c r="SML673" s="713"/>
      <c r="SMM673" s="713"/>
      <c r="SMN673" s="713"/>
      <c r="SMO673" s="713"/>
      <c r="SMP673" s="713"/>
      <c r="SMQ673" s="713"/>
      <c r="SMR673" s="713"/>
      <c r="SMS673" s="713"/>
      <c r="SMT673" s="713"/>
      <c r="SMU673" s="713"/>
      <c r="SMV673" s="713"/>
      <c r="SMW673" s="713"/>
      <c r="SMX673" s="713"/>
      <c r="SMY673" s="713"/>
      <c r="SMZ673" s="713"/>
      <c r="SNA673" s="713"/>
      <c r="SNB673" s="713"/>
      <c r="SNC673" s="713"/>
      <c r="SND673" s="713"/>
      <c r="SNE673" s="713"/>
      <c r="SNF673" s="713"/>
      <c r="SNG673" s="713"/>
      <c r="SNH673" s="713"/>
      <c r="SNI673" s="713"/>
      <c r="SNJ673" s="713"/>
      <c r="SNK673" s="713"/>
      <c r="SNL673" s="713"/>
      <c r="SNM673" s="713"/>
      <c r="SNN673" s="713"/>
      <c r="SNO673" s="713"/>
      <c r="SNP673" s="713"/>
      <c r="SNQ673" s="713"/>
      <c r="SNR673" s="713"/>
      <c r="SNS673" s="713"/>
      <c r="SNT673" s="713"/>
      <c r="SNU673" s="713"/>
      <c r="SNV673" s="713"/>
      <c r="SNW673" s="713"/>
      <c r="SNX673" s="713"/>
      <c r="SNY673" s="713"/>
      <c r="SNZ673" s="713"/>
      <c r="SOA673" s="713"/>
      <c r="SOB673" s="713"/>
      <c r="SOC673" s="713"/>
      <c r="SOD673" s="713"/>
      <c r="SOE673" s="713"/>
      <c r="SOF673" s="713"/>
      <c r="SOG673" s="713"/>
      <c r="SOH673" s="713"/>
      <c r="SOI673" s="713"/>
      <c r="SOJ673" s="713"/>
      <c r="SOK673" s="713"/>
      <c r="SOL673" s="713"/>
      <c r="SOM673" s="713"/>
      <c r="SON673" s="713"/>
      <c r="SOO673" s="713"/>
      <c r="SOP673" s="713"/>
      <c r="SOQ673" s="713"/>
      <c r="SOR673" s="713"/>
      <c r="SOS673" s="713"/>
      <c r="SOT673" s="713"/>
      <c r="SOU673" s="713"/>
      <c r="SOV673" s="713"/>
      <c r="SOW673" s="713"/>
      <c r="SOX673" s="713"/>
      <c r="SOY673" s="713"/>
      <c r="SOZ673" s="713"/>
      <c r="SPA673" s="713"/>
      <c r="SPB673" s="713"/>
      <c r="SPC673" s="713"/>
      <c r="SPD673" s="713"/>
      <c r="SPE673" s="713"/>
      <c r="SPF673" s="713"/>
      <c r="SPG673" s="713"/>
      <c r="SPH673" s="713"/>
      <c r="SPI673" s="713"/>
      <c r="SPJ673" s="713"/>
      <c r="SPK673" s="713"/>
      <c r="SPL673" s="713"/>
      <c r="SPM673" s="713"/>
      <c r="SPN673" s="713"/>
      <c r="SPO673" s="713"/>
      <c r="SPP673" s="713"/>
      <c r="SPQ673" s="713"/>
      <c r="SPR673" s="713"/>
      <c r="SPS673" s="713"/>
      <c r="SPT673" s="713"/>
      <c r="SPU673" s="713"/>
      <c r="SPV673" s="713"/>
      <c r="SPW673" s="713"/>
      <c r="SPX673" s="713"/>
      <c r="SPY673" s="713"/>
      <c r="SPZ673" s="713"/>
      <c r="SQA673" s="713"/>
      <c r="SQB673" s="713"/>
      <c r="SQC673" s="713"/>
      <c r="SQD673" s="713"/>
      <c r="SQE673" s="713"/>
      <c r="SQF673" s="713"/>
      <c r="SQG673" s="713"/>
      <c r="SQH673" s="713"/>
      <c r="SQI673" s="713"/>
      <c r="SQJ673" s="713"/>
      <c r="SQK673" s="713"/>
      <c r="SQL673" s="713"/>
      <c r="SQM673" s="713"/>
      <c r="SQN673" s="713"/>
      <c r="SQO673" s="713"/>
      <c r="SQP673" s="713"/>
      <c r="SQQ673" s="713"/>
      <c r="SQR673" s="713"/>
      <c r="SQS673" s="713"/>
      <c r="SQT673" s="713"/>
      <c r="SQU673" s="713"/>
      <c r="SQV673" s="713"/>
      <c r="SQW673" s="713"/>
      <c r="SQX673" s="713"/>
      <c r="SQY673" s="713"/>
      <c r="SQZ673" s="713"/>
      <c r="SRA673" s="713"/>
      <c r="SRB673" s="713"/>
      <c r="SRC673" s="713"/>
      <c r="SRD673" s="713"/>
      <c r="SRE673" s="713"/>
      <c r="SRF673" s="713"/>
      <c r="SRG673" s="713"/>
      <c r="SRH673" s="713"/>
      <c r="SRI673" s="713"/>
      <c r="SRJ673" s="713"/>
      <c r="SRK673" s="713"/>
      <c r="SRL673" s="713"/>
      <c r="SRM673" s="713"/>
      <c r="SRN673" s="713"/>
      <c r="SRO673" s="713"/>
      <c r="SRP673" s="713"/>
      <c r="SRQ673" s="713"/>
      <c r="SRR673" s="713"/>
      <c r="SRS673" s="713"/>
      <c r="SRT673" s="713"/>
      <c r="SRU673" s="713"/>
      <c r="SRV673" s="713"/>
      <c r="SRW673" s="713"/>
      <c r="SRX673" s="713"/>
      <c r="SRY673" s="713"/>
      <c r="SRZ673" s="713"/>
      <c r="SSA673" s="713"/>
      <c r="SSB673" s="713"/>
      <c r="SSC673" s="713"/>
      <c r="SSD673" s="713"/>
      <c r="SSE673" s="713"/>
      <c r="SSF673" s="713"/>
      <c r="SSG673" s="713"/>
      <c r="SSH673" s="713"/>
      <c r="SSI673" s="713"/>
      <c r="SSJ673" s="713"/>
      <c r="SSK673" s="713"/>
      <c r="SSL673" s="713"/>
      <c r="SSM673" s="713"/>
      <c r="SSN673" s="713"/>
      <c r="SSO673" s="713"/>
      <c r="SSP673" s="713"/>
      <c r="SSQ673" s="713"/>
      <c r="SSR673" s="713"/>
      <c r="SSS673" s="713"/>
      <c r="SST673" s="713"/>
      <c r="SSU673" s="713"/>
      <c r="SSV673" s="713"/>
      <c r="SSW673" s="713"/>
      <c r="SSX673" s="713"/>
      <c r="SSY673" s="713"/>
      <c r="SSZ673" s="713"/>
      <c r="STA673" s="713"/>
      <c r="STB673" s="713"/>
      <c r="STC673" s="713"/>
      <c r="STD673" s="713"/>
      <c r="STE673" s="713"/>
      <c r="STF673" s="713"/>
      <c r="STG673" s="713"/>
      <c r="STH673" s="713"/>
      <c r="STI673" s="713"/>
      <c r="STJ673" s="713"/>
      <c r="STK673" s="713"/>
      <c r="STL673" s="713"/>
      <c r="STM673" s="713"/>
      <c r="STN673" s="713"/>
      <c r="STO673" s="713"/>
      <c r="STP673" s="713"/>
      <c r="STQ673" s="713"/>
      <c r="STR673" s="713"/>
      <c r="STS673" s="713"/>
      <c r="STT673" s="713"/>
      <c r="STU673" s="713"/>
      <c r="STV673" s="713"/>
      <c r="STW673" s="713"/>
      <c r="STX673" s="713"/>
      <c r="STY673" s="713"/>
      <c r="STZ673" s="713"/>
      <c r="SUA673" s="713"/>
      <c r="SUB673" s="713"/>
      <c r="SUC673" s="713"/>
      <c r="SUD673" s="713"/>
      <c r="SUE673" s="713"/>
      <c r="SUF673" s="713"/>
      <c r="SUG673" s="713"/>
      <c r="SUH673" s="713"/>
      <c r="SUI673" s="713"/>
      <c r="SUJ673" s="713"/>
      <c r="SUK673" s="713"/>
      <c r="SUL673" s="713"/>
      <c r="SUM673" s="713"/>
      <c r="SUN673" s="713"/>
      <c r="SUO673" s="713"/>
      <c r="SUP673" s="713"/>
      <c r="SUQ673" s="713"/>
      <c r="SUR673" s="713"/>
      <c r="SUS673" s="713"/>
      <c r="SUT673" s="713"/>
      <c r="SUU673" s="713"/>
      <c r="SUV673" s="713"/>
      <c r="SUW673" s="713"/>
      <c r="SUX673" s="713"/>
      <c r="SUY673" s="713"/>
      <c r="SUZ673" s="713"/>
      <c r="SVA673" s="713"/>
      <c r="SVB673" s="713"/>
      <c r="SVC673" s="713"/>
      <c r="SVD673" s="713"/>
      <c r="SVE673" s="713"/>
      <c r="SVF673" s="713"/>
      <c r="SVG673" s="713"/>
      <c r="SVH673" s="713"/>
      <c r="SVI673" s="713"/>
      <c r="SVJ673" s="713"/>
      <c r="SVK673" s="713"/>
      <c r="SVL673" s="713"/>
      <c r="SVM673" s="713"/>
      <c r="SVN673" s="713"/>
      <c r="SVO673" s="713"/>
      <c r="SVP673" s="713"/>
      <c r="SVQ673" s="713"/>
      <c r="SVR673" s="713"/>
      <c r="SVS673" s="713"/>
      <c r="SVT673" s="713"/>
      <c r="SVU673" s="713"/>
      <c r="SVV673" s="713"/>
      <c r="SVW673" s="713"/>
      <c r="SVX673" s="713"/>
      <c r="SVY673" s="713"/>
      <c r="SVZ673" s="713"/>
      <c r="SWA673" s="713"/>
      <c r="SWB673" s="713"/>
      <c r="SWC673" s="713"/>
      <c r="SWD673" s="713"/>
      <c r="SWE673" s="713"/>
      <c r="SWF673" s="713"/>
      <c r="SWG673" s="713"/>
      <c r="SWH673" s="713"/>
      <c r="SWI673" s="713"/>
      <c r="SWJ673" s="713"/>
      <c r="SWK673" s="713"/>
      <c r="SWL673" s="713"/>
      <c r="SWM673" s="713"/>
      <c r="SWN673" s="713"/>
      <c r="SWO673" s="713"/>
      <c r="SWP673" s="713"/>
      <c r="SWQ673" s="713"/>
      <c r="SWR673" s="713"/>
      <c r="SWS673" s="713"/>
      <c r="SWT673" s="713"/>
      <c r="SWU673" s="713"/>
      <c r="SWV673" s="713"/>
      <c r="SWW673" s="713"/>
      <c r="SWX673" s="713"/>
      <c r="SWY673" s="713"/>
      <c r="SWZ673" s="713"/>
      <c r="SXA673" s="713"/>
      <c r="SXB673" s="713"/>
      <c r="SXC673" s="713"/>
      <c r="SXD673" s="713"/>
      <c r="SXE673" s="713"/>
      <c r="SXF673" s="713"/>
      <c r="SXG673" s="713"/>
      <c r="SXH673" s="713"/>
      <c r="SXI673" s="713"/>
      <c r="SXJ673" s="713"/>
      <c r="SXK673" s="713"/>
      <c r="SXL673" s="713"/>
      <c r="SXM673" s="713"/>
      <c r="SXN673" s="713"/>
      <c r="SXO673" s="713"/>
      <c r="SXP673" s="713"/>
      <c r="SXQ673" s="713"/>
      <c r="SXR673" s="713"/>
      <c r="SXS673" s="713"/>
      <c r="SXT673" s="713"/>
      <c r="SXU673" s="713"/>
      <c r="SXV673" s="713"/>
      <c r="SXW673" s="713"/>
      <c r="SXX673" s="713"/>
      <c r="SXY673" s="713"/>
      <c r="SXZ673" s="713"/>
      <c r="SYA673" s="713"/>
      <c r="SYB673" s="713"/>
      <c r="SYC673" s="713"/>
      <c r="SYD673" s="713"/>
      <c r="SYE673" s="713"/>
      <c r="SYF673" s="713"/>
      <c r="SYG673" s="713"/>
      <c r="SYH673" s="713"/>
      <c r="SYI673" s="713"/>
      <c r="SYJ673" s="713"/>
      <c r="SYK673" s="713"/>
      <c r="SYL673" s="713"/>
      <c r="SYM673" s="713"/>
      <c r="SYN673" s="713"/>
      <c r="SYO673" s="713"/>
      <c r="SYP673" s="713"/>
      <c r="SYQ673" s="713"/>
      <c r="SYR673" s="713"/>
      <c r="SYS673" s="713"/>
      <c r="SYT673" s="713"/>
      <c r="SYU673" s="713"/>
      <c r="SYV673" s="713"/>
      <c r="SYW673" s="713"/>
      <c r="SYX673" s="713"/>
      <c r="SYY673" s="713"/>
      <c r="SYZ673" s="713"/>
      <c r="SZA673" s="713"/>
      <c r="SZB673" s="713"/>
      <c r="SZC673" s="713"/>
      <c r="SZD673" s="713"/>
      <c r="SZE673" s="713"/>
      <c r="SZF673" s="713"/>
      <c r="SZG673" s="713"/>
      <c r="SZH673" s="713"/>
      <c r="SZI673" s="713"/>
      <c r="SZJ673" s="713"/>
      <c r="SZK673" s="713"/>
      <c r="SZL673" s="713"/>
      <c r="SZM673" s="713"/>
      <c r="SZN673" s="713"/>
      <c r="SZO673" s="713"/>
      <c r="SZP673" s="713"/>
      <c r="SZQ673" s="713"/>
      <c r="SZR673" s="713"/>
      <c r="SZS673" s="713"/>
      <c r="SZT673" s="713"/>
      <c r="SZU673" s="713"/>
      <c r="SZV673" s="713"/>
      <c r="SZW673" s="713"/>
      <c r="SZX673" s="713"/>
      <c r="SZY673" s="713"/>
      <c r="SZZ673" s="713"/>
      <c r="TAA673" s="713"/>
      <c r="TAB673" s="713"/>
      <c r="TAC673" s="713"/>
      <c r="TAD673" s="713"/>
      <c r="TAE673" s="713"/>
      <c r="TAF673" s="713"/>
      <c r="TAG673" s="713"/>
      <c r="TAH673" s="713"/>
      <c r="TAI673" s="713"/>
      <c r="TAJ673" s="713"/>
      <c r="TAK673" s="713"/>
      <c r="TAL673" s="713"/>
      <c r="TAM673" s="713"/>
      <c r="TAN673" s="713"/>
      <c r="TAO673" s="713"/>
      <c r="TAP673" s="713"/>
      <c r="TAQ673" s="713"/>
      <c r="TAR673" s="713"/>
      <c r="TAS673" s="713"/>
      <c r="TAT673" s="713"/>
      <c r="TAU673" s="713"/>
      <c r="TAV673" s="713"/>
      <c r="TAW673" s="713"/>
      <c r="TAX673" s="713"/>
      <c r="TAY673" s="713"/>
      <c r="TAZ673" s="713"/>
      <c r="TBA673" s="713"/>
      <c r="TBB673" s="713"/>
      <c r="TBC673" s="713"/>
      <c r="TBD673" s="713"/>
      <c r="TBE673" s="713"/>
      <c r="TBF673" s="713"/>
      <c r="TBG673" s="713"/>
      <c r="TBH673" s="713"/>
      <c r="TBI673" s="713"/>
      <c r="TBJ673" s="713"/>
      <c r="TBK673" s="713"/>
      <c r="TBL673" s="713"/>
      <c r="TBM673" s="713"/>
      <c r="TBN673" s="713"/>
      <c r="TBO673" s="713"/>
      <c r="TBP673" s="713"/>
      <c r="TBQ673" s="713"/>
      <c r="TBR673" s="713"/>
      <c r="TBS673" s="713"/>
      <c r="TBT673" s="713"/>
      <c r="TBU673" s="713"/>
      <c r="TBV673" s="713"/>
      <c r="TBW673" s="713"/>
      <c r="TBX673" s="713"/>
      <c r="TBY673" s="713"/>
      <c r="TBZ673" s="713"/>
      <c r="TCA673" s="713"/>
      <c r="TCB673" s="713"/>
      <c r="TCC673" s="713"/>
      <c r="TCD673" s="713"/>
      <c r="TCE673" s="713"/>
      <c r="TCF673" s="713"/>
      <c r="TCG673" s="713"/>
      <c r="TCH673" s="713"/>
      <c r="TCI673" s="713"/>
      <c r="TCJ673" s="713"/>
      <c r="TCK673" s="713"/>
      <c r="TCL673" s="713"/>
      <c r="TCM673" s="713"/>
      <c r="TCN673" s="713"/>
      <c r="TCO673" s="713"/>
      <c r="TCP673" s="713"/>
      <c r="TCQ673" s="713"/>
      <c r="TCR673" s="713"/>
      <c r="TCS673" s="713"/>
      <c r="TCT673" s="713"/>
      <c r="TCU673" s="713"/>
      <c r="TCV673" s="713"/>
      <c r="TCW673" s="713"/>
      <c r="TCX673" s="713"/>
      <c r="TCY673" s="713"/>
      <c r="TCZ673" s="713"/>
      <c r="TDA673" s="713"/>
      <c r="TDB673" s="713"/>
      <c r="TDC673" s="713"/>
      <c r="TDD673" s="713"/>
      <c r="TDE673" s="713"/>
      <c r="TDF673" s="713"/>
      <c r="TDG673" s="713"/>
      <c r="TDH673" s="713"/>
      <c r="TDI673" s="713"/>
      <c r="TDJ673" s="713"/>
      <c r="TDK673" s="713"/>
      <c r="TDL673" s="713"/>
      <c r="TDM673" s="713"/>
      <c r="TDN673" s="713"/>
      <c r="TDO673" s="713"/>
      <c r="TDP673" s="713"/>
      <c r="TDQ673" s="713"/>
      <c r="TDR673" s="713"/>
      <c r="TDS673" s="713"/>
      <c r="TDT673" s="713"/>
      <c r="TDU673" s="713"/>
      <c r="TDV673" s="713"/>
      <c r="TDW673" s="713"/>
      <c r="TDX673" s="713"/>
      <c r="TDY673" s="713"/>
      <c r="TDZ673" s="713"/>
      <c r="TEA673" s="713"/>
      <c r="TEB673" s="713"/>
      <c r="TEC673" s="713"/>
      <c r="TED673" s="713"/>
      <c r="TEE673" s="713"/>
      <c r="TEF673" s="713"/>
      <c r="TEG673" s="713"/>
      <c r="TEH673" s="713"/>
      <c r="TEI673" s="713"/>
      <c r="TEJ673" s="713"/>
      <c r="TEK673" s="713"/>
      <c r="TEL673" s="713"/>
      <c r="TEM673" s="713"/>
      <c r="TEN673" s="713"/>
      <c r="TEO673" s="713"/>
      <c r="TEP673" s="713"/>
      <c r="TEQ673" s="713"/>
      <c r="TER673" s="713"/>
      <c r="TES673" s="713"/>
      <c r="TET673" s="713"/>
      <c r="TEU673" s="713"/>
      <c r="TEV673" s="713"/>
      <c r="TEW673" s="713"/>
      <c r="TEX673" s="713"/>
      <c r="TEY673" s="713"/>
      <c r="TEZ673" s="713"/>
      <c r="TFA673" s="713"/>
      <c r="TFB673" s="713"/>
      <c r="TFC673" s="713"/>
      <c r="TFD673" s="713"/>
      <c r="TFE673" s="713"/>
      <c r="TFF673" s="713"/>
      <c r="TFG673" s="713"/>
      <c r="TFH673" s="713"/>
      <c r="TFI673" s="713"/>
      <c r="TFJ673" s="713"/>
      <c r="TFK673" s="713"/>
      <c r="TFL673" s="713"/>
      <c r="TFM673" s="713"/>
      <c r="TFN673" s="713"/>
      <c r="TFO673" s="713"/>
      <c r="TFP673" s="713"/>
      <c r="TFQ673" s="713"/>
      <c r="TFR673" s="713"/>
      <c r="TFS673" s="713"/>
      <c r="TFT673" s="713"/>
      <c r="TFU673" s="713"/>
      <c r="TFV673" s="713"/>
      <c r="TFW673" s="713"/>
      <c r="TFX673" s="713"/>
      <c r="TFY673" s="713"/>
      <c r="TFZ673" s="713"/>
      <c r="TGA673" s="713"/>
      <c r="TGB673" s="713"/>
      <c r="TGC673" s="713"/>
      <c r="TGD673" s="713"/>
      <c r="TGE673" s="713"/>
      <c r="TGF673" s="713"/>
      <c r="TGG673" s="713"/>
      <c r="TGH673" s="713"/>
      <c r="TGI673" s="713"/>
      <c r="TGJ673" s="713"/>
      <c r="TGK673" s="713"/>
      <c r="TGL673" s="713"/>
      <c r="TGM673" s="713"/>
      <c r="TGN673" s="713"/>
      <c r="TGO673" s="713"/>
      <c r="TGP673" s="713"/>
      <c r="TGQ673" s="713"/>
      <c r="TGR673" s="713"/>
      <c r="TGS673" s="713"/>
      <c r="TGT673" s="713"/>
      <c r="TGU673" s="713"/>
      <c r="TGV673" s="713"/>
      <c r="TGW673" s="713"/>
      <c r="TGX673" s="713"/>
      <c r="TGY673" s="713"/>
      <c r="TGZ673" s="713"/>
      <c r="THA673" s="713"/>
      <c r="THB673" s="713"/>
      <c r="THC673" s="713"/>
      <c r="THD673" s="713"/>
      <c r="THE673" s="713"/>
      <c r="THF673" s="713"/>
      <c r="THG673" s="713"/>
      <c r="THH673" s="713"/>
      <c r="THI673" s="713"/>
      <c r="THJ673" s="713"/>
      <c r="THK673" s="713"/>
      <c r="THL673" s="713"/>
      <c r="THM673" s="713"/>
      <c r="THN673" s="713"/>
      <c r="THO673" s="713"/>
      <c r="THP673" s="713"/>
      <c r="THQ673" s="713"/>
      <c r="THR673" s="713"/>
      <c r="THS673" s="713"/>
      <c r="THT673" s="713"/>
      <c r="THU673" s="713"/>
      <c r="THV673" s="713"/>
      <c r="THW673" s="713"/>
      <c r="THX673" s="713"/>
      <c r="THY673" s="713"/>
      <c r="THZ673" s="713"/>
      <c r="TIA673" s="713"/>
      <c r="TIB673" s="713"/>
      <c r="TIC673" s="713"/>
      <c r="TID673" s="713"/>
      <c r="TIE673" s="713"/>
      <c r="TIF673" s="713"/>
      <c r="TIG673" s="713"/>
      <c r="TIH673" s="713"/>
      <c r="TII673" s="713"/>
      <c r="TIJ673" s="713"/>
      <c r="TIK673" s="713"/>
      <c r="TIL673" s="713"/>
      <c r="TIM673" s="713"/>
      <c r="TIN673" s="713"/>
      <c r="TIO673" s="713"/>
      <c r="TIP673" s="713"/>
      <c r="TIQ673" s="713"/>
      <c r="TIR673" s="713"/>
      <c r="TIS673" s="713"/>
      <c r="TIT673" s="713"/>
      <c r="TIU673" s="713"/>
      <c r="TIV673" s="713"/>
      <c r="TIW673" s="713"/>
      <c r="TIX673" s="713"/>
      <c r="TIY673" s="713"/>
      <c r="TIZ673" s="713"/>
      <c r="TJA673" s="713"/>
      <c r="TJB673" s="713"/>
      <c r="TJC673" s="713"/>
      <c r="TJD673" s="713"/>
      <c r="TJE673" s="713"/>
      <c r="TJF673" s="713"/>
      <c r="TJG673" s="713"/>
      <c r="TJH673" s="713"/>
      <c r="TJI673" s="713"/>
      <c r="TJJ673" s="713"/>
      <c r="TJK673" s="713"/>
      <c r="TJL673" s="713"/>
      <c r="TJM673" s="713"/>
      <c r="TJN673" s="713"/>
      <c r="TJO673" s="713"/>
      <c r="TJP673" s="713"/>
      <c r="TJQ673" s="713"/>
      <c r="TJR673" s="713"/>
      <c r="TJS673" s="713"/>
      <c r="TJT673" s="713"/>
      <c r="TJU673" s="713"/>
      <c r="TJV673" s="713"/>
      <c r="TJW673" s="713"/>
      <c r="TJX673" s="713"/>
      <c r="TJY673" s="713"/>
      <c r="TJZ673" s="713"/>
      <c r="TKA673" s="713"/>
      <c r="TKB673" s="713"/>
      <c r="TKC673" s="713"/>
      <c r="TKD673" s="713"/>
      <c r="TKE673" s="713"/>
      <c r="TKF673" s="713"/>
      <c r="TKG673" s="713"/>
      <c r="TKH673" s="713"/>
      <c r="TKI673" s="713"/>
      <c r="TKJ673" s="713"/>
      <c r="TKK673" s="713"/>
      <c r="TKL673" s="713"/>
      <c r="TKM673" s="713"/>
      <c r="TKN673" s="713"/>
      <c r="TKO673" s="713"/>
      <c r="TKP673" s="713"/>
      <c r="TKQ673" s="713"/>
      <c r="TKR673" s="713"/>
      <c r="TKS673" s="713"/>
      <c r="TKT673" s="713"/>
      <c r="TKU673" s="713"/>
      <c r="TKV673" s="713"/>
      <c r="TKW673" s="713"/>
      <c r="TKX673" s="713"/>
      <c r="TKY673" s="713"/>
      <c r="TKZ673" s="713"/>
      <c r="TLA673" s="713"/>
      <c r="TLB673" s="713"/>
      <c r="TLC673" s="713"/>
      <c r="TLD673" s="713"/>
      <c r="TLE673" s="713"/>
      <c r="TLF673" s="713"/>
      <c r="TLG673" s="713"/>
      <c r="TLH673" s="713"/>
      <c r="TLI673" s="713"/>
      <c r="TLJ673" s="713"/>
      <c r="TLK673" s="713"/>
      <c r="TLL673" s="713"/>
      <c r="TLM673" s="713"/>
      <c r="TLN673" s="713"/>
      <c r="TLO673" s="713"/>
      <c r="TLP673" s="713"/>
      <c r="TLQ673" s="713"/>
      <c r="TLR673" s="713"/>
      <c r="TLS673" s="713"/>
      <c r="TLT673" s="713"/>
      <c r="TLU673" s="713"/>
      <c r="TLV673" s="713"/>
      <c r="TLW673" s="713"/>
      <c r="TLX673" s="713"/>
      <c r="TLY673" s="713"/>
      <c r="TLZ673" s="713"/>
      <c r="TMA673" s="713"/>
      <c r="TMB673" s="713"/>
      <c r="TMC673" s="713"/>
      <c r="TMD673" s="713"/>
      <c r="TME673" s="713"/>
      <c r="TMF673" s="713"/>
      <c r="TMG673" s="713"/>
      <c r="TMH673" s="713"/>
      <c r="TMI673" s="713"/>
      <c r="TMJ673" s="713"/>
      <c r="TMK673" s="713"/>
      <c r="TML673" s="713"/>
      <c r="TMM673" s="713"/>
      <c r="TMN673" s="713"/>
      <c r="TMO673" s="713"/>
      <c r="TMP673" s="713"/>
      <c r="TMQ673" s="713"/>
      <c r="TMR673" s="713"/>
      <c r="TMS673" s="713"/>
      <c r="TMT673" s="713"/>
      <c r="TMU673" s="713"/>
      <c r="TMV673" s="713"/>
      <c r="TMW673" s="713"/>
      <c r="TMX673" s="713"/>
      <c r="TMY673" s="713"/>
      <c r="TMZ673" s="713"/>
      <c r="TNA673" s="713"/>
      <c r="TNB673" s="713"/>
      <c r="TNC673" s="713"/>
      <c r="TND673" s="713"/>
      <c r="TNE673" s="713"/>
      <c r="TNF673" s="713"/>
      <c r="TNG673" s="713"/>
      <c r="TNH673" s="713"/>
      <c r="TNI673" s="713"/>
      <c r="TNJ673" s="713"/>
      <c r="TNK673" s="713"/>
      <c r="TNL673" s="713"/>
      <c r="TNM673" s="713"/>
      <c r="TNN673" s="713"/>
      <c r="TNO673" s="713"/>
      <c r="TNP673" s="713"/>
      <c r="TNQ673" s="713"/>
      <c r="TNR673" s="713"/>
      <c r="TNS673" s="713"/>
      <c r="TNT673" s="713"/>
      <c r="TNU673" s="713"/>
      <c r="TNV673" s="713"/>
      <c r="TNW673" s="713"/>
      <c r="TNX673" s="713"/>
      <c r="TNY673" s="713"/>
      <c r="TNZ673" s="713"/>
      <c r="TOA673" s="713"/>
      <c r="TOB673" s="713"/>
      <c r="TOC673" s="713"/>
      <c r="TOD673" s="713"/>
      <c r="TOE673" s="713"/>
      <c r="TOF673" s="713"/>
      <c r="TOG673" s="713"/>
      <c r="TOH673" s="713"/>
      <c r="TOI673" s="713"/>
      <c r="TOJ673" s="713"/>
      <c r="TOK673" s="713"/>
      <c r="TOL673" s="713"/>
      <c r="TOM673" s="713"/>
      <c r="TON673" s="713"/>
      <c r="TOO673" s="713"/>
      <c r="TOP673" s="713"/>
      <c r="TOQ673" s="713"/>
      <c r="TOR673" s="713"/>
      <c r="TOS673" s="713"/>
      <c r="TOT673" s="713"/>
      <c r="TOU673" s="713"/>
      <c r="TOV673" s="713"/>
      <c r="TOW673" s="713"/>
      <c r="TOX673" s="713"/>
      <c r="TOY673" s="713"/>
      <c r="TOZ673" s="713"/>
      <c r="TPA673" s="713"/>
      <c r="TPB673" s="713"/>
      <c r="TPC673" s="713"/>
      <c r="TPD673" s="713"/>
      <c r="TPE673" s="713"/>
      <c r="TPF673" s="713"/>
      <c r="TPG673" s="713"/>
      <c r="TPH673" s="713"/>
      <c r="TPI673" s="713"/>
      <c r="TPJ673" s="713"/>
      <c r="TPK673" s="713"/>
      <c r="TPL673" s="713"/>
      <c r="TPM673" s="713"/>
      <c r="TPN673" s="713"/>
      <c r="TPO673" s="713"/>
      <c r="TPP673" s="713"/>
      <c r="TPQ673" s="713"/>
      <c r="TPR673" s="713"/>
      <c r="TPS673" s="713"/>
      <c r="TPT673" s="713"/>
      <c r="TPU673" s="713"/>
      <c r="TPV673" s="713"/>
      <c r="TPW673" s="713"/>
      <c r="TPX673" s="713"/>
      <c r="TPY673" s="713"/>
      <c r="TPZ673" s="713"/>
      <c r="TQA673" s="713"/>
      <c r="TQB673" s="713"/>
      <c r="TQC673" s="713"/>
      <c r="TQD673" s="713"/>
      <c r="TQE673" s="713"/>
      <c r="TQF673" s="713"/>
      <c r="TQG673" s="713"/>
      <c r="TQH673" s="713"/>
      <c r="TQI673" s="713"/>
      <c r="TQJ673" s="713"/>
      <c r="TQK673" s="713"/>
      <c r="TQL673" s="713"/>
      <c r="TQM673" s="713"/>
      <c r="TQN673" s="713"/>
      <c r="TQO673" s="713"/>
      <c r="TQP673" s="713"/>
      <c r="TQQ673" s="713"/>
      <c r="TQR673" s="713"/>
      <c r="TQS673" s="713"/>
      <c r="TQT673" s="713"/>
      <c r="TQU673" s="713"/>
      <c r="TQV673" s="713"/>
      <c r="TQW673" s="713"/>
      <c r="TQX673" s="713"/>
      <c r="TQY673" s="713"/>
      <c r="TQZ673" s="713"/>
      <c r="TRA673" s="713"/>
      <c r="TRB673" s="713"/>
      <c r="TRC673" s="713"/>
      <c r="TRD673" s="713"/>
      <c r="TRE673" s="713"/>
      <c r="TRF673" s="713"/>
      <c r="TRG673" s="713"/>
      <c r="TRH673" s="713"/>
      <c r="TRI673" s="713"/>
      <c r="TRJ673" s="713"/>
      <c r="TRK673" s="713"/>
      <c r="TRL673" s="713"/>
      <c r="TRM673" s="713"/>
      <c r="TRN673" s="713"/>
      <c r="TRO673" s="713"/>
      <c r="TRP673" s="713"/>
      <c r="TRQ673" s="713"/>
      <c r="TRR673" s="713"/>
      <c r="TRS673" s="713"/>
      <c r="TRT673" s="713"/>
      <c r="TRU673" s="713"/>
      <c r="TRV673" s="713"/>
      <c r="TRW673" s="713"/>
      <c r="TRX673" s="713"/>
      <c r="TRY673" s="713"/>
      <c r="TRZ673" s="713"/>
      <c r="TSA673" s="713"/>
      <c r="TSB673" s="713"/>
      <c r="TSC673" s="713"/>
      <c r="TSD673" s="713"/>
      <c r="TSE673" s="713"/>
      <c r="TSF673" s="713"/>
      <c r="TSG673" s="713"/>
      <c r="TSH673" s="713"/>
      <c r="TSI673" s="713"/>
      <c r="TSJ673" s="713"/>
      <c r="TSK673" s="713"/>
      <c r="TSL673" s="713"/>
      <c r="TSM673" s="713"/>
      <c r="TSN673" s="713"/>
      <c r="TSO673" s="713"/>
      <c r="TSP673" s="713"/>
      <c r="TSQ673" s="713"/>
      <c r="TSR673" s="713"/>
      <c r="TSS673" s="713"/>
      <c r="TST673" s="713"/>
      <c r="TSU673" s="713"/>
      <c r="TSV673" s="713"/>
      <c r="TSW673" s="713"/>
      <c r="TSX673" s="713"/>
      <c r="TSY673" s="713"/>
      <c r="TSZ673" s="713"/>
      <c r="TTA673" s="713"/>
      <c r="TTB673" s="713"/>
      <c r="TTC673" s="713"/>
      <c r="TTD673" s="713"/>
      <c r="TTE673" s="713"/>
      <c r="TTF673" s="713"/>
      <c r="TTG673" s="713"/>
      <c r="TTH673" s="713"/>
      <c r="TTI673" s="713"/>
      <c r="TTJ673" s="713"/>
      <c r="TTK673" s="713"/>
      <c r="TTL673" s="713"/>
      <c r="TTM673" s="713"/>
      <c r="TTN673" s="713"/>
      <c r="TTO673" s="713"/>
      <c r="TTP673" s="713"/>
      <c r="TTQ673" s="713"/>
      <c r="TTR673" s="713"/>
      <c r="TTS673" s="713"/>
      <c r="TTT673" s="713"/>
      <c r="TTU673" s="713"/>
      <c r="TTV673" s="713"/>
      <c r="TTW673" s="713"/>
      <c r="TTX673" s="713"/>
      <c r="TTY673" s="713"/>
      <c r="TTZ673" s="713"/>
      <c r="TUA673" s="713"/>
      <c r="TUB673" s="713"/>
      <c r="TUC673" s="713"/>
      <c r="TUD673" s="713"/>
      <c r="TUE673" s="713"/>
      <c r="TUF673" s="713"/>
      <c r="TUG673" s="713"/>
      <c r="TUH673" s="713"/>
      <c r="TUI673" s="713"/>
      <c r="TUJ673" s="713"/>
      <c r="TUK673" s="713"/>
      <c r="TUL673" s="713"/>
      <c r="TUM673" s="713"/>
      <c r="TUN673" s="713"/>
      <c r="TUO673" s="713"/>
      <c r="TUP673" s="713"/>
      <c r="TUQ673" s="713"/>
      <c r="TUR673" s="713"/>
      <c r="TUS673" s="713"/>
      <c r="TUT673" s="713"/>
      <c r="TUU673" s="713"/>
      <c r="TUV673" s="713"/>
      <c r="TUW673" s="713"/>
      <c r="TUX673" s="713"/>
      <c r="TUY673" s="713"/>
      <c r="TUZ673" s="713"/>
      <c r="TVA673" s="713"/>
      <c r="TVB673" s="713"/>
      <c r="TVC673" s="713"/>
      <c r="TVD673" s="713"/>
      <c r="TVE673" s="713"/>
      <c r="TVF673" s="713"/>
      <c r="TVG673" s="713"/>
      <c r="TVH673" s="713"/>
      <c r="TVI673" s="713"/>
      <c r="TVJ673" s="713"/>
      <c r="TVK673" s="713"/>
      <c r="TVL673" s="713"/>
      <c r="TVM673" s="713"/>
      <c r="TVN673" s="713"/>
      <c r="TVO673" s="713"/>
      <c r="TVP673" s="713"/>
      <c r="TVQ673" s="713"/>
      <c r="TVR673" s="713"/>
      <c r="TVS673" s="713"/>
      <c r="TVT673" s="713"/>
      <c r="TVU673" s="713"/>
      <c r="TVV673" s="713"/>
      <c r="TVW673" s="713"/>
      <c r="TVX673" s="713"/>
      <c r="TVY673" s="713"/>
      <c r="TVZ673" s="713"/>
      <c r="TWA673" s="713"/>
      <c r="TWB673" s="713"/>
      <c r="TWC673" s="713"/>
      <c r="TWD673" s="713"/>
      <c r="TWE673" s="713"/>
      <c r="TWF673" s="713"/>
      <c r="TWG673" s="713"/>
      <c r="TWH673" s="713"/>
      <c r="TWI673" s="713"/>
      <c r="TWJ673" s="713"/>
      <c r="TWK673" s="713"/>
      <c r="TWL673" s="713"/>
      <c r="TWM673" s="713"/>
      <c r="TWN673" s="713"/>
      <c r="TWO673" s="713"/>
      <c r="TWP673" s="713"/>
      <c r="TWQ673" s="713"/>
      <c r="TWR673" s="713"/>
      <c r="TWS673" s="713"/>
      <c r="TWT673" s="713"/>
      <c r="TWU673" s="713"/>
      <c r="TWV673" s="713"/>
      <c r="TWW673" s="713"/>
      <c r="TWX673" s="713"/>
      <c r="TWY673" s="713"/>
      <c r="TWZ673" s="713"/>
      <c r="TXA673" s="713"/>
      <c r="TXB673" s="713"/>
      <c r="TXC673" s="713"/>
      <c r="TXD673" s="713"/>
      <c r="TXE673" s="713"/>
      <c r="TXF673" s="713"/>
      <c r="TXG673" s="713"/>
      <c r="TXH673" s="713"/>
      <c r="TXI673" s="713"/>
      <c r="TXJ673" s="713"/>
      <c r="TXK673" s="713"/>
      <c r="TXL673" s="713"/>
      <c r="TXM673" s="713"/>
      <c r="TXN673" s="713"/>
      <c r="TXO673" s="713"/>
      <c r="TXP673" s="713"/>
      <c r="TXQ673" s="713"/>
      <c r="TXR673" s="713"/>
      <c r="TXS673" s="713"/>
      <c r="TXT673" s="713"/>
      <c r="TXU673" s="713"/>
      <c r="TXV673" s="713"/>
      <c r="TXW673" s="713"/>
      <c r="TXX673" s="713"/>
      <c r="TXY673" s="713"/>
      <c r="TXZ673" s="713"/>
      <c r="TYA673" s="713"/>
      <c r="TYB673" s="713"/>
      <c r="TYC673" s="713"/>
      <c r="TYD673" s="713"/>
      <c r="TYE673" s="713"/>
      <c r="TYF673" s="713"/>
      <c r="TYG673" s="713"/>
      <c r="TYH673" s="713"/>
      <c r="TYI673" s="713"/>
      <c r="TYJ673" s="713"/>
      <c r="TYK673" s="713"/>
      <c r="TYL673" s="713"/>
      <c r="TYM673" s="713"/>
      <c r="TYN673" s="713"/>
      <c r="TYO673" s="713"/>
      <c r="TYP673" s="713"/>
      <c r="TYQ673" s="713"/>
      <c r="TYR673" s="713"/>
      <c r="TYS673" s="713"/>
      <c r="TYT673" s="713"/>
      <c r="TYU673" s="713"/>
      <c r="TYV673" s="713"/>
      <c r="TYW673" s="713"/>
      <c r="TYX673" s="713"/>
      <c r="TYY673" s="713"/>
      <c r="TYZ673" s="713"/>
      <c r="TZA673" s="713"/>
      <c r="TZB673" s="713"/>
      <c r="TZC673" s="713"/>
      <c r="TZD673" s="713"/>
      <c r="TZE673" s="713"/>
      <c r="TZF673" s="713"/>
      <c r="TZG673" s="713"/>
      <c r="TZH673" s="713"/>
      <c r="TZI673" s="713"/>
      <c r="TZJ673" s="713"/>
      <c r="TZK673" s="713"/>
      <c r="TZL673" s="713"/>
      <c r="TZM673" s="713"/>
      <c r="TZN673" s="713"/>
      <c r="TZO673" s="713"/>
      <c r="TZP673" s="713"/>
      <c r="TZQ673" s="713"/>
      <c r="TZR673" s="713"/>
      <c r="TZS673" s="713"/>
      <c r="TZT673" s="713"/>
      <c r="TZU673" s="713"/>
      <c r="TZV673" s="713"/>
      <c r="TZW673" s="713"/>
      <c r="TZX673" s="713"/>
      <c r="TZY673" s="713"/>
      <c r="TZZ673" s="713"/>
      <c r="UAA673" s="713"/>
      <c r="UAB673" s="713"/>
      <c r="UAC673" s="713"/>
      <c r="UAD673" s="713"/>
      <c r="UAE673" s="713"/>
      <c r="UAF673" s="713"/>
      <c r="UAG673" s="713"/>
      <c r="UAH673" s="713"/>
      <c r="UAI673" s="713"/>
      <c r="UAJ673" s="713"/>
      <c r="UAK673" s="713"/>
      <c r="UAL673" s="713"/>
      <c r="UAM673" s="713"/>
      <c r="UAN673" s="713"/>
      <c r="UAO673" s="713"/>
      <c r="UAP673" s="713"/>
      <c r="UAQ673" s="713"/>
      <c r="UAR673" s="713"/>
      <c r="UAS673" s="713"/>
      <c r="UAT673" s="713"/>
      <c r="UAU673" s="713"/>
      <c r="UAV673" s="713"/>
      <c r="UAW673" s="713"/>
      <c r="UAX673" s="713"/>
      <c r="UAY673" s="713"/>
      <c r="UAZ673" s="713"/>
      <c r="UBA673" s="713"/>
      <c r="UBB673" s="713"/>
      <c r="UBC673" s="713"/>
      <c r="UBD673" s="713"/>
      <c r="UBE673" s="713"/>
      <c r="UBF673" s="713"/>
      <c r="UBG673" s="713"/>
      <c r="UBH673" s="713"/>
      <c r="UBI673" s="713"/>
      <c r="UBJ673" s="713"/>
      <c r="UBK673" s="713"/>
      <c r="UBL673" s="713"/>
      <c r="UBM673" s="713"/>
      <c r="UBN673" s="713"/>
      <c r="UBO673" s="713"/>
      <c r="UBP673" s="713"/>
      <c r="UBQ673" s="713"/>
      <c r="UBR673" s="713"/>
      <c r="UBS673" s="713"/>
      <c r="UBT673" s="713"/>
      <c r="UBU673" s="713"/>
      <c r="UBV673" s="713"/>
      <c r="UBW673" s="713"/>
      <c r="UBX673" s="713"/>
      <c r="UBY673" s="713"/>
      <c r="UBZ673" s="713"/>
      <c r="UCA673" s="713"/>
      <c r="UCB673" s="713"/>
      <c r="UCC673" s="713"/>
      <c r="UCD673" s="713"/>
      <c r="UCE673" s="713"/>
      <c r="UCF673" s="713"/>
      <c r="UCG673" s="713"/>
      <c r="UCH673" s="713"/>
      <c r="UCI673" s="713"/>
      <c r="UCJ673" s="713"/>
      <c r="UCK673" s="713"/>
      <c r="UCL673" s="713"/>
      <c r="UCM673" s="713"/>
      <c r="UCN673" s="713"/>
      <c r="UCO673" s="713"/>
      <c r="UCP673" s="713"/>
      <c r="UCQ673" s="713"/>
      <c r="UCR673" s="713"/>
      <c r="UCS673" s="713"/>
      <c r="UCT673" s="713"/>
      <c r="UCU673" s="713"/>
      <c r="UCV673" s="713"/>
      <c r="UCW673" s="713"/>
      <c r="UCX673" s="713"/>
      <c r="UCY673" s="713"/>
      <c r="UCZ673" s="713"/>
      <c r="UDA673" s="713"/>
      <c r="UDB673" s="713"/>
      <c r="UDC673" s="713"/>
      <c r="UDD673" s="713"/>
      <c r="UDE673" s="713"/>
      <c r="UDF673" s="713"/>
      <c r="UDG673" s="713"/>
      <c r="UDH673" s="713"/>
      <c r="UDI673" s="713"/>
      <c r="UDJ673" s="713"/>
      <c r="UDK673" s="713"/>
      <c r="UDL673" s="713"/>
      <c r="UDM673" s="713"/>
      <c r="UDN673" s="713"/>
      <c r="UDO673" s="713"/>
      <c r="UDP673" s="713"/>
      <c r="UDQ673" s="713"/>
      <c r="UDR673" s="713"/>
      <c r="UDS673" s="713"/>
      <c r="UDT673" s="713"/>
      <c r="UDU673" s="713"/>
      <c r="UDV673" s="713"/>
      <c r="UDW673" s="713"/>
      <c r="UDX673" s="713"/>
      <c r="UDY673" s="713"/>
      <c r="UDZ673" s="713"/>
      <c r="UEA673" s="713"/>
      <c r="UEB673" s="713"/>
      <c r="UEC673" s="713"/>
      <c r="UED673" s="713"/>
      <c r="UEE673" s="713"/>
      <c r="UEF673" s="713"/>
      <c r="UEG673" s="713"/>
      <c r="UEH673" s="713"/>
      <c r="UEI673" s="713"/>
      <c r="UEJ673" s="713"/>
      <c r="UEK673" s="713"/>
      <c r="UEL673" s="713"/>
      <c r="UEM673" s="713"/>
      <c r="UEN673" s="713"/>
      <c r="UEO673" s="713"/>
      <c r="UEP673" s="713"/>
      <c r="UEQ673" s="713"/>
      <c r="UER673" s="713"/>
      <c r="UES673" s="713"/>
      <c r="UET673" s="713"/>
      <c r="UEU673" s="713"/>
      <c r="UEV673" s="713"/>
      <c r="UEW673" s="713"/>
      <c r="UEX673" s="713"/>
      <c r="UEY673" s="713"/>
      <c r="UEZ673" s="713"/>
      <c r="UFA673" s="713"/>
      <c r="UFB673" s="713"/>
      <c r="UFC673" s="713"/>
      <c r="UFD673" s="713"/>
      <c r="UFE673" s="713"/>
      <c r="UFF673" s="713"/>
      <c r="UFG673" s="713"/>
      <c r="UFH673" s="713"/>
      <c r="UFI673" s="713"/>
      <c r="UFJ673" s="713"/>
      <c r="UFK673" s="713"/>
      <c r="UFL673" s="713"/>
      <c r="UFM673" s="713"/>
      <c r="UFN673" s="713"/>
      <c r="UFO673" s="713"/>
      <c r="UFP673" s="713"/>
      <c r="UFQ673" s="713"/>
      <c r="UFR673" s="713"/>
      <c r="UFS673" s="713"/>
      <c r="UFT673" s="713"/>
      <c r="UFU673" s="713"/>
      <c r="UFV673" s="713"/>
      <c r="UFW673" s="713"/>
      <c r="UFX673" s="713"/>
      <c r="UFY673" s="713"/>
      <c r="UFZ673" s="713"/>
      <c r="UGA673" s="713"/>
      <c r="UGB673" s="713"/>
      <c r="UGC673" s="713"/>
      <c r="UGD673" s="713"/>
      <c r="UGE673" s="713"/>
      <c r="UGF673" s="713"/>
      <c r="UGG673" s="713"/>
      <c r="UGH673" s="713"/>
      <c r="UGI673" s="713"/>
      <c r="UGJ673" s="713"/>
      <c r="UGK673" s="713"/>
      <c r="UGL673" s="713"/>
      <c r="UGM673" s="713"/>
      <c r="UGN673" s="713"/>
      <c r="UGO673" s="713"/>
      <c r="UGP673" s="713"/>
      <c r="UGQ673" s="713"/>
      <c r="UGR673" s="713"/>
      <c r="UGS673" s="713"/>
      <c r="UGT673" s="713"/>
      <c r="UGU673" s="713"/>
      <c r="UGV673" s="713"/>
      <c r="UGW673" s="713"/>
      <c r="UGX673" s="713"/>
      <c r="UGY673" s="713"/>
      <c r="UGZ673" s="713"/>
      <c r="UHA673" s="713"/>
      <c r="UHB673" s="713"/>
      <c r="UHC673" s="713"/>
      <c r="UHD673" s="713"/>
      <c r="UHE673" s="713"/>
      <c r="UHF673" s="713"/>
      <c r="UHG673" s="713"/>
      <c r="UHH673" s="713"/>
      <c r="UHI673" s="713"/>
      <c r="UHJ673" s="713"/>
      <c r="UHK673" s="713"/>
      <c r="UHL673" s="713"/>
      <c r="UHM673" s="713"/>
      <c r="UHN673" s="713"/>
      <c r="UHO673" s="713"/>
      <c r="UHP673" s="713"/>
      <c r="UHQ673" s="713"/>
      <c r="UHR673" s="713"/>
      <c r="UHS673" s="713"/>
      <c r="UHT673" s="713"/>
      <c r="UHU673" s="713"/>
      <c r="UHV673" s="713"/>
      <c r="UHW673" s="713"/>
      <c r="UHX673" s="713"/>
      <c r="UHY673" s="713"/>
      <c r="UHZ673" s="713"/>
      <c r="UIA673" s="713"/>
      <c r="UIB673" s="713"/>
      <c r="UIC673" s="713"/>
      <c r="UID673" s="713"/>
      <c r="UIE673" s="713"/>
      <c r="UIF673" s="713"/>
      <c r="UIG673" s="713"/>
      <c r="UIH673" s="713"/>
      <c r="UII673" s="713"/>
      <c r="UIJ673" s="713"/>
      <c r="UIK673" s="713"/>
      <c r="UIL673" s="713"/>
      <c r="UIM673" s="713"/>
      <c r="UIN673" s="713"/>
      <c r="UIO673" s="713"/>
      <c r="UIP673" s="713"/>
      <c r="UIQ673" s="713"/>
      <c r="UIR673" s="713"/>
      <c r="UIS673" s="713"/>
      <c r="UIT673" s="713"/>
      <c r="UIU673" s="713"/>
      <c r="UIV673" s="713"/>
      <c r="UIW673" s="713"/>
      <c r="UIX673" s="713"/>
      <c r="UIY673" s="713"/>
      <c r="UIZ673" s="713"/>
      <c r="UJA673" s="713"/>
      <c r="UJB673" s="713"/>
      <c r="UJC673" s="713"/>
      <c r="UJD673" s="713"/>
      <c r="UJE673" s="713"/>
      <c r="UJF673" s="713"/>
      <c r="UJG673" s="713"/>
      <c r="UJH673" s="713"/>
      <c r="UJI673" s="713"/>
      <c r="UJJ673" s="713"/>
      <c r="UJK673" s="713"/>
      <c r="UJL673" s="713"/>
      <c r="UJM673" s="713"/>
      <c r="UJN673" s="713"/>
      <c r="UJO673" s="713"/>
      <c r="UJP673" s="713"/>
      <c r="UJQ673" s="713"/>
      <c r="UJR673" s="713"/>
      <c r="UJS673" s="713"/>
      <c r="UJT673" s="713"/>
      <c r="UJU673" s="713"/>
      <c r="UJV673" s="713"/>
      <c r="UJW673" s="713"/>
      <c r="UJX673" s="713"/>
      <c r="UJY673" s="713"/>
      <c r="UJZ673" s="713"/>
      <c r="UKA673" s="713"/>
      <c r="UKB673" s="713"/>
      <c r="UKC673" s="713"/>
      <c r="UKD673" s="713"/>
      <c r="UKE673" s="713"/>
      <c r="UKF673" s="713"/>
      <c r="UKG673" s="713"/>
      <c r="UKH673" s="713"/>
      <c r="UKI673" s="713"/>
      <c r="UKJ673" s="713"/>
      <c r="UKK673" s="713"/>
      <c r="UKL673" s="713"/>
      <c r="UKM673" s="713"/>
      <c r="UKN673" s="713"/>
      <c r="UKO673" s="713"/>
      <c r="UKP673" s="713"/>
      <c r="UKQ673" s="713"/>
      <c r="UKR673" s="713"/>
      <c r="UKS673" s="713"/>
      <c r="UKT673" s="713"/>
      <c r="UKU673" s="713"/>
      <c r="UKV673" s="713"/>
      <c r="UKW673" s="713"/>
      <c r="UKX673" s="713"/>
      <c r="UKY673" s="713"/>
      <c r="UKZ673" s="713"/>
      <c r="ULA673" s="713"/>
      <c r="ULB673" s="713"/>
      <c r="ULC673" s="713"/>
      <c r="ULD673" s="713"/>
      <c r="ULE673" s="713"/>
      <c r="ULF673" s="713"/>
      <c r="ULG673" s="713"/>
      <c r="ULH673" s="713"/>
      <c r="ULI673" s="713"/>
      <c r="ULJ673" s="713"/>
      <c r="ULK673" s="713"/>
      <c r="ULL673" s="713"/>
      <c r="ULM673" s="713"/>
      <c r="ULN673" s="713"/>
      <c r="ULO673" s="713"/>
      <c r="ULP673" s="713"/>
      <c r="ULQ673" s="713"/>
      <c r="ULR673" s="713"/>
      <c r="ULS673" s="713"/>
      <c r="ULT673" s="713"/>
      <c r="ULU673" s="713"/>
      <c r="ULV673" s="713"/>
      <c r="ULW673" s="713"/>
      <c r="ULX673" s="713"/>
      <c r="ULY673" s="713"/>
      <c r="ULZ673" s="713"/>
      <c r="UMA673" s="713"/>
      <c r="UMB673" s="713"/>
      <c r="UMC673" s="713"/>
      <c r="UMD673" s="713"/>
      <c r="UME673" s="713"/>
      <c r="UMF673" s="713"/>
      <c r="UMG673" s="713"/>
      <c r="UMH673" s="713"/>
      <c r="UMI673" s="713"/>
      <c r="UMJ673" s="713"/>
      <c r="UMK673" s="713"/>
      <c r="UML673" s="713"/>
      <c r="UMM673" s="713"/>
      <c r="UMN673" s="713"/>
      <c r="UMO673" s="713"/>
      <c r="UMP673" s="713"/>
      <c r="UMQ673" s="713"/>
      <c r="UMR673" s="713"/>
      <c r="UMS673" s="713"/>
      <c r="UMT673" s="713"/>
      <c r="UMU673" s="713"/>
      <c r="UMV673" s="713"/>
      <c r="UMW673" s="713"/>
      <c r="UMX673" s="713"/>
      <c r="UMY673" s="713"/>
      <c r="UMZ673" s="713"/>
      <c r="UNA673" s="713"/>
      <c r="UNB673" s="713"/>
      <c r="UNC673" s="713"/>
      <c r="UND673" s="713"/>
      <c r="UNE673" s="713"/>
      <c r="UNF673" s="713"/>
      <c r="UNG673" s="713"/>
      <c r="UNH673" s="713"/>
      <c r="UNI673" s="713"/>
      <c r="UNJ673" s="713"/>
      <c r="UNK673" s="713"/>
      <c r="UNL673" s="713"/>
      <c r="UNM673" s="713"/>
      <c r="UNN673" s="713"/>
      <c r="UNO673" s="713"/>
      <c r="UNP673" s="713"/>
      <c r="UNQ673" s="713"/>
      <c r="UNR673" s="713"/>
      <c r="UNS673" s="713"/>
      <c r="UNT673" s="713"/>
      <c r="UNU673" s="713"/>
      <c r="UNV673" s="713"/>
      <c r="UNW673" s="713"/>
      <c r="UNX673" s="713"/>
      <c r="UNY673" s="713"/>
      <c r="UNZ673" s="713"/>
      <c r="UOA673" s="713"/>
      <c r="UOB673" s="713"/>
      <c r="UOC673" s="713"/>
      <c r="UOD673" s="713"/>
      <c r="UOE673" s="713"/>
      <c r="UOF673" s="713"/>
      <c r="UOG673" s="713"/>
      <c r="UOH673" s="713"/>
      <c r="UOI673" s="713"/>
      <c r="UOJ673" s="713"/>
      <c r="UOK673" s="713"/>
      <c r="UOL673" s="713"/>
      <c r="UOM673" s="713"/>
      <c r="UON673" s="713"/>
      <c r="UOO673" s="713"/>
      <c r="UOP673" s="713"/>
      <c r="UOQ673" s="713"/>
      <c r="UOR673" s="713"/>
      <c r="UOS673" s="713"/>
      <c r="UOT673" s="713"/>
      <c r="UOU673" s="713"/>
      <c r="UOV673" s="713"/>
      <c r="UOW673" s="713"/>
      <c r="UOX673" s="713"/>
      <c r="UOY673" s="713"/>
      <c r="UOZ673" s="713"/>
      <c r="UPA673" s="713"/>
      <c r="UPB673" s="713"/>
      <c r="UPC673" s="713"/>
      <c r="UPD673" s="713"/>
      <c r="UPE673" s="713"/>
      <c r="UPF673" s="713"/>
      <c r="UPG673" s="713"/>
      <c r="UPH673" s="713"/>
      <c r="UPI673" s="713"/>
      <c r="UPJ673" s="713"/>
      <c r="UPK673" s="713"/>
      <c r="UPL673" s="713"/>
      <c r="UPM673" s="713"/>
      <c r="UPN673" s="713"/>
      <c r="UPO673" s="713"/>
      <c r="UPP673" s="713"/>
      <c r="UPQ673" s="713"/>
      <c r="UPR673" s="713"/>
      <c r="UPS673" s="713"/>
      <c r="UPT673" s="713"/>
      <c r="UPU673" s="713"/>
      <c r="UPV673" s="713"/>
      <c r="UPW673" s="713"/>
      <c r="UPX673" s="713"/>
      <c r="UPY673" s="713"/>
      <c r="UPZ673" s="713"/>
      <c r="UQA673" s="713"/>
      <c r="UQB673" s="713"/>
      <c r="UQC673" s="713"/>
      <c r="UQD673" s="713"/>
      <c r="UQE673" s="713"/>
      <c r="UQF673" s="713"/>
      <c r="UQG673" s="713"/>
      <c r="UQH673" s="713"/>
      <c r="UQI673" s="713"/>
      <c r="UQJ673" s="713"/>
      <c r="UQK673" s="713"/>
      <c r="UQL673" s="713"/>
      <c r="UQM673" s="713"/>
      <c r="UQN673" s="713"/>
      <c r="UQO673" s="713"/>
      <c r="UQP673" s="713"/>
      <c r="UQQ673" s="713"/>
      <c r="UQR673" s="713"/>
      <c r="UQS673" s="713"/>
      <c r="UQT673" s="713"/>
      <c r="UQU673" s="713"/>
      <c r="UQV673" s="713"/>
      <c r="UQW673" s="713"/>
      <c r="UQX673" s="713"/>
      <c r="UQY673" s="713"/>
      <c r="UQZ673" s="713"/>
      <c r="URA673" s="713"/>
      <c r="URB673" s="713"/>
      <c r="URC673" s="713"/>
      <c r="URD673" s="713"/>
      <c r="URE673" s="713"/>
      <c r="URF673" s="713"/>
      <c r="URG673" s="713"/>
      <c r="URH673" s="713"/>
      <c r="URI673" s="713"/>
      <c r="URJ673" s="713"/>
      <c r="URK673" s="713"/>
      <c r="URL673" s="713"/>
      <c r="URM673" s="713"/>
      <c r="URN673" s="713"/>
      <c r="URO673" s="713"/>
      <c r="URP673" s="713"/>
      <c r="URQ673" s="713"/>
      <c r="URR673" s="713"/>
      <c r="URS673" s="713"/>
      <c r="URT673" s="713"/>
      <c r="URU673" s="713"/>
      <c r="URV673" s="713"/>
      <c r="URW673" s="713"/>
      <c r="URX673" s="713"/>
      <c r="URY673" s="713"/>
      <c r="URZ673" s="713"/>
      <c r="USA673" s="713"/>
      <c r="USB673" s="713"/>
      <c r="USC673" s="713"/>
      <c r="USD673" s="713"/>
      <c r="USE673" s="713"/>
      <c r="USF673" s="713"/>
      <c r="USG673" s="713"/>
      <c r="USH673" s="713"/>
      <c r="USI673" s="713"/>
      <c r="USJ673" s="713"/>
      <c r="USK673" s="713"/>
      <c r="USL673" s="713"/>
      <c r="USM673" s="713"/>
      <c r="USN673" s="713"/>
      <c r="USO673" s="713"/>
      <c r="USP673" s="713"/>
      <c r="USQ673" s="713"/>
      <c r="USR673" s="713"/>
      <c r="USS673" s="713"/>
      <c r="UST673" s="713"/>
      <c r="USU673" s="713"/>
      <c r="USV673" s="713"/>
      <c r="USW673" s="713"/>
      <c r="USX673" s="713"/>
      <c r="USY673" s="713"/>
      <c r="USZ673" s="713"/>
      <c r="UTA673" s="713"/>
      <c r="UTB673" s="713"/>
      <c r="UTC673" s="713"/>
      <c r="UTD673" s="713"/>
      <c r="UTE673" s="713"/>
      <c r="UTF673" s="713"/>
      <c r="UTG673" s="713"/>
      <c r="UTH673" s="713"/>
      <c r="UTI673" s="713"/>
      <c r="UTJ673" s="713"/>
      <c r="UTK673" s="713"/>
      <c r="UTL673" s="713"/>
      <c r="UTM673" s="713"/>
      <c r="UTN673" s="713"/>
      <c r="UTO673" s="713"/>
      <c r="UTP673" s="713"/>
      <c r="UTQ673" s="713"/>
      <c r="UTR673" s="713"/>
      <c r="UTS673" s="713"/>
      <c r="UTT673" s="713"/>
      <c r="UTU673" s="713"/>
      <c r="UTV673" s="713"/>
      <c r="UTW673" s="713"/>
      <c r="UTX673" s="713"/>
      <c r="UTY673" s="713"/>
      <c r="UTZ673" s="713"/>
      <c r="UUA673" s="713"/>
      <c r="UUB673" s="713"/>
      <c r="UUC673" s="713"/>
      <c r="UUD673" s="713"/>
      <c r="UUE673" s="713"/>
      <c r="UUF673" s="713"/>
      <c r="UUG673" s="713"/>
      <c r="UUH673" s="713"/>
      <c r="UUI673" s="713"/>
      <c r="UUJ673" s="713"/>
      <c r="UUK673" s="713"/>
      <c r="UUL673" s="713"/>
      <c r="UUM673" s="713"/>
      <c r="UUN673" s="713"/>
      <c r="UUO673" s="713"/>
      <c r="UUP673" s="713"/>
      <c r="UUQ673" s="713"/>
      <c r="UUR673" s="713"/>
      <c r="UUS673" s="713"/>
      <c r="UUT673" s="713"/>
      <c r="UUU673" s="713"/>
      <c r="UUV673" s="713"/>
      <c r="UUW673" s="713"/>
      <c r="UUX673" s="713"/>
      <c r="UUY673" s="713"/>
      <c r="UUZ673" s="713"/>
      <c r="UVA673" s="713"/>
      <c r="UVB673" s="713"/>
      <c r="UVC673" s="713"/>
      <c r="UVD673" s="713"/>
      <c r="UVE673" s="713"/>
      <c r="UVF673" s="713"/>
      <c r="UVG673" s="713"/>
      <c r="UVH673" s="713"/>
      <c r="UVI673" s="713"/>
      <c r="UVJ673" s="713"/>
      <c r="UVK673" s="713"/>
      <c r="UVL673" s="713"/>
      <c r="UVM673" s="713"/>
      <c r="UVN673" s="713"/>
      <c r="UVO673" s="713"/>
      <c r="UVP673" s="713"/>
      <c r="UVQ673" s="713"/>
      <c r="UVR673" s="713"/>
      <c r="UVS673" s="713"/>
      <c r="UVT673" s="713"/>
      <c r="UVU673" s="713"/>
      <c r="UVV673" s="713"/>
      <c r="UVW673" s="713"/>
      <c r="UVX673" s="713"/>
      <c r="UVY673" s="713"/>
      <c r="UVZ673" s="713"/>
      <c r="UWA673" s="713"/>
      <c r="UWB673" s="713"/>
      <c r="UWC673" s="713"/>
      <c r="UWD673" s="713"/>
      <c r="UWE673" s="713"/>
      <c r="UWF673" s="713"/>
      <c r="UWG673" s="713"/>
      <c r="UWH673" s="713"/>
      <c r="UWI673" s="713"/>
      <c r="UWJ673" s="713"/>
      <c r="UWK673" s="713"/>
      <c r="UWL673" s="713"/>
      <c r="UWM673" s="713"/>
      <c r="UWN673" s="713"/>
      <c r="UWO673" s="713"/>
      <c r="UWP673" s="713"/>
      <c r="UWQ673" s="713"/>
      <c r="UWR673" s="713"/>
      <c r="UWS673" s="713"/>
      <c r="UWT673" s="713"/>
      <c r="UWU673" s="713"/>
      <c r="UWV673" s="713"/>
      <c r="UWW673" s="713"/>
      <c r="UWX673" s="713"/>
      <c r="UWY673" s="713"/>
      <c r="UWZ673" s="713"/>
      <c r="UXA673" s="713"/>
      <c r="UXB673" s="713"/>
      <c r="UXC673" s="713"/>
      <c r="UXD673" s="713"/>
      <c r="UXE673" s="713"/>
      <c r="UXF673" s="713"/>
      <c r="UXG673" s="713"/>
      <c r="UXH673" s="713"/>
      <c r="UXI673" s="713"/>
      <c r="UXJ673" s="713"/>
      <c r="UXK673" s="713"/>
      <c r="UXL673" s="713"/>
      <c r="UXM673" s="713"/>
      <c r="UXN673" s="713"/>
      <c r="UXO673" s="713"/>
      <c r="UXP673" s="713"/>
      <c r="UXQ673" s="713"/>
      <c r="UXR673" s="713"/>
      <c r="UXS673" s="713"/>
      <c r="UXT673" s="713"/>
      <c r="UXU673" s="713"/>
      <c r="UXV673" s="713"/>
      <c r="UXW673" s="713"/>
      <c r="UXX673" s="713"/>
      <c r="UXY673" s="713"/>
      <c r="UXZ673" s="713"/>
      <c r="UYA673" s="713"/>
      <c r="UYB673" s="713"/>
      <c r="UYC673" s="713"/>
      <c r="UYD673" s="713"/>
      <c r="UYE673" s="713"/>
      <c r="UYF673" s="713"/>
      <c r="UYG673" s="713"/>
      <c r="UYH673" s="713"/>
      <c r="UYI673" s="713"/>
      <c r="UYJ673" s="713"/>
      <c r="UYK673" s="713"/>
      <c r="UYL673" s="713"/>
      <c r="UYM673" s="713"/>
      <c r="UYN673" s="713"/>
      <c r="UYO673" s="713"/>
      <c r="UYP673" s="713"/>
      <c r="UYQ673" s="713"/>
      <c r="UYR673" s="713"/>
      <c r="UYS673" s="713"/>
      <c r="UYT673" s="713"/>
      <c r="UYU673" s="713"/>
      <c r="UYV673" s="713"/>
      <c r="UYW673" s="713"/>
      <c r="UYX673" s="713"/>
      <c r="UYY673" s="713"/>
      <c r="UYZ673" s="713"/>
      <c r="UZA673" s="713"/>
      <c r="UZB673" s="713"/>
      <c r="UZC673" s="713"/>
      <c r="UZD673" s="713"/>
      <c r="UZE673" s="713"/>
      <c r="UZF673" s="713"/>
      <c r="UZG673" s="713"/>
      <c r="UZH673" s="713"/>
      <c r="UZI673" s="713"/>
      <c r="UZJ673" s="713"/>
      <c r="UZK673" s="713"/>
      <c r="UZL673" s="713"/>
      <c r="UZM673" s="713"/>
      <c r="UZN673" s="713"/>
      <c r="UZO673" s="713"/>
      <c r="UZP673" s="713"/>
      <c r="UZQ673" s="713"/>
      <c r="UZR673" s="713"/>
      <c r="UZS673" s="713"/>
      <c r="UZT673" s="713"/>
      <c r="UZU673" s="713"/>
      <c r="UZV673" s="713"/>
      <c r="UZW673" s="713"/>
      <c r="UZX673" s="713"/>
      <c r="UZY673" s="713"/>
      <c r="UZZ673" s="713"/>
      <c r="VAA673" s="713"/>
      <c r="VAB673" s="713"/>
      <c r="VAC673" s="713"/>
      <c r="VAD673" s="713"/>
      <c r="VAE673" s="713"/>
      <c r="VAF673" s="713"/>
      <c r="VAG673" s="713"/>
      <c r="VAH673" s="713"/>
      <c r="VAI673" s="713"/>
      <c r="VAJ673" s="713"/>
      <c r="VAK673" s="713"/>
      <c r="VAL673" s="713"/>
      <c r="VAM673" s="713"/>
      <c r="VAN673" s="713"/>
      <c r="VAO673" s="713"/>
      <c r="VAP673" s="713"/>
      <c r="VAQ673" s="713"/>
      <c r="VAR673" s="713"/>
      <c r="VAS673" s="713"/>
      <c r="VAT673" s="713"/>
      <c r="VAU673" s="713"/>
      <c r="VAV673" s="713"/>
      <c r="VAW673" s="713"/>
      <c r="VAX673" s="713"/>
      <c r="VAY673" s="713"/>
      <c r="VAZ673" s="713"/>
      <c r="VBA673" s="713"/>
      <c r="VBB673" s="713"/>
      <c r="VBC673" s="713"/>
      <c r="VBD673" s="713"/>
      <c r="VBE673" s="713"/>
      <c r="VBF673" s="713"/>
      <c r="VBG673" s="713"/>
      <c r="VBH673" s="713"/>
      <c r="VBI673" s="713"/>
      <c r="VBJ673" s="713"/>
      <c r="VBK673" s="713"/>
      <c r="VBL673" s="713"/>
      <c r="VBM673" s="713"/>
      <c r="VBN673" s="713"/>
      <c r="VBO673" s="713"/>
      <c r="VBP673" s="713"/>
      <c r="VBQ673" s="713"/>
      <c r="VBR673" s="713"/>
      <c r="VBS673" s="713"/>
      <c r="VBT673" s="713"/>
      <c r="VBU673" s="713"/>
      <c r="VBV673" s="713"/>
      <c r="VBW673" s="713"/>
      <c r="VBX673" s="713"/>
      <c r="VBY673" s="713"/>
      <c r="VBZ673" s="713"/>
      <c r="VCA673" s="713"/>
      <c r="VCB673" s="713"/>
      <c r="VCC673" s="713"/>
      <c r="VCD673" s="713"/>
      <c r="VCE673" s="713"/>
      <c r="VCF673" s="713"/>
      <c r="VCG673" s="713"/>
      <c r="VCH673" s="713"/>
      <c r="VCI673" s="713"/>
      <c r="VCJ673" s="713"/>
      <c r="VCK673" s="713"/>
      <c r="VCL673" s="713"/>
      <c r="VCM673" s="713"/>
      <c r="VCN673" s="713"/>
      <c r="VCO673" s="713"/>
      <c r="VCP673" s="713"/>
      <c r="VCQ673" s="713"/>
      <c r="VCR673" s="713"/>
      <c r="VCS673" s="713"/>
      <c r="VCT673" s="713"/>
      <c r="VCU673" s="713"/>
      <c r="VCV673" s="713"/>
      <c r="VCW673" s="713"/>
      <c r="VCX673" s="713"/>
      <c r="VCY673" s="713"/>
      <c r="VCZ673" s="713"/>
      <c r="VDA673" s="713"/>
      <c r="VDB673" s="713"/>
      <c r="VDC673" s="713"/>
      <c r="VDD673" s="713"/>
      <c r="VDE673" s="713"/>
      <c r="VDF673" s="713"/>
      <c r="VDG673" s="713"/>
      <c r="VDH673" s="713"/>
      <c r="VDI673" s="713"/>
      <c r="VDJ673" s="713"/>
      <c r="VDK673" s="713"/>
      <c r="VDL673" s="713"/>
      <c r="VDM673" s="713"/>
      <c r="VDN673" s="713"/>
      <c r="VDO673" s="713"/>
      <c r="VDP673" s="713"/>
      <c r="VDQ673" s="713"/>
      <c r="VDR673" s="713"/>
      <c r="VDS673" s="713"/>
      <c r="VDT673" s="713"/>
      <c r="VDU673" s="713"/>
      <c r="VDV673" s="713"/>
      <c r="VDW673" s="713"/>
      <c r="VDX673" s="713"/>
      <c r="VDY673" s="713"/>
      <c r="VDZ673" s="713"/>
      <c r="VEA673" s="713"/>
      <c r="VEB673" s="713"/>
      <c r="VEC673" s="713"/>
      <c r="VED673" s="713"/>
      <c r="VEE673" s="713"/>
      <c r="VEF673" s="713"/>
      <c r="VEG673" s="713"/>
      <c r="VEH673" s="713"/>
      <c r="VEI673" s="713"/>
      <c r="VEJ673" s="713"/>
      <c r="VEK673" s="713"/>
      <c r="VEL673" s="713"/>
      <c r="VEM673" s="713"/>
      <c r="VEN673" s="713"/>
      <c r="VEO673" s="713"/>
      <c r="VEP673" s="713"/>
      <c r="VEQ673" s="713"/>
      <c r="VER673" s="713"/>
      <c r="VES673" s="713"/>
      <c r="VET673" s="713"/>
      <c r="VEU673" s="713"/>
      <c r="VEV673" s="713"/>
      <c r="VEW673" s="713"/>
      <c r="VEX673" s="713"/>
      <c r="VEY673" s="713"/>
      <c r="VEZ673" s="713"/>
      <c r="VFA673" s="713"/>
      <c r="VFB673" s="713"/>
      <c r="VFC673" s="713"/>
      <c r="VFD673" s="713"/>
      <c r="VFE673" s="713"/>
      <c r="VFF673" s="713"/>
      <c r="VFG673" s="713"/>
      <c r="VFH673" s="713"/>
      <c r="VFI673" s="713"/>
      <c r="VFJ673" s="713"/>
      <c r="VFK673" s="713"/>
      <c r="VFL673" s="713"/>
      <c r="VFM673" s="713"/>
      <c r="VFN673" s="713"/>
      <c r="VFO673" s="713"/>
      <c r="VFP673" s="713"/>
      <c r="VFQ673" s="713"/>
      <c r="VFR673" s="713"/>
      <c r="VFS673" s="713"/>
      <c r="VFT673" s="713"/>
      <c r="VFU673" s="713"/>
      <c r="VFV673" s="713"/>
      <c r="VFW673" s="713"/>
      <c r="VFX673" s="713"/>
      <c r="VFY673" s="713"/>
      <c r="VFZ673" s="713"/>
      <c r="VGA673" s="713"/>
      <c r="VGB673" s="713"/>
      <c r="VGC673" s="713"/>
      <c r="VGD673" s="713"/>
      <c r="VGE673" s="713"/>
      <c r="VGF673" s="713"/>
      <c r="VGG673" s="713"/>
      <c r="VGH673" s="713"/>
      <c r="VGI673" s="713"/>
      <c r="VGJ673" s="713"/>
      <c r="VGK673" s="713"/>
      <c r="VGL673" s="713"/>
      <c r="VGM673" s="713"/>
      <c r="VGN673" s="713"/>
      <c r="VGO673" s="713"/>
      <c r="VGP673" s="713"/>
      <c r="VGQ673" s="713"/>
      <c r="VGR673" s="713"/>
      <c r="VGS673" s="713"/>
      <c r="VGT673" s="713"/>
      <c r="VGU673" s="713"/>
      <c r="VGV673" s="713"/>
      <c r="VGW673" s="713"/>
      <c r="VGX673" s="713"/>
      <c r="VGY673" s="713"/>
      <c r="VGZ673" s="713"/>
      <c r="VHA673" s="713"/>
      <c r="VHB673" s="713"/>
      <c r="VHC673" s="713"/>
      <c r="VHD673" s="713"/>
      <c r="VHE673" s="713"/>
      <c r="VHF673" s="713"/>
      <c r="VHG673" s="713"/>
      <c r="VHH673" s="713"/>
      <c r="VHI673" s="713"/>
      <c r="VHJ673" s="713"/>
      <c r="VHK673" s="713"/>
      <c r="VHL673" s="713"/>
      <c r="VHM673" s="713"/>
      <c r="VHN673" s="713"/>
      <c r="VHO673" s="713"/>
      <c r="VHP673" s="713"/>
      <c r="VHQ673" s="713"/>
      <c r="VHR673" s="713"/>
      <c r="VHS673" s="713"/>
      <c r="VHT673" s="713"/>
      <c r="VHU673" s="713"/>
      <c r="VHV673" s="713"/>
      <c r="VHW673" s="713"/>
      <c r="VHX673" s="713"/>
      <c r="VHY673" s="713"/>
      <c r="VHZ673" s="713"/>
      <c r="VIA673" s="713"/>
      <c r="VIB673" s="713"/>
      <c r="VIC673" s="713"/>
      <c r="VID673" s="713"/>
      <c r="VIE673" s="713"/>
      <c r="VIF673" s="713"/>
      <c r="VIG673" s="713"/>
      <c r="VIH673" s="713"/>
      <c r="VII673" s="713"/>
      <c r="VIJ673" s="713"/>
      <c r="VIK673" s="713"/>
      <c r="VIL673" s="713"/>
      <c r="VIM673" s="713"/>
      <c r="VIN673" s="713"/>
      <c r="VIO673" s="713"/>
      <c r="VIP673" s="713"/>
      <c r="VIQ673" s="713"/>
      <c r="VIR673" s="713"/>
      <c r="VIS673" s="713"/>
      <c r="VIT673" s="713"/>
      <c r="VIU673" s="713"/>
      <c r="VIV673" s="713"/>
      <c r="VIW673" s="713"/>
      <c r="VIX673" s="713"/>
      <c r="VIY673" s="713"/>
      <c r="VIZ673" s="713"/>
      <c r="VJA673" s="713"/>
      <c r="VJB673" s="713"/>
      <c r="VJC673" s="713"/>
      <c r="VJD673" s="713"/>
      <c r="VJE673" s="713"/>
      <c r="VJF673" s="713"/>
      <c r="VJG673" s="713"/>
      <c r="VJH673" s="713"/>
      <c r="VJI673" s="713"/>
      <c r="VJJ673" s="713"/>
      <c r="VJK673" s="713"/>
      <c r="VJL673" s="713"/>
      <c r="VJM673" s="713"/>
      <c r="VJN673" s="713"/>
      <c r="VJO673" s="713"/>
      <c r="VJP673" s="713"/>
      <c r="VJQ673" s="713"/>
      <c r="VJR673" s="713"/>
      <c r="VJS673" s="713"/>
      <c r="VJT673" s="713"/>
      <c r="VJU673" s="713"/>
      <c r="VJV673" s="713"/>
      <c r="VJW673" s="713"/>
      <c r="VJX673" s="713"/>
      <c r="VJY673" s="713"/>
      <c r="VJZ673" s="713"/>
      <c r="VKA673" s="713"/>
      <c r="VKB673" s="713"/>
      <c r="VKC673" s="713"/>
      <c r="VKD673" s="713"/>
      <c r="VKE673" s="713"/>
      <c r="VKF673" s="713"/>
      <c r="VKG673" s="713"/>
      <c r="VKH673" s="713"/>
      <c r="VKI673" s="713"/>
      <c r="VKJ673" s="713"/>
      <c r="VKK673" s="713"/>
      <c r="VKL673" s="713"/>
      <c r="VKM673" s="713"/>
      <c r="VKN673" s="713"/>
      <c r="VKO673" s="713"/>
      <c r="VKP673" s="713"/>
      <c r="VKQ673" s="713"/>
      <c r="VKR673" s="713"/>
      <c r="VKS673" s="713"/>
      <c r="VKT673" s="713"/>
      <c r="VKU673" s="713"/>
      <c r="VKV673" s="713"/>
      <c r="VKW673" s="713"/>
      <c r="VKX673" s="713"/>
      <c r="VKY673" s="713"/>
      <c r="VKZ673" s="713"/>
      <c r="VLA673" s="713"/>
      <c r="VLB673" s="713"/>
      <c r="VLC673" s="713"/>
      <c r="VLD673" s="713"/>
      <c r="VLE673" s="713"/>
      <c r="VLF673" s="713"/>
      <c r="VLG673" s="713"/>
      <c r="VLH673" s="713"/>
      <c r="VLI673" s="713"/>
      <c r="VLJ673" s="713"/>
      <c r="VLK673" s="713"/>
      <c r="VLL673" s="713"/>
      <c r="VLM673" s="713"/>
      <c r="VLN673" s="713"/>
      <c r="VLO673" s="713"/>
      <c r="VLP673" s="713"/>
      <c r="VLQ673" s="713"/>
      <c r="VLR673" s="713"/>
      <c r="VLS673" s="713"/>
      <c r="VLT673" s="713"/>
      <c r="VLU673" s="713"/>
      <c r="VLV673" s="713"/>
      <c r="VLW673" s="713"/>
      <c r="VLX673" s="713"/>
      <c r="VLY673" s="713"/>
      <c r="VLZ673" s="713"/>
      <c r="VMA673" s="713"/>
      <c r="VMB673" s="713"/>
      <c r="VMC673" s="713"/>
      <c r="VMD673" s="713"/>
      <c r="VME673" s="713"/>
      <c r="VMF673" s="713"/>
      <c r="VMG673" s="713"/>
      <c r="VMH673" s="713"/>
      <c r="VMI673" s="713"/>
      <c r="VMJ673" s="713"/>
      <c r="VMK673" s="713"/>
      <c r="VML673" s="713"/>
      <c r="VMM673" s="713"/>
      <c r="VMN673" s="713"/>
      <c r="VMO673" s="713"/>
      <c r="VMP673" s="713"/>
      <c r="VMQ673" s="713"/>
      <c r="VMR673" s="713"/>
      <c r="VMS673" s="713"/>
      <c r="VMT673" s="713"/>
      <c r="VMU673" s="713"/>
      <c r="VMV673" s="713"/>
      <c r="VMW673" s="713"/>
      <c r="VMX673" s="713"/>
      <c r="VMY673" s="713"/>
      <c r="VMZ673" s="713"/>
      <c r="VNA673" s="713"/>
      <c r="VNB673" s="713"/>
      <c r="VNC673" s="713"/>
      <c r="VND673" s="713"/>
      <c r="VNE673" s="713"/>
      <c r="VNF673" s="713"/>
      <c r="VNG673" s="713"/>
      <c r="VNH673" s="713"/>
      <c r="VNI673" s="713"/>
      <c r="VNJ673" s="713"/>
      <c r="VNK673" s="713"/>
      <c r="VNL673" s="713"/>
      <c r="VNM673" s="713"/>
      <c r="VNN673" s="713"/>
      <c r="VNO673" s="713"/>
      <c r="VNP673" s="713"/>
      <c r="VNQ673" s="713"/>
      <c r="VNR673" s="713"/>
      <c r="VNS673" s="713"/>
      <c r="VNT673" s="713"/>
      <c r="VNU673" s="713"/>
      <c r="VNV673" s="713"/>
      <c r="VNW673" s="713"/>
      <c r="VNX673" s="713"/>
      <c r="VNY673" s="713"/>
      <c r="VNZ673" s="713"/>
      <c r="VOA673" s="713"/>
      <c r="VOB673" s="713"/>
      <c r="VOC673" s="713"/>
      <c r="VOD673" s="713"/>
      <c r="VOE673" s="713"/>
      <c r="VOF673" s="713"/>
      <c r="VOG673" s="713"/>
      <c r="VOH673" s="713"/>
      <c r="VOI673" s="713"/>
      <c r="VOJ673" s="713"/>
      <c r="VOK673" s="713"/>
      <c r="VOL673" s="713"/>
      <c r="VOM673" s="713"/>
      <c r="VON673" s="713"/>
      <c r="VOO673" s="713"/>
      <c r="VOP673" s="713"/>
      <c r="VOQ673" s="713"/>
      <c r="VOR673" s="713"/>
      <c r="VOS673" s="713"/>
      <c r="VOT673" s="713"/>
      <c r="VOU673" s="713"/>
      <c r="VOV673" s="713"/>
      <c r="VOW673" s="713"/>
      <c r="VOX673" s="713"/>
      <c r="VOY673" s="713"/>
      <c r="VOZ673" s="713"/>
      <c r="VPA673" s="713"/>
      <c r="VPB673" s="713"/>
      <c r="VPC673" s="713"/>
      <c r="VPD673" s="713"/>
      <c r="VPE673" s="713"/>
      <c r="VPF673" s="713"/>
      <c r="VPG673" s="713"/>
      <c r="VPH673" s="713"/>
      <c r="VPI673" s="713"/>
      <c r="VPJ673" s="713"/>
      <c r="VPK673" s="713"/>
      <c r="VPL673" s="713"/>
      <c r="VPM673" s="713"/>
      <c r="VPN673" s="713"/>
      <c r="VPO673" s="713"/>
      <c r="VPP673" s="713"/>
      <c r="VPQ673" s="713"/>
      <c r="VPR673" s="713"/>
      <c r="VPS673" s="713"/>
      <c r="VPT673" s="713"/>
      <c r="VPU673" s="713"/>
      <c r="VPV673" s="713"/>
      <c r="VPW673" s="713"/>
      <c r="VPX673" s="713"/>
      <c r="VPY673" s="713"/>
      <c r="VPZ673" s="713"/>
      <c r="VQA673" s="713"/>
      <c r="VQB673" s="713"/>
      <c r="VQC673" s="713"/>
      <c r="VQD673" s="713"/>
      <c r="VQE673" s="713"/>
      <c r="VQF673" s="713"/>
      <c r="VQG673" s="713"/>
      <c r="VQH673" s="713"/>
      <c r="VQI673" s="713"/>
      <c r="VQJ673" s="713"/>
      <c r="VQK673" s="713"/>
      <c r="VQL673" s="713"/>
      <c r="VQM673" s="713"/>
      <c r="VQN673" s="713"/>
      <c r="VQO673" s="713"/>
      <c r="VQP673" s="713"/>
      <c r="VQQ673" s="713"/>
      <c r="VQR673" s="713"/>
      <c r="VQS673" s="713"/>
      <c r="VQT673" s="713"/>
      <c r="VQU673" s="713"/>
      <c r="VQV673" s="713"/>
      <c r="VQW673" s="713"/>
      <c r="VQX673" s="713"/>
      <c r="VQY673" s="713"/>
      <c r="VQZ673" s="713"/>
      <c r="VRA673" s="713"/>
      <c r="VRB673" s="713"/>
      <c r="VRC673" s="713"/>
      <c r="VRD673" s="713"/>
      <c r="VRE673" s="713"/>
      <c r="VRF673" s="713"/>
      <c r="VRG673" s="713"/>
      <c r="VRH673" s="713"/>
      <c r="VRI673" s="713"/>
      <c r="VRJ673" s="713"/>
      <c r="VRK673" s="713"/>
      <c r="VRL673" s="713"/>
      <c r="VRM673" s="713"/>
      <c r="VRN673" s="713"/>
      <c r="VRO673" s="713"/>
      <c r="VRP673" s="713"/>
      <c r="VRQ673" s="713"/>
      <c r="VRR673" s="713"/>
      <c r="VRS673" s="713"/>
      <c r="VRT673" s="713"/>
      <c r="VRU673" s="713"/>
      <c r="VRV673" s="713"/>
      <c r="VRW673" s="713"/>
      <c r="VRX673" s="713"/>
      <c r="VRY673" s="713"/>
      <c r="VRZ673" s="713"/>
      <c r="VSA673" s="713"/>
      <c r="VSB673" s="713"/>
      <c r="VSC673" s="713"/>
      <c r="VSD673" s="713"/>
      <c r="VSE673" s="713"/>
      <c r="VSF673" s="713"/>
      <c r="VSG673" s="713"/>
      <c r="VSH673" s="713"/>
      <c r="VSI673" s="713"/>
      <c r="VSJ673" s="713"/>
      <c r="VSK673" s="713"/>
      <c r="VSL673" s="713"/>
      <c r="VSM673" s="713"/>
      <c r="VSN673" s="713"/>
      <c r="VSO673" s="713"/>
      <c r="VSP673" s="713"/>
      <c r="VSQ673" s="713"/>
      <c r="VSR673" s="713"/>
      <c r="VSS673" s="713"/>
      <c r="VST673" s="713"/>
      <c r="VSU673" s="713"/>
      <c r="VSV673" s="713"/>
      <c r="VSW673" s="713"/>
      <c r="VSX673" s="713"/>
      <c r="VSY673" s="713"/>
      <c r="VSZ673" s="713"/>
      <c r="VTA673" s="713"/>
      <c r="VTB673" s="713"/>
      <c r="VTC673" s="713"/>
      <c r="VTD673" s="713"/>
      <c r="VTE673" s="713"/>
      <c r="VTF673" s="713"/>
      <c r="VTG673" s="713"/>
      <c r="VTH673" s="713"/>
      <c r="VTI673" s="713"/>
      <c r="VTJ673" s="713"/>
      <c r="VTK673" s="713"/>
      <c r="VTL673" s="713"/>
      <c r="VTM673" s="713"/>
      <c r="VTN673" s="713"/>
      <c r="VTO673" s="713"/>
      <c r="VTP673" s="713"/>
      <c r="VTQ673" s="713"/>
      <c r="VTR673" s="713"/>
      <c r="VTS673" s="713"/>
      <c r="VTT673" s="713"/>
      <c r="VTU673" s="713"/>
      <c r="VTV673" s="713"/>
      <c r="VTW673" s="713"/>
      <c r="VTX673" s="713"/>
      <c r="VTY673" s="713"/>
      <c r="VTZ673" s="713"/>
      <c r="VUA673" s="713"/>
      <c r="VUB673" s="713"/>
      <c r="VUC673" s="713"/>
      <c r="VUD673" s="713"/>
      <c r="VUE673" s="713"/>
      <c r="VUF673" s="713"/>
      <c r="VUG673" s="713"/>
      <c r="VUH673" s="713"/>
      <c r="VUI673" s="713"/>
      <c r="VUJ673" s="713"/>
      <c r="VUK673" s="713"/>
      <c r="VUL673" s="713"/>
      <c r="VUM673" s="713"/>
      <c r="VUN673" s="713"/>
      <c r="VUO673" s="713"/>
      <c r="VUP673" s="713"/>
      <c r="VUQ673" s="713"/>
      <c r="VUR673" s="713"/>
      <c r="VUS673" s="713"/>
      <c r="VUT673" s="713"/>
      <c r="VUU673" s="713"/>
      <c r="VUV673" s="713"/>
      <c r="VUW673" s="713"/>
      <c r="VUX673" s="713"/>
      <c r="VUY673" s="713"/>
      <c r="VUZ673" s="713"/>
      <c r="VVA673" s="713"/>
      <c r="VVB673" s="713"/>
      <c r="VVC673" s="713"/>
      <c r="VVD673" s="713"/>
      <c r="VVE673" s="713"/>
      <c r="VVF673" s="713"/>
      <c r="VVG673" s="713"/>
      <c r="VVH673" s="713"/>
      <c r="VVI673" s="713"/>
      <c r="VVJ673" s="713"/>
      <c r="VVK673" s="713"/>
      <c r="VVL673" s="713"/>
      <c r="VVM673" s="713"/>
      <c r="VVN673" s="713"/>
      <c r="VVO673" s="713"/>
      <c r="VVP673" s="713"/>
      <c r="VVQ673" s="713"/>
      <c r="VVR673" s="713"/>
      <c r="VVS673" s="713"/>
      <c r="VVT673" s="713"/>
      <c r="VVU673" s="713"/>
      <c r="VVV673" s="713"/>
      <c r="VVW673" s="713"/>
      <c r="VVX673" s="713"/>
      <c r="VVY673" s="713"/>
      <c r="VVZ673" s="713"/>
      <c r="VWA673" s="713"/>
      <c r="VWB673" s="713"/>
      <c r="VWC673" s="713"/>
      <c r="VWD673" s="713"/>
      <c r="VWE673" s="713"/>
      <c r="VWF673" s="713"/>
      <c r="VWG673" s="713"/>
      <c r="VWH673" s="713"/>
      <c r="VWI673" s="713"/>
      <c r="VWJ673" s="713"/>
      <c r="VWK673" s="713"/>
      <c r="VWL673" s="713"/>
      <c r="VWM673" s="713"/>
      <c r="VWN673" s="713"/>
      <c r="VWO673" s="713"/>
      <c r="VWP673" s="713"/>
      <c r="VWQ673" s="713"/>
      <c r="VWR673" s="713"/>
      <c r="VWS673" s="713"/>
      <c r="VWT673" s="713"/>
      <c r="VWU673" s="713"/>
      <c r="VWV673" s="713"/>
      <c r="VWW673" s="713"/>
      <c r="VWX673" s="713"/>
      <c r="VWY673" s="713"/>
      <c r="VWZ673" s="713"/>
      <c r="VXA673" s="713"/>
      <c r="VXB673" s="713"/>
      <c r="VXC673" s="713"/>
      <c r="VXD673" s="713"/>
      <c r="VXE673" s="713"/>
      <c r="VXF673" s="713"/>
      <c r="VXG673" s="713"/>
      <c r="VXH673" s="713"/>
      <c r="VXI673" s="713"/>
      <c r="VXJ673" s="713"/>
      <c r="VXK673" s="713"/>
      <c r="VXL673" s="713"/>
      <c r="VXM673" s="713"/>
      <c r="VXN673" s="713"/>
      <c r="VXO673" s="713"/>
      <c r="VXP673" s="713"/>
      <c r="VXQ673" s="713"/>
      <c r="VXR673" s="713"/>
      <c r="VXS673" s="713"/>
      <c r="VXT673" s="713"/>
      <c r="VXU673" s="713"/>
      <c r="VXV673" s="713"/>
      <c r="VXW673" s="713"/>
      <c r="VXX673" s="713"/>
      <c r="VXY673" s="713"/>
      <c r="VXZ673" s="713"/>
      <c r="VYA673" s="713"/>
      <c r="VYB673" s="713"/>
      <c r="VYC673" s="713"/>
      <c r="VYD673" s="713"/>
      <c r="VYE673" s="713"/>
      <c r="VYF673" s="713"/>
      <c r="VYG673" s="713"/>
      <c r="VYH673" s="713"/>
      <c r="VYI673" s="713"/>
      <c r="VYJ673" s="713"/>
      <c r="VYK673" s="713"/>
      <c r="VYL673" s="713"/>
      <c r="VYM673" s="713"/>
      <c r="VYN673" s="713"/>
      <c r="VYO673" s="713"/>
      <c r="VYP673" s="713"/>
      <c r="VYQ673" s="713"/>
      <c r="VYR673" s="713"/>
      <c r="VYS673" s="713"/>
      <c r="VYT673" s="713"/>
      <c r="VYU673" s="713"/>
      <c r="VYV673" s="713"/>
      <c r="VYW673" s="713"/>
      <c r="VYX673" s="713"/>
      <c r="VYY673" s="713"/>
      <c r="VYZ673" s="713"/>
      <c r="VZA673" s="713"/>
      <c r="VZB673" s="713"/>
      <c r="VZC673" s="713"/>
      <c r="VZD673" s="713"/>
      <c r="VZE673" s="713"/>
      <c r="VZF673" s="713"/>
      <c r="VZG673" s="713"/>
      <c r="VZH673" s="713"/>
      <c r="VZI673" s="713"/>
      <c r="VZJ673" s="713"/>
      <c r="VZK673" s="713"/>
      <c r="VZL673" s="713"/>
      <c r="VZM673" s="713"/>
      <c r="VZN673" s="713"/>
      <c r="VZO673" s="713"/>
      <c r="VZP673" s="713"/>
      <c r="VZQ673" s="713"/>
      <c r="VZR673" s="713"/>
      <c r="VZS673" s="713"/>
      <c r="VZT673" s="713"/>
      <c r="VZU673" s="713"/>
      <c r="VZV673" s="713"/>
      <c r="VZW673" s="713"/>
      <c r="VZX673" s="713"/>
      <c r="VZY673" s="713"/>
      <c r="VZZ673" s="713"/>
      <c r="WAA673" s="713"/>
      <c r="WAB673" s="713"/>
      <c r="WAC673" s="713"/>
      <c r="WAD673" s="713"/>
      <c r="WAE673" s="713"/>
      <c r="WAF673" s="713"/>
      <c r="WAG673" s="713"/>
      <c r="WAH673" s="713"/>
      <c r="WAI673" s="713"/>
      <c r="WAJ673" s="713"/>
      <c r="WAK673" s="713"/>
      <c r="WAL673" s="713"/>
      <c r="WAM673" s="713"/>
      <c r="WAN673" s="713"/>
      <c r="WAO673" s="713"/>
      <c r="WAP673" s="713"/>
      <c r="WAQ673" s="713"/>
      <c r="WAR673" s="713"/>
      <c r="WAS673" s="713"/>
      <c r="WAT673" s="713"/>
      <c r="WAU673" s="713"/>
      <c r="WAV673" s="713"/>
      <c r="WAW673" s="713"/>
      <c r="WAX673" s="713"/>
      <c r="WAY673" s="713"/>
      <c r="WAZ673" s="713"/>
      <c r="WBA673" s="713"/>
      <c r="WBB673" s="713"/>
      <c r="WBC673" s="713"/>
      <c r="WBD673" s="713"/>
      <c r="WBE673" s="713"/>
      <c r="WBF673" s="713"/>
      <c r="WBG673" s="713"/>
      <c r="WBH673" s="713"/>
      <c r="WBI673" s="713"/>
      <c r="WBJ673" s="713"/>
      <c r="WBK673" s="713"/>
      <c r="WBL673" s="713"/>
      <c r="WBM673" s="713"/>
      <c r="WBN673" s="713"/>
      <c r="WBO673" s="713"/>
      <c r="WBP673" s="713"/>
      <c r="WBQ673" s="713"/>
      <c r="WBR673" s="713"/>
      <c r="WBS673" s="713"/>
      <c r="WBT673" s="713"/>
      <c r="WBU673" s="713"/>
      <c r="WBV673" s="713"/>
      <c r="WBW673" s="713"/>
      <c r="WBX673" s="713"/>
      <c r="WBY673" s="713"/>
      <c r="WBZ673" s="713"/>
      <c r="WCA673" s="713"/>
      <c r="WCB673" s="713"/>
      <c r="WCC673" s="713"/>
      <c r="WCD673" s="713"/>
      <c r="WCE673" s="713"/>
      <c r="WCF673" s="713"/>
      <c r="WCG673" s="713"/>
      <c r="WCH673" s="713"/>
      <c r="WCI673" s="713"/>
      <c r="WCJ673" s="713"/>
      <c r="WCK673" s="713"/>
      <c r="WCL673" s="713"/>
      <c r="WCM673" s="713"/>
      <c r="WCN673" s="713"/>
      <c r="WCO673" s="713"/>
      <c r="WCP673" s="713"/>
      <c r="WCQ673" s="713"/>
      <c r="WCR673" s="713"/>
      <c r="WCS673" s="713"/>
      <c r="WCT673" s="713"/>
      <c r="WCU673" s="713"/>
      <c r="WCV673" s="713"/>
      <c r="WCW673" s="713"/>
      <c r="WCX673" s="713"/>
      <c r="WCY673" s="713"/>
      <c r="WCZ673" s="713"/>
      <c r="WDA673" s="713"/>
      <c r="WDB673" s="713"/>
      <c r="WDC673" s="713"/>
      <c r="WDD673" s="713"/>
      <c r="WDE673" s="713"/>
      <c r="WDF673" s="713"/>
      <c r="WDG673" s="713"/>
      <c r="WDH673" s="713"/>
      <c r="WDI673" s="713"/>
      <c r="WDJ673" s="713"/>
      <c r="WDK673" s="713"/>
      <c r="WDL673" s="713"/>
      <c r="WDM673" s="713"/>
      <c r="WDN673" s="713"/>
      <c r="WDO673" s="713"/>
      <c r="WDP673" s="713"/>
      <c r="WDQ673" s="713"/>
      <c r="WDR673" s="713"/>
      <c r="WDS673" s="713"/>
      <c r="WDT673" s="713"/>
      <c r="WDU673" s="713"/>
      <c r="WDV673" s="713"/>
      <c r="WDW673" s="713"/>
      <c r="WDX673" s="713"/>
      <c r="WDY673" s="713"/>
      <c r="WDZ673" s="713"/>
      <c r="WEA673" s="713"/>
      <c r="WEB673" s="713"/>
      <c r="WEC673" s="713"/>
      <c r="WED673" s="713"/>
      <c r="WEE673" s="713"/>
      <c r="WEF673" s="713"/>
      <c r="WEG673" s="713"/>
      <c r="WEH673" s="713"/>
      <c r="WEI673" s="713"/>
      <c r="WEJ673" s="713"/>
      <c r="WEK673" s="713"/>
      <c r="WEL673" s="713"/>
      <c r="WEM673" s="713"/>
      <c r="WEN673" s="713"/>
      <c r="WEO673" s="713"/>
      <c r="WEP673" s="713"/>
      <c r="WEQ673" s="713"/>
      <c r="WER673" s="713"/>
      <c r="WES673" s="713"/>
      <c r="WET673" s="713"/>
      <c r="WEU673" s="713"/>
      <c r="WEV673" s="713"/>
      <c r="WEW673" s="713"/>
      <c r="WEX673" s="713"/>
      <c r="WEY673" s="713"/>
      <c r="WEZ673" s="713"/>
      <c r="WFA673" s="713"/>
      <c r="WFB673" s="713"/>
      <c r="WFC673" s="713"/>
      <c r="WFD673" s="713"/>
      <c r="WFE673" s="713"/>
      <c r="WFF673" s="713"/>
      <c r="WFG673" s="713"/>
      <c r="WFH673" s="713"/>
      <c r="WFI673" s="713"/>
      <c r="WFJ673" s="713"/>
      <c r="WFK673" s="713"/>
      <c r="WFL673" s="713"/>
      <c r="WFM673" s="713"/>
      <c r="WFN673" s="713"/>
      <c r="WFO673" s="713"/>
      <c r="WFP673" s="713"/>
      <c r="WFQ673" s="713"/>
      <c r="WFR673" s="713"/>
      <c r="WFS673" s="713"/>
      <c r="WFT673" s="713"/>
      <c r="WFU673" s="713"/>
      <c r="WFV673" s="713"/>
      <c r="WFW673" s="713"/>
      <c r="WFX673" s="713"/>
      <c r="WFY673" s="713"/>
      <c r="WFZ673" s="713"/>
      <c r="WGA673" s="713"/>
      <c r="WGB673" s="713"/>
      <c r="WGC673" s="713"/>
      <c r="WGD673" s="713"/>
      <c r="WGE673" s="713"/>
      <c r="WGF673" s="713"/>
      <c r="WGG673" s="713"/>
      <c r="WGH673" s="713"/>
      <c r="WGI673" s="713"/>
      <c r="WGJ673" s="713"/>
      <c r="WGK673" s="713"/>
      <c r="WGL673" s="713"/>
      <c r="WGM673" s="713"/>
      <c r="WGN673" s="713"/>
      <c r="WGO673" s="713"/>
      <c r="WGP673" s="713"/>
      <c r="WGQ673" s="713"/>
      <c r="WGR673" s="713"/>
      <c r="WGS673" s="713"/>
      <c r="WGT673" s="713"/>
      <c r="WGU673" s="713"/>
      <c r="WGV673" s="713"/>
      <c r="WGW673" s="713"/>
      <c r="WGX673" s="713"/>
      <c r="WGY673" s="713"/>
      <c r="WGZ673" s="713"/>
      <c r="WHA673" s="713"/>
      <c r="WHB673" s="713"/>
      <c r="WHC673" s="713"/>
      <c r="WHD673" s="713"/>
      <c r="WHE673" s="713"/>
      <c r="WHF673" s="713"/>
      <c r="WHG673" s="713"/>
      <c r="WHH673" s="713"/>
      <c r="WHI673" s="713"/>
      <c r="WHJ673" s="713"/>
      <c r="WHK673" s="713"/>
      <c r="WHL673" s="713"/>
      <c r="WHM673" s="713"/>
      <c r="WHN673" s="713"/>
      <c r="WHO673" s="713"/>
      <c r="WHP673" s="713"/>
      <c r="WHQ673" s="713"/>
      <c r="WHR673" s="713"/>
      <c r="WHS673" s="713"/>
      <c r="WHT673" s="713"/>
      <c r="WHU673" s="713"/>
      <c r="WHV673" s="713"/>
      <c r="WHW673" s="713"/>
      <c r="WHX673" s="713"/>
      <c r="WHY673" s="713"/>
      <c r="WHZ673" s="713"/>
      <c r="WIA673" s="713"/>
      <c r="WIB673" s="713"/>
      <c r="WIC673" s="713"/>
      <c r="WID673" s="713"/>
      <c r="WIE673" s="713"/>
      <c r="WIF673" s="713"/>
      <c r="WIG673" s="713"/>
      <c r="WIH673" s="713"/>
      <c r="WII673" s="713"/>
      <c r="WIJ673" s="713"/>
      <c r="WIK673" s="713"/>
      <c r="WIL673" s="713"/>
      <c r="WIM673" s="713"/>
      <c r="WIN673" s="713"/>
      <c r="WIO673" s="713"/>
      <c r="WIP673" s="713"/>
      <c r="WIQ673" s="713"/>
      <c r="WIR673" s="713"/>
      <c r="WIS673" s="713"/>
      <c r="WIT673" s="713"/>
      <c r="WIU673" s="713"/>
      <c r="WIV673" s="713"/>
      <c r="WIW673" s="713"/>
      <c r="WIX673" s="713"/>
      <c r="WIY673" s="713"/>
      <c r="WIZ673" s="713"/>
      <c r="WJA673" s="713"/>
      <c r="WJB673" s="713"/>
      <c r="WJC673" s="713"/>
      <c r="WJD673" s="713"/>
      <c r="WJE673" s="713"/>
      <c r="WJF673" s="713"/>
      <c r="WJG673" s="713"/>
      <c r="WJH673" s="713"/>
      <c r="WJI673" s="713"/>
      <c r="WJJ673" s="713"/>
      <c r="WJK673" s="713"/>
      <c r="WJL673" s="713"/>
      <c r="WJM673" s="713"/>
      <c r="WJN673" s="713"/>
      <c r="WJO673" s="713"/>
      <c r="WJP673" s="713"/>
      <c r="WJQ673" s="713"/>
      <c r="WJR673" s="713"/>
      <c r="WJS673" s="713"/>
      <c r="WJT673" s="713"/>
      <c r="WJU673" s="713"/>
      <c r="WJV673" s="713"/>
      <c r="WJW673" s="713"/>
      <c r="WJX673" s="713"/>
      <c r="WJY673" s="713"/>
      <c r="WJZ673" s="713"/>
      <c r="WKA673" s="713"/>
      <c r="WKB673" s="713"/>
      <c r="WKC673" s="713"/>
      <c r="WKD673" s="713"/>
      <c r="WKE673" s="713"/>
      <c r="WKF673" s="713"/>
      <c r="WKG673" s="713"/>
      <c r="WKH673" s="713"/>
      <c r="WKI673" s="713"/>
      <c r="WKJ673" s="713"/>
      <c r="WKK673" s="713"/>
      <c r="WKL673" s="713"/>
      <c r="WKM673" s="713"/>
      <c r="WKN673" s="713"/>
      <c r="WKO673" s="713"/>
      <c r="WKP673" s="713"/>
      <c r="WKQ673" s="713"/>
      <c r="WKR673" s="713"/>
      <c r="WKS673" s="713"/>
      <c r="WKT673" s="713"/>
      <c r="WKU673" s="713"/>
      <c r="WKV673" s="713"/>
      <c r="WKW673" s="713"/>
      <c r="WKX673" s="713"/>
      <c r="WKY673" s="713"/>
      <c r="WKZ673" s="713"/>
      <c r="WLA673" s="713"/>
      <c r="WLB673" s="713"/>
      <c r="WLC673" s="713"/>
      <c r="WLD673" s="713"/>
      <c r="WLE673" s="713"/>
      <c r="WLF673" s="713"/>
      <c r="WLG673" s="713"/>
      <c r="WLH673" s="713"/>
      <c r="WLI673" s="713"/>
      <c r="WLJ673" s="713"/>
      <c r="WLK673" s="713"/>
      <c r="WLL673" s="713"/>
      <c r="WLM673" s="713"/>
      <c r="WLN673" s="713"/>
      <c r="WLO673" s="713"/>
      <c r="WLP673" s="713"/>
      <c r="WLQ673" s="713"/>
      <c r="WLR673" s="713"/>
      <c r="WLS673" s="713"/>
      <c r="WLT673" s="713"/>
      <c r="WLU673" s="713"/>
      <c r="WLV673" s="713"/>
      <c r="WLW673" s="713"/>
      <c r="WLX673" s="713"/>
      <c r="WLY673" s="713"/>
      <c r="WLZ673" s="713"/>
      <c r="WMA673" s="713"/>
      <c r="WMB673" s="713"/>
      <c r="WMC673" s="713"/>
      <c r="WMD673" s="713"/>
      <c r="WME673" s="713"/>
      <c r="WMF673" s="713"/>
      <c r="WMG673" s="713"/>
      <c r="WMH673" s="713"/>
      <c r="WMI673" s="713"/>
      <c r="WMJ673" s="713"/>
      <c r="WMK673" s="713"/>
      <c r="WML673" s="713"/>
      <c r="WMM673" s="713"/>
      <c r="WMN673" s="713"/>
      <c r="WMO673" s="713"/>
      <c r="WMP673" s="713"/>
      <c r="WMQ673" s="713"/>
      <c r="WMR673" s="713"/>
      <c r="WMS673" s="713"/>
      <c r="WMT673" s="713"/>
      <c r="WMU673" s="713"/>
      <c r="WMV673" s="713"/>
      <c r="WMW673" s="713"/>
      <c r="WMX673" s="713"/>
      <c r="WMY673" s="713"/>
      <c r="WMZ673" s="713"/>
      <c r="WNA673" s="713"/>
      <c r="WNB673" s="713"/>
      <c r="WNC673" s="713"/>
      <c r="WND673" s="713"/>
      <c r="WNE673" s="713"/>
      <c r="WNF673" s="713"/>
      <c r="WNG673" s="713"/>
      <c r="WNH673" s="713"/>
      <c r="WNI673" s="713"/>
      <c r="WNJ673" s="713"/>
      <c r="WNK673" s="713"/>
      <c r="WNL673" s="713"/>
      <c r="WNM673" s="713"/>
      <c r="WNN673" s="713"/>
      <c r="WNO673" s="713"/>
      <c r="WNP673" s="713"/>
      <c r="WNQ673" s="713"/>
      <c r="WNR673" s="713"/>
      <c r="WNS673" s="713"/>
      <c r="WNT673" s="713"/>
      <c r="WNU673" s="713"/>
      <c r="WNV673" s="713"/>
      <c r="WNW673" s="713"/>
      <c r="WNX673" s="713"/>
      <c r="WNY673" s="713"/>
      <c r="WNZ673" s="713"/>
      <c r="WOA673" s="713"/>
      <c r="WOB673" s="713"/>
      <c r="WOC673" s="713"/>
      <c r="WOD673" s="713"/>
      <c r="WOE673" s="713"/>
      <c r="WOF673" s="713"/>
      <c r="WOG673" s="713"/>
      <c r="WOH673" s="713"/>
      <c r="WOI673" s="713"/>
      <c r="WOJ673" s="713"/>
      <c r="WOK673" s="713"/>
      <c r="WOL673" s="713"/>
      <c r="WOM673" s="713"/>
      <c r="WON673" s="713"/>
      <c r="WOO673" s="713"/>
      <c r="WOP673" s="713"/>
      <c r="WOQ673" s="713"/>
      <c r="WOR673" s="713"/>
      <c r="WOS673" s="713"/>
      <c r="WOT673" s="713"/>
      <c r="WOU673" s="713"/>
      <c r="WOV673" s="713"/>
      <c r="WOW673" s="713"/>
      <c r="WOX673" s="713"/>
      <c r="WOY673" s="713"/>
      <c r="WOZ673" s="713"/>
      <c r="WPA673" s="713"/>
      <c r="WPB673" s="713"/>
      <c r="WPC673" s="713"/>
      <c r="WPD673" s="713"/>
      <c r="WPE673" s="713"/>
      <c r="WPF673" s="713"/>
      <c r="WPG673" s="713"/>
      <c r="WPH673" s="713"/>
      <c r="WPI673" s="713"/>
      <c r="WPJ673" s="713"/>
      <c r="WPK673" s="713"/>
      <c r="WPL673" s="713"/>
      <c r="WPM673" s="713"/>
      <c r="WPN673" s="713"/>
      <c r="WPO673" s="713"/>
      <c r="WPP673" s="713"/>
      <c r="WPQ673" s="713"/>
      <c r="WPR673" s="713"/>
      <c r="WPS673" s="713"/>
      <c r="WPT673" s="713"/>
      <c r="WPU673" s="713"/>
      <c r="WPV673" s="713"/>
      <c r="WPW673" s="713"/>
      <c r="WPX673" s="713"/>
      <c r="WPY673" s="713"/>
      <c r="WPZ673" s="713"/>
      <c r="WQA673" s="713"/>
      <c r="WQB673" s="713"/>
      <c r="WQC673" s="713"/>
      <c r="WQD673" s="713"/>
      <c r="WQE673" s="713"/>
      <c r="WQF673" s="713"/>
      <c r="WQG673" s="713"/>
      <c r="WQH673" s="713"/>
      <c r="WQI673" s="713"/>
      <c r="WQJ673" s="713"/>
      <c r="WQK673" s="713"/>
      <c r="WQL673" s="713"/>
      <c r="WQM673" s="713"/>
      <c r="WQN673" s="713"/>
      <c r="WQO673" s="713"/>
      <c r="WQP673" s="713"/>
      <c r="WQQ673" s="713"/>
      <c r="WQR673" s="713"/>
      <c r="WQS673" s="713"/>
      <c r="WQT673" s="713"/>
      <c r="WQU673" s="713"/>
      <c r="WQV673" s="713"/>
      <c r="WQW673" s="713"/>
      <c r="WQX673" s="713"/>
      <c r="WQY673" s="713"/>
      <c r="WQZ673" s="713"/>
      <c r="WRA673" s="713"/>
      <c r="WRB673" s="713"/>
      <c r="WRC673" s="713"/>
      <c r="WRD673" s="713"/>
      <c r="WRE673" s="713"/>
      <c r="WRF673" s="713"/>
      <c r="WRG673" s="713"/>
      <c r="WRH673" s="713"/>
      <c r="WRI673" s="713"/>
      <c r="WRJ673" s="713"/>
      <c r="WRK673" s="713"/>
      <c r="WRL673" s="713"/>
      <c r="WRM673" s="713"/>
      <c r="WRN673" s="713"/>
      <c r="WRO673" s="713"/>
      <c r="WRP673" s="713"/>
      <c r="WRQ673" s="713"/>
      <c r="WRR673" s="713"/>
      <c r="WRS673" s="713"/>
      <c r="WRT673" s="713"/>
      <c r="WRU673" s="713"/>
      <c r="WRV673" s="713"/>
      <c r="WRW673" s="713"/>
      <c r="WRX673" s="713"/>
      <c r="WRY673" s="713"/>
      <c r="WRZ673" s="713"/>
      <c r="WSA673" s="713"/>
      <c r="WSB673" s="713"/>
      <c r="WSC673" s="713"/>
      <c r="WSD673" s="713"/>
      <c r="WSE673" s="713"/>
      <c r="WSF673" s="713"/>
      <c r="WSG673" s="713"/>
      <c r="WSH673" s="713"/>
      <c r="WSI673" s="713"/>
      <c r="WSJ673" s="713"/>
      <c r="WSK673" s="713"/>
      <c r="WSL673" s="713"/>
      <c r="WSM673" s="713"/>
      <c r="WSN673" s="713"/>
      <c r="WSO673" s="713"/>
      <c r="WSP673" s="713"/>
      <c r="WSQ673" s="713"/>
      <c r="WSR673" s="713"/>
      <c r="WSS673" s="713"/>
      <c r="WST673" s="713"/>
      <c r="WSU673" s="713"/>
      <c r="WSV673" s="713"/>
      <c r="WSW673" s="713"/>
      <c r="WSX673" s="713"/>
      <c r="WSY673" s="713"/>
      <c r="WSZ673" s="713"/>
      <c r="WTA673" s="713"/>
      <c r="WTB673" s="713"/>
      <c r="WTC673" s="713"/>
      <c r="WTD673" s="713"/>
      <c r="WTE673" s="713"/>
      <c r="WTF673" s="713"/>
      <c r="WTG673" s="713"/>
      <c r="WTH673" s="713"/>
      <c r="WTI673" s="713"/>
      <c r="WTJ673" s="713"/>
      <c r="WTK673" s="713"/>
      <c r="WTL673" s="713"/>
      <c r="WTM673" s="713"/>
      <c r="WTN673" s="713"/>
      <c r="WTO673" s="713"/>
      <c r="WTP673" s="713"/>
      <c r="WTQ673" s="713"/>
      <c r="WTR673" s="713"/>
      <c r="WTS673" s="713"/>
      <c r="WTT673" s="713"/>
      <c r="WTU673" s="713"/>
      <c r="WTV673" s="713"/>
      <c r="WTW673" s="713"/>
      <c r="WTX673" s="713"/>
      <c r="WTY673" s="713"/>
      <c r="WTZ673" s="713"/>
      <c r="WUA673" s="713"/>
      <c r="WUB673" s="713"/>
      <c r="WUC673" s="713"/>
      <c r="WUD673" s="713"/>
      <c r="WUE673" s="713"/>
      <c r="WUF673" s="713"/>
      <c r="WUG673" s="713"/>
      <c r="WUH673" s="713"/>
      <c r="WUI673" s="713"/>
      <c r="WUJ673" s="713"/>
      <c r="WUK673" s="713"/>
      <c r="WUL673" s="713"/>
      <c r="WUM673" s="713"/>
      <c r="WUN673" s="713"/>
      <c r="WUO673" s="713"/>
      <c r="WUP673" s="713"/>
      <c r="WUQ673" s="713"/>
      <c r="WUR673" s="713"/>
      <c r="WUS673" s="713"/>
      <c r="WUT673" s="713"/>
      <c r="WUU673" s="713"/>
      <c r="WUV673" s="713"/>
      <c r="WUW673" s="713"/>
      <c r="WUX673" s="713"/>
      <c r="WUY673" s="713"/>
      <c r="WUZ673" s="713"/>
      <c r="WVA673" s="713"/>
      <c r="WVB673" s="713"/>
      <c r="WVC673" s="713"/>
      <c r="WVD673" s="713"/>
      <c r="WVE673" s="713"/>
      <c r="WVF673" s="713"/>
      <c r="WVG673" s="713"/>
      <c r="WVH673" s="713"/>
      <c r="WVI673" s="713"/>
      <c r="WVJ673" s="713"/>
      <c r="WVK673" s="713"/>
      <c r="WVL673" s="713"/>
      <c r="WVM673" s="713"/>
      <c r="WVN673" s="713"/>
      <c r="WVO673" s="713"/>
      <c r="WVP673" s="713"/>
      <c r="WVQ673" s="713"/>
      <c r="WVR673" s="713"/>
      <c r="WVS673" s="713"/>
      <c r="WVT673" s="713"/>
      <c r="WVU673" s="713"/>
      <c r="WVV673" s="713"/>
      <c r="WVW673" s="713"/>
      <c r="WVX673" s="713"/>
      <c r="WVY673" s="713"/>
      <c r="WVZ673" s="713"/>
      <c r="WWA673" s="713"/>
      <c r="WWB673" s="713"/>
      <c r="WWC673" s="713"/>
      <c r="WWD673" s="713"/>
      <c r="WWE673" s="713"/>
      <c r="WWF673" s="713"/>
      <c r="WWG673" s="713"/>
      <c r="WWH673" s="713"/>
      <c r="WWI673" s="713"/>
      <c r="WWJ673" s="713"/>
      <c r="WWK673" s="713"/>
      <c r="WWL673" s="713"/>
      <c r="WWM673" s="713"/>
      <c r="WWN673" s="713"/>
      <c r="WWO673" s="713"/>
      <c r="WWP673" s="713"/>
      <c r="WWQ673" s="713"/>
      <c r="WWR673" s="713"/>
      <c r="WWS673" s="713"/>
      <c r="WWT673" s="713"/>
      <c r="WWU673" s="713"/>
      <c r="WWV673" s="713"/>
      <c r="WWW673" s="713"/>
      <c r="WWX673" s="713"/>
      <c r="WWY673" s="713"/>
      <c r="WWZ673" s="713"/>
      <c r="WXA673" s="713"/>
      <c r="WXB673" s="713"/>
      <c r="WXC673" s="713"/>
      <c r="WXD673" s="713"/>
      <c r="WXE673" s="713"/>
      <c r="WXF673" s="713"/>
      <c r="WXG673" s="713"/>
      <c r="WXH673" s="713"/>
      <c r="WXI673" s="713"/>
      <c r="WXJ673" s="713"/>
      <c r="WXK673" s="713"/>
      <c r="WXL673" s="713"/>
      <c r="WXM673" s="713"/>
      <c r="WXN673" s="713"/>
      <c r="WXO673" s="713"/>
      <c r="WXP673" s="713"/>
      <c r="WXQ673" s="713"/>
      <c r="WXR673" s="713"/>
      <c r="WXS673" s="713"/>
      <c r="WXT673" s="713"/>
      <c r="WXU673" s="713"/>
      <c r="WXV673" s="713"/>
      <c r="WXW673" s="713"/>
      <c r="WXX673" s="713"/>
      <c r="WXY673" s="713"/>
      <c r="WXZ673" s="713"/>
      <c r="WYA673" s="713"/>
      <c r="WYB673" s="713"/>
      <c r="WYC673" s="713"/>
      <c r="WYD673" s="713"/>
      <c r="WYE673" s="713"/>
      <c r="WYF673" s="713"/>
      <c r="WYG673" s="713"/>
      <c r="WYH673" s="713"/>
      <c r="WYI673" s="713"/>
      <c r="WYJ673" s="713"/>
      <c r="WYK673" s="713"/>
      <c r="WYL673" s="713"/>
      <c r="WYM673" s="713"/>
      <c r="WYN673" s="713"/>
      <c r="WYO673" s="713"/>
      <c r="WYP673" s="713"/>
      <c r="WYQ673" s="713"/>
      <c r="WYR673" s="713"/>
      <c r="WYS673" s="713"/>
      <c r="WYT673" s="713"/>
      <c r="WYU673" s="713"/>
      <c r="WYV673" s="713"/>
      <c r="WYW673" s="713"/>
      <c r="WYX673" s="713"/>
      <c r="WYY673" s="713"/>
      <c r="WYZ673" s="713"/>
      <c r="WZA673" s="713"/>
      <c r="WZB673" s="713"/>
      <c r="WZC673" s="713"/>
      <c r="WZD673" s="713"/>
      <c r="WZE673" s="713"/>
      <c r="WZF673" s="713"/>
      <c r="WZG673" s="713"/>
      <c r="WZH673" s="713"/>
      <c r="WZI673" s="713"/>
      <c r="WZJ673" s="713"/>
      <c r="WZK673" s="713"/>
      <c r="WZL673" s="713"/>
      <c r="WZM673" s="713"/>
      <c r="WZN673" s="713"/>
      <c r="WZO673" s="713"/>
      <c r="WZP673" s="713"/>
      <c r="WZQ673" s="713"/>
      <c r="WZR673" s="713"/>
      <c r="WZS673" s="713"/>
      <c r="WZT673" s="713"/>
      <c r="WZU673" s="713"/>
      <c r="WZV673" s="713"/>
      <c r="WZW673" s="713"/>
      <c r="WZX673" s="713"/>
      <c r="WZY673" s="713"/>
      <c r="WZZ673" s="713"/>
      <c r="XAA673" s="713"/>
      <c r="XAB673" s="713"/>
      <c r="XAC673" s="713"/>
      <c r="XAD673" s="713"/>
      <c r="XAE673" s="713"/>
      <c r="XAF673" s="713"/>
      <c r="XAG673" s="713"/>
      <c r="XAH673" s="713"/>
      <c r="XAI673" s="713"/>
      <c r="XAJ673" s="713"/>
      <c r="XAK673" s="713"/>
      <c r="XAL673" s="713"/>
      <c r="XAM673" s="713"/>
      <c r="XAN673" s="713"/>
      <c r="XAO673" s="713"/>
      <c r="XAP673" s="713"/>
      <c r="XAQ673" s="713"/>
      <c r="XAR673" s="713"/>
      <c r="XAS673" s="713"/>
      <c r="XAT673" s="713"/>
      <c r="XAU673" s="713"/>
      <c r="XAV673" s="713"/>
      <c r="XAW673" s="713"/>
      <c r="XAX673" s="713"/>
      <c r="XAY673" s="713"/>
      <c r="XAZ673" s="713"/>
      <c r="XBA673" s="713"/>
      <c r="XBB673" s="713"/>
      <c r="XBC673" s="713"/>
      <c r="XBD673" s="713"/>
      <c r="XBE673" s="713"/>
      <c r="XBF673" s="713"/>
      <c r="XBG673" s="713"/>
      <c r="XBH673" s="713"/>
      <c r="XBI673" s="713"/>
      <c r="XBJ673" s="713"/>
      <c r="XBK673" s="713"/>
      <c r="XBL673" s="713"/>
      <c r="XBM673" s="713"/>
      <c r="XBN673" s="713"/>
      <c r="XBO673" s="713"/>
      <c r="XBP673" s="713"/>
      <c r="XBQ673" s="713"/>
      <c r="XBR673" s="713"/>
      <c r="XBS673" s="713"/>
      <c r="XBT673" s="713"/>
      <c r="XBU673" s="713"/>
      <c r="XBV673" s="713"/>
      <c r="XBW673" s="713"/>
      <c r="XBX673" s="713"/>
      <c r="XBY673" s="713"/>
      <c r="XBZ673" s="713"/>
      <c r="XCA673" s="713"/>
      <c r="XCB673" s="713"/>
      <c r="XCC673" s="713"/>
      <c r="XCD673" s="713"/>
      <c r="XCE673" s="713"/>
      <c r="XCF673" s="713"/>
      <c r="XCG673" s="713"/>
      <c r="XCH673" s="713"/>
      <c r="XCI673" s="713"/>
      <c r="XCJ673" s="713"/>
      <c r="XCK673" s="713"/>
      <c r="XCL673" s="713"/>
      <c r="XCM673" s="713"/>
      <c r="XCN673" s="713"/>
      <c r="XCO673" s="713"/>
      <c r="XCP673" s="713"/>
      <c r="XCQ673" s="713"/>
      <c r="XCR673" s="713"/>
      <c r="XCS673" s="713"/>
      <c r="XCT673" s="713"/>
      <c r="XCU673" s="713"/>
      <c r="XCV673" s="713"/>
      <c r="XCW673" s="713"/>
      <c r="XCX673" s="713"/>
      <c r="XCY673" s="713"/>
      <c r="XCZ673" s="713"/>
      <c r="XDA673" s="713"/>
      <c r="XDB673" s="713"/>
      <c r="XDC673" s="713"/>
      <c r="XDD673" s="713"/>
      <c r="XDE673" s="713"/>
      <c r="XDF673" s="713"/>
      <c r="XDG673" s="713"/>
      <c r="XDH673" s="713"/>
      <c r="XDI673" s="713"/>
      <c r="XDJ673" s="713"/>
      <c r="XDK673" s="713"/>
      <c r="XDL673" s="713"/>
      <c r="XDM673" s="713"/>
      <c r="XDN673" s="713"/>
      <c r="XDO673" s="713"/>
      <c r="XDP673" s="713"/>
      <c r="XDQ673" s="713"/>
      <c r="XDR673" s="713"/>
      <c r="XDS673" s="713"/>
      <c r="XDT673" s="713"/>
      <c r="XDU673" s="713"/>
      <c r="XDV673" s="713"/>
      <c r="XDW673" s="713"/>
      <c r="XDX673" s="713"/>
      <c r="XDY673" s="713"/>
      <c r="XDZ673" s="713"/>
      <c r="XEA673" s="713"/>
      <c r="XEB673" s="713"/>
      <c r="XEC673" s="713"/>
      <c r="XED673" s="713"/>
      <c r="XEE673" s="713"/>
      <c r="XEF673" s="713"/>
      <c r="XEG673" s="713"/>
      <c r="XEH673" s="713"/>
      <c r="XEI673" s="713"/>
      <c r="XEJ673" s="713"/>
      <c r="XEK673" s="713"/>
      <c r="XEL673" s="713"/>
      <c r="XEM673" s="713"/>
      <c r="XEN673" s="713"/>
      <c r="XEO673" s="713"/>
      <c r="XEP673" s="713"/>
      <c r="XEQ673" s="713"/>
      <c r="XER673" s="713"/>
      <c r="XES673" s="713"/>
      <c r="XET673" s="713"/>
      <c r="XEU673" s="713"/>
      <c r="XEV673" s="713"/>
      <c r="XEW673" s="713"/>
      <c r="XEX673" s="713"/>
      <c r="XEY673" s="713"/>
      <c r="XEZ673" s="713"/>
      <c r="XFA673" s="713"/>
      <c r="XFB673" s="713"/>
      <c r="XFC673" s="713"/>
    </row>
    <row r="674" spans="1:16383" s="720" customFormat="1" ht="15.6" customHeight="1">
      <c r="A674" s="713" t="s">
        <v>24</v>
      </c>
      <c r="B674" s="834">
        <v>671</v>
      </c>
      <c r="C674" s="909" t="s">
        <v>4093</v>
      </c>
      <c r="D674" s="909" t="s">
        <v>34</v>
      </c>
      <c r="E674" s="910">
        <v>46132</v>
      </c>
      <c r="F674" s="909" t="s">
        <v>644</v>
      </c>
      <c r="G674" s="909">
        <v>8</v>
      </c>
      <c r="H674" s="909" t="s">
        <v>1077</v>
      </c>
      <c r="I674" s="909" t="s">
        <v>1138</v>
      </c>
      <c r="J674" s="909"/>
      <c r="K674" s="713" t="s">
        <v>3063</v>
      </c>
      <c r="L674" s="713" t="s">
        <v>3954</v>
      </c>
      <c r="M674" s="713" t="s">
        <v>4094</v>
      </c>
      <c r="N674" s="713" t="s">
        <v>4094</v>
      </c>
      <c r="O674" s="713" t="s">
        <v>4049</v>
      </c>
      <c r="P674" s="911"/>
      <c r="Q674" s="911"/>
      <c r="R674" s="911"/>
      <c r="S674" s="718"/>
      <c r="T674" s="909"/>
      <c r="U674" s="909"/>
      <c r="V674" s="909"/>
      <c r="W674" s="909"/>
      <c r="X674" s="717" t="s">
        <v>32</v>
      </c>
      <c r="Y674" s="718"/>
      <c r="Z674" s="718"/>
      <c r="AA674" s="718"/>
      <c r="AB674" s="718"/>
      <c r="AC674" s="718"/>
      <c r="AD674" s="718"/>
      <c r="AE674" s="718"/>
      <c r="AF674" s="718"/>
      <c r="AG674" s="718"/>
      <c r="AH674" s="718"/>
      <c r="AI674" s="718"/>
      <c r="AJ674" s="718"/>
      <c r="AK674" s="718"/>
      <c r="AL674" s="718"/>
      <c r="AM674" s="718"/>
      <c r="AN674" s="718"/>
      <c r="AO674" s="909"/>
      <c r="AP674" s="909"/>
      <c r="AQ674" s="909"/>
      <c r="AR674" s="909"/>
      <c r="AU674" s="721"/>
      <c r="AV674" s="721"/>
      <c r="AW674" s="721"/>
      <c r="AX674" s="721"/>
      <c r="BB674" s="720">
        <f>IF(E674&gt;1,1,"")</f>
        <v>1</v>
      </c>
    </row>
    <row r="675" spans="1:16383" s="720" customFormat="1">
      <c r="A675" s="713" t="s">
        <v>24</v>
      </c>
      <c r="B675" s="834">
        <v>672</v>
      </c>
      <c r="C675" s="909" t="s">
        <v>4095</v>
      </c>
      <c r="D675" s="909" t="s">
        <v>43</v>
      </c>
      <c r="E675" s="910">
        <v>46132</v>
      </c>
      <c r="F675" s="909" t="s">
        <v>1626</v>
      </c>
      <c r="G675" s="909">
        <v>13</v>
      </c>
      <c r="H675" s="909" t="s">
        <v>1077</v>
      </c>
      <c r="I675" s="909" t="s">
        <v>1138</v>
      </c>
      <c r="J675" s="717"/>
      <c r="K675" s="713" t="s">
        <v>3063</v>
      </c>
      <c r="L675" s="909" t="s">
        <v>4096</v>
      </c>
      <c r="M675" s="713" t="s">
        <v>4094</v>
      </c>
      <c r="N675" s="713" t="s">
        <v>4094</v>
      </c>
      <c r="O675" s="911" t="s">
        <v>4097</v>
      </c>
      <c r="P675" s="911"/>
      <c r="Q675" s="911"/>
      <c r="R675" s="911"/>
      <c r="S675" s="718"/>
      <c r="T675" s="909"/>
      <c r="U675" s="909"/>
      <c r="V675" s="909"/>
      <c r="W675" s="909"/>
      <c r="X675" s="717" t="s">
        <v>32</v>
      </c>
      <c r="Y675" s="718"/>
      <c r="Z675" s="718"/>
      <c r="AA675" s="718"/>
      <c r="AB675" s="718"/>
      <c r="AC675" s="718"/>
      <c r="AD675" s="718"/>
      <c r="AE675" s="718"/>
      <c r="AF675" s="718"/>
      <c r="AG675" s="718"/>
      <c r="AH675" s="718"/>
      <c r="AI675" s="718"/>
      <c r="AJ675" s="718"/>
      <c r="AK675" s="718"/>
      <c r="AL675" s="718"/>
      <c r="AM675" s="718"/>
      <c r="AN675" s="718"/>
      <c r="AO675" s="909"/>
      <c r="AP675" s="909"/>
      <c r="AQ675" s="909"/>
      <c r="AR675" s="909"/>
      <c r="AU675" s="721"/>
      <c r="AV675" s="721"/>
      <c r="AW675" s="721"/>
      <c r="AX675" s="721"/>
      <c r="BB675" s="720">
        <f>IF(E675&gt;1,1,"")</f>
        <v>1</v>
      </c>
    </row>
    <row r="676" spans="1:16383" s="767" customFormat="1">
      <c r="A676" s="764" t="s">
        <v>24</v>
      </c>
      <c r="B676" s="912">
        <v>673</v>
      </c>
      <c r="C676" s="913" t="s">
        <v>4098</v>
      </c>
      <c r="D676" s="913" t="s">
        <v>102</v>
      </c>
      <c r="E676" s="914">
        <v>46133</v>
      </c>
      <c r="F676" s="913" t="s">
        <v>181</v>
      </c>
      <c r="G676" s="913">
        <v>12</v>
      </c>
      <c r="H676" s="913" t="s">
        <v>1077</v>
      </c>
      <c r="I676" s="913" t="s">
        <v>1138</v>
      </c>
      <c r="J676" s="765"/>
      <c r="K676" s="764" t="s">
        <v>3063</v>
      </c>
      <c r="L676" s="913" t="s">
        <v>4012</v>
      </c>
      <c r="M676" s="764" t="s">
        <v>4099</v>
      </c>
      <c r="N676" s="764" t="s">
        <v>4099</v>
      </c>
      <c r="O676" s="764" t="s">
        <v>4049</v>
      </c>
      <c r="P676" s="915"/>
      <c r="Q676" s="915"/>
      <c r="R676" s="915"/>
      <c r="S676" s="766"/>
      <c r="T676" s="913"/>
      <c r="U676" s="913"/>
      <c r="V676" s="913"/>
      <c r="W676" s="913"/>
      <c r="X676" s="765"/>
      <c r="Y676" s="766"/>
      <c r="Z676" s="766"/>
      <c r="AA676" s="766"/>
      <c r="AB676" s="766"/>
      <c r="AC676" s="766"/>
      <c r="AD676" s="766"/>
      <c r="AE676" s="766"/>
      <c r="AF676" s="766"/>
      <c r="AG676" s="766"/>
      <c r="AH676" s="766"/>
      <c r="AI676" s="766"/>
      <c r="AJ676" s="766"/>
      <c r="AK676" s="766"/>
      <c r="AL676" s="766"/>
      <c r="AM676" s="766"/>
      <c r="AN676" s="766"/>
      <c r="AO676" s="913"/>
      <c r="AP676" s="913"/>
      <c r="AQ676" s="913"/>
      <c r="AR676" s="913"/>
      <c r="AU676" s="768"/>
      <c r="AV676" s="768"/>
      <c r="AW676" s="768"/>
      <c r="AX676" s="768"/>
    </row>
    <row r="677" spans="1:16383" s="537" customFormat="1">
      <c r="A677" s="713" t="s">
        <v>24</v>
      </c>
      <c r="B677" s="834">
        <v>674</v>
      </c>
      <c r="C677" s="751" t="s">
        <v>4100</v>
      </c>
      <c r="D677" s="751" t="s">
        <v>406</v>
      </c>
      <c r="E677" s="887">
        <v>46133</v>
      </c>
      <c r="F677" s="751" t="s">
        <v>2322</v>
      </c>
      <c r="G677" s="751">
        <v>12</v>
      </c>
      <c r="H677" s="751" t="s">
        <v>1077</v>
      </c>
      <c r="I677" s="751" t="s">
        <v>1138</v>
      </c>
      <c r="J677" s="583"/>
      <c r="K677" s="521" t="s">
        <v>3058</v>
      </c>
      <c r="L677" s="751" t="s">
        <v>4007</v>
      </c>
      <c r="M677" s="713" t="s">
        <v>4099</v>
      </c>
      <c r="N677" s="521"/>
      <c r="O677" s="521" t="s">
        <v>4101</v>
      </c>
      <c r="P677" s="888"/>
      <c r="Q677" s="888"/>
      <c r="R677" s="888"/>
      <c r="S677" s="529"/>
      <c r="T677" s="751"/>
      <c r="U677" s="751"/>
      <c r="V677" s="751"/>
      <c r="W677" s="751"/>
      <c r="X677" s="533"/>
      <c r="Y677" s="522"/>
      <c r="Z677" s="522"/>
      <c r="AA677" s="522"/>
      <c r="AB677" s="522"/>
      <c r="AC677" s="522"/>
      <c r="AD677" s="522"/>
      <c r="AE677" s="522"/>
      <c r="AF677" s="522"/>
      <c r="AG677" s="522"/>
      <c r="AH677" s="522"/>
      <c r="AI677" s="523"/>
      <c r="AJ677" s="523"/>
      <c r="AK677" s="523"/>
      <c r="AL677" s="523"/>
      <c r="AM677" s="522"/>
      <c r="AN677" s="522"/>
      <c r="AO677" s="886"/>
      <c r="AP677" s="896"/>
      <c r="AQ677" s="896"/>
      <c r="AR677" s="896"/>
      <c r="AS677" s="538"/>
      <c r="AT677" s="538"/>
      <c r="AU677" s="539"/>
      <c r="AV677" s="539"/>
      <c r="AW677" s="539"/>
      <c r="AX677" s="539"/>
    </row>
    <row r="678" spans="1:16383" s="537" customFormat="1" ht="15.6" customHeight="1">
      <c r="A678" s="751" t="s">
        <v>24</v>
      </c>
      <c r="B678" s="834">
        <v>675</v>
      </c>
      <c r="C678" s="751" t="s">
        <v>4102</v>
      </c>
      <c r="D678" s="751" t="s">
        <v>1937</v>
      </c>
      <c r="E678" s="887">
        <v>46134</v>
      </c>
      <c r="F678" s="751" t="s">
        <v>181</v>
      </c>
      <c r="G678" s="751">
        <v>10</v>
      </c>
      <c r="H678" s="751" t="s">
        <v>1077</v>
      </c>
      <c r="I678" s="751" t="s">
        <v>1138</v>
      </c>
      <c r="J678" s="521"/>
      <c r="K678" s="521" t="s">
        <v>3058</v>
      </c>
      <c r="L678" s="751" t="s">
        <v>4103</v>
      </c>
      <c r="M678" s="751"/>
      <c r="N678" s="751"/>
      <c r="O678" s="521" t="s">
        <v>4104</v>
      </c>
      <c r="P678" s="888"/>
      <c r="Q678" s="888"/>
      <c r="R678" s="888"/>
      <c r="S678" s="529"/>
      <c r="T678" s="751"/>
      <c r="U678" s="751"/>
      <c r="V678" s="751"/>
      <c r="W678" s="751"/>
      <c r="X678" s="533" t="s">
        <v>32</v>
      </c>
      <c r="Y678" s="522"/>
      <c r="Z678" s="522"/>
      <c r="AA678" s="522"/>
      <c r="AB678" s="522"/>
      <c r="AC678" s="522"/>
      <c r="AD678" s="522"/>
      <c r="AE678" s="522"/>
      <c r="AF678" s="522"/>
      <c r="AG678" s="522"/>
      <c r="AH678" s="522"/>
      <c r="AI678" s="523"/>
      <c r="AJ678" s="523"/>
      <c r="AK678" s="523"/>
      <c r="AL678" s="523"/>
      <c r="AM678" s="522"/>
      <c r="AN678" s="522"/>
      <c r="AO678" s="886"/>
      <c r="AP678" s="896"/>
      <c r="AQ678" s="896"/>
      <c r="AR678" s="896"/>
      <c r="AS678" s="538"/>
      <c r="AT678" s="538"/>
      <c r="AU678" s="539"/>
      <c r="AV678" s="539"/>
      <c r="AW678" s="539"/>
      <c r="AX678" s="539"/>
      <c r="BB678" s="537">
        <f t="shared" ref="BB678" si="36">IF(E678&gt;1,1,"")</f>
        <v>1</v>
      </c>
    </row>
    <row r="679" spans="1:16383" s="537" customFormat="1" ht="15" customHeight="1">
      <c r="A679" s="751" t="s">
        <v>24</v>
      </c>
      <c r="B679" s="751">
        <v>676</v>
      </c>
      <c r="C679" s="751" t="s">
        <v>4105</v>
      </c>
      <c r="D679" s="751" t="s">
        <v>50</v>
      </c>
      <c r="E679" s="887">
        <v>46134</v>
      </c>
      <c r="F679" s="751" t="s">
        <v>2295</v>
      </c>
      <c r="G679" s="751">
        <v>13</v>
      </c>
      <c r="H679" s="751" t="s">
        <v>1077</v>
      </c>
      <c r="I679" s="751" t="s">
        <v>1138</v>
      </c>
      <c r="J679" s="751" t="s">
        <v>4106</v>
      </c>
      <c r="K679" s="521" t="s">
        <v>3063</v>
      </c>
      <c r="L679" s="521" t="s">
        <v>4096</v>
      </c>
      <c r="M679" s="521" t="s">
        <v>4094</v>
      </c>
      <c r="N679" s="751"/>
      <c r="O679" s="521" t="s">
        <v>4101</v>
      </c>
      <c r="P679" s="888"/>
      <c r="Q679" s="888"/>
      <c r="R679" s="888"/>
      <c r="S679" s="529"/>
      <c r="T679" s="751"/>
      <c r="U679" s="751"/>
      <c r="V679" s="751"/>
      <c r="W679" s="751"/>
      <c r="X679" s="533" t="s">
        <v>32</v>
      </c>
      <c r="Y679" s="522"/>
      <c r="Z679" s="522"/>
      <c r="AA679" s="522"/>
      <c r="AB679" s="522"/>
      <c r="AC679" s="522"/>
      <c r="AD679" s="522"/>
      <c r="AE679" s="522"/>
      <c r="AF679" s="522"/>
      <c r="AG679" s="522"/>
      <c r="AH679" s="522"/>
      <c r="AI679" s="523"/>
      <c r="AJ679" s="523"/>
      <c r="AK679" s="523"/>
      <c r="AL679" s="523"/>
      <c r="AM679" s="522"/>
      <c r="AN679" s="522"/>
      <c r="AO679" s="886"/>
      <c r="AP679" s="896"/>
      <c r="AQ679" s="896"/>
      <c r="AR679" s="896"/>
      <c r="AS679" s="538"/>
      <c r="AT679" s="538"/>
      <c r="AU679" s="539"/>
      <c r="AV679" s="539"/>
      <c r="AW679" s="539"/>
      <c r="AX679" s="539"/>
      <c r="BB679" s="537">
        <f>IF(E679&gt;1,1,"")</f>
        <v>1</v>
      </c>
    </row>
    <row r="680" spans="1:16383" s="756" customFormat="1" ht="14.25" customHeight="1">
      <c r="A680" s="912" t="s">
        <v>24</v>
      </c>
      <c r="B680" s="912">
        <v>677</v>
      </c>
      <c r="C680" s="912" t="s">
        <v>4107</v>
      </c>
      <c r="D680" s="912" t="s">
        <v>3741</v>
      </c>
      <c r="E680" s="916">
        <v>46134</v>
      </c>
      <c r="F680" s="912" t="s">
        <v>126</v>
      </c>
      <c r="G680" s="912">
        <v>26</v>
      </c>
      <c r="H680" s="912" t="s">
        <v>127</v>
      </c>
      <c r="I680" s="912" t="s">
        <v>28</v>
      </c>
      <c r="J680" s="912"/>
      <c r="K680" s="752" t="s">
        <v>3058</v>
      </c>
      <c r="L680" s="752" t="s">
        <v>3976</v>
      </c>
      <c r="M680" s="752" t="s">
        <v>3939</v>
      </c>
      <c r="N680" s="752" t="s">
        <v>3967</v>
      </c>
      <c r="O680" s="752" t="s">
        <v>4108</v>
      </c>
      <c r="P680" s="917"/>
      <c r="Q680" s="917"/>
      <c r="R680" s="917"/>
      <c r="S680" s="912"/>
      <c r="T680" s="912"/>
      <c r="U680" s="912"/>
      <c r="V680" s="912"/>
      <c r="W680" s="912"/>
      <c r="X680" s="753" t="s">
        <v>32</v>
      </c>
      <c r="Y680" s="918"/>
      <c r="Z680" s="918"/>
      <c r="AA680" s="918"/>
      <c r="AB680" s="918"/>
      <c r="AC680" s="918"/>
      <c r="AD680" s="918"/>
      <c r="AE680" s="918"/>
      <c r="AF680" s="918"/>
      <c r="AG680" s="918"/>
      <c r="AH680" s="918"/>
      <c r="AI680" s="919"/>
      <c r="AJ680" s="919"/>
      <c r="AK680" s="919"/>
      <c r="AL680" s="919"/>
      <c r="AM680" s="918"/>
      <c r="AN680" s="918"/>
      <c r="AO680" s="918"/>
      <c r="AP680" s="920"/>
      <c r="AQ680" s="920"/>
      <c r="AR680" s="920"/>
      <c r="AS680" s="754"/>
      <c r="AT680" s="754"/>
      <c r="AU680" s="755"/>
      <c r="AV680" s="755"/>
      <c r="AW680" s="755"/>
      <c r="AX680" s="755"/>
      <c r="BB680" s="756">
        <f t="shared" ref="BB680" si="37">IF(E680&gt;1,1,"")</f>
        <v>1</v>
      </c>
    </row>
    <row r="681" spans="1:16383" s="763" customFormat="1" ht="15.6" customHeight="1">
      <c r="A681" s="912" t="s">
        <v>24</v>
      </c>
      <c r="B681" s="912">
        <v>678</v>
      </c>
      <c r="C681" s="912" t="s">
        <v>4023</v>
      </c>
      <c r="D681" s="912" t="s">
        <v>3741</v>
      </c>
      <c r="E681" s="916">
        <v>46134</v>
      </c>
      <c r="F681" s="912" t="s">
        <v>1611</v>
      </c>
      <c r="G681" s="912">
        <v>8</v>
      </c>
      <c r="H681" s="912" t="s">
        <v>1077</v>
      </c>
      <c r="I681" s="912" t="s">
        <v>1138</v>
      </c>
      <c r="J681" s="912"/>
      <c r="K681" s="752" t="s">
        <v>3058</v>
      </c>
      <c r="L681" s="912" t="s">
        <v>4026</v>
      </c>
      <c r="M681" s="752" t="s">
        <v>3948</v>
      </c>
      <c r="N681" s="752" t="s">
        <v>3948</v>
      </c>
      <c r="O681" s="752" t="s">
        <v>3743</v>
      </c>
      <c r="P681" s="917"/>
      <c r="Q681" s="917"/>
      <c r="R681" s="917"/>
      <c r="S681" s="757"/>
      <c r="T681" s="912"/>
      <c r="U681" s="912"/>
      <c r="V681" s="912"/>
      <c r="W681" s="912"/>
      <c r="X681" s="758" t="s">
        <v>32</v>
      </c>
      <c r="Y681" s="759"/>
      <c r="Z681" s="759"/>
      <c r="AA681" s="759"/>
      <c r="AB681" s="759"/>
      <c r="AC681" s="759"/>
      <c r="AD681" s="759"/>
      <c r="AE681" s="759"/>
      <c r="AF681" s="759"/>
      <c r="AG681" s="759"/>
      <c r="AH681" s="759"/>
      <c r="AI681" s="760"/>
      <c r="AJ681" s="760"/>
      <c r="AK681" s="760"/>
      <c r="AL681" s="760"/>
      <c r="AM681" s="759"/>
      <c r="AN681" s="759"/>
      <c r="AO681" s="918"/>
      <c r="AP681" s="920"/>
      <c r="AQ681" s="920"/>
      <c r="AR681" s="920"/>
      <c r="AS681" s="761"/>
      <c r="AT681" s="761"/>
      <c r="AU681" s="762"/>
      <c r="AV681" s="762"/>
      <c r="AW681" s="762"/>
      <c r="AX681" s="762"/>
      <c r="BB681" s="763">
        <f t="shared" si="31"/>
        <v>1</v>
      </c>
    </row>
    <row r="682" spans="1:16383" s="763" customFormat="1" ht="15.6" customHeight="1">
      <c r="A682" s="912" t="s">
        <v>24</v>
      </c>
      <c r="B682" s="912">
        <v>679</v>
      </c>
      <c r="C682" s="912" t="s">
        <v>4025</v>
      </c>
      <c r="D682" s="912" t="s">
        <v>1641</v>
      </c>
      <c r="E682" s="916">
        <v>46134</v>
      </c>
      <c r="F682" s="912" t="s">
        <v>1611</v>
      </c>
      <c r="G682" s="912">
        <v>16</v>
      </c>
      <c r="H682" s="912" t="s">
        <v>1077</v>
      </c>
      <c r="I682" s="912" t="s">
        <v>1138</v>
      </c>
      <c r="J682" s="912"/>
      <c r="K682" s="752" t="s">
        <v>3058</v>
      </c>
      <c r="L682" s="912" t="s">
        <v>4026</v>
      </c>
      <c r="M682" s="752" t="s">
        <v>3948</v>
      </c>
      <c r="N682" s="752" t="s">
        <v>3948</v>
      </c>
      <c r="O682" s="752" t="s">
        <v>3743</v>
      </c>
      <c r="P682" s="917"/>
      <c r="Q682" s="917"/>
      <c r="R682" s="917"/>
      <c r="S682" s="757"/>
      <c r="T682" s="912"/>
      <c r="U682" s="912"/>
      <c r="V682" s="912"/>
      <c r="W682" s="912"/>
      <c r="X682" s="758" t="s">
        <v>32</v>
      </c>
      <c r="Y682" s="759"/>
      <c r="Z682" s="759"/>
      <c r="AA682" s="759"/>
      <c r="AB682" s="759"/>
      <c r="AC682" s="759"/>
      <c r="AD682" s="759"/>
      <c r="AE682" s="759"/>
      <c r="AF682" s="759"/>
      <c r="AG682" s="759"/>
      <c r="AH682" s="759"/>
      <c r="AI682" s="760"/>
      <c r="AJ682" s="760"/>
      <c r="AK682" s="760"/>
      <c r="AL682" s="760"/>
      <c r="AM682" s="759"/>
      <c r="AN682" s="759"/>
      <c r="AO682" s="918"/>
      <c r="AP682" s="920"/>
      <c r="AQ682" s="920"/>
      <c r="AR682" s="920"/>
      <c r="AS682" s="761"/>
      <c r="AT682" s="761"/>
      <c r="AU682" s="762"/>
      <c r="AV682" s="762"/>
      <c r="AW682" s="762"/>
      <c r="AX682" s="762"/>
      <c r="BB682" s="763">
        <f t="shared" si="31"/>
        <v>1</v>
      </c>
    </row>
    <row r="683" spans="1:16383" s="537" customFormat="1" ht="15.6" customHeight="1">
      <c r="A683" s="751" t="s">
        <v>24</v>
      </c>
      <c r="B683" s="834">
        <v>680</v>
      </c>
      <c r="C683" s="751" t="s">
        <v>4102</v>
      </c>
      <c r="D683" s="751" t="s">
        <v>1937</v>
      </c>
      <c r="E683" s="887">
        <v>46135</v>
      </c>
      <c r="F683" s="751" t="s">
        <v>181</v>
      </c>
      <c r="G683" s="751">
        <v>10</v>
      </c>
      <c r="H683" s="751" t="s">
        <v>1077</v>
      </c>
      <c r="I683" s="751" t="s">
        <v>1138</v>
      </c>
      <c r="J683" s="521"/>
      <c r="K683" s="521" t="s">
        <v>3058</v>
      </c>
      <c r="L683" s="751" t="s">
        <v>4103</v>
      </c>
      <c r="M683" s="751"/>
      <c r="N683" s="751"/>
      <c r="O683" s="521" t="s">
        <v>4104</v>
      </c>
      <c r="P683" s="888"/>
      <c r="Q683" s="888"/>
      <c r="R683" s="888"/>
      <c r="S683" s="529"/>
      <c r="T683" s="751"/>
      <c r="U683" s="751"/>
      <c r="V683" s="751"/>
      <c r="W683" s="751"/>
      <c r="X683" s="533" t="s">
        <v>32</v>
      </c>
      <c r="Y683" s="522"/>
      <c r="Z683" s="522"/>
      <c r="AA683" s="522"/>
      <c r="AB683" s="522"/>
      <c r="AC683" s="522"/>
      <c r="AD683" s="522"/>
      <c r="AE683" s="522"/>
      <c r="AF683" s="522"/>
      <c r="AG683" s="522"/>
      <c r="AH683" s="522"/>
      <c r="AI683" s="523"/>
      <c r="AJ683" s="523"/>
      <c r="AK683" s="523"/>
      <c r="AL683" s="523"/>
      <c r="AM683" s="522"/>
      <c r="AN683" s="522"/>
      <c r="AO683" s="886"/>
      <c r="AP683" s="896"/>
      <c r="AQ683" s="896"/>
      <c r="AR683" s="896"/>
      <c r="AS683" s="538"/>
      <c r="AT683" s="538"/>
      <c r="AU683" s="539"/>
      <c r="AV683" s="539"/>
      <c r="AW683" s="539"/>
      <c r="AX683" s="539"/>
      <c r="BB683" s="537">
        <f t="shared" ref="BB683" si="38">IF(E683&gt;1,1,"")</f>
        <v>1</v>
      </c>
    </row>
    <row r="684" spans="1:16383" s="703" customFormat="1" ht="15.6" customHeight="1">
      <c r="A684" s="583" t="s">
        <v>24</v>
      </c>
      <c r="B684" s="834">
        <v>681</v>
      </c>
      <c r="C684" s="583" t="s">
        <v>4109</v>
      </c>
      <c r="D684" s="583" t="s">
        <v>1641</v>
      </c>
      <c r="E684" s="592">
        <v>46135</v>
      </c>
      <c r="F684" s="583" t="s">
        <v>1642</v>
      </c>
      <c r="G684" s="583">
        <v>15</v>
      </c>
      <c r="H684" s="583" t="s">
        <v>1077</v>
      </c>
      <c r="I684" s="583" t="s">
        <v>1138</v>
      </c>
      <c r="J684" s="583" t="s">
        <v>4110</v>
      </c>
      <c r="K684" s="583"/>
      <c r="L684" s="583" t="s">
        <v>4111</v>
      </c>
      <c r="M684" s="583"/>
      <c r="N684" s="583"/>
      <c r="O684" s="583" t="s">
        <v>3743</v>
      </c>
      <c r="P684" s="593"/>
      <c r="Q684" s="593"/>
      <c r="R684" s="593"/>
      <c r="S684" s="583"/>
      <c r="T684" s="583"/>
      <c r="U684" s="583"/>
      <c r="V684" s="583"/>
      <c r="W684" s="583"/>
      <c r="X684" s="533"/>
      <c r="Y684" s="533"/>
      <c r="Z684" s="533"/>
      <c r="AA684" s="533"/>
      <c r="AB684" s="533"/>
      <c r="AC684" s="533"/>
      <c r="AD684" s="533"/>
      <c r="AE684" s="533"/>
      <c r="AF684" s="533"/>
      <c r="AG684" s="533"/>
      <c r="AH684" s="533"/>
      <c r="AI684" s="584"/>
      <c r="AJ684" s="584"/>
      <c r="AK684" s="584"/>
      <c r="AL684" s="584"/>
      <c r="AM684" s="533"/>
      <c r="AN684" s="533"/>
      <c r="AO684" s="533"/>
      <c r="AP684" s="594"/>
      <c r="AQ684" s="594"/>
      <c r="AR684" s="594"/>
      <c r="AS684" s="701"/>
      <c r="AT684" s="701"/>
      <c r="AU684" s="702"/>
      <c r="AV684" s="702"/>
      <c r="AW684" s="702"/>
      <c r="AX684" s="702"/>
    </row>
    <row r="685" spans="1:16383" s="703" customFormat="1" ht="15.6" customHeight="1">
      <c r="A685" s="583" t="s">
        <v>24</v>
      </c>
      <c r="B685" s="834">
        <v>682</v>
      </c>
      <c r="C685" s="583" t="s">
        <v>4112</v>
      </c>
      <c r="D685" s="583" t="s">
        <v>1641</v>
      </c>
      <c r="E685" s="592">
        <v>46136</v>
      </c>
      <c r="F685" s="583" t="s">
        <v>1642</v>
      </c>
      <c r="G685" s="583">
        <v>15</v>
      </c>
      <c r="H685" s="583" t="s">
        <v>1077</v>
      </c>
      <c r="I685" s="583" t="s">
        <v>1138</v>
      </c>
      <c r="J685" s="583" t="s">
        <v>4110</v>
      </c>
      <c r="K685" s="583"/>
      <c r="L685" s="583" t="s">
        <v>4111</v>
      </c>
      <c r="M685" s="583"/>
      <c r="N685" s="583"/>
      <c r="O685" s="583" t="s">
        <v>3743</v>
      </c>
      <c r="P685" s="593"/>
      <c r="Q685" s="593"/>
      <c r="R685" s="593"/>
      <c r="S685" s="583"/>
      <c r="T685" s="583"/>
      <c r="U685" s="583"/>
      <c r="V685" s="583"/>
      <c r="W685" s="583"/>
      <c r="X685" s="533"/>
      <c r="Y685" s="533"/>
      <c r="Z685" s="533"/>
      <c r="AA685" s="533"/>
      <c r="AB685" s="533"/>
      <c r="AC685" s="533"/>
      <c r="AD685" s="533"/>
      <c r="AE685" s="533"/>
      <c r="AF685" s="533"/>
      <c r="AG685" s="533"/>
      <c r="AH685" s="533"/>
      <c r="AI685" s="584"/>
      <c r="AJ685" s="584"/>
      <c r="AK685" s="584"/>
      <c r="AL685" s="584"/>
      <c r="AM685" s="533"/>
      <c r="AN685" s="533"/>
      <c r="AO685" s="533"/>
      <c r="AP685" s="594"/>
      <c r="AQ685" s="594"/>
      <c r="AR685" s="594"/>
      <c r="AS685" s="701"/>
      <c r="AT685" s="701"/>
      <c r="AU685" s="702"/>
      <c r="AV685" s="702"/>
      <c r="AW685" s="702"/>
      <c r="AX685" s="702"/>
    </row>
    <row r="686" spans="1:16383" s="537" customFormat="1" ht="15.6" customHeight="1">
      <c r="A686" s="751" t="s">
        <v>24</v>
      </c>
      <c r="B686" s="834">
        <v>683</v>
      </c>
      <c r="C686" s="751" t="s">
        <v>4113</v>
      </c>
      <c r="D686" s="751" t="s">
        <v>50</v>
      </c>
      <c r="E686" s="887">
        <v>46136</v>
      </c>
      <c r="F686" s="751" t="s">
        <v>2014</v>
      </c>
      <c r="G686" s="751">
        <v>18</v>
      </c>
      <c r="H686" s="751" t="s">
        <v>1077</v>
      </c>
      <c r="I686" s="751" t="s">
        <v>1138</v>
      </c>
      <c r="J686" s="751" t="s">
        <v>4114</v>
      </c>
      <c r="K686" s="521" t="s">
        <v>3063</v>
      </c>
      <c r="L686" s="751" t="s">
        <v>1650</v>
      </c>
      <c r="M686" s="521" t="s">
        <v>4094</v>
      </c>
      <c r="N686" s="521"/>
      <c r="O686" s="521" t="s">
        <v>4115</v>
      </c>
      <c r="P686" s="888"/>
      <c r="Q686" s="888"/>
      <c r="R686" s="888"/>
      <c r="S686" s="529"/>
      <c r="T686" s="751"/>
      <c r="U686" s="751"/>
      <c r="V686" s="751"/>
      <c r="W686" s="751"/>
      <c r="X686" s="533" t="s">
        <v>32</v>
      </c>
      <c r="Y686" s="522"/>
      <c r="Z686" s="522"/>
      <c r="AA686" s="522"/>
      <c r="AB686" s="522"/>
      <c r="AC686" s="522"/>
      <c r="AD686" s="522"/>
      <c r="AE686" s="522"/>
      <c r="AF686" s="522"/>
      <c r="AG686" s="522"/>
      <c r="AH686" s="522"/>
      <c r="AI686" s="523"/>
      <c r="AJ686" s="523"/>
      <c r="AK686" s="523"/>
      <c r="AL686" s="523"/>
      <c r="AM686" s="522"/>
      <c r="AN686" s="522"/>
      <c r="AO686" s="886"/>
      <c r="AP686" s="896"/>
      <c r="AQ686" s="896"/>
      <c r="AR686" s="896"/>
      <c r="AS686" s="538"/>
      <c r="AT686" s="538"/>
      <c r="AU686" s="539"/>
      <c r="AV686" s="539"/>
      <c r="AW686" s="539"/>
      <c r="AX686" s="539"/>
      <c r="BB686" s="537">
        <f t="shared" si="31"/>
        <v>1</v>
      </c>
    </row>
    <row r="687" spans="1:16383" s="725" customFormat="1" ht="15.6" customHeight="1">
      <c r="A687" s="751" t="s">
        <v>24</v>
      </c>
      <c r="B687" s="751">
        <v>684</v>
      </c>
      <c r="C687" s="751" t="s">
        <v>4116</v>
      </c>
      <c r="D687" s="751" t="s">
        <v>270</v>
      </c>
      <c r="E687" s="887">
        <v>46136</v>
      </c>
      <c r="F687" s="751" t="s">
        <v>3424</v>
      </c>
      <c r="G687" s="751">
        <v>19</v>
      </c>
      <c r="H687" s="751" t="s">
        <v>1077</v>
      </c>
      <c r="I687" s="751" t="s">
        <v>1138</v>
      </c>
      <c r="J687" s="751"/>
      <c r="K687" s="751" t="s">
        <v>3063</v>
      </c>
      <c r="L687" s="751" t="s">
        <v>4012</v>
      </c>
      <c r="M687" s="521" t="s">
        <v>4094</v>
      </c>
      <c r="N687" s="521"/>
      <c r="O687" s="888" t="s">
        <v>3743</v>
      </c>
      <c r="P687" s="888"/>
      <c r="Q687" s="888"/>
      <c r="R687" s="888"/>
      <c r="S687" s="751"/>
      <c r="T687" s="751"/>
      <c r="U687" s="751"/>
      <c r="V687" s="751"/>
      <c r="W687" s="751"/>
      <c r="X687" s="886" t="s">
        <v>32</v>
      </c>
      <c r="Y687" s="886"/>
      <c r="Z687" s="886"/>
      <c r="AA687" s="886"/>
      <c r="AB687" s="886"/>
      <c r="AC687" s="886"/>
      <c r="AD687" s="886"/>
      <c r="AE687" s="886"/>
      <c r="AF687" s="886"/>
      <c r="AG687" s="886"/>
      <c r="AH687" s="886"/>
      <c r="AI687" s="895"/>
      <c r="AJ687" s="895"/>
      <c r="AK687" s="895"/>
      <c r="AL687" s="895"/>
      <c r="AM687" s="886"/>
      <c r="AN687" s="886"/>
      <c r="AO687" s="886"/>
      <c r="AP687" s="896"/>
      <c r="AQ687" s="896"/>
      <c r="AR687" s="896"/>
      <c r="AS687" s="645"/>
      <c r="AT687" s="645"/>
      <c r="AU687" s="724"/>
      <c r="AV687" s="724"/>
      <c r="AW687" s="724"/>
      <c r="AX687" s="724"/>
      <c r="BB687" s="725">
        <f>IF(E687&gt;1,1,"")</f>
        <v>1</v>
      </c>
    </row>
    <row r="688" spans="1:16383" s="763" customFormat="1" ht="15.6" customHeight="1">
      <c r="A688" s="912" t="s">
        <v>24</v>
      </c>
      <c r="B688" s="912">
        <v>685</v>
      </c>
      <c r="C688" s="912" t="s">
        <v>4117</v>
      </c>
      <c r="D688" s="912" t="s">
        <v>129</v>
      </c>
      <c r="E688" s="916">
        <v>46136</v>
      </c>
      <c r="F688" s="912" t="s">
        <v>4118</v>
      </c>
      <c r="G688" s="912">
        <v>15</v>
      </c>
      <c r="H688" s="912" t="s">
        <v>127</v>
      </c>
      <c r="I688" s="912" t="s">
        <v>28</v>
      </c>
      <c r="J688" s="912"/>
      <c r="K688" s="752" t="s">
        <v>3063</v>
      </c>
      <c r="L688" s="912" t="s">
        <v>4119</v>
      </c>
      <c r="M688" s="752" t="s">
        <v>4094</v>
      </c>
      <c r="N688" s="752" t="s">
        <v>4099</v>
      </c>
      <c r="O688" s="752" t="s">
        <v>4120</v>
      </c>
      <c r="P688" s="917"/>
      <c r="Q688" s="917"/>
      <c r="R688" s="917"/>
      <c r="S688" s="757"/>
      <c r="T688" s="912"/>
      <c r="U688" s="912"/>
      <c r="V688" s="912"/>
      <c r="W688" s="912"/>
      <c r="X688" s="758"/>
      <c r="Y688" s="759"/>
      <c r="Z688" s="759"/>
      <c r="AA688" s="759"/>
      <c r="AB688" s="759"/>
      <c r="AC688" s="759"/>
      <c r="AD688" s="759"/>
      <c r="AE688" s="759"/>
      <c r="AF688" s="759"/>
      <c r="AG688" s="759"/>
      <c r="AH688" s="759"/>
      <c r="AI688" s="760"/>
      <c r="AJ688" s="760"/>
      <c r="AK688" s="760"/>
      <c r="AL688" s="760"/>
      <c r="AM688" s="759"/>
      <c r="AN688" s="759"/>
      <c r="AO688" s="918"/>
      <c r="AP688" s="920"/>
      <c r="AQ688" s="920"/>
      <c r="AR688" s="920"/>
      <c r="AS688" s="761"/>
      <c r="AT688" s="761"/>
      <c r="AU688" s="762"/>
      <c r="AV688" s="762"/>
      <c r="AW688" s="762"/>
      <c r="AX688" s="762"/>
    </row>
    <row r="689" spans="1:16383" s="703" customFormat="1" ht="15" customHeight="1">
      <c r="A689" s="583" t="s">
        <v>24</v>
      </c>
      <c r="B689" s="215">
        <v>686</v>
      </c>
      <c r="C689" s="583" t="s">
        <v>4121</v>
      </c>
      <c r="D689" s="583" t="s">
        <v>64</v>
      </c>
      <c r="E689" s="592">
        <v>46136</v>
      </c>
      <c r="F689" s="583" t="s">
        <v>110</v>
      </c>
      <c r="G689" s="583">
        <v>22</v>
      </c>
      <c r="H689" s="583" t="s">
        <v>1077</v>
      </c>
      <c r="I689" s="583" t="s">
        <v>1138</v>
      </c>
      <c r="J689" s="583" t="s">
        <v>4122</v>
      </c>
      <c r="K689" s="583" t="s">
        <v>3063</v>
      </c>
      <c r="L689" s="700" t="s">
        <v>4123</v>
      </c>
      <c r="M689" s="583"/>
      <c r="N689" s="583"/>
      <c r="O689" s="593" t="s">
        <v>3743</v>
      </c>
      <c r="P689" s="593"/>
      <c r="Q689" s="593"/>
      <c r="R689" s="593"/>
      <c r="S689" s="583"/>
      <c r="T689" s="583"/>
      <c r="U689" s="583"/>
      <c r="V689" s="583"/>
      <c r="W689" s="583"/>
      <c r="X689" s="533"/>
      <c r="Y689" s="533"/>
      <c r="Z689" s="533"/>
      <c r="AA689" s="533"/>
      <c r="AB689" s="533"/>
      <c r="AC689" s="533"/>
      <c r="AD689" s="533"/>
      <c r="AE689" s="533"/>
      <c r="AF689" s="533"/>
      <c r="AG689" s="533"/>
      <c r="AH689" s="533"/>
      <c r="AI689" s="584"/>
      <c r="AJ689" s="584"/>
      <c r="AK689" s="584"/>
      <c r="AL689" s="584"/>
      <c r="AM689" s="533"/>
      <c r="AN689" s="533"/>
      <c r="AO689" s="533"/>
      <c r="AP689" s="594"/>
      <c r="AQ689" s="594"/>
      <c r="AR689" s="594"/>
      <c r="AS689" s="701"/>
      <c r="AT689" s="701"/>
      <c r="AU689" s="702"/>
      <c r="AV689" s="702"/>
      <c r="AW689" s="702"/>
      <c r="AX689" s="702"/>
    </row>
    <row r="690" spans="1:16383" s="537" customFormat="1" ht="15" customHeight="1">
      <c r="A690" s="751" t="s">
        <v>24</v>
      </c>
      <c r="B690" s="834">
        <v>687</v>
      </c>
      <c r="C690" s="751" t="s">
        <v>4124</v>
      </c>
      <c r="D690" s="751" t="s">
        <v>43</v>
      </c>
      <c r="E690" s="887">
        <v>46136</v>
      </c>
      <c r="F690" s="751" t="s">
        <v>167</v>
      </c>
      <c r="G690" s="751">
        <v>12</v>
      </c>
      <c r="H690" s="751" t="s">
        <v>1721</v>
      </c>
      <c r="I690" s="751" t="s">
        <v>1638</v>
      </c>
      <c r="J690" s="751" t="s">
        <v>4125</v>
      </c>
      <c r="K690" s="521"/>
      <c r="L690" s="723" t="s">
        <v>4126</v>
      </c>
      <c r="M690" s="713"/>
      <c r="N690" s="751"/>
      <c r="O690" s="888" t="s">
        <v>3743</v>
      </c>
      <c r="P690" s="888"/>
      <c r="Q690" s="888"/>
      <c r="R690" s="888"/>
      <c r="S690" s="529"/>
      <c r="T690" s="751"/>
      <c r="U690" s="751"/>
      <c r="V690" s="751"/>
      <c r="W690" s="751"/>
      <c r="X690" s="533"/>
      <c r="Y690" s="522"/>
      <c r="Z690" s="522"/>
      <c r="AA690" s="522"/>
      <c r="AB690" s="522"/>
      <c r="AC690" s="522"/>
      <c r="AD690" s="522"/>
      <c r="AE690" s="522"/>
      <c r="AF690" s="522"/>
      <c r="AG690" s="522"/>
      <c r="AH690" s="522"/>
      <c r="AI690" s="523"/>
      <c r="AJ690" s="523"/>
      <c r="AK690" s="523"/>
      <c r="AL690" s="523"/>
      <c r="AM690" s="522"/>
      <c r="AN690" s="522"/>
      <c r="AO690" s="886"/>
      <c r="AP690" s="896"/>
      <c r="AQ690" s="896"/>
      <c r="AR690" s="896"/>
      <c r="AS690" s="538"/>
      <c r="AT690" s="538"/>
      <c r="AU690" s="539"/>
      <c r="AV690" s="539"/>
      <c r="AW690" s="539"/>
      <c r="AX690" s="539"/>
    </row>
    <row r="691" spans="1:16383" s="537" customFormat="1" ht="15.6" customHeight="1">
      <c r="A691" s="751" t="s">
        <v>24</v>
      </c>
      <c r="B691" s="834">
        <v>688</v>
      </c>
      <c r="C691" s="751" t="s">
        <v>4127</v>
      </c>
      <c r="D691" s="751" t="s">
        <v>64</v>
      </c>
      <c r="E691" s="887">
        <v>46137</v>
      </c>
      <c r="F691" s="751" t="s">
        <v>4128</v>
      </c>
      <c r="G691" s="751">
        <v>9</v>
      </c>
      <c r="H691" s="751" t="s">
        <v>1077</v>
      </c>
      <c r="I691" s="751" t="s">
        <v>1138</v>
      </c>
      <c r="J691" s="751" t="s">
        <v>4129</v>
      </c>
      <c r="K691" s="521" t="s">
        <v>3063</v>
      </c>
      <c r="L691" s="751" t="s">
        <v>457</v>
      </c>
      <c r="M691" s="751"/>
      <c r="N691" s="751"/>
      <c r="O691" s="521" t="s">
        <v>4130</v>
      </c>
      <c r="P691" s="888"/>
      <c r="Q691" s="888"/>
      <c r="R691" s="888"/>
      <c r="S691" s="529"/>
      <c r="T691" s="751"/>
      <c r="U691" s="751"/>
      <c r="V691" s="751"/>
      <c r="W691" s="751"/>
      <c r="X691" s="533"/>
      <c r="Y691" s="522"/>
      <c r="Z691" s="522"/>
      <c r="AA691" s="522"/>
      <c r="AB691" s="522"/>
      <c r="AC691" s="522"/>
      <c r="AD691" s="522"/>
      <c r="AE691" s="522"/>
      <c r="AF691" s="522"/>
      <c r="AG691" s="522"/>
      <c r="AH691" s="522"/>
      <c r="AI691" s="523"/>
      <c r="AJ691" s="523"/>
      <c r="AK691" s="523"/>
      <c r="AL691" s="523"/>
      <c r="AM691" s="522"/>
      <c r="AN691" s="522"/>
      <c r="AO691" s="886"/>
      <c r="AP691" s="896"/>
      <c r="AQ691" s="896"/>
      <c r="AR691" s="896"/>
      <c r="AS691" s="538"/>
      <c r="AT691" s="538"/>
      <c r="AU691" s="539"/>
      <c r="AV691" s="539"/>
      <c r="AW691" s="539"/>
      <c r="AX691" s="539"/>
    </row>
    <row r="692" spans="1:16383" s="733" customFormat="1" ht="15">
      <c r="A692" s="751" t="s">
        <v>24</v>
      </c>
      <c r="B692" s="834">
        <v>689</v>
      </c>
      <c r="C692" s="769" t="s">
        <v>4131</v>
      </c>
      <c r="D692" s="894" t="s">
        <v>64</v>
      </c>
      <c r="E692" s="921">
        <v>46139</v>
      </c>
      <c r="F692" s="769" t="s">
        <v>743</v>
      </c>
      <c r="G692" s="769">
        <v>10</v>
      </c>
      <c r="H692" s="751" t="s">
        <v>1721</v>
      </c>
      <c r="I692" s="751" t="s">
        <v>1638</v>
      </c>
      <c r="J692" s="769" t="s">
        <v>4132</v>
      </c>
      <c r="K692" s="769"/>
      <c r="L692" s="769" t="s">
        <v>4007</v>
      </c>
      <c r="M692" s="769"/>
      <c r="N692" s="769"/>
      <c r="O692" s="562" t="s">
        <v>4133</v>
      </c>
      <c r="P692" s="769"/>
      <c r="Q692" s="769"/>
      <c r="R692" s="769"/>
      <c r="S692" s="769"/>
      <c r="T692" s="769"/>
      <c r="U692" s="769"/>
      <c r="V692" s="769"/>
      <c r="W692" s="769"/>
      <c r="X692" s="769"/>
      <c r="Y692" s="769"/>
      <c r="Z692" s="769"/>
      <c r="AA692" s="769"/>
      <c r="AB692" s="769"/>
      <c r="AC692" s="769"/>
      <c r="AD692" s="769"/>
      <c r="AE692" s="769"/>
      <c r="AF692" s="769"/>
      <c r="AG692" s="769"/>
      <c r="AH692" s="769"/>
      <c r="AI692" s="769"/>
      <c r="AJ692" s="769"/>
      <c r="AK692" s="769"/>
      <c r="AL692" s="769"/>
      <c r="AM692" s="769"/>
      <c r="AN692" s="769"/>
      <c r="AO692" s="769"/>
      <c r="AP692" s="769"/>
      <c r="AQ692" s="769"/>
      <c r="AR692" s="769"/>
      <c r="AS692" s="769"/>
      <c r="AT692" s="769"/>
      <c r="AU692" s="769"/>
      <c r="AV692" s="769"/>
      <c r="AW692" s="769"/>
      <c r="AX692" s="769"/>
      <c r="AY692" s="769"/>
      <c r="AZ692" s="769"/>
      <c r="BA692" s="769"/>
      <c r="BB692" s="769"/>
      <c r="BC692" s="769"/>
      <c r="BD692" s="769"/>
      <c r="BE692" s="769"/>
      <c r="BF692" s="769"/>
      <c r="BG692" s="769"/>
      <c r="BH692" s="769"/>
      <c r="BI692" s="769"/>
      <c r="BJ692" s="769"/>
      <c r="BK692" s="769"/>
      <c r="BL692" s="769"/>
      <c r="BM692" s="769"/>
      <c r="BN692" s="769"/>
      <c r="BO692" s="769"/>
      <c r="BP692" s="769"/>
      <c r="BQ692" s="769"/>
      <c r="BR692" s="769"/>
      <c r="BS692" s="769"/>
      <c r="BT692" s="769"/>
      <c r="BU692" s="769"/>
      <c r="BV692" s="769"/>
      <c r="BW692" s="769"/>
      <c r="BX692" s="769"/>
      <c r="BY692" s="769"/>
      <c r="BZ692" s="769"/>
      <c r="CA692" s="769"/>
      <c r="CB692" s="769"/>
      <c r="CC692" s="769"/>
      <c r="CD692" s="769"/>
      <c r="CE692" s="769"/>
      <c r="CF692" s="769"/>
      <c r="CG692" s="769"/>
      <c r="CH692" s="769"/>
      <c r="CI692" s="769"/>
      <c r="CJ692" s="769"/>
      <c r="CK692" s="769"/>
      <c r="CL692" s="769"/>
      <c r="CM692" s="769"/>
      <c r="CN692" s="769"/>
      <c r="CO692" s="769"/>
      <c r="CP692" s="769"/>
      <c r="CQ692" s="769"/>
      <c r="CR692" s="769"/>
      <c r="CS692" s="769"/>
      <c r="CT692" s="769"/>
      <c r="CU692" s="769"/>
      <c r="CV692" s="769"/>
      <c r="CW692" s="769"/>
      <c r="CX692" s="769"/>
      <c r="CY692" s="769"/>
      <c r="CZ692" s="769"/>
      <c r="DA692" s="769"/>
      <c r="DB692" s="769"/>
      <c r="DC692" s="769"/>
      <c r="DD692" s="769"/>
      <c r="DE692" s="769"/>
      <c r="DF692" s="769"/>
      <c r="DG692" s="769"/>
      <c r="DH692" s="769"/>
      <c r="DI692" s="769"/>
      <c r="DJ692" s="769"/>
      <c r="DK692" s="769"/>
      <c r="DL692" s="769"/>
      <c r="DM692" s="769"/>
      <c r="DN692" s="769"/>
      <c r="DO692" s="769"/>
      <c r="DP692" s="769"/>
      <c r="DQ692" s="769"/>
      <c r="DR692" s="769"/>
      <c r="DS692" s="769"/>
      <c r="DT692" s="769"/>
      <c r="DU692" s="769"/>
      <c r="DV692" s="769"/>
      <c r="DW692" s="769"/>
      <c r="DX692" s="769"/>
      <c r="DY692" s="769"/>
      <c r="DZ692" s="769"/>
      <c r="EA692" s="769"/>
      <c r="EB692" s="769"/>
      <c r="EC692" s="769"/>
      <c r="ED692" s="769"/>
      <c r="EE692" s="769"/>
      <c r="EF692" s="769"/>
      <c r="EG692" s="769"/>
      <c r="EH692" s="769"/>
      <c r="EI692" s="769"/>
      <c r="EJ692" s="769"/>
      <c r="EK692" s="769"/>
      <c r="EL692" s="769"/>
      <c r="EM692" s="769"/>
      <c r="EN692" s="769"/>
      <c r="EO692" s="769"/>
      <c r="EP692" s="769"/>
      <c r="EQ692" s="769"/>
      <c r="ER692" s="769"/>
      <c r="ES692" s="769"/>
      <c r="ET692" s="769"/>
      <c r="EU692" s="769"/>
      <c r="EV692" s="769"/>
      <c r="EW692" s="769"/>
      <c r="EX692" s="769"/>
      <c r="EY692" s="769"/>
      <c r="EZ692" s="769"/>
      <c r="FA692" s="769"/>
      <c r="FB692" s="769"/>
      <c r="FC692" s="769"/>
      <c r="FD692" s="769"/>
      <c r="FE692" s="769"/>
      <c r="FF692" s="769"/>
      <c r="FG692" s="769"/>
      <c r="FH692" s="769"/>
      <c r="FI692" s="769"/>
      <c r="FJ692" s="769"/>
      <c r="FK692" s="769"/>
      <c r="FL692" s="769"/>
      <c r="FM692" s="769"/>
      <c r="FN692" s="769"/>
      <c r="FO692" s="769"/>
      <c r="FP692" s="769"/>
      <c r="FQ692" s="769"/>
      <c r="FR692" s="769"/>
      <c r="FS692" s="769"/>
      <c r="FT692" s="769"/>
      <c r="FU692" s="769"/>
      <c r="FV692" s="769"/>
      <c r="FW692" s="769"/>
      <c r="FX692" s="769"/>
      <c r="FY692" s="769"/>
      <c r="FZ692" s="769"/>
      <c r="GA692" s="769"/>
      <c r="GB692" s="769"/>
      <c r="GC692" s="769"/>
      <c r="GD692" s="769"/>
      <c r="GE692" s="769"/>
      <c r="GF692" s="769"/>
      <c r="GG692" s="769"/>
      <c r="GH692" s="769"/>
      <c r="GI692" s="769"/>
      <c r="GJ692" s="769"/>
      <c r="GK692" s="769"/>
      <c r="GL692" s="769"/>
      <c r="GM692" s="769"/>
      <c r="GN692" s="769"/>
      <c r="GO692" s="769"/>
      <c r="GP692" s="769"/>
      <c r="GQ692" s="769"/>
      <c r="GR692" s="769"/>
      <c r="GS692" s="769"/>
      <c r="GT692" s="769"/>
      <c r="GU692" s="769"/>
      <c r="GV692" s="769"/>
      <c r="GW692" s="769"/>
      <c r="GX692" s="769"/>
      <c r="GY692" s="769"/>
      <c r="GZ692" s="769"/>
      <c r="HA692" s="769"/>
      <c r="HB692" s="769"/>
      <c r="HC692" s="769"/>
      <c r="HD692" s="769"/>
      <c r="HE692" s="769"/>
      <c r="HF692" s="769"/>
      <c r="HG692" s="769"/>
      <c r="HH692" s="769"/>
      <c r="HI692" s="769"/>
      <c r="HJ692" s="769"/>
      <c r="HK692" s="769"/>
      <c r="HL692" s="769"/>
      <c r="HM692" s="769"/>
      <c r="HN692" s="769"/>
      <c r="HO692" s="769"/>
      <c r="HP692" s="769"/>
      <c r="HQ692" s="769"/>
      <c r="HR692" s="769"/>
      <c r="HS692" s="769"/>
      <c r="HT692" s="769"/>
      <c r="HU692" s="769"/>
      <c r="HV692" s="769"/>
      <c r="HW692" s="769"/>
      <c r="HX692" s="769"/>
      <c r="HY692" s="769"/>
      <c r="HZ692" s="769"/>
      <c r="IA692" s="769"/>
      <c r="IB692" s="769"/>
      <c r="IC692" s="769"/>
      <c r="ID692" s="769"/>
      <c r="IE692" s="769"/>
      <c r="IF692" s="769"/>
      <c r="IG692" s="769"/>
      <c r="IH692" s="769"/>
      <c r="II692" s="769"/>
      <c r="IJ692" s="769"/>
      <c r="IK692" s="769"/>
      <c r="IL692" s="769"/>
      <c r="IM692" s="769"/>
      <c r="IN692" s="769"/>
      <c r="IO692" s="769"/>
      <c r="IP692" s="769"/>
      <c r="IQ692" s="769"/>
      <c r="IR692" s="769"/>
      <c r="IS692" s="769"/>
      <c r="IT692" s="769"/>
      <c r="IU692" s="769"/>
      <c r="IV692" s="769"/>
      <c r="IW692" s="769"/>
      <c r="IX692" s="769"/>
      <c r="IY692" s="769"/>
      <c r="IZ692" s="769"/>
      <c r="JA692" s="769"/>
      <c r="JB692" s="769"/>
      <c r="JC692" s="769"/>
      <c r="JD692" s="769"/>
      <c r="JE692" s="769"/>
      <c r="JF692" s="769"/>
      <c r="JG692" s="769"/>
      <c r="JH692" s="769"/>
      <c r="JI692" s="769"/>
      <c r="JJ692" s="769"/>
      <c r="JK692" s="769"/>
      <c r="JL692" s="769"/>
      <c r="JM692" s="769"/>
      <c r="JN692" s="769"/>
      <c r="JO692" s="769"/>
      <c r="JP692" s="769"/>
      <c r="JQ692" s="769"/>
      <c r="JR692" s="769"/>
      <c r="JS692" s="769"/>
      <c r="JT692" s="769"/>
      <c r="JU692" s="769"/>
      <c r="JV692" s="769"/>
      <c r="JW692" s="769"/>
      <c r="JX692" s="769"/>
      <c r="JY692" s="769"/>
      <c r="JZ692" s="769"/>
      <c r="KA692" s="769"/>
      <c r="KB692" s="769"/>
      <c r="KC692" s="769"/>
      <c r="KD692" s="769"/>
      <c r="KE692" s="769"/>
      <c r="KF692" s="769"/>
      <c r="KG692" s="769"/>
      <c r="KH692" s="769"/>
      <c r="KI692" s="769"/>
      <c r="KJ692" s="769"/>
      <c r="KK692" s="769"/>
      <c r="KL692" s="769"/>
      <c r="KM692" s="769"/>
      <c r="KN692" s="769"/>
      <c r="KO692" s="769"/>
      <c r="KP692" s="769"/>
      <c r="KQ692" s="769"/>
      <c r="KR692" s="769"/>
      <c r="KS692" s="769"/>
      <c r="KT692" s="769"/>
      <c r="KU692" s="769"/>
      <c r="KV692" s="769"/>
      <c r="KW692" s="769"/>
      <c r="KX692" s="769"/>
      <c r="KY692" s="769"/>
      <c r="KZ692" s="769"/>
      <c r="LA692" s="769"/>
      <c r="LB692" s="769"/>
      <c r="LC692" s="769"/>
      <c r="LD692" s="769"/>
      <c r="LE692" s="769"/>
      <c r="LF692" s="769"/>
      <c r="LG692" s="769"/>
      <c r="LH692" s="769"/>
      <c r="LI692" s="769"/>
      <c r="LJ692" s="769"/>
      <c r="LK692" s="769"/>
      <c r="LL692" s="769"/>
      <c r="LM692" s="769"/>
      <c r="LN692" s="769"/>
      <c r="LO692" s="769"/>
      <c r="LP692" s="769"/>
      <c r="LQ692" s="769"/>
      <c r="LR692" s="769"/>
      <c r="LS692" s="769"/>
      <c r="LT692" s="769"/>
      <c r="LU692" s="769"/>
      <c r="LV692" s="769"/>
      <c r="LW692" s="769"/>
      <c r="LX692" s="769"/>
      <c r="LY692" s="769"/>
      <c r="LZ692" s="769"/>
      <c r="MA692" s="769"/>
      <c r="MB692" s="769"/>
      <c r="MC692" s="769"/>
      <c r="MD692" s="769"/>
      <c r="ME692" s="769"/>
      <c r="MF692" s="769"/>
      <c r="MG692" s="769"/>
      <c r="MH692" s="769"/>
      <c r="MI692" s="769"/>
      <c r="MJ692" s="769"/>
      <c r="MK692" s="769"/>
      <c r="ML692" s="769"/>
      <c r="MM692" s="769"/>
      <c r="MN692" s="769"/>
      <c r="MO692" s="769"/>
      <c r="MP692" s="769"/>
      <c r="MQ692" s="769"/>
      <c r="MR692" s="769"/>
      <c r="MS692" s="769"/>
      <c r="MT692" s="769"/>
      <c r="MU692" s="769"/>
      <c r="MV692" s="769"/>
      <c r="MW692" s="769"/>
      <c r="MX692" s="769"/>
      <c r="MY692" s="769"/>
      <c r="MZ692" s="769"/>
      <c r="NA692" s="769"/>
      <c r="NB692" s="769"/>
      <c r="NC692" s="769"/>
      <c r="ND692" s="769"/>
      <c r="NE692" s="769"/>
      <c r="NF692" s="769"/>
      <c r="NG692" s="769"/>
      <c r="NH692" s="769"/>
      <c r="NI692" s="769"/>
      <c r="NJ692" s="769"/>
      <c r="NK692" s="769"/>
      <c r="NL692" s="769"/>
      <c r="NM692" s="769"/>
      <c r="NN692" s="769"/>
      <c r="NO692" s="769"/>
      <c r="NP692" s="769"/>
      <c r="NQ692" s="769"/>
      <c r="NR692" s="769"/>
      <c r="NS692" s="769"/>
      <c r="NT692" s="769"/>
      <c r="NU692" s="769"/>
      <c r="NV692" s="769"/>
      <c r="NW692" s="769"/>
      <c r="NX692" s="769"/>
      <c r="NY692" s="769"/>
      <c r="NZ692" s="769"/>
      <c r="OA692" s="769"/>
      <c r="OB692" s="769"/>
      <c r="OC692" s="769"/>
      <c r="OD692" s="769"/>
      <c r="OE692" s="769"/>
      <c r="OF692" s="769"/>
      <c r="OG692" s="769"/>
      <c r="OH692" s="769"/>
      <c r="OI692" s="769"/>
      <c r="OJ692" s="769"/>
      <c r="OK692" s="769"/>
      <c r="OL692" s="769"/>
      <c r="OM692" s="769"/>
      <c r="ON692" s="769"/>
      <c r="OO692" s="769"/>
      <c r="OP692" s="769"/>
      <c r="OQ692" s="769"/>
      <c r="OR692" s="769"/>
      <c r="OS692" s="769"/>
      <c r="OT692" s="769"/>
      <c r="OU692" s="769"/>
      <c r="OV692" s="769"/>
      <c r="OW692" s="769"/>
      <c r="OX692" s="769"/>
      <c r="OY692" s="769"/>
      <c r="OZ692" s="769"/>
      <c r="PA692" s="769"/>
      <c r="PB692" s="769"/>
      <c r="PC692" s="769"/>
      <c r="PD692" s="769"/>
      <c r="PE692" s="769"/>
      <c r="PF692" s="769"/>
      <c r="PG692" s="769"/>
      <c r="PH692" s="769"/>
      <c r="PI692" s="769"/>
      <c r="PJ692" s="769"/>
      <c r="PK692" s="769"/>
      <c r="PL692" s="769"/>
      <c r="PM692" s="769"/>
      <c r="PN692" s="769"/>
      <c r="PO692" s="769"/>
      <c r="PP692" s="769"/>
      <c r="PQ692" s="769"/>
      <c r="PR692" s="769"/>
      <c r="PS692" s="769"/>
      <c r="PT692" s="769"/>
      <c r="PU692" s="769"/>
      <c r="PV692" s="769"/>
      <c r="PW692" s="769"/>
      <c r="PX692" s="769"/>
      <c r="PY692" s="769"/>
      <c r="PZ692" s="769"/>
      <c r="QA692" s="769"/>
      <c r="QB692" s="769"/>
      <c r="QC692" s="769"/>
      <c r="QD692" s="769"/>
      <c r="QE692" s="769"/>
      <c r="QF692" s="769"/>
      <c r="QG692" s="769"/>
      <c r="QH692" s="769"/>
      <c r="QI692" s="769"/>
      <c r="QJ692" s="769"/>
      <c r="QK692" s="769"/>
      <c r="QL692" s="769"/>
      <c r="QM692" s="769"/>
      <c r="QN692" s="769"/>
      <c r="QO692" s="769"/>
      <c r="QP692" s="769"/>
      <c r="QQ692" s="769"/>
      <c r="QR692" s="769"/>
      <c r="QS692" s="769"/>
      <c r="QT692" s="769"/>
      <c r="QU692" s="769"/>
      <c r="QV692" s="769"/>
      <c r="QW692" s="769"/>
      <c r="QX692" s="769"/>
      <c r="QY692" s="769"/>
      <c r="QZ692" s="769"/>
      <c r="RA692" s="769"/>
      <c r="RB692" s="769"/>
      <c r="RC692" s="769"/>
      <c r="RD692" s="769"/>
      <c r="RE692" s="769"/>
      <c r="RF692" s="769"/>
      <c r="RG692" s="769"/>
      <c r="RH692" s="769"/>
      <c r="RI692" s="769"/>
      <c r="RJ692" s="769"/>
      <c r="RK692" s="769"/>
      <c r="RL692" s="769"/>
      <c r="RM692" s="769"/>
      <c r="RN692" s="769"/>
      <c r="RO692" s="769"/>
      <c r="RP692" s="769"/>
      <c r="RQ692" s="769"/>
      <c r="RR692" s="769"/>
      <c r="RS692" s="769"/>
      <c r="RT692" s="769"/>
      <c r="RU692" s="769"/>
      <c r="RV692" s="769"/>
      <c r="RW692" s="769"/>
      <c r="RX692" s="769"/>
      <c r="RY692" s="769"/>
      <c r="RZ692" s="769"/>
      <c r="SA692" s="769"/>
      <c r="SB692" s="769"/>
      <c r="SC692" s="769"/>
      <c r="SD692" s="769"/>
      <c r="SE692" s="769"/>
      <c r="SF692" s="769"/>
      <c r="SG692" s="769"/>
      <c r="SH692" s="769"/>
      <c r="SI692" s="769"/>
      <c r="SJ692" s="769"/>
      <c r="SK692" s="769"/>
      <c r="SL692" s="769"/>
      <c r="SM692" s="769"/>
      <c r="SN692" s="769"/>
      <c r="SO692" s="769"/>
      <c r="SP692" s="769"/>
      <c r="SQ692" s="769"/>
      <c r="SR692" s="769"/>
      <c r="SS692" s="769"/>
      <c r="ST692" s="769"/>
      <c r="SU692" s="769"/>
      <c r="SV692" s="769"/>
      <c r="SW692" s="769"/>
      <c r="SX692" s="769"/>
      <c r="SY692" s="769"/>
      <c r="SZ692" s="769"/>
      <c r="TA692" s="769"/>
      <c r="TB692" s="769"/>
      <c r="TC692" s="769"/>
      <c r="TD692" s="769"/>
      <c r="TE692" s="769"/>
      <c r="TF692" s="769"/>
      <c r="TG692" s="769"/>
      <c r="TH692" s="769"/>
      <c r="TI692" s="769"/>
      <c r="TJ692" s="769"/>
      <c r="TK692" s="769"/>
      <c r="TL692" s="769"/>
      <c r="TM692" s="769"/>
      <c r="TN692" s="769"/>
      <c r="TO692" s="769"/>
      <c r="TP692" s="769"/>
      <c r="TQ692" s="769"/>
      <c r="TR692" s="769"/>
      <c r="TS692" s="769"/>
      <c r="TT692" s="769"/>
      <c r="TU692" s="769"/>
      <c r="TV692" s="769"/>
      <c r="TW692" s="769"/>
      <c r="TX692" s="769"/>
      <c r="TY692" s="769"/>
      <c r="TZ692" s="769"/>
      <c r="UA692" s="769"/>
      <c r="UB692" s="769"/>
      <c r="UC692" s="769"/>
      <c r="UD692" s="769"/>
      <c r="UE692" s="769"/>
      <c r="UF692" s="769"/>
      <c r="UG692" s="769"/>
      <c r="UH692" s="769"/>
      <c r="UI692" s="769"/>
      <c r="UJ692" s="769"/>
      <c r="UK692" s="769"/>
      <c r="UL692" s="769"/>
      <c r="UM692" s="769"/>
      <c r="UN692" s="769"/>
      <c r="UO692" s="769"/>
      <c r="UP692" s="769"/>
      <c r="UQ692" s="769"/>
      <c r="UR692" s="769"/>
      <c r="US692" s="769"/>
      <c r="UT692" s="769"/>
      <c r="UU692" s="769"/>
      <c r="UV692" s="769"/>
      <c r="UW692" s="769"/>
      <c r="UX692" s="769"/>
      <c r="UY692" s="769"/>
      <c r="UZ692" s="769"/>
      <c r="VA692" s="769"/>
      <c r="VB692" s="769"/>
      <c r="VC692" s="769"/>
      <c r="VD692" s="769"/>
      <c r="VE692" s="769"/>
      <c r="VF692" s="769"/>
      <c r="VG692" s="769"/>
      <c r="VH692" s="769"/>
      <c r="VI692" s="769"/>
      <c r="VJ692" s="769"/>
      <c r="VK692" s="769"/>
      <c r="VL692" s="769"/>
      <c r="VM692" s="769"/>
      <c r="VN692" s="769"/>
      <c r="VO692" s="769"/>
      <c r="VP692" s="769"/>
      <c r="VQ692" s="769"/>
      <c r="VR692" s="769"/>
      <c r="VS692" s="769"/>
      <c r="VT692" s="769"/>
      <c r="VU692" s="769"/>
      <c r="VV692" s="769"/>
      <c r="VW692" s="769"/>
      <c r="VX692" s="769"/>
      <c r="VY692" s="769"/>
      <c r="VZ692" s="769"/>
      <c r="WA692" s="769"/>
      <c r="WB692" s="769"/>
      <c r="WC692" s="769"/>
      <c r="WD692" s="769"/>
      <c r="WE692" s="769"/>
      <c r="WF692" s="769"/>
      <c r="WG692" s="769"/>
      <c r="WH692" s="769"/>
      <c r="WI692" s="769"/>
      <c r="WJ692" s="769"/>
      <c r="WK692" s="769"/>
      <c r="WL692" s="769"/>
      <c r="WM692" s="769"/>
      <c r="WN692" s="769"/>
      <c r="WO692" s="769"/>
      <c r="WP692" s="769"/>
      <c r="WQ692" s="769"/>
      <c r="WR692" s="769"/>
      <c r="WS692" s="769"/>
      <c r="WT692" s="769"/>
      <c r="WU692" s="769"/>
      <c r="WV692" s="769"/>
      <c r="WW692" s="769"/>
      <c r="WX692" s="769"/>
      <c r="WY692" s="769"/>
      <c r="WZ692" s="769"/>
      <c r="XA692" s="769"/>
      <c r="XB692" s="769"/>
      <c r="XC692" s="769"/>
      <c r="XD692" s="769"/>
      <c r="XE692" s="769"/>
      <c r="XF692" s="769"/>
      <c r="XG692" s="769"/>
      <c r="XH692" s="769"/>
      <c r="XI692" s="769"/>
      <c r="XJ692" s="769"/>
      <c r="XK692" s="769"/>
      <c r="XL692" s="769"/>
      <c r="XM692" s="769"/>
      <c r="XN692" s="769"/>
      <c r="XO692" s="769"/>
      <c r="XP692" s="769"/>
      <c r="XQ692" s="769"/>
      <c r="XR692" s="769"/>
      <c r="XS692" s="769"/>
      <c r="XT692" s="769"/>
      <c r="XU692" s="769"/>
      <c r="XV692" s="769"/>
      <c r="XW692" s="769"/>
      <c r="XX692" s="769"/>
      <c r="XY692" s="769"/>
      <c r="XZ692" s="769"/>
      <c r="YA692" s="769"/>
      <c r="YB692" s="769"/>
      <c r="YC692" s="769"/>
      <c r="YD692" s="769"/>
      <c r="YE692" s="769"/>
      <c r="YF692" s="769"/>
      <c r="YG692" s="769"/>
      <c r="YH692" s="769"/>
      <c r="YI692" s="769"/>
      <c r="YJ692" s="769"/>
      <c r="YK692" s="769"/>
      <c r="YL692" s="769"/>
      <c r="YM692" s="769"/>
      <c r="YN692" s="769"/>
      <c r="YO692" s="769"/>
      <c r="YP692" s="769"/>
      <c r="YQ692" s="769"/>
      <c r="YR692" s="769"/>
      <c r="YS692" s="769"/>
      <c r="YT692" s="769"/>
      <c r="YU692" s="769"/>
      <c r="YV692" s="769"/>
      <c r="YW692" s="769"/>
      <c r="YX692" s="769"/>
      <c r="YY692" s="769"/>
      <c r="YZ692" s="769"/>
      <c r="ZA692" s="769"/>
      <c r="ZB692" s="769"/>
      <c r="ZC692" s="769"/>
      <c r="ZD692" s="769"/>
      <c r="ZE692" s="769"/>
      <c r="ZF692" s="769"/>
      <c r="ZG692" s="769"/>
      <c r="ZH692" s="769"/>
      <c r="ZI692" s="769"/>
      <c r="ZJ692" s="769"/>
      <c r="ZK692" s="769"/>
      <c r="ZL692" s="769"/>
      <c r="ZM692" s="769"/>
      <c r="ZN692" s="769"/>
      <c r="ZO692" s="769"/>
      <c r="ZP692" s="769"/>
      <c r="ZQ692" s="769"/>
      <c r="ZR692" s="769"/>
      <c r="ZS692" s="769"/>
      <c r="ZT692" s="769"/>
      <c r="ZU692" s="769"/>
      <c r="ZV692" s="769"/>
      <c r="ZW692" s="769"/>
      <c r="ZX692" s="769"/>
      <c r="ZY692" s="769"/>
      <c r="ZZ692" s="769"/>
      <c r="AAA692" s="769"/>
      <c r="AAB692" s="769"/>
      <c r="AAC692" s="769"/>
      <c r="AAD692" s="769"/>
      <c r="AAE692" s="769"/>
      <c r="AAF692" s="769"/>
      <c r="AAG692" s="769"/>
      <c r="AAH692" s="769"/>
      <c r="AAI692" s="769"/>
      <c r="AAJ692" s="769"/>
      <c r="AAK692" s="769"/>
      <c r="AAL692" s="769"/>
      <c r="AAM692" s="769"/>
      <c r="AAN692" s="769"/>
      <c r="AAO692" s="769"/>
      <c r="AAP692" s="769"/>
      <c r="AAQ692" s="769"/>
      <c r="AAR692" s="769"/>
      <c r="AAS692" s="769"/>
      <c r="AAT692" s="769"/>
      <c r="AAU692" s="769"/>
      <c r="AAV692" s="769"/>
      <c r="AAW692" s="769"/>
      <c r="AAX692" s="769"/>
      <c r="AAY692" s="769"/>
      <c r="AAZ692" s="769"/>
      <c r="ABA692" s="769"/>
      <c r="ABB692" s="769"/>
      <c r="ABC692" s="769"/>
      <c r="ABD692" s="769"/>
      <c r="ABE692" s="769"/>
      <c r="ABF692" s="769"/>
      <c r="ABG692" s="769"/>
      <c r="ABH692" s="769"/>
      <c r="ABI692" s="769"/>
      <c r="ABJ692" s="769"/>
      <c r="ABK692" s="769"/>
      <c r="ABL692" s="769"/>
      <c r="ABM692" s="769"/>
      <c r="ABN692" s="769"/>
      <c r="ABO692" s="769"/>
      <c r="ABP692" s="769"/>
      <c r="ABQ692" s="769"/>
      <c r="ABR692" s="769"/>
      <c r="ABS692" s="769"/>
      <c r="ABT692" s="769"/>
      <c r="ABU692" s="769"/>
      <c r="ABV692" s="769"/>
      <c r="ABW692" s="769"/>
      <c r="ABX692" s="769"/>
      <c r="ABY692" s="769"/>
      <c r="ABZ692" s="769"/>
      <c r="ACA692" s="769"/>
      <c r="ACB692" s="769"/>
      <c r="ACC692" s="769"/>
      <c r="ACD692" s="769"/>
      <c r="ACE692" s="769"/>
      <c r="ACF692" s="769"/>
      <c r="ACG692" s="769"/>
      <c r="ACH692" s="769"/>
      <c r="ACI692" s="769"/>
      <c r="ACJ692" s="769"/>
      <c r="ACK692" s="769"/>
      <c r="ACL692" s="769"/>
      <c r="ACM692" s="769"/>
      <c r="ACN692" s="769"/>
      <c r="ACO692" s="769"/>
      <c r="ACP692" s="769"/>
      <c r="ACQ692" s="769"/>
      <c r="ACR692" s="769"/>
      <c r="ACS692" s="769"/>
      <c r="ACT692" s="769"/>
      <c r="ACU692" s="769"/>
      <c r="ACV692" s="769"/>
      <c r="ACW692" s="769"/>
      <c r="ACX692" s="769"/>
      <c r="ACY692" s="769"/>
      <c r="ACZ692" s="769"/>
      <c r="ADA692" s="769"/>
      <c r="ADB692" s="769"/>
      <c r="ADC692" s="769"/>
      <c r="ADD692" s="769"/>
      <c r="ADE692" s="769"/>
      <c r="ADF692" s="769"/>
      <c r="ADG692" s="769"/>
      <c r="ADH692" s="769"/>
      <c r="ADI692" s="769"/>
      <c r="ADJ692" s="769"/>
      <c r="ADK692" s="769"/>
      <c r="ADL692" s="769"/>
      <c r="ADM692" s="769"/>
      <c r="ADN692" s="769"/>
      <c r="ADO692" s="769"/>
      <c r="ADP692" s="769"/>
      <c r="ADQ692" s="769"/>
      <c r="ADR692" s="769"/>
      <c r="ADS692" s="769"/>
      <c r="ADT692" s="769"/>
      <c r="ADU692" s="769"/>
      <c r="ADV692" s="769"/>
      <c r="ADW692" s="769"/>
      <c r="ADX692" s="769"/>
      <c r="ADY692" s="769"/>
      <c r="ADZ692" s="769"/>
      <c r="AEA692" s="769"/>
      <c r="AEB692" s="769"/>
      <c r="AEC692" s="769"/>
      <c r="AED692" s="769"/>
      <c r="AEE692" s="769"/>
      <c r="AEF692" s="769"/>
      <c r="AEG692" s="769"/>
      <c r="AEH692" s="769"/>
      <c r="AEI692" s="769"/>
      <c r="AEJ692" s="769"/>
      <c r="AEK692" s="769"/>
      <c r="AEL692" s="769"/>
      <c r="AEM692" s="769"/>
      <c r="AEN692" s="769"/>
      <c r="AEO692" s="769"/>
      <c r="AEP692" s="769"/>
      <c r="AEQ692" s="769"/>
      <c r="AER692" s="769"/>
      <c r="AES692" s="769"/>
      <c r="AET692" s="769"/>
      <c r="AEU692" s="769"/>
      <c r="AEV692" s="769"/>
      <c r="AEW692" s="769"/>
      <c r="AEX692" s="769"/>
      <c r="AEY692" s="769"/>
      <c r="AEZ692" s="769"/>
      <c r="AFA692" s="769"/>
      <c r="AFB692" s="769"/>
      <c r="AFC692" s="769"/>
      <c r="AFD692" s="769"/>
      <c r="AFE692" s="769"/>
      <c r="AFF692" s="769"/>
      <c r="AFG692" s="769"/>
      <c r="AFH692" s="769"/>
      <c r="AFI692" s="769"/>
      <c r="AFJ692" s="769"/>
      <c r="AFK692" s="769"/>
      <c r="AFL692" s="769"/>
      <c r="AFM692" s="769"/>
      <c r="AFN692" s="769"/>
      <c r="AFO692" s="769"/>
      <c r="AFP692" s="769"/>
      <c r="AFQ692" s="769"/>
      <c r="AFR692" s="769"/>
      <c r="AFS692" s="769"/>
      <c r="AFT692" s="769"/>
      <c r="AFU692" s="769"/>
      <c r="AFV692" s="769"/>
      <c r="AFW692" s="769"/>
      <c r="AFX692" s="769"/>
      <c r="AFY692" s="769"/>
      <c r="AFZ692" s="769"/>
      <c r="AGA692" s="769"/>
      <c r="AGB692" s="769"/>
      <c r="AGC692" s="769"/>
      <c r="AGD692" s="769"/>
      <c r="AGE692" s="769"/>
      <c r="AGF692" s="769"/>
      <c r="AGG692" s="769"/>
      <c r="AGH692" s="769"/>
      <c r="AGI692" s="769"/>
      <c r="AGJ692" s="769"/>
      <c r="AGK692" s="769"/>
      <c r="AGL692" s="769"/>
      <c r="AGM692" s="769"/>
      <c r="AGN692" s="769"/>
      <c r="AGO692" s="769"/>
      <c r="AGP692" s="769"/>
      <c r="AGQ692" s="769"/>
      <c r="AGR692" s="769"/>
      <c r="AGS692" s="769"/>
      <c r="AGT692" s="769"/>
      <c r="AGU692" s="769"/>
      <c r="AGV692" s="769"/>
      <c r="AGW692" s="769"/>
      <c r="AGX692" s="769"/>
      <c r="AGY692" s="769"/>
      <c r="AGZ692" s="769"/>
      <c r="AHA692" s="769"/>
      <c r="AHB692" s="769"/>
      <c r="AHC692" s="769"/>
      <c r="AHD692" s="769"/>
      <c r="AHE692" s="769"/>
      <c r="AHF692" s="769"/>
      <c r="AHG692" s="769"/>
      <c r="AHH692" s="769"/>
      <c r="AHI692" s="769"/>
      <c r="AHJ692" s="769"/>
      <c r="AHK692" s="769"/>
      <c r="AHL692" s="769"/>
      <c r="AHM692" s="769"/>
      <c r="AHN692" s="769"/>
      <c r="AHO692" s="769"/>
      <c r="AHP692" s="769"/>
      <c r="AHQ692" s="769"/>
      <c r="AHR692" s="769"/>
      <c r="AHS692" s="769"/>
      <c r="AHT692" s="769"/>
      <c r="AHU692" s="769"/>
      <c r="AHV692" s="769"/>
      <c r="AHW692" s="769"/>
      <c r="AHX692" s="769"/>
      <c r="AHY692" s="769"/>
      <c r="AHZ692" s="769"/>
      <c r="AIA692" s="769"/>
      <c r="AIB692" s="769"/>
      <c r="AIC692" s="769"/>
      <c r="AID692" s="769"/>
      <c r="AIE692" s="769"/>
      <c r="AIF692" s="769"/>
      <c r="AIG692" s="769"/>
      <c r="AIH692" s="769"/>
      <c r="AII692" s="769"/>
      <c r="AIJ692" s="769"/>
      <c r="AIK692" s="769"/>
      <c r="AIL692" s="769"/>
      <c r="AIM692" s="769"/>
      <c r="AIN692" s="769"/>
      <c r="AIO692" s="769"/>
      <c r="AIP692" s="769"/>
      <c r="AIQ692" s="769"/>
      <c r="AIR692" s="769"/>
      <c r="AIS692" s="769"/>
      <c r="AIT692" s="769"/>
      <c r="AIU692" s="769"/>
      <c r="AIV692" s="769"/>
      <c r="AIW692" s="769"/>
      <c r="AIX692" s="769"/>
      <c r="AIY692" s="769"/>
      <c r="AIZ692" s="769"/>
      <c r="AJA692" s="769"/>
      <c r="AJB692" s="769"/>
      <c r="AJC692" s="769"/>
      <c r="AJD692" s="769"/>
      <c r="AJE692" s="769"/>
      <c r="AJF692" s="769"/>
      <c r="AJG692" s="769"/>
      <c r="AJH692" s="769"/>
      <c r="AJI692" s="769"/>
      <c r="AJJ692" s="769"/>
      <c r="AJK692" s="769"/>
      <c r="AJL692" s="769"/>
      <c r="AJM692" s="769"/>
      <c r="AJN692" s="769"/>
      <c r="AJO692" s="769"/>
      <c r="AJP692" s="769"/>
      <c r="AJQ692" s="769"/>
      <c r="AJR692" s="769"/>
      <c r="AJS692" s="769"/>
      <c r="AJT692" s="769"/>
      <c r="AJU692" s="769"/>
      <c r="AJV692" s="769"/>
      <c r="AJW692" s="769"/>
      <c r="AJX692" s="769"/>
      <c r="AJY692" s="769"/>
      <c r="AJZ692" s="769"/>
      <c r="AKA692" s="769"/>
      <c r="AKB692" s="769"/>
      <c r="AKC692" s="769"/>
      <c r="AKD692" s="769"/>
      <c r="AKE692" s="769"/>
      <c r="AKF692" s="769"/>
      <c r="AKG692" s="769"/>
      <c r="AKH692" s="769"/>
      <c r="AKI692" s="769"/>
      <c r="AKJ692" s="769"/>
      <c r="AKK692" s="769"/>
      <c r="AKL692" s="769"/>
      <c r="AKM692" s="769"/>
      <c r="AKN692" s="769"/>
      <c r="AKO692" s="769"/>
      <c r="AKP692" s="769"/>
      <c r="AKQ692" s="769"/>
      <c r="AKR692" s="769"/>
      <c r="AKS692" s="769"/>
      <c r="AKT692" s="769"/>
      <c r="AKU692" s="769"/>
      <c r="AKV692" s="769"/>
      <c r="AKW692" s="769"/>
      <c r="AKX692" s="769"/>
      <c r="AKY692" s="769"/>
      <c r="AKZ692" s="769"/>
      <c r="ALA692" s="769"/>
      <c r="ALB692" s="769"/>
      <c r="ALC692" s="769"/>
      <c r="ALD692" s="769"/>
      <c r="ALE692" s="769"/>
      <c r="ALF692" s="769"/>
      <c r="ALG692" s="769"/>
      <c r="ALH692" s="769"/>
      <c r="ALI692" s="769"/>
      <c r="ALJ692" s="769"/>
      <c r="ALK692" s="769"/>
      <c r="ALL692" s="769"/>
      <c r="ALM692" s="769"/>
      <c r="ALN692" s="769"/>
      <c r="ALO692" s="769"/>
      <c r="ALP692" s="769"/>
      <c r="ALQ692" s="769"/>
      <c r="ALR692" s="769"/>
      <c r="ALS692" s="769"/>
      <c r="ALT692" s="769"/>
      <c r="ALU692" s="769"/>
      <c r="ALV692" s="769"/>
      <c r="ALW692" s="769"/>
      <c r="ALX692" s="769"/>
      <c r="ALY692" s="769"/>
      <c r="ALZ692" s="769"/>
      <c r="AMA692" s="769"/>
      <c r="AMB692" s="769"/>
      <c r="AMC692" s="769"/>
      <c r="AMD692" s="769"/>
      <c r="AME692" s="769"/>
      <c r="AMF692" s="769"/>
      <c r="AMG692" s="769"/>
      <c r="AMH692" s="769"/>
      <c r="AMI692" s="769"/>
      <c r="AMJ692" s="769"/>
      <c r="AMK692" s="769"/>
      <c r="AML692" s="769"/>
      <c r="AMM692" s="769"/>
      <c r="AMN692" s="769"/>
      <c r="AMO692" s="769"/>
      <c r="AMP692" s="769"/>
      <c r="AMQ692" s="769"/>
      <c r="AMR692" s="769"/>
      <c r="AMS692" s="769"/>
      <c r="AMT692" s="769"/>
      <c r="AMU692" s="769"/>
      <c r="AMV692" s="769"/>
      <c r="AMW692" s="769"/>
      <c r="AMX692" s="769"/>
      <c r="AMY692" s="769"/>
      <c r="AMZ692" s="769"/>
      <c r="ANA692" s="769"/>
      <c r="ANB692" s="769"/>
      <c r="ANC692" s="769"/>
      <c r="AND692" s="769"/>
      <c r="ANE692" s="769"/>
      <c r="ANF692" s="769"/>
      <c r="ANG692" s="769"/>
      <c r="ANH692" s="769"/>
      <c r="ANI692" s="769"/>
      <c r="ANJ692" s="769"/>
      <c r="ANK692" s="769"/>
      <c r="ANL692" s="769"/>
      <c r="ANM692" s="769"/>
      <c r="ANN692" s="769"/>
      <c r="ANO692" s="769"/>
      <c r="ANP692" s="769"/>
      <c r="ANQ692" s="769"/>
      <c r="ANR692" s="769"/>
      <c r="ANS692" s="769"/>
      <c r="ANT692" s="769"/>
      <c r="ANU692" s="769"/>
      <c r="ANV692" s="769"/>
      <c r="ANW692" s="769"/>
      <c r="ANX692" s="769"/>
      <c r="ANY692" s="769"/>
      <c r="ANZ692" s="769"/>
      <c r="AOA692" s="769"/>
      <c r="AOB692" s="769"/>
      <c r="AOC692" s="769"/>
      <c r="AOD692" s="769"/>
      <c r="AOE692" s="769"/>
      <c r="AOF692" s="769"/>
      <c r="AOG692" s="769"/>
      <c r="AOH692" s="769"/>
      <c r="AOI692" s="769"/>
      <c r="AOJ692" s="769"/>
      <c r="AOK692" s="769"/>
      <c r="AOL692" s="769"/>
      <c r="AOM692" s="769"/>
      <c r="AON692" s="769"/>
      <c r="AOO692" s="769"/>
      <c r="AOP692" s="769"/>
      <c r="AOQ692" s="769"/>
      <c r="AOR692" s="769"/>
      <c r="AOS692" s="769"/>
      <c r="AOT692" s="769"/>
      <c r="AOU692" s="769"/>
      <c r="AOV692" s="769"/>
      <c r="AOW692" s="769"/>
      <c r="AOX692" s="769"/>
      <c r="AOY692" s="769"/>
      <c r="AOZ692" s="769"/>
      <c r="APA692" s="769"/>
      <c r="APB692" s="769"/>
      <c r="APC692" s="769"/>
      <c r="APD692" s="769"/>
      <c r="APE692" s="769"/>
      <c r="APF692" s="769"/>
      <c r="APG692" s="769"/>
      <c r="APH692" s="769"/>
      <c r="API692" s="769"/>
      <c r="APJ692" s="769"/>
      <c r="APK692" s="769"/>
      <c r="APL692" s="769"/>
      <c r="APM692" s="769"/>
      <c r="APN692" s="769"/>
      <c r="APO692" s="769"/>
      <c r="APP692" s="769"/>
      <c r="APQ692" s="769"/>
      <c r="APR692" s="769"/>
      <c r="APS692" s="769"/>
      <c r="APT692" s="769"/>
      <c r="APU692" s="769"/>
      <c r="APV692" s="769"/>
      <c r="APW692" s="769"/>
      <c r="APX692" s="769"/>
      <c r="APY692" s="769"/>
      <c r="APZ692" s="769"/>
      <c r="AQA692" s="769"/>
      <c r="AQB692" s="769"/>
      <c r="AQC692" s="769"/>
      <c r="AQD692" s="769"/>
      <c r="AQE692" s="769"/>
      <c r="AQF692" s="769"/>
      <c r="AQG692" s="769"/>
      <c r="AQH692" s="769"/>
      <c r="AQI692" s="769"/>
      <c r="AQJ692" s="769"/>
      <c r="AQK692" s="769"/>
      <c r="AQL692" s="769"/>
      <c r="AQM692" s="769"/>
      <c r="AQN692" s="769"/>
      <c r="AQO692" s="769"/>
      <c r="AQP692" s="769"/>
      <c r="AQQ692" s="769"/>
      <c r="AQR692" s="769"/>
      <c r="AQS692" s="769"/>
      <c r="AQT692" s="769"/>
      <c r="AQU692" s="769"/>
      <c r="AQV692" s="769"/>
      <c r="AQW692" s="769"/>
      <c r="AQX692" s="769"/>
      <c r="AQY692" s="769"/>
      <c r="AQZ692" s="769"/>
      <c r="ARA692" s="769"/>
      <c r="ARB692" s="769"/>
      <c r="ARC692" s="769"/>
      <c r="ARD692" s="769"/>
      <c r="ARE692" s="769"/>
      <c r="ARF692" s="769"/>
      <c r="ARG692" s="769"/>
      <c r="ARH692" s="769"/>
      <c r="ARI692" s="769"/>
      <c r="ARJ692" s="769"/>
      <c r="ARK692" s="769"/>
      <c r="ARL692" s="769"/>
      <c r="ARM692" s="769"/>
      <c r="ARN692" s="769"/>
      <c r="ARO692" s="769"/>
      <c r="ARP692" s="769"/>
      <c r="ARQ692" s="769"/>
      <c r="ARR692" s="769"/>
      <c r="ARS692" s="769"/>
      <c r="ART692" s="769"/>
      <c r="ARU692" s="769"/>
      <c r="ARV692" s="769"/>
      <c r="ARW692" s="769"/>
      <c r="ARX692" s="769"/>
      <c r="ARY692" s="769"/>
      <c r="ARZ692" s="769"/>
      <c r="ASA692" s="769"/>
      <c r="ASB692" s="769"/>
      <c r="ASC692" s="769"/>
      <c r="ASD692" s="769"/>
      <c r="ASE692" s="769"/>
      <c r="ASF692" s="769"/>
      <c r="ASG692" s="769"/>
      <c r="ASH692" s="769"/>
      <c r="ASI692" s="769"/>
      <c r="ASJ692" s="769"/>
      <c r="ASK692" s="769"/>
      <c r="ASL692" s="769"/>
      <c r="ASM692" s="769"/>
      <c r="ASN692" s="769"/>
      <c r="ASO692" s="769"/>
      <c r="ASP692" s="769"/>
      <c r="ASQ692" s="769"/>
      <c r="ASR692" s="769"/>
      <c r="ASS692" s="769"/>
      <c r="AST692" s="769"/>
      <c r="ASU692" s="769"/>
      <c r="ASV692" s="769"/>
      <c r="ASW692" s="769"/>
      <c r="ASX692" s="769"/>
      <c r="ASY692" s="769"/>
      <c r="ASZ692" s="769"/>
      <c r="ATA692" s="769"/>
      <c r="ATB692" s="769"/>
      <c r="ATC692" s="769"/>
      <c r="ATD692" s="769"/>
      <c r="ATE692" s="769"/>
      <c r="ATF692" s="769"/>
      <c r="ATG692" s="769"/>
      <c r="ATH692" s="769"/>
      <c r="ATI692" s="769"/>
      <c r="ATJ692" s="769"/>
      <c r="ATK692" s="769"/>
      <c r="ATL692" s="769"/>
      <c r="ATM692" s="769"/>
      <c r="ATN692" s="769"/>
      <c r="ATO692" s="769"/>
      <c r="ATP692" s="769"/>
      <c r="ATQ692" s="769"/>
      <c r="ATR692" s="769"/>
      <c r="ATS692" s="769"/>
      <c r="ATT692" s="769"/>
      <c r="ATU692" s="769"/>
      <c r="ATV692" s="769"/>
      <c r="ATW692" s="769"/>
      <c r="ATX692" s="769"/>
      <c r="ATY692" s="769"/>
      <c r="ATZ692" s="769"/>
      <c r="AUA692" s="769"/>
      <c r="AUB692" s="769"/>
      <c r="AUC692" s="769"/>
      <c r="AUD692" s="769"/>
      <c r="AUE692" s="769"/>
      <c r="AUF692" s="769"/>
      <c r="AUG692" s="769"/>
      <c r="AUH692" s="769"/>
      <c r="AUI692" s="769"/>
      <c r="AUJ692" s="769"/>
      <c r="AUK692" s="769"/>
      <c r="AUL692" s="769"/>
      <c r="AUM692" s="769"/>
      <c r="AUN692" s="769"/>
      <c r="AUO692" s="769"/>
      <c r="AUP692" s="769"/>
      <c r="AUQ692" s="769"/>
      <c r="AUR692" s="769"/>
      <c r="AUS692" s="769"/>
      <c r="AUT692" s="769"/>
      <c r="AUU692" s="769"/>
      <c r="AUV692" s="769"/>
      <c r="AUW692" s="769"/>
      <c r="AUX692" s="769"/>
      <c r="AUY692" s="769"/>
      <c r="AUZ692" s="769"/>
      <c r="AVA692" s="769"/>
      <c r="AVB692" s="769"/>
      <c r="AVC692" s="769"/>
      <c r="AVD692" s="769"/>
      <c r="AVE692" s="769"/>
      <c r="AVF692" s="769"/>
      <c r="AVG692" s="769"/>
      <c r="AVH692" s="769"/>
      <c r="AVI692" s="769"/>
      <c r="AVJ692" s="769"/>
      <c r="AVK692" s="769"/>
      <c r="AVL692" s="769"/>
      <c r="AVM692" s="769"/>
      <c r="AVN692" s="769"/>
      <c r="AVO692" s="769"/>
      <c r="AVP692" s="769"/>
      <c r="AVQ692" s="769"/>
      <c r="AVR692" s="769"/>
      <c r="AVS692" s="769"/>
      <c r="AVT692" s="769"/>
      <c r="AVU692" s="769"/>
      <c r="AVV692" s="769"/>
      <c r="AVW692" s="769"/>
      <c r="AVX692" s="769"/>
      <c r="AVY692" s="769"/>
      <c r="AVZ692" s="769"/>
      <c r="AWA692" s="769"/>
      <c r="AWB692" s="769"/>
      <c r="AWC692" s="769"/>
      <c r="AWD692" s="769"/>
      <c r="AWE692" s="769"/>
      <c r="AWF692" s="769"/>
      <c r="AWG692" s="769"/>
      <c r="AWH692" s="769"/>
      <c r="AWI692" s="769"/>
      <c r="AWJ692" s="769"/>
      <c r="AWK692" s="769"/>
      <c r="AWL692" s="769"/>
      <c r="AWM692" s="769"/>
      <c r="AWN692" s="769"/>
      <c r="AWO692" s="769"/>
      <c r="AWP692" s="769"/>
      <c r="AWQ692" s="769"/>
      <c r="AWR692" s="769"/>
      <c r="AWS692" s="769"/>
      <c r="AWT692" s="769"/>
      <c r="AWU692" s="769"/>
      <c r="AWV692" s="769"/>
      <c r="AWW692" s="769"/>
      <c r="AWX692" s="769"/>
      <c r="AWY692" s="769"/>
      <c r="AWZ692" s="769"/>
      <c r="AXA692" s="769"/>
      <c r="AXB692" s="769"/>
      <c r="AXC692" s="769"/>
      <c r="AXD692" s="769"/>
      <c r="AXE692" s="769"/>
      <c r="AXF692" s="769"/>
      <c r="AXG692" s="769"/>
      <c r="AXH692" s="769"/>
      <c r="AXI692" s="769"/>
      <c r="AXJ692" s="769"/>
      <c r="AXK692" s="769"/>
      <c r="AXL692" s="769"/>
      <c r="AXM692" s="769"/>
      <c r="AXN692" s="769"/>
      <c r="AXO692" s="769"/>
      <c r="AXP692" s="769"/>
      <c r="AXQ692" s="769"/>
      <c r="AXR692" s="769"/>
      <c r="AXS692" s="769"/>
      <c r="AXT692" s="769"/>
      <c r="AXU692" s="769"/>
      <c r="AXV692" s="769"/>
      <c r="AXW692" s="769"/>
      <c r="AXX692" s="769"/>
      <c r="AXY692" s="769"/>
      <c r="AXZ692" s="769"/>
      <c r="AYA692" s="769"/>
      <c r="AYB692" s="769"/>
      <c r="AYC692" s="769"/>
      <c r="AYD692" s="769"/>
      <c r="AYE692" s="769"/>
      <c r="AYF692" s="769"/>
      <c r="AYG692" s="769"/>
      <c r="AYH692" s="769"/>
      <c r="AYI692" s="769"/>
      <c r="AYJ692" s="769"/>
      <c r="AYK692" s="769"/>
      <c r="AYL692" s="769"/>
      <c r="AYM692" s="769"/>
      <c r="AYN692" s="769"/>
      <c r="AYO692" s="769"/>
      <c r="AYP692" s="769"/>
      <c r="AYQ692" s="769"/>
      <c r="AYR692" s="769"/>
      <c r="AYS692" s="769"/>
      <c r="AYT692" s="769"/>
      <c r="AYU692" s="769"/>
      <c r="AYV692" s="769"/>
      <c r="AYW692" s="769"/>
      <c r="AYX692" s="769"/>
      <c r="AYY692" s="769"/>
      <c r="AYZ692" s="769"/>
      <c r="AZA692" s="769"/>
      <c r="AZB692" s="769"/>
      <c r="AZC692" s="769"/>
      <c r="AZD692" s="769"/>
      <c r="AZE692" s="769"/>
      <c r="AZF692" s="769"/>
      <c r="AZG692" s="769"/>
      <c r="AZH692" s="769"/>
      <c r="AZI692" s="769"/>
      <c r="AZJ692" s="769"/>
      <c r="AZK692" s="769"/>
      <c r="AZL692" s="769"/>
      <c r="AZM692" s="769"/>
      <c r="AZN692" s="769"/>
      <c r="AZO692" s="769"/>
      <c r="AZP692" s="769"/>
      <c r="AZQ692" s="769"/>
      <c r="AZR692" s="769"/>
      <c r="AZS692" s="769"/>
      <c r="AZT692" s="769"/>
      <c r="AZU692" s="769"/>
      <c r="AZV692" s="769"/>
      <c r="AZW692" s="769"/>
      <c r="AZX692" s="769"/>
      <c r="AZY692" s="769"/>
      <c r="AZZ692" s="769"/>
      <c r="BAA692" s="769"/>
      <c r="BAB692" s="769"/>
      <c r="BAC692" s="769"/>
      <c r="BAD692" s="769"/>
      <c r="BAE692" s="769"/>
      <c r="BAF692" s="769"/>
      <c r="BAG692" s="769"/>
      <c r="BAH692" s="769"/>
      <c r="BAI692" s="769"/>
      <c r="BAJ692" s="769"/>
      <c r="BAK692" s="769"/>
      <c r="BAL692" s="769"/>
      <c r="BAM692" s="769"/>
      <c r="BAN692" s="769"/>
      <c r="BAO692" s="769"/>
      <c r="BAP692" s="769"/>
      <c r="BAQ692" s="769"/>
      <c r="BAR692" s="769"/>
      <c r="BAS692" s="769"/>
      <c r="BAT692" s="769"/>
      <c r="BAU692" s="769"/>
      <c r="BAV692" s="769"/>
      <c r="BAW692" s="769"/>
      <c r="BAX692" s="769"/>
      <c r="BAY692" s="769"/>
      <c r="BAZ692" s="769"/>
      <c r="BBA692" s="769"/>
      <c r="BBB692" s="769"/>
      <c r="BBC692" s="769"/>
      <c r="BBD692" s="769"/>
      <c r="BBE692" s="769"/>
      <c r="BBF692" s="769"/>
      <c r="BBG692" s="769"/>
      <c r="BBH692" s="769"/>
      <c r="BBI692" s="769"/>
      <c r="BBJ692" s="769"/>
      <c r="BBK692" s="769"/>
      <c r="BBL692" s="769"/>
      <c r="BBM692" s="769"/>
      <c r="BBN692" s="769"/>
      <c r="BBO692" s="769"/>
      <c r="BBP692" s="769"/>
      <c r="BBQ692" s="769"/>
      <c r="BBR692" s="769"/>
      <c r="BBS692" s="769"/>
      <c r="BBT692" s="769"/>
      <c r="BBU692" s="769"/>
      <c r="BBV692" s="769"/>
      <c r="BBW692" s="769"/>
      <c r="BBX692" s="769"/>
      <c r="BBY692" s="769"/>
      <c r="BBZ692" s="769"/>
      <c r="BCA692" s="769"/>
      <c r="BCB692" s="769"/>
      <c r="BCC692" s="769"/>
      <c r="BCD692" s="769"/>
      <c r="BCE692" s="769"/>
      <c r="BCF692" s="769"/>
      <c r="BCG692" s="769"/>
      <c r="BCH692" s="769"/>
      <c r="BCI692" s="769"/>
      <c r="BCJ692" s="769"/>
      <c r="BCK692" s="769"/>
      <c r="BCL692" s="769"/>
      <c r="BCM692" s="769"/>
      <c r="BCN692" s="769"/>
      <c r="BCO692" s="769"/>
      <c r="BCP692" s="769"/>
      <c r="BCQ692" s="769"/>
      <c r="BCR692" s="769"/>
      <c r="BCS692" s="769"/>
      <c r="BCT692" s="769"/>
      <c r="BCU692" s="769"/>
      <c r="BCV692" s="769"/>
      <c r="BCW692" s="769"/>
      <c r="BCX692" s="769"/>
      <c r="BCY692" s="769"/>
      <c r="BCZ692" s="769"/>
      <c r="BDA692" s="769"/>
      <c r="BDB692" s="769"/>
      <c r="BDC692" s="769"/>
      <c r="BDD692" s="769"/>
      <c r="BDE692" s="769"/>
      <c r="BDF692" s="769"/>
      <c r="BDG692" s="769"/>
      <c r="BDH692" s="769"/>
      <c r="BDI692" s="769"/>
      <c r="BDJ692" s="769"/>
      <c r="BDK692" s="769"/>
      <c r="BDL692" s="769"/>
      <c r="BDM692" s="769"/>
      <c r="BDN692" s="769"/>
      <c r="BDO692" s="769"/>
      <c r="BDP692" s="769"/>
      <c r="BDQ692" s="769"/>
      <c r="BDR692" s="769"/>
      <c r="BDS692" s="769"/>
      <c r="BDT692" s="769"/>
      <c r="BDU692" s="769"/>
      <c r="BDV692" s="769"/>
      <c r="BDW692" s="769"/>
      <c r="BDX692" s="769"/>
      <c r="BDY692" s="769"/>
      <c r="BDZ692" s="769"/>
      <c r="BEA692" s="769"/>
      <c r="BEB692" s="769"/>
      <c r="BEC692" s="769"/>
      <c r="BED692" s="769"/>
      <c r="BEE692" s="769"/>
      <c r="BEF692" s="769"/>
      <c r="BEG692" s="769"/>
      <c r="BEH692" s="769"/>
      <c r="BEI692" s="769"/>
      <c r="BEJ692" s="769"/>
      <c r="BEK692" s="769"/>
      <c r="BEL692" s="769"/>
      <c r="BEM692" s="769"/>
      <c r="BEN692" s="769"/>
      <c r="BEO692" s="769"/>
      <c r="BEP692" s="769"/>
      <c r="BEQ692" s="769"/>
      <c r="BER692" s="769"/>
      <c r="BES692" s="769"/>
      <c r="BET692" s="769"/>
      <c r="BEU692" s="769"/>
      <c r="BEV692" s="769"/>
      <c r="BEW692" s="769"/>
      <c r="BEX692" s="769"/>
      <c r="BEY692" s="769"/>
      <c r="BEZ692" s="769"/>
      <c r="BFA692" s="769"/>
      <c r="BFB692" s="769"/>
      <c r="BFC692" s="769"/>
      <c r="BFD692" s="769"/>
      <c r="BFE692" s="769"/>
      <c r="BFF692" s="769"/>
      <c r="BFG692" s="769"/>
      <c r="BFH692" s="769"/>
      <c r="BFI692" s="769"/>
      <c r="BFJ692" s="769"/>
      <c r="BFK692" s="769"/>
      <c r="BFL692" s="769"/>
      <c r="BFM692" s="769"/>
      <c r="BFN692" s="769"/>
      <c r="BFO692" s="769"/>
      <c r="BFP692" s="769"/>
      <c r="BFQ692" s="769"/>
      <c r="BFR692" s="769"/>
      <c r="BFS692" s="769"/>
      <c r="BFT692" s="769"/>
      <c r="BFU692" s="769"/>
      <c r="BFV692" s="769"/>
      <c r="BFW692" s="769"/>
      <c r="BFX692" s="769"/>
      <c r="BFY692" s="769"/>
      <c r="BFZ692" s="769"/>
      <c r="BGA692" s="769"/>
      <c r="BGB692" s="769"/>
      <c r="BGC692" s="769"/>
      <c r="BGD692" s="769"/>
      <c r="BGE692" s="769"/>
      <c r="BGF692" s="769"/>
      <c r="BGG692" s="769"/>
      <c r="BGH692" s="769"/>
      <c r="BGI692" s="769"/>
      <c r="BGJ692" s="769"/>
      <c r="BGK692" s="769"/>
      <c r="BGL692" s="769"/>
      <c r="BGM692" s="769"/>
      <c r="BGN692" s="769"/>
      <c r="BGO692" s="769"/>
      <c r="BGP692" s="769"/>
      <c r="BGQ692" s="769"/>
      <c r="BGR692" s="769"/>
      <c r="BGS692" s="769"/>
      <c r="BGT692" s="769"/>
      <c r="BGU692" s="769"/>
      <c r="BGV692" s="769"/>
      <c r="BGW692" s="769"/>
      <c r="BGX692" s="769"/>
      <c r="BGY692" s="769"/>
      <c r="BGZ692" s="769"/>
      <c r="BHA692" s="769"/>
      <c r="BHB692" s="769"/>
      <c r="BHC692" s="769"/>
      <c r="BHD692" s="769"/>
      <c r="BHE692" s="769"/>
      <c r="BHF692" s="769"/>
      <c r="BHG692" s="769"/>
      <c r="BHH692" s="769"/>
      <c r="BHI692" s="769"/>
      <c r="BHJ692" s="769"/>
      <c r="BHK692" s="769"/>
      <c r="BHL692" s="769"/>
      <c r="BHM692" s="769"/>
      <c r="BHN692" s="769"/>
      <c r="BHO692" s="769"/>
      <c r="BHP692" s="769"/>
      <c r="BHQ692" s="769"/>
      <c r="BHR692" s="769"/>
      <c r="BHS692" s="769"/>
      <c r="BHT692" s="769"/>
      <c r="BHU692" s="769"/>
      <c r="BHV692" s="769"/>
      <c r="BHW692" s="769"/>
      <c r="BHX692" s="769"/>
      <c r="BHY692" s="769"/>
      <c r="BHZ692" s="769"/>
      <c r="BIA692" s="769"/>
      <c r="BIB692" s="769"/>
      <c r="BIC692" s="769"/>
      <c r="BID692" s="769"/>
      <c r="BIE692" s="769"/>
      <c r="BIF692" s="769"/>
      <c r="BIG692" s="769"/>
      <c r="BIH692" s="769"/>
      <c r="BII692" s="769"/>
      <c r="BIJ692" s="769"/>
      <c r="BIK692" s="769"/>
      <c r="BIL692" s="769"/>
      <c r="BIM692" s="769"/>
      <c r="BIN692" s="769"/>
      <c r="BIO692" s="769"/>
      <c r="BIP692" s="769"/>
      <c r="BIQ692" s="769"/>
      <c r="BIR692" s="769"/>
      <c r="BIS692" s="769"/>
      <c r="BIT692" s="769"/>
      <c r="BIU692" s="769"/>
      <c r="BIV692" s="769"/>
      <c r="BIW692" s="769"/>
      <c r="BIX692" s="769"/>
      <c r="BIY692" s="769"/>
      <c r="BIZ692" s="769"/>
      <c r="BJA692" s="769"/>
      <c r="BJB692" s="769"/>
      <c r="BJC692" s="769"/>
      <c r="BJD692" s="769"/>
      <c r="BJE692" s="769"/>
      <c r="BJF692" s="769"/>
      <c r="BJG692" s="769"/>
      <c r="BJH692" s="769"/>
      <c r="BJI692" s="769"/>
      <c r="BJJ692" s="769"/>
      <c r="BJK692" s="769"/>
      <c r="BJL692" s="769"/>
      <c r="BJM692" s="769"/>
      <c r="BJN692" s="769"/>
      <c r="BJO692" s="769"/>
      <c r="BJP692" s="769"/>
      <c r="BJQ692" s="769"/>
      <c r="BJR692" s="769"/>
      <c r="BJS692" s="769"/>
      <c r="BJT692" s="769"/>
      <c r="BJU692" s="769"/>
      <c r="BJV692" s="769"/>
      <c r="BJW692" s="769"/>
      <c r="BJX692" s="769"/>
      <c r="BJY692" s="769"/>
      <c r="BJZ692" s="769"/>
      <c r="BKA692" s="769"/>
      <c r="BKB692" s="769"/>
      <c r="BKC692" s="769"/>
      <c r="BKD692" s="769"/>
      <c r="BKE692" s="769"/>
      <c r="BKF692" s="769"/>
      <c r="BKG692" s="769"/>
      <c r="BKH692" s="769"/>
      <c r="BKI692" s="769"/>
      <c r="BKJ692" s="769"/>
      <c r="BKK692" s="769"/>
      <c r="BKL692" s="769"/>
      <c r="BKM692" s="769"/>
      <c r="BKN692" s="769"/>
      <c r="BKO692" s="769"/>
      <c r="BKP692" s="769"/>
      <c r="BKQ692" s="769"/>
      <c r="BKR692" s="769"/>
      <c r="BKS692" s="769"/>
      <c r="BKT692" s="769"/>
      <c r="BKU692" s="769"/>
      <c r="BKV692" s="769"/>
      <c r="BKW692" s="769"/>
      <c r="BKX692" s="769"/>
      <c r="BKY692" s="769"/>
      <c r="BKZ692" s="769"/>
      <c r="BLA692" s="769"/>
      <c r="BLB692" s="769"/>
      <c r="BLC692" s="769"/>
      <c r="BLD692" s="769"/>
      <c r="BLE692" s="769"/>
      <c r="BLF692" s="769"/>
      <c r="BLG692" s="769"/>
      <c r="BLH692" s="769"/>
      <c r="BLI692" s="769"/>
      <c r="BLJ692" s="769"/>
      <c r="BLK692" s="769"/>
      <c r="BLL692" s="769"/>
      <c r="BLM692" s="769"/>
      <c r="BLN692" s="769"/>
      <c r="BLO692" s="769"/>
      <c r="BLP692" s="769"/>
      <c r="BLQ692" s="769"/>
      <c r="BLR692" s="769"/>
      <c r="BLS692" s="769"/>
      <c r="BLT692" s="769"/>
      <c r="BLU692" s="769"/>
      <c r="BLV692" s="769"/>
      <c r="BLW692" s="769"/>
      <c r="BLX692" s="769"/>
      <c r="BLY692" s="769"/>
      <c r="BLZ692" s="769"/>
      <c r="BMA692" s="769"/>
      <c r="BMB692" s="769"/>
      <c r="BMC692" s="769"/>
      <c r="BMD692" s="769"/>
      <c r="BME692" s="769"/>
      <c r="BMF692" s="769"/>
      <c r="BMG692" s="769"/>
      <c r="BMH692" s="769"/>
      <c r="BMI692" s="769"/>
      <c r="BMJ692" s="769"/>
      <c r="BMK692" s="769"/>
      <c r="BML692" s="769"/>
      <c r="BMM692" s="769"/>
      <c r="BMN692" s="769"/>
      <c r="BMO692" s="769"/>
      <c r="BMP692" s="769"/>
      <c r="BMQ692" s="769"/>
      <c r="BMR692" s="769"/>
      <c r="BMS692" s="769"/>
      <c r="BMT692" s="769"/>
      <c r="BMU692" s="769"/>
      <c r="BMV692" s="769"/>
      <c r="BMW692" s="769"/>
      <c r="BMX692" s="769"/>
      <c r="BMY692" s="769"/>
      <c r="BMZ692" s="769"/>
      <c r="BNA692" s="769"/>
      <c r="BNB692" s="769"/>
      <c r="BNC692" s="769"/>
      <c r="BND692" s="769"/>
      <c r="BNE692" s="769"/>
      <c r="BNF692" s="769"/>
      <c r="BNG692" s="769"/>
      <c r="BNH692" s="769"/>
      <c r="BNI692" s="769"/>
      <c r="BNJ692" s="769"/>
      <c r="BNK692" s="769"/>
      <c r="BNL692" s="769"/>
      <c r="BNM692" s="769"/>
      <c r="BNN692" s="769"/>
      <c r="BNO692" s="769"/>
      <c r="BNP692" s="769"/>
      <c r="BNQ692" s="769"/>
      <c r="BNR692" s="769"/>
      <c r="BNS692" s="769"/>
      <c r="BNT692" s="769"/>
      <c r="BNU692" s="769"/>
      <c r="BNV692" s="769"/>
      <c r="BNW692" s="769"/>
      <c r="BNX692" s="769"/>
      <c r="BNY692" s="769"/>
      <c r="BNZ692" s="769"/>
      <c r="BOA692" s="769"/>
      <c r="BOB692" s="769"/>
      <c r="BOC692" s="769"/>
      <c r="BOD692" s="769"/>
      <c r="BOE692" s="769"/>
      <c r="BOF692" s="769"/>
      <c r="BOG692" s="769"/>
      <c r="BOH692" s="769"/>
      <c r="BOI692" s="769"/>
      <c r="BOJ692" s="769"/>
      <c r="BOK692" s="769"/>
      <c r="BOL692" s="769"/>
      <c r="BOM692" s="769"/>
      <c r="BON692" s="769"/>
      <c r="BOO692" s="769"/>
      <c r="BOP692" s="769"/>
      <c r="BOQ692" s="769"/>
      <c r="BOR692" s="769"/>
      <c r="BOS692" s="769"/>
      <c r="BOT692" s="769"/>
      <c r="BOU692" s="769"/>
      <c r="BOV692" s="769"/>
      <c r="BOW692" s="769"/>
      <c r="BOX692" s="769"/>
      <c r="BOY692" s="769"/>
      <c r="BOZ692" s="769"/>
      <c r="BPA692" s="769"/>
      <c r="BPB692" s="769"/>
      <c r="BPC692" s="769"/>
      <c r="BPD692" s="769"/>
      <c r="BPE692" s="769"/>
      <c r="BPF692" s="769"/>
      <c r="BPG692" s="769"/>
      <c r="BPH692" s="769"/>
      <c r="BPI692" s="769"/>
      <c r="BPJ692" s="769"/>
      <c r="BPK692" s="769"/>
      <c r="BPL692" s="769"/>
      <c r="BPM692" s="769"/>
      <c r="BPN692" s="769"/>
      <c r="BPO692" s="769"/>
      <c r="BPP692" s="769"/>
      <c r="BPQ692" s="769"/>
      <c r="BPR692" s="769"/>
      <c r="BPS692" s="769"/>
      <c r="BPT692" s="769"/>
      <c r="BPU692" s="769"/>
      <c r="BPV692" s="769"/>
      <c r="BPW692" s="769"/>
      <c r="BPX692" s="769"/>
      <c r="BPY692" s="769"/>
      <c r="BPZ692" s="769"/>
      <c r="BQA692" s="769"/>
      <c r="BQB692" s="769"/>
      <c r="BQC692" s="769"/>
      <c r="BQD692" s="769"/>
      <c r="BQE692" s="769"/>
      <c r="BQF692" s="769"/>
      <c r="BQG692" s="769"/>
      <c r="BQH692" s="769"/>
      <c r="BQI692" s="769"/>
      <c r="BQJ692" s="769"/>
      <c r="BQK692" s="769"/>
      <c r="BQL692" s="769"/>
      <c r="BQM692" s="769"/>
      <c r="BQN692" s="769"/>
      <c r="BQO692" s="769"/>
      <c r="BQP692" s="769"/>
      <c r="BQQ692" s="769"/>
      <c r="BQR692" s="769"/>
      <c r="BQS692" s="769"/>
      <c r="BQT692" s="769"/>
      <c r="BQU692" s="769"/>
      <c r="BQV692" s="769"/>
      <c r="BQW692" s="769"/>
      <c r="BQX692" s="769"/>
      <c r="BQY692" s="769"/>
      <c r="BQZ692" s="769"/>
      <c r="BRA692" s="769"/>
      <c r="BRB692" s="769"/>
      <c r="BRC692" s="769"/>
      <c r="BRD692" s="769"/>
      <c r="BRE692" s="769"/>
      <c r="BRF692" s="769"/>
      <c r="BRG692" s="769"/>
      <c r="BRH692" s="769"/>
      <c r="BRI692" s="769"/>
      <c r="BRJ692" s="769"/>
      <c r="BRK692" s="769"/>
      <c r="BRL692" s="769"/>
      <c r="BRM692" s="769"/>
      <c r="BRN692" s="769"/>
      <c r="BRO692" s="769"/>
      <c r="BRP692" s="769"/>
      <c r="BRQ692" s="769"/>
      <c r="BRR692" s="769"/>
      <c r="BRS692" s="769"/>
      <c r="BRT692" s="769"/>
      <c r="BRU692" s="769"/>
      <c r="BRV692" s="769"/>
      <c r="BRW692" s="769"/>
      <c r="BRX692" s="769"/>
      <c r="BRY692" s="769"/>
      <c r="BRZ692" s="769"/>
      <c r="BSA692" s="769"/>
      <c r="BSB692" s="769"/>
      <c r="BSC692" s="769"/>
      <c r="BSD692" s="769"/>
      <c r="BSE692" s="769"/>
      <c r="BSF692" s="769"/>
      <c r="BSG692" s="769"/>
      <c r="BSH692" s="769"/>
      <c r="BSI692" s="769"/>
      <c r="BSJ692" s="769"/>
      <c r="BSK692" s="769"/>
      <c r="BSL692" s="769"/>
      <c r="BSM692" s="769"/>
      <c r="BSN692" s="769"/>
      <c r="BSO692" s="769"/>
      <c r="BSP692" s="769"/>
      <c r="BSQ692" s="769"/>
      <c r="BSR692" s="769"/>
      <c r="BSS692" s="769"/>
      <c r="BST692" s="769"/>
      <c r="BSU692" s="769"/>
      <c r="BSV692" s="769"/>
      <c r="BSW692" s="769"/>
      <c r="BSX692" s="769"/>
      <c r="BSY692" s="769"/>
      <c r="BSZ692" s="769"/>
      <c r="BTA692" s="769"/>
      <c r="BTB692" s="769"/>
      <c r="BTC692" s="769"/>
      <c r="BTD692" s="769"/>
      <c r="BTE692" s="769"/>
      <c r="BTF692" s="769"/>
      <c r="BTG692" s="769"/>
      <c r="BTH692" s="769"/>
      <c r="BTI692" s="769"/>
      <c r="BTJ692" s="769"/>
      <c r="BTK692" s="769"/>
      <c r="BTL692" s="769"/>
      <c r="BTM692" s="769"/>
      <c r="BTN692" s="769"/>
      <c r="BTO692" s="769"/>
      <c r="BTP692" s="769"/>
      <c r="BTQ692" s="769"/>
      <c r="BTR692" s="769"/>
      <c r="BTS692" s="769"/>
      <c r="BTT692" s="769"/>
      <c r="BTU692" s="769"/>
      <c r="BTV692" s="769"/>
      <c r="BTW692" s="769"/>
      <c r="BTX692" s="769"/>
      <c r="BTY692" s="769"/>
      <c r="BTZ692" s="769"/>
      <c r="BUA692" s="769"/>
      <c r="BUB692" s="769"/>
      <c r="BUC692" s="769"/>
      <c r="BUD692" s="769"/>
      <c r="BUE692" s="769"/>
      <c r="BUF692" s="769"/>
      <c r="BUG692" s="769"/>
      <c r="BUH692" s="769"/>
      <c r="BUI692" s="769"/>
      <c r="BUJ692" s="769"/>
      <c r="BUK692" s="769"/>
      <c r="BUL692" s="769"/>
      <c r="BUM692" s="769"/>
      <c r="BUN692" s="769"/>
      <c r="BUO692" s="769"/>
      <c r="BUP692" s="769"/>
      <c r="BUQ692" s="769"/>
      <c r="BUR692" s="769"/>
      <c r="BUS692" s="769"/>
      <c r="BUT692" s="769"/>
      <c r="BUU692" s="769"/>
      <c r="BUV692" s="769"/>
      <c r="BUW692" s="769"/>
      <c r="BUX692" s="769"/>
      <c r="BUY692" s="769"/>
      <c r="BUZ692" s="769"/>
      <c r="BVA692" s="769"/>
      <c r="BVB692" s="769"/>
      <c r="BVC692" s="769"/>
      <c r="BVD692" s="769"/>
      <c r="BVE692" s="769"/>
      <c r="BVF692" s="769"/>
      <c r="BVG692" s="769"/>
      <c r="BVH692" s="769"/>
      <c r="BVI692" s="769"/>
      <c r="BVJ692" s="769"/>
      <c r="BVK692" s="769"/>
      <c r="BVL692" s="769"/>
      <c r="BVM692" s="769"/>
      <c r="BVN692" s="769"/>
      <c r="BVO692" s="769"/>
      <c r="BVP692" s="769"/>
      <c r="BVQ692" s="769"/>
      <c r="BVR692" s="769"/>
      <c r="BVS692" s="769"/>
      <c r="BVT692" s="769"/>
      <c r="BVU692" s="769"/>
      <c r="BVV692" s="769"/>
      <c r="BVW692" s="769"/>
      <c r="BVX692" s="769"/>
      <c r="BVY692" s="769"/>
      <c r="BVZ692" s="769"/>
      <c r="BWA692" s="769"/>
      <c r="BWB692" s="769"/>
      <c r="BWC692" s="769"/>
      <c r="BWD692" s="769"/>
      <c r="BWE692" s="769"/>
      <c r="BWF692" s="769"/>
      <c r="BWG692" s="769"/>
      <c r="BWH692" s="769"/>
      <c r="BWI692" s="769"/>
      <c r="BWJ692" s="769"/>
      <c r="BWK692" s="769"/>
      <c r="BWL692" s="769"/>
      <c r="BWM692" s="769"/>
      <c r="BWN692" s="769"/>
      <c r="BWO692" s="769"/>
      <c r="BWP692" s="769"/>
      <c r="BWQ692" s="769"/>
      <c r="BWR692" s="769"/>
      <c r="BWS692" s="769"/>
      <c r="BWT692" s="769"/>
      <c r="BWU692" s="769"/>
      <c r="BWV692" s="769"/>
      <c r="BWW692" s="769"/>
      <c r="BWX692" s="769"/>
      <c r="BWY692" s="769"/>
      <c r="BWZ692" s="769"/>
      <c r="BXA692" s="769"/>
      <c r="BXB692" s="769"/>
      <c r="BXC692" s="769"/>
      <c r="BXD692" s="769"/>
      <c r="BXE692" s="769"/>
      <c r="BXF692" s="769"/>
      <c r="BXG692" s="769"/>
      <c r="BXH692" s="769"/>
      <c r="BXI692" s="769"/>
      <c r="BXJ692" s="769"/>
      <c r="BXK692" s="769"/>
      <c r="BXL692" s="769"/>
      <c r="BXM692" s="769"/>
      <c r="BXN692" s="769"/>
      <c r="BXO692" s="769"/>
      <c r="BXP692" s="769"/>
      <c r="BXQ692" s="769"/>
      <c r="BXR692" s="769"/>
      <c r="BXS692" s="769"/>
      <c r="BXT692" s="769"/>
      <c r="BXU692" s="769"/>
      <c r="BXV692" s="769"/>
      <c r="BXW692" s="769"/>
      <c r="BXX692" s="769"/>
      <c r="BXY692" s="769"/>
      <c r="BXZ692" s="769"/>
      <c r="BYA692" s="769"/>
      <c r="BYB692" s="769"/>
      <c r="BYC692" s="769"/>
      <c r="BYD692" s="769"/>
      <c r="BYE692" s="769"/>
      <c r="BYF692" s="769"/>
      <c r="BYG692" s="769"/>
      <c r="BYH692" s="769"/>
      <c r="BYI692" s="769"/>
      <c r="BYJ692" s="769"/>
      <c r="BYK692" s="769"/>
      <c r="BYL692" s="769"/>
      <c r="BYM692" s="769"/>
      <c r="BYN692" s="769"/>
      <c r="BYO692" s="769"/>
      <c r="BYP692" s="769"/>
      <c r="BYQ692" s="769"/>
      <c r="BYR692" s="769"/>
      <c r="BYS692" s="769"/>
      <c r="BYT692" s="769"/>
      <c r="BYU692" s="769"/>
      <c r="BYV692" s="769"/>
      <c r="BYW692" s="769"/>
      <c r="BYX692" s="769"/>
      <c r="BYY692" s="769"/>
      <c r="BYZ692" s="769"/>
      <c r="BZA692" s="769"/>
      <c r="BZB692" s="769"/>
      <c r="BZC692" s="769"/>
      <c r="BZD692" s="769"/>
      <c r="BZE692" s="769"/>
      <c r="BZF692" s="769"/>
      <c r="BZG692" s="769"/>
      <c r="BZH692" s="769"/>
      <c r="BZI692" s="769"/>
      <c r="BZJ692" s="769"/>
      <c r="BZK692" s="769"/>
      <c r="BZL692" s="769"/>
      <c r="BZM692" s="769"/>
      <c r="BZN692" s="769"/>
      <c r="BZO692" s="769"/>
      <c r="BZP692" s="769"/>
      <c r="BZQ692" s="769"/>
      <c r="BZR692" s="769"/>
      <c r="BZS692" s="769"/>
      <c r="BZT692" s="769"/>
      <c r="BZU692" s="769"/>
      <c r="BZV692" s="769"/>
      <c r="BZW692" s="769"/>
      <c r="BZX692" s="769"/>
      <c r="BZY692" s="769"/>
      <c r="BZZ692" s="769"/>
      <c r="CAA692" s="769"/>
      <c r="CAB692" s="769"/>
      <c r="CAC692" s="769"/>
      <c r="CAD692" s="769"/>
      <c r="CAE692" s="769"/>
      <c r="CAF692" s="769"/>
      <c r="CAG692" s="769"/>
      <c r="CAH692" s="769"/>
      <c r="CAI692" s="769"/>
      <c r="CAJ692" s="769"/>
      <c r="CAK692" s="769"/>
      <c r="CAL692" s="769"/>
      <c r="CAM692" s="769"/>
      <c r="CAN692" s="769"/>
      <c r="CAO692" s="769"/>
      <c r="CAP692" s="769"/>
      <c r="CAQ692" s="769"/>
      <c r="CAR692" s="769"/>
      <c r="CAS692" s="769"/>
      <c r="CAT692" s="769"/>
      <c r="CAU692" s="769"/>
      <c r="CAV692" s="769"/>
      <c r="CAW692" s="769"/>
      <c r="CAX692" s="769"/>
      <c r="CAY692" s="769"/>
      <c r="CAZ692" s="769"/>
      <c r="CBA692" s="769"/>
      <c r="CBB692" s="769"/>
      <c r="CBC692" s="769"/>
      <c r="CBD692" s="769"/>
      <c r="CBE692" s="769"/>
      <c r="CBF692" s="769"/>
      <c r="CBG692" s="769"/>
      <c r="CBH692" s="769"/>
      <c r="CBI692" s="769"/>
      <c r="CBJ692" s="769"/>
      <c r="CBK692" s="769"/>
      <c r="CBL692" s="769"/>
      <c r="CBM692" s="769"/>
      <c r="CBN692" s="769"/>
      <c r="CBO692" s="769"/>
      <c r="CBP692" s="769"/>
      <c r="CBQ692" s="769"/>
      <c r="CBR692" s="769"/>
      <c r="CBS692" s="769"/>
      <c r="CBT692" s="769"/>
      <c r="CBU692" s="769"/>
      <c r="CBV692" s="769"/>
      <c r="CBW692" s="769"/>
      <c r="CBX692" s="769"/>
      <c r="CBY692" s="769"/>
      <c r="CBZ692" s="769"/>
      <c r="CCA692" s="769"/>
      <c r="CCB692" s="769"/>
      <c r="CCC692" s="769"/>
      <c r="CCD692" s="769"/>
      <c r="CCE692" s="769"/>
      <c r="CCF692" s="769"/>
      <c r="CCG692" s="769"/>
      <c r="CCH692" s="769"/>
      <c r="CCI692" s="769"/>
      <c r="CCJ692" s="769"/>
      <c r="CCK692" s="769"/>
      <c r="CCL692" s="769"/>
      <c r="CCM692" s="769"/>
      <c r="CCN692" s="769"/>
      <c r="CCO692" s="769"/>
      <c r="CCP692" s="769"/>
      <c r="CCQ692" s="769"/>
      <c r="CCR692" s="769"/>
      <c r="CCS692" s="769"/>
      <c r="CCT692" s="769"/>
      <c r="CCU692" s="769"/>
      <c r="CCV692" s="769"/>
      <c r="CCW692" s="769"/>
      <c r="CCX692" s="769"/>
      <c r="CCY692" s="769"/>
      <c r="CCZ692" s="769"/>
      <c r="CDA692" s="769"/>
      <c r="CDB692" s="769"/>
      <c r="CDC692" s="769"/>
      <c r="CDD692" s="769"/>
      <c r="CDE692" s="769"/>
      <c r="CDF692" s="769"/>
      <c r="CDG692" s="769"/>
      <c r="CDH692" s="769"/>
      <c r="CDI692" s="769"/>
      <c r="CDJ692" s="769"/>
      <c r="CDK692" s="769"/>
      <c r="CDL692" s="769"/>
      <c r="CDM692" s="769"/>
      <c r="CDN692" s="769"/>
      <c r="CDO692" s="769"/>
      <c r="CDP692" s="769"/>
      <c r="CDQ692" s="769"/>
      <c r="CDR692" s="769"/>
      <c r="CDS692" s="769"/>
      <c r="CDT692" s="769"/>
      <c r="CDU692" s="769"/>
      <c r="CDV692" s="769"/>
      <c r="CDW692" s="769"/>
      <c r="CDX692" s="769"/>
      <c r="CDY692" s="769"/>
      <c r="CDZ692" s="769"/>
      <c r="CEA692" s="769"/>
      <c r="CEB692" s="769"/>
      <c r="CEC692" s="769"/>
      <c r="CED692" s="769"/>
      <c r="CEE692" s="769"/>
      <c r="CEF692" s="769"/>
      <c r="CEG692" s="769"/>
      <c r="CEH692" s="769"/>
      <c r="CEI692" s="769"/>
      <c r="CEJ692" s="769"/>
      <c r="CEK692" s="769"/>
      <c r="CEL692" s="769"/>
      <c r="CEM692" s="769"/>
      <c r="CEN692" s="769"/>
      <c r="CEO692" s="769"/>
      <c r="CEP692" s="769"/>
      <c r="CEQ692" s="769"/>
      <c r="CER692" s="769"/>
      <c r="CES692" s="769"/>
      <c r="CET692" s="769"/>
      <c r="CEU692" s="769"/>
      <c r="CEV692" s="769"/>
      <c r="CEW692" s="769"/>
      <c r="CEX692" s="769"/>
      <c r="CEY692" s="769"/>
      <c r="CEZ692" s="769"/>
      <c r="CFA692" s="769"/>
      <c r="CFB692" s="769"/>
      <c r="CFC692" s="769"/>
      <c r="CFD692" s="769"/>
      <c r="CFE692" s="769"/>
      <c r="CFF692" s="769"/>
      <c r="CFG692" s="769"/>
      <c r="CFH692" s="769"/>
      <c r="CFI692" s="769"/>
      <c r="CFJ692" s="769"/>
      <c r="CFK692" s="769"/>
      <c r="CFL692" s="769"/>
      <c r="CFM692" s="769"/>
      <c r="CFN692" s="769"/>
      <c r="CFO692" s="769"/>
      <c r="CFP692" s="769"/>
      <c r="CFQ692" s="769"/>
      <c r="CFR692" s="769"/>
      <c r="CFS692" s="769"/>
      <c r="CFT692" s="769"/>
      <c r="CFU692" s="769"/>
      <c r="CFV692" s="769"/>
      <c r="CFW692" s="769"/>
      <c r="CFX692" s="769"/>
      <c r="CFY692" s="769"/>
      <c r="CFZ692" s="769"/>
      <c r="CGA692" s="769"/>
      <c r="CGB692" s="769"/>
      <c r="CGC692" s="769"/>
      <c r="CGD692" s="769"/>
      <c r="CGE692" s="769"/>
      <c r="CGF692" s="769"/>
      <c r="CGG692" s="769"/>
      <c r="CGH692" s="769"/>
      <c r="CGI692" s="769"/>
      <c r="CGJ692" s="769"/>
      <c r="CGK692" s="769"/>
      <c r="CGL692" s="769"/>
      <c r="CGM692" s="769"/>
      <c r="CGN692" s="769"/>
      <c r="CGO692" s="769"/>
      <c r="CGP692" s="769"/>
      <c r="CGQ692" s="769"/>
      <c r="CGR692" s="769"/>
      <c r="CGS692" s="769"/>
      <c r="CGT692" s="769"/>
      <c r="CGU692" s="769"/>
      <c r="CGV692" s="769"/>
      <c r="CGW692" s="769"/>
      <c r="CGX692" s="769"/>
      <c r="CGY692" s="769"/>
      <c r="CGZ692" s="769"/>
      <c r="CHA692" s="769"/>
      <c r="CHB692" s="769"/>
      <c r="CHC692" s="769"/>
      <c r="CHD692" s="769"/>
      <c r="CHE692" s="769"/>
      <c r="CHF692" s="769"/>
      <c r="CHG692" s="769"/>
      <c r="CHH692" s="769"/>
      <c r="CHI692" s="769"/>
      <c r="CHJ692" s="769"/>
      <c r="CHK692" s="769"/>
      <c r="CHL692" s="769"/>
      <c r="CHM692" s="769"/>
      <c r="CHN692" s="769"/>
      <c r="CHO692" s="769"/>
      <c r="CHP692" s="769"/>
      <c r="CHQ692" s="769"/>
      <c r="CHR692" s="769"/>
      <c r="CHS692" s="769"/>
      <c r="CHT692" s="769"/>
      <c r="CHU692" s="769"/>
      <c r="CHV692" s="769"/>
      <c r="CHW692" s="769"/>
      <c r="CHX692" s="769"/>
      <c r="CHY692" s="769"/>
      <c r="CHZ692" s="769"/>
      <c r="CIA692" s="769"/>
      <c r="CIB692" s="769"/>
      <c r="CIC692" s="769"/>
      <c r="CID692" s="769"/>
      <c r="CIE692" s="769"/>
      <c r="CIF692" s="769"/>
      <c r="CIG692" s="769"/>
      <c r="CIH692" s="769"/>
      <c r="CII692" s="769"/>
      <c r="CIJ692" s="769"/>
      <c r="CIK692" s="769"/>
      <c r="CIL692" s="769"/>
      <c r="CIM692" s="769"/>
      <c r="CIN692" s="769"/>
      <c r="CIO692" s="769"/>
      <c r="CIP692" s="769"/>
      <c r="CIQ692" s="769"/>
      <c r="CIR692" s="769"/>
      <c r="CIS692" s="769"/>
      <c r="CIT692" s="769"/>
      <c r="CIU692" s="769"/>
      <c r="CIV692" s="769"/>
      <c r="CIW692" s="769"/>
      <c r="CIX692" s="769"/>
      <c r="CIY692" s="769"/>
      <c r="CIZ692" s="769"/>
      <c r="CJA692" s="769"/>
      <c r="CJB692" s="769"/>
      <c r="CJC692" s="769"/>
      <c r="CJD692" s="769"/>
      <c r="CJE692" s="769"/>
      <c r="CJF692" s="769"/>
      <c r="CJG692" s="769"/>
      <c r="CJH692" s="769"/>
      <c r="CJI692" s="769"/>
      <c r="CJJ692" s="769"/>
      <c r="CJK692" s="769"/>
      <c r="CJL692" s="769"/>
      <c r="CJM692" s="769"/>
      <c r="CJN692" s="769"/>
      <c r="CJO692" s="769"/>
      <c r="CJP692" s="769"/>
      <c r="CJQ692" s="769"/>
      <c r="CJR692" s="769"/>
      <c r="CJS692" s="769"/>
      <c r="CJT692" s="769"/>
      <c r="CJU692" s="769"/>
      <c r="CJV692" s="769"/>
      <c r="CJW692" s="769"/>
      <c r="CJX692" s="769"/>
      <c r="CJY692" s="769"/>
      <c r="CJZ692" s="769"/>
      <c r="CKA692" s="769"/>
      <c r="CKB692" s="769"/>
      <c r="CKC692" s="769"/>
      <c r="CKD692" s="769"/>
      <c r="CKE692" s="769"/>
      <c r="CKF692" s="769"/>
      <c r="CKG692" s="769"/>
      <c r="CKH692" s="769"/>
      <c r="CKI692" s="769"/>
      <c r="CKJ692" s="769"/>
      <c r="CKK692" s="769"/>
      <c r="CKL692" s="769"/>
      <c r="CKM692" s="769"/>
      <c r="CKN692" s="769"/>
      <c r="CKO692" s="769"/>
      <c r="CKP692" s="769"/>
      <c r="CKQ692" s="769"/>
      <c r="CKR692" s="769"/>
      <c r="CKS692" s="769"/>
      <c r="CKT692" s="769"/>
      <c r="CKU692" s="769"/>
      <c r="CKV692" s="769"/>
      <c r="CKW692" s="769"/>
      <c r="CKX692" s="769"/>
      <c r="CKY692" s="769"/>
      <c r="CKZ692" s="769"/>
      <c r="CLA692" s="769"/>
      <c r="CLB692" s="769"/>
      <c r="CLC692" s="769"/>
      <c r="CLD692" s="769"/>
      <c r="CLE692" s="769"/>
      <c r="CLF692" s="769"/>
      <c r="CLG692" s="769"/>
      <c r="CLH692" s="769"/>
      <c r="CLI692" s="769"/>
      <c r="CLJ692" s="769"/>
      <c r="CLK692" s="769"/>
      <c r="CLL692" s="769"/>
      <c r="CLM692" s="769"/>
      <c r="CLN692" s="769"/>
      <c r="CLO692" s="769"/>
      <c r="CLP692" s="769"/>
      <c r="CLQ692" s="769"/>
      <c r="CLR692" s="769"/>
      <c r="CLS692" s="769"/>
      <c r="CLT692" s="769"/>
      <c r="CLU692" s="769"/>
      <c r="CLV692" s="769"/>
      <c r="CLW692" s="769"/>
      <c r="CLX692" s="769"/>
      <c r="CLY692" s="769"/>
      <c r="CLZ692" s="769"/>
      <c r="CMA692" s="769"/>
      <c r="CMB692" s="769"/>
      <c r="CMC692" s="769"/>
      <c r="CMD692" s="769"/>
      <c r="CME692" s="769"/>
      <c r="CMF692" s="769"/>
      <c r="CMG692" s="769"/>
      <c r="CMH692" s="769"/>
      <c r="CMI692" s="769"/>
      <c r="CMJ692" s="769"/>
      <c r="CMK692" s="769"/>
      <c r="CML692" s="769"/>
      <c r="CMM692" s="769"/>
      <c r="CMN692" s="769"/>
      <c r="CMO692" s="769"/>
      <c r="CMP692" s="769"/>
      <c r="CMQ692" s="769"/>
      <c r="CMR692" s="769"/>
      <c r="CMS692" s="769"/>
      <c r="CMT692" s="769"/>
      <c r="CMU692" s="769"/>
      <c r="CMV692" s="769"/>
      <c r="CMW692" s="769"/>
      <c r="CMX692" s="769"/>
      <c r="CMY692" s="769"/>
      <c r="CMZ692" s="769"/>
      <c r="CNA692" s="769"/>
      <c r="CNB692" s="769"/>
      <c r="CNC692" s="769"/>
      <c r="CND692" s="769"/>
      <c r="CNE692" s="769"/>
      <c r="CNF692" s="769"/>
      <c r="CNG692" s="769"/>
      <c r="CNH692" s="769"/>
      <c r="CNI692" s="769"/>
      <c r="CNJ692" s="769"/>
      <c r="CNK692" s="769"/>
      <c r="CNL692" s="769"/>
      <c r="CNM692" s="769"/>
      <c r="CNN692" s="769"/>
      <c r="CNO692" s="769"/>
      <c r="CNP692" s="769"/>
      <c r="CNQ692" s="769"/>
      <c r="CNR692" s="769"/>
      <c r="CNS692" s="769"/>
      <c r="CNT692" s="769"/>
      <c r="CNU692" s="769"/>
      <c r="CNV692" s="769"/>
      <c r="CNW692" s="769"/>
      <c r="CNX692" s="769"/>
      <c r="CNY692" s="769"/>
      <c r="CNZ692" s="769"/>
      <c r="COA692" s="769"/>
      <c r="COB692" s="769"/>
      <c r="COC692" s="769"/>
      <c r="COD692" s="769"/>
      <c r="COE692" s="769"/>
      <c r="COF692" s="769"/>
      <c r="COG692" s="769"/>
      <c r="COH692" s="769"/>
      <c r="COI692" s="769"/>
      <c r="COJ692" s="769"/>
      <c r="COK692" s="769"/>
      <c r="COL692" s="769"/>
      <c r="COM692" s="769"/>
      <c r="CON692" s="769"/>
      <c r="COO692" s="769"/>
      <c r="COP692" s="769"/>
      <c r="COQ692" s="769"/>
      <c r="COR692" s="769"/>
      <c r="COS692" s="769"/>
      <c r="COT692" s="769"/>
      <c r="COU692" s="769"/>
      <c r="COV692" s="769"/>
      <c r="COW692" s="769"/>
      <c r="COX692" s="769"/>
      <c r="COY692" s="769"/>
      <c r="COZ692" s="769"/>
      <c r="CPA692" s="769"/>
      <c r="CPB692" s="769"/>
      <c r="CPC692" s="769"/>
      <c r="CPD692" s="769"/>
      <c r="CPE692" s="769"/>
      <c r="CPF692" s="769"/>
      <c r="CPG692" s="769"/>
      <c r="CPH692" s="769"/>
      <c r="CPI692" s="769"/>
      <c r="CPJ692" s="769"/>
      <c r="CPK692" s="769"/>
      <c r="CPL692" s="769"/>
      <c r="CPM692" s="769"/>
      <c r="CPN692" s="769"/>
      <c r="CPO692" s="769"/>
      <c r="CPP692" s="769"/>
      <c r="CPQ692" s="769"/>
      <c r="CPR692" s="769"/>
      <c r="CPS692" s="769"/>
      <c r="CPT692" s="769"/>
      <c r="CPU692" s="769"/>
      <c r="CPV692" s="769"/>
      <c r="CPW692" s="769"/>
      <c r="CPX692" s="769"/>
      <c r="CPY692" s="769"/>
      <c r="CPZ692" s="769"/>
      <c r="CQA692" s="769"/>
      <c r="CQB692" s="769"/>
      <c r="CQC692" s="769"/>
      <c r="CQD692" s="769"/>
      <c r="CQE692" s="769"/>
      <c r="CQF692" s="769"/>
      <c r="CQG692" s="769"/>
      <c r="CQH692" s="769"/>
      <c r="CQI692" s="769"/>
      <c r="CQJ692" s="769"/>
      <c r="CQK692" s="769"/>
      <c r="CQL692" s="769"/>
      <c r="CQM692" s="769"/>
      <c r="CQN692" s="769"/>
      <c r="CQO692" s="769"/>
      <c r="CQP692" s="769"/>
      <c r="CQQ692" s="769"/>
      <c r="CQR692" s="769"/>
      <c r="CQS692" s="769"/>
      <c r="CQT692" s="769"/>
      <c r="CQU692" s="769"/>
      <c r="CQV692" s="769"/>
      <c r="CQW692" s="769"/>
      <c r="CQX692" s="769"/>
      <c r="CQY692" s="769"/>
      <c r="CQZ692" s="769"/>
      <c r="CRA692" s="769"/>
      <c r="CRB692" s="769"/>
      <c r="CRC692" s="769"/>
      <c r="CRD692" s="769"/>
      <c r="CRE692" s="769"/>
      <c r="CRF692" s="769"/>
      <c r="CRG692" s="769"/>
      <c r="CRH692" s="769"/>
      <c r="CRI692" s="769"/>
      <c r="CRJ692" s="769"/>
      <c r="CRK692" s="769"/>
      <c r="CRL692" s="769"/>
      <c r="CRM692" s="769"/>
      <c r="CRN692" s="769"/>
      <c r="CRO692" s="769"/>
      <c r="CRP692" s="769"/>
      <c r="CRQ692" s="769"/>
      <c r="CRR692" s="769"/>
      <c r="CRS692" s="769"/>
      <c r="CRT692" s="769"/>
      <c r="CRU692" s="769"/>
      <c r="CRV692" s="769"/>
      <c r="CRW692" s="769"/>
      <c r="CRX692" s="769"/>
      <c r="CRY692" s="769"/>
      <c r="CRZ692" s="769"/>
      <c r="CSA692" s="769"/>
      <c r="CSB692" s="769"/>
      <c r="CSC692" s="769"/>
      <c r="CSD692" s="769"/>
      <c r="CSE692" s="769"/>
      <c r="CSF692" s="769"/>
      <c r="CSG692" s="769"/>
      <c r="CSH692" s="769"/>
      <c r="CSI692" s="769"/>
      <c r="CSJ692" s="769"/>
      <c r="CSK692" s="769"/>
      <c r="CSL692" s="769"/>
      <c r="CSM692" s="769"/>
      <c r="CSN692" s="769"/>
      <c r="CSO692" s="769"/>
      <c r="CSP692" s="769"/>
      <c r="CSQ692" s="769"/>
      <c r="CSR692" s="769"/>
      <c r="CSS692" s="769"/>
      <c r="CST692" s="769"/>
      <c r="CSU692" s="769"/>
      <c r="CSV692" s="769"/>
      <c r="CSW692" s="769"/>
      <c r="CSX692" s="769"/>
      <c r="CSY692" s="769"/>
      <c r="CSZ692" s="769"/>
      <c r="CTA692" s="769"/>
      <c r="CTB692" s="769"/>
      <c r="CTC692" s="769"/>
      <c r="CTD692" s="769"/>
      <c r="CTE692" s="769"/>
      <c r="CTF692" s="769"/>
      <c r="CTG692" s="769"/>
      <c r="CTH692" s="769"/>
      <c r="CTI692" s="769"/>
      <c r="CTJ692" s="769"/>
      <c r="CTK692" s="769"/>
      <c r="CTL692" s="769"/>
      <c r="CTM692" s="769"/>
      <c r="CTN692" s="769"/>
      <c r="CTO692" s="769"/>
      <c r="CTP692" s="769"/>
      <c r="CTQ692" s="769"/>
      <c r="CTR692" s="769"/>
      <c r="CTS692" s="769"/>
      <c r="CTT692" s="769"/>
      <c r="CTU692" s="769"/>
      <c r="CTV692" s="769"/>
      <c r="CTW692" s="769"/>
      <c r="CTX692" s="769"/>
      <c r="CTY692" s="769"/>
      <c r="CTZ692" s="769"/>
      <c r="CUA692" s="769"/>
      <c r="CUB692" s="769"/>
      <c r="CUC692" s="769"/>
      <c r="CUD692" s="769"/>
      <c r="CUE692" s="769"/>
      <c r="CUF692" s="769"/>
      <c r="CUG692" s="769"/>
      <c r="CUH692" s="769"/>
      <c r="CUI692" s="769"/>
      <c r="CUJ692" s="769"/>
      <c r="CUK692" s="769"/>
      <c r="CUL692" s="769"/>
      <c r="CUM692" s="769"/>
      <c r="CUN692" s="769"/>
      <c r="CUO692" s="769"/>
      <c r="CUP692" s="769"/>
      <c r="CUQ692" s="769"/>
      <c r="CUR692" s="769"/>
      <c r="CUS692" s="769"/>
      <c r="CUT692" s="769"/>
      <c r="CUU692" s="769"/>
      <c r="CUV692" s="769"/>
      <c r="CUW692" s="769"/>
      <c r="CUX692" s="769"/>
      <c r="CUY692" s="769"/>
      <c r="CUZ692" s="769"/>
      <c r="CVA692" s="769"/>
      <c r="CVB692" s="769"/>
      <c r="CVC692" s="769"/>
      <c r="CVD692" s="769"/>
      <c r="CVE692" s="769"/>
      <c r="CVF692" s="769"/>
      <c r="CVG692" s="769"/>
      <c r="CVH692" s="769"/>
      <c r="CVI692" s="769"/>
      <c r="CVJ692" s="769"/>
      <c r="CVK692" s="769"/>
      <c r="CVL692" s="769"/>
      <c r="CVM692" s="769"/>
      <c r="CVN692" s="769"/>
      <c r="CVO692" s="769"/>
      <c r="CVP692" s="769"/>
      <c r="CVQ692" s="769"/>
      <c r="CVR692" s="769"/>
      <c r="CVS692" s="769"/>
      <c r="CVT692" s="769"/>
      <c r="CVU692" s="769"/>
      <c r="CVV692" s="769"/>
      <c r="CVW692" s="769"/>
      <c r="CVX692" s="769"/>
      <c r="CVY692" s="769"/>
      <c r="CVZ692" s="769"/>
      <c r="CWA692" s="769"/>
      <c r="CWB692" s="769"/>
      <c r="CWC692" s="769"/>
      <c r="CWD692" s="769"/>
      <c r="CWE692" s="769"/>
      <c r="CWF692" s="769"/>
      <c r="CWG692" s="769"/>
      <c r="CWH692" s="769"/>
      <c r="CWI692" s="769"/>
      <c r="CWJ692" s="769"/>
      <c r="CWK692" s="769"/>
      <c r="CWL692" s="769"/>
      <c r="CWM692" s="769"/>
      <c r="CWN692" s="769"/>
      <c r="CWO692" s="769"/>
      <c r="CWP692" s="769"/>
      <c r="CWQ692" s="769"/>
      <c r="CWR692" s="769"/>
      <c r="CWS692" s="769"/>
      <c r="CWT692" s="769"/>
      <c r="CWU692" s="769"/>
      <c r="CWV692" s="769"/>
      <c r="CWW692" s="769"/>
      <c r="CWX692" s="769"/>
      <c r="CWY692" s="769"/>
      <c r="CWZ692" s="769"/>
      <c r="CXA692" s="769"/>
      <c r="CXB692" s="769"/>
      <c r="CXC692" s="769"/>
      <c r="CXD692" s="769"/>
      <c r="CXE692" s="769"/>
      <c r="CXF692" s="769"/>
      <c r="CXG692" s="769"/>
      <c r="CXH692" s="769"/>
      <c r="CXI692" s="769"/>
      <c r="CXJ692" s="769"/>
      <c r="CXK692" s="769"/>
      <c r="CXL692" s="769"/>
      <c r="CXM692" s="769"/>
      <c r="CXN692" s="769"/>
      <c r="CXO692" s="769"/>
      <c r="CXP692" s="769"/>
      <c r="CXQ692" s="769"/>
      <c r="CXR692" s="769"/>
      <c r="CXS692" s="769"/>
      <c r="CXT692" s="769"/>
      <c r="CXU692" s="769"/>
      <c r="CXV692" s="769"/>
      <c r="CXW692" s="769"/>
      <c r="CXX692" s="769"/>
      <c r="CXY692" s="769"/>
      <c r="CXZ692" s="769"/>
      <c r="CYA692" s="769"/>
      <c r="CYB692" s="769"/>
      <c r="CYC692" s="769"/>
      <c r="CYD692" s="769"/>
      <c r="CYE692" s="769"/>
      <c r="CYF692" s="769"/>
      <c r="CYG692" s="769"/>
      <c r="CYH692" s="769"/>
      <c r="CYI692" s="769"/>
      <c r="CYJ692" s="769"/>
      <c r="CYK692" s="769"/>
      <c r="CYL692" s="769"/>
      <c r="CYM692" s="769"/>
      <c r="CYN692" s="769"/>
      <c r="CYO692" s="769"/>
      <c r="CYP692" s="769"/>
      <c r="CYQ692" s="769"/>
      <c r="CYR692" s="769"/>
      <c r="CYS692" s="769"/>
      <c r="CYT692" s="769"/>
      <c r="CYU692" s="769"/>
      <c r="CYV692" s="769"/>
      <c r="CYW692" s="769"/>
      <c r="CYX692" s="769"/>
      <c r="CYY692" s="769"/>
      <c r="CYZ692" s="769"/>
      <c r="CZA692" s="769"/>
      <c r="CZB692" s="769"/>
      <c r="CZC692" s="769"/>
      <c r="CZD692" s="769"/>
      <c r="CZE692" s="769"/>
      <c r="CZF692" s="769"/>
      <c r="CZG692" s="769"/>
      <c r="CZH692" s="769"/>
      <c r="CZI692" s="769"/>
      <c r="CZJ692" s="769"/>
      <c r="CZK692" s="769"/>
      <c r="CZL692" s="769"/>
      <c r="CZM692" s="769"/>
      <c r="CZN692" s="769"/>
      <c r="CZO692" s="769"/>
      <c r="CZP692" s="769"/>
      <c r="CZQ692" s="769"/>
      <c r="CZR692" s="769"/>
      <c r="CZS692" s="769"/>
      <c r="CZT692" s="769"/>
      <c r="CZU692" s="769"/>
      <c r="CZV692" s="769"/>
      <c r="CZW692" s="769"/>
      <c r="CZX692" s="769"/>
      <c r="CZY692" s="769"/>
      <c r="CZZ692" s="769"/>
      <c r="DAA692" s="769"/>
      <c r="DAB692" s="769"/>
      <c r="DAC692" s="769"/>
      <c r="DAD692" s="769"/>
      <c r="DAE692" s="769"/>
      <c r="DAF692" s="769"/>
      <c r="DAG692" s="769"/>
      <c r="DAH692" s="769"/>
      <c r="DAI692" s="769"/>
      <c r="DAJ692" s="769"/>
      <c r="DAK692" s="769"/>
      <c r="DAL692" s="769"/>
      <c r="DAM692" s="769"/>
      <c r="DAN692" s="769"/>
      <c r="DAO692" s="769"/>
      <c r="DAP692" s="769"/>
      <c r="DAQ692" s="769"/>
      <c r="DAR692" s="769"/>
      <c r="DAS692" s="769"/>
      <c r="DAT692" s="769"/>
      <c r="DAU692" s="769"/>
      <c r="DAV692" s="769"/>
      <c r="DAW692" s="769"/>
      <c r="DAX692" s="769"/>
      <c r="DAY692" s="769"/>
      <c r="DAZ692" s="769"/>
      <c r="DBA692" s="769"/>
      <c r="DBB692" s="769"/>
      <c r="DBC692" s="769"/>
      <c r="DBD692" s="769"/>
      <c r="DBE692" s="769"/>
      <c r="DBF692" s="769"/>
      <c r="DBG692" s="769"/>
      <c r="DBH692" s="769"/>
      <c r="DBI692" s="769"/>
      <c r="DBJ692" s="769"/>
      <c r="DBK692" s="769"/>
      <c r="DBL692" s="769"/>
      <c r="DBM692" s="769"/>
      <c r="DBN692" s="769"/>
      <c r="DBO692" s="769"/>
      <c r="DBP692" s="769"/>
      <c r="DBQ692" s="769"/>
      <c r="DBR692" s="769"/>
      <c r="DBS692" s="769"/>
      <c r="DBT692" s="769"/>
      <c r="DBU692" s="769"/>
      <c r="DBV692" s="769"/>
      <c r="DBW692" s="769"/>
      <c r="DBX692" s="769"/>
      <c r="DBY692" s="769"/>
      <c r="DBZ692" s="769"/>
      <c r="DCA692" s="769"/>
      <c r="DCB692" s="769"/>
      <c r="DCC692" s="769"/>
      <c r="DCD692" s="769"/>
      <c r="DCE692" s="769"/>
      <c r="DCF692" s="769"/>
      <c r="DCG692" s="769"/>
      <c r="DCH692" s="769"/>
      <c r="DCI692" s="769"/>
      <c r="DCJ692" s="769"/>
      <c r="DCK692" s="769"/>
      <c r="DCL692" s="769"/>
      <c r="DCM692" s="769"/>
      <c r="DCN692" s="769"/>
      <c r="DCO692" s="769"/>
      <c r="DCP692" s="769"/>
      <c r="DCQ692" s="769"/>
      <c r="DCR692" s="769"/>
      <c r="DCS692" s="769"/>
      <c r="DCT692" s="769"/>
      <c r="DCU692" s="769"/>
      <c r="DCV692" s="769"/>
      <c r="DCW692" s="769"/>
      <c r="DCX692" s="769"/>
      <c r="DCY692" s="769"/>
      <c r="DCZ692" s="769"/>
      <c r="DDA692" s="769"/>
      <c r="DDB692" s="769"/>
      <c r="DDC692" s="769"/>
      <c r="DDD692" s="769"/>
      <c r="DDE692" s="769"/>
      <c r="DDF692" s="769"/>
      <c r="DDG692" s="769"/>
      <c r="DDH692" s="769"/>
      <c r="DDI692" s="769"/>
      <c r="DDJ692" s="769"/>
      <c r="DDK692" s="769"/>
      <c r="DDL692" s="769"/>
      <c r="DDM692" s="769"/>
      <c r="DDN692" s="769"/>
      <c r="DDO692" s="769"/>
      <c r="DDP692" s="769"/>
      <c r="DDQ692" s="769"/>
      <c r="DDR692" s="769"/>
      <c r="DDS692" s="769"/>
      <c r="DDT692" s="769"/>
      <c r="DDU692" s="769"/>
      <c r="DDV692" s="769"/>
      <c r="DDW692" s="769"/>
      <c r="DDX692" s="769"/>
      <c r="DDY692" s="769"/>
      <c r="DDZ692" s="769"/>
      <c r="DEA692" s="769"/>
      <c r="DEB692" s="769"/>
      <c r="DEC692" s="769"/>
      <c r="DED692" s="769"/>
      <c r="DEE692" s="769"/>
      <c r="DEF692" s="769"/>
      <c r="DEG692" s="769"/>
      <c r="DEH692" s="769"/>
      <c r="DEI692" s="769"/>
      <c r="DEJ692" s="769"/>
      <c r="DEK692" s="769"/>
      <c r="DEL692" s="769"/>
      <c r="DEM692" s="769"/>
      <c r="DEN692" s="769"/>
      <c r="DEO692" s="769"/>
      <c r="DEP692" s="769"/>
      <c r="DEQ692" s="769"/>
      <c r="DER692" s="769"/>
      <c r="DES692" s="769"/>
      <c r="DET692" s="769"/>
      <c r="DEU692" s="769"/>
      <c r="DEV692" s="769"/>
      <c r="DEW692" s="769"/>
      <c r="DEX692" s="769"/>
      <c r="DEY692" s="769"/>
      <c r="DEZ692" s="769"/>
      <c r="DFA692" s="769"/>
      <c r="DFB692" s="769"/>
      <c r="DFC692" s="769"/>
      <c r="DFD692" s="769"/>
      <c r="DFE692" s="769"/>
      <c r="DFF692" s="769"/>
      <c r="DFG692" s="769"/>
      <c r="DFH692" s="769"/>
      <c r="DFI692" s="769"/>
      <c r="DFJ692" s="769"/>
      <c r="DFK692" s="769"/>
      <c r="DFL692" s="769"/>
      <c r="DFM692" s="769"/>
      <c r="DFN692" s="769"/>
      <c r="DFO692" s="769"/>
      <c r="DFP692" s="769"/>
      <c r="DFQ692" s="769"/>
      <c r="DFR692" s="769"/>
      <c r="DFS692" s="769"/>
      <c r="DFT692" s="769"/>
      <c r="DFU692" s="769"/>
      <c r="DFV692" s="769"/>
      <c r="DFW692" s="769"/>
      <c r="DFX692" s="769"/>
      <c r="DFY692" s="769"/>
      <c r="DFZ692" s="769"/>
      <c r="DGA692" s="769"/>
      <c r="DGB692" s="769"/>
      <c r="DGC692" s="769"/>
      <c r="DGD692" s="769"/>
      <c r="DGE692" s="769"/>
      <c r="DGF692" s="769"/>
      <c r="DGG692" s="769"/>
      <c r="DGH692" s="769"/>
      <c r="DGI692" s="769"/>
      <c r="DGJ692" s="769"/>
      <c r="DGK692" s="769"/>
      <c r="DGL692" s="769"/>
      <c r="DGM692" s="769"/>
      <c r="DGN692" s="769"/>
      <c r="DGO692" s="769"/>
      <c r="DGP692" s="769"/>
      <c r="DGQ692" s="769"/>
      <c r="DGR692" s="769"/>
      <c r="DGS692" s="769"/>
      <c r="DGT692" s="769"/>
      <c r="DGU692" s="769"/>
      <c r="DGV692" s="769"/>
      <c r="DGW692" s="769"/>
      <c r="DGX692" s="769"/>
      <c r="DGY692" s="769"/>
      <c r="DGZ692" s="769"/>
      <c r="DHA692" s="769"/>
      <c r="DHB692" s="769"/>
      <c r="DHC692" s="769"/>
      <c r="DHD692" s="769"/>
      <c r="DHE692" s="769"/>
      <c r="DHF692" s="769"/>
      <c r="DHG692" s="769"/>
      <c r="DHH692" s="769"/>
      <c r="DHI692" s="769"/>
      <c r="DHJ692" s="769"/>
      <c r="DHK692" s="769"/>
      <c r="DHL692" s="769"/>
      <c r="DHM692" s="769"/>
      <c r="DHN692" s="769"/>
      <c r="DHO692" s="769"/>
      <c r="DHP692" s="769"/>
      <c r="DHQ692" s="769"/>
      <c r="DHR692" s="769"/>
      <c r="DHS692" s="769"/>
      <c r="DHT692" s="769"/>
      <c r="DHU692" s="769"/>
      <c r="DHV692" s="769"/>
      <c r="DHW692" s="769"/>
      <c r="DHX692" s="769"/>
      <c r="DHY692" s="769"/>
      <c r="DHZ692" s="769"/>
      <c r="DIA692" s="769"/>
      <c r="DIB692" s="769"/>
      <c r="DIC692" s="769"/>
      <c r="DID692" s="769"/>
      <c r="DIE692" s="769"/>
      <c r="DIF692" s="769"/>
      <c r="DIG692" s="769"/>
      <c r="DIH692" s="769"/>
      <c r="DII692" s="769"/>
      <c r="DIJ692" s="769"/>
      <c r="DIK692" s="769"/>
      <c r="DIL692" s="769"/>
      <c r="DIM692" s="769"/>
      <c r="DIN692" s="769"/>
      <c r="DIO692" s="769"/>
      <c r="DIP692" s="769"/>
      <c r="DIQ692" s="769"/>
      <c r="DIR692" s="769"/>
      <c r="DIS692" s="769"/>
      <c r="DIT692" s="769"/>
      <c r="DIU692" s="769"/>
      <c r="DIV692" s="769"/>
      <c r="DIW692" s="769"/>
      <c r="DIX692" s="769"/>
      <c r="DIY692" s="769"/>
      <c r="DIZ692" s="769"/>
      <c r="DJA692" s="769"/>
      <c r="DJB692" s="769"/>
      <c r="DJC692" s="769"/>
      <c r="DJD692" s="769"/>
      <c r="DJE692" s="769"/>
      <c r="DJF692" s="769"/>
      <c r="DJG692" s="769"/>
      <c r="DJH692" s="769"/>
      <c r="DJI692" s="769"/>
      <c r="DJJ692" s="769"/>
      <c r="DJK692" s="769"/>
      <c r="DJL692" s="769"/>
      <c r="DJM692" s="769"/>
      <c r="DJN692" s="769"/>
      <c r="DJO692" s="769"/>
      <c r="DJP692" s="769"/>
      <c r="DJQ692" s="769"/>
      <c r="DJR692" s="769"/>
      <c r="DJS692" s="769"/>
      <c r="DJT692" s="769"/>
      <c r="DJU692" s="769"/>
      <c r="DJV692" s="769"/>
      <c r="DJW692" s="769"/>
      <c r="DJX692" s="769"/>
      <c r="DJY692" s="769"/>
      <c r="DJZ692" s="769"/>
      <c r="DKA692" s="769"/>
      <c r="DKB692" s="769"/>
      <c r="DKC692" s="769"/>
      <c r="DKD692" s="769"/>
      <c r="DKE692" s="769"/>
      <c r="DKF692" s="769"/>
      <c r="DKG692" s="769"/>
      <c r="DKH692" s="769"/>
      <c r="DKI692" s="769"/>
      <c r="DKJ692" s="769"/>
      <c r="DKK692" s="769"/>
      <c r="DKL692" s="769"/>
      <c r="DKM692" s="769"/>
      <c r="DKN692" s="769"/>
      <c r="DKO692" s="769"/>
      <c r="DKP692" s="769"/>
      <c r="DKQ692" s="769"/>
      <c r="DKR692" s="769"/>
      <c r="DKS692" s="769"/>
      <c r="DKT692" s="769"/>
      <c r="DKU692" s="769"/>
      <c r="DKV692" s="769"/>
      <c r="DKW692" s="769"/>
      <c r="DKX692" s="769"/>
      <c r="DKY692" s="769"/>
      <c r="DKZ692" s="769"/>
      <c r="DLA692" s="769"/>
      <c r="DLB692" s="769"/>
      <c r="DLC692" s="769"/>
      <c r="DLD692" s="769"/>
      <c r="DLE692" s="769"/>
      <c r="DLF692" s="769"/>
      <c r="DLG692" s="769"/>
      <c r="DLH692" s="769"/>
      <c r="DLI692" s="769"/>
      <c r="DLJ692" s="769"/>
      <c r="DLK692" s="769"/>
      <c r="DLL692" s="769"/>
      <c r="DLM692" s="769"/>
      <c r="DLN692" s="769"/>
      <c r="DLO692" s="769"/>
      <c r="DLP692" s="769"/>
      <c r="DLQ692" s="769"/>
      <c r="DLR692" s="769"/>
      <c r="DLS692" s="769"/>
      <c r="DLT692" s="769"/>
      <c r="DLU692" s="769"/>
      <c r="DLV692" s="769"/>
      <c r="DLW692" s="769"/>
      <c r="DLX692" s="769"/>
      <c r="DLY692" s="769"/>
      <c r="DLZ692" s="769"/>
      <c r="DMA692" s="769"/>
      <c r="DMB692" s="769"/>
      <c r="DMC692" s="769"/>
      <c r="DMD692" s="769"/>
      <c r="DME692" s="769"/>
      <c r="DMF692" s="769"/>
      <c r="DMG692" s="769"/>
      <c r="DMH692" s="769"/>
      <c r="DMI692" s="769"/>
      <c r="DMJ692" s="769"/>
      <c r="DMK692" s="769"/>
      <c r="DML692" s="769"/>
      <c r="DMM692" s="769"/>
      <c r="DMN692" s="769"/>
      <c r="DMO692" s="769"/>
      <c r="DMP692" s="769"/>
      <c r="DMQ692" s="769"/>
      <c r="DMR692" s="769"/>
      <c r="DMS692" s="769"/>
      <c r="DMT692" s="769"/>
      <c r="DMU692" s="769"/>
      <c r="DMV692" s="769"/>
      <c r="DMW692" s="769"/>
      <c r="DMX692" s="769"/>
      <c r="DMY692" s="769"/>
      <c r="DMZ692" s="769"/>
      <c r="DNA692" s="769"/>
      <c r="DNB692" s="769"/>
      <c r="DNC692" s="769"/>
      <c r="DND692" s="769"/>
      <c r="DNE692" s="769"/>
      <c r="DNF692" s="769"/>
      <c r="DNG692" s="769"/>
      <c r="DNH692" s="769"/>
      <c r="DNI692" s="769"/>
      <c r="DNJ692" s="769"/>
      <c r="DNK692" s="769"/>
      <c r="DNL692" s="769"/>
      <c r="DNM692" s="769"/>
      <c r="DNN692" s="769"/>
      <c r="DNO692" s="769"/>
      <c r="DNP692" s="769"/>
      <c r="DNQ692" s="769"/>
      <c r="DNR692" s="769"/>
      <c r="DNS692" s="769"/>
      <c r="DNT692" s="769"/>
      <c r="DNU692" s="769"/>
      <c r="DNV692" s="769"/>
      <c r="DNW692" s="769"/>
      <c r="DNX692" s="769"/>
      <c r="DNY692" s="769"/>
      <c r="DNZ692" s="769"/>
      <c r="DOA692" s="769"/>
      <c r="DOB692" s="769"/>
      <c r="DOC692" s="769"/>
      <c r="DOD692" s="769"/>
      <c r="DOE692" s="769"/>
      <c r="DOF692" s="769"/>
      <c r="DOG692" s="769"/>
      <c r="DOH692" s="769"/>
      <c r="DOI692" s="769"/>
      <c r="DOJ692" s="769"/>
      <c r="DOK692" s="769"/>
      <c r="DOL692" s="769"/>
      <c r="DOM692" s="769"/>
      <c r="DON692" s="769"/>
      <c r="DOO692" s="769"/>
      <c r="DOP692" s="769"/>
      <c r="DOQ692" s="769"/>
      <c r="DOR692" s="769"/>
      <c r="DOS692" s="769"/>
      <c r="DOT692" s="769"/>
      <c r="DOU692" s="769"/>
      <c r="DOV692" s="769"/>
      <c r="DOW692" s="769"/>
      <c r="DOX692" s="769"/>
      <c r="DOY692" s="769"/>
      <c r="DOZ692" s="769"/>
      <c r="DPA692" s="769"/>
      <c r="DPB692" s="769"/>
      <c r="DPC692" s="769"/>
      <c r="DPD692" s="769"/>
      <c r="DPE692" s="769"/>
      <c r="DPF692" s="769"/>
      <c r="DPG692" s="769"/>
      <c r="DPH692" s="769"/>
      <c r="DPI692" s="769"/>
      <c r="DPJ692" s="769"/>
      <c r="DPK692" s="769"/>
      <c r="DPL692" s="769"/>
      <c r="DPM692" s="769"/>
      <c r="DPN692" s="769"/>
      <c r="DPO692" s="769"/>
      <c r="DPP692" s="769"/>
      <c r="DPQ692" s="769"/>
      <c r="DPR692" s="769"/>
      <c r="DPS692" s="769"/>
      <c r="DPT692" s="769"/>
      <c r="DPU692" s="769"/>
      <c r="DPV692" s="769"/>
      <c r="DPW692" s="769"/>
      <c r="DPX692" s="769"/>
      <c r="DPY692" s="769"/>
      <c r="DPZ692" s="769"/>
      <c r="DQA692" s="769"/>
      <c r="DQB692" s="769"/>
      <c r="DQC692" s="769"/>
      <c r="DQD692" s="769"/>
      <c r="DQE692" s="769"/>
      <c r="DQF692" s="769"/>
      <c r="DQG692" s="769"/>
      <c r="DQH692" s="769"/>
      <c r="DQI692" s="769"/>
      <c r="DQJ692" s="769"/>
      <c r="DQK692" s="769"/>
      <c r="DQL692" s="769"/>
      <c r="DQM692" s="769"/>
      <c r="DQN692" s="769"/>
      <c r="DQO692" s="769"/>
      <c r="DQP692" s="769"/>
      <c r="DQQ692" s="769"/>
      <c r="DQR692" s="769"/>
      <c r="DQS692" s="769"/>
      <c r="DQT692" s="769"/>
      <c r="DQU692" s="769"/>
      <c r="DQV692" s="769"/>
      <c r="DQW692" s="769"/>
      <c r="DQX692" s="769"/>
      <c r="DQY692" s="769"/>
      <c r="DQZ692" s="769"/>
      <c r="DRA692" s="769"/>
      <c r="DRB692" s="769"/>
      <c r="DRC692" s="769"/>
      <c r="DRD692" s="769"/>
      <c r="DRE692" s="769"/>
      <c r="DRF692" s="769"/>
      <c r="DRG692" s="769"/>
      <c r="DRH692" s="769"/>
      <c r="DRI692" s="769"/>
      <c r="DRJ692" s="769"/>
      <c r="DRK692" s="769"/>
      <c r="DRL692" s="769"/>
      <c r="DRM692" s="769"/>
      <c r="DRN692" s="769"/>
      <c r="DRO692" s="769"/>
      <c r="DRP692" s="769"/>
      <c r="DRQ692" s="769"/>
      <c r="DRR692" s="769"/>
      <c r="DRS692" s="769"/>
      <c r="DRT692" s="769"/>
      <c r="DRU692" s="769"/>
      <c r="DRV692" s="769"/>
      <c r="DRW692" s="769"/>
      <c r="DRX692" s="769"/>
      <c r="DRY692" s="769"/>
      <c r="DRZ692" s="769"/>
      <c r="DSA692" s="769"/>
      <c r="DSB692" s="769"/>
      <c r="DSC692" s="769"/>
      <c r="DSD692" s="769"/>
      <c r="DSE692" s="769"/>
      <c r="DSF692" s="769"/>
      <c r="DSG692" s="769"/>
      <c r="DSH692" s="769"/>
      <c r="DSI692" s="769"/>
      <c r="DSJ692" s="769"/>
      <c r="DSK692" s="769"/>
      <c r="DSL692" s="769"/>
      <c r="DSM692" s="769"/>
      <c r="DSN692" s="769"/>
      <c r="DSO692" s="769"/>
      <c r="DSP692" s="769"/>
      <c r="DSQ692" s="769"/>
      <c r="DSR692" s="769"/>
      <c r="DSS692" s="769"/>
      <c r="DST692" s="769"/>
      <c r="DSU692" s="769"/>
      <c r="DSV692" s="769"/>
      <c r="DSW692" s="769"/>
      <c r="DSX692" s="769"/>
      <c r="DSY692" s="769"/>
      <c r="DSZ692" s="769"/>
      <c r="DTA692" s="769"/>
      <c r="DTB692" s="769"/>
      <c r="DTC692" s="769"/>
      <c r="DTD692" s="769"/>
      <c r="DTE692" s="769"/>
      <c r="DTF692" s="769"/>
      <c r="DTG692" s="769"/>
      <c r="DTH692" s="769"/>
      <c r="DTI692" s="769"/>
      <c r="DTJ692" s="769"/>
      <c r="DTK692" s="769"/>
      <c r="DTL692" s="769"/>
      <c r="DTM692" s="769"/>
      <c r="DTN692" s="769"/>
      <c r="DTO692" s="769"/>
      <c r="DTP692" s="769"/>
      <c r="DTQ692" s="769"/>
      <c r="DTR692" s="769"/>
      <c r="DTS692" s="769"/>
      <c r="DTT692" s="769"/>
      <c r="DTU692" s="769"/>
      <c r="DTV692" s="769"/>
      <c r="DTW692" s="769"/>
      <c r="DTX692" s="769"/>
      <c r="DTY692" s="769"/>
      <c r="DTZ692" s="769"/>
      <c r="DUA692" s="769"/>
      <c r="DUB692" s="769"/>
      <c r="DUC692" s="769"/>
      <c r="DUD692" s="769"/>
      <c r="DUE692" s="769"/>
      <c r="DUF692" s="769"/>
      <c r="DUG692" s="769"/>
      <c r="DUH692" s="769"/>
      <c r="DUI692" s="769"/>
      <c r="DUJ692" s="769"/>
      <c r="DUK692" s="769"/>
      <c r="DUL692" s="769"/>
      <c r="DUM692" s="769"/>
      <c r="DUN692" s="769"/>
      <c r="DUO692" s="769"/>
      <c r="DUP692" s="769"/>
      <c r="DUQ692" s="769"/>
      <c r="DUR692" s="769"/>
      <c r="DUS692" s="769"/>
      <c r="DUT692" s="769"/>
      <c r="DUU692" s="769"/>
      <c r="DUV692" s="769"/>
      <c r="DUW692" s="769"/>
      <c r="DUX692" s="769"/>
      <c r="DUY692" s="769"/>
      <c r="DUZ692" s="769"/>
      <c r="DVA692" s="769"/>
      <c r="DVB692" s="769"/>
      <c r="DVC692" s="769"/>
      <c r="DVD692" s="769"/>
      <c r="DVE692" s="769"/>
      <c r="DVF692" s="769"/>
      <c r="DVG692" s="769"/>
      <c r="DVH692" s="769"/>
      <c r="DVI692" s="769"/>
      <c r="DVJ692" s="769"/>
      <c r="DVK692" s="769"/>
      <c r="DVL692" s="769"/>
      <c r="DVM692" s="769"/>
      <c r="DVN692" s="769"/>
      <c r="DVO692" s="769"/>
      <c r="DVP692" s="769"/>
      <c r="DVQ692" s="769"/>
      <c r="DVR692" s="769"/>
      <c r="DVS692" s="769"/>
      <c r="DVT692" s="769"/>
      <c r="DVU692" s="769"/>
      <c r="DVV692" s="769"/>
      <c r="DVW692" s="769"/>
      <c r="DVX692" s="769"/>
      <c r="DVY692" s="769"/>
      <c r="DVZ692" s="769"/>
      <c r="DWA692" s="769"/>
      <c r="DWB692" s="769"/>
      <c r="DWC692" s="769"/>
      <c r="DWD692" s="769"/>
      <c r="DWE692" s="769"/>
      <c r="DWF692" s="769"/>
      <c r="DWG692" s="769"/>
      <c r="DWH692" s="769"/>
      <c r="DWI692" s="769"/>
      <c r="DWJ692" s="769"/>
      <c r="DWK692" s="769"/>
      <c r="DWL692" s="769"/>
      <c r="DWM692" s="769"/>
      <c r="DWN692" s="769"/>
      <c r="DWO692" s="769"/>
      <c r="DWP692" s="769"/>
      <c r="DWQ692" s="769"/>
      <c r="DWR692" s="769"/>
      <c r="DWS692" s="769"/>
      <c r="DWT692" s="769"/>
      <c r="DWU692" s="769"/>
      <c r="DWV692" s="769"/>
      <c r="DWW692" s="769"/>
      <c r="DWX692" s="769"/>
      <c r="DWY692" s="769"/>
      <c r="DWZ692" s="769"/>
      <c r="DXA692" s="769"/>
      <c r="DXB692" s="769"/>
      <c r="DXC692" s="769"/>
      <c r="DXD692" s="769"/>
      <c r="DXE692" s="769"/>
      <c r="DXF692" s="769"/>
      <c r="DXG692" s="769"/>
      <c r="DXH692" s="769"/>
      <c r="DXI692" s="769"/>
      <c r="DXJ692" s="769"/>
      <c r="DXK692" s="769"/>
      <c r="DXL692" s="769"/>
      <c r="DXM692" s="769"/>
      <c r="DXN692" s="769"/>
      <c r="DXO692" s="769"/>
      <c r="DXP692" s="769"/>
      <c r="DXQ692" s="769"/>
      <c r="DXR692" s="769"/>
      <c r="DXS692" s="769"/>
      <c r="DXT692" s="769"/>
      <c r="DXU692" s="769"/>
      <c r="DXV692" s="769"/>
      <c r="DXW692" s="769"/>
      <c r="DXX692" s="769"/>
      <c r="DXY692" s="769"/>
      <c r="DXZ692" s="769"/>
      <c r="DYA692" s="769"/>
      <c r="DYB692" s="769"/>
      <c r="DYC692" s="769"/>
      <c r="DYD692" s="769"/>
      <c r="DYE692" s="769"/>
      <c r="DYF692" s="769"/>
      <c r="DYG692" s="769"/>
      <c r="DYH692" s="769"/>
      <c r="DYI692" s="769"/>
      <c r="DYJ692" s="769"/>
      <c r="DYK692" s="769"/>
      <c r="DYL692" s="769"/>
      <c r="DYM692" s="769"/>
      <c r="DYN692" s="769"/>
      <c r="DYO692" s="769"/>
      <c r="DYP692" s="769"/>
      <c r="DYQ692" s="769"/>
      <c r="DYR692" s="769"/>
      <c r="DYS692" s="769"/>
      <c r="DYT692" s="769"/>
      <c r="DYU692" s="769"/>
      <c r="DYV692" s="769"/>
      <c r="DYW692" s="769"/>
      <c r="DYX692" s="769"/>
      <c r="DYY692" s="769"/>
      <c r="DYZ692" s="769"/>
      <c r="DZA692" s="769"/>
      <c r="DZB692" s="769"/>
      <c r="DZC692" s="769"/>
      <c r="DZD692" s="769"/>
      <c r="DZE692" s="769"/>
      <c r="DZF692" s="769"/>
      <c r="DZG692" s="769"/>
      <c r="DZH692" s="769"/>
      <c r="DZI692" s="769"/>
      <c r="DZJ692" s="769"/>
      <c r="DZK692" s="769"/>
      <c r="DZL692" s="769"/>
      <c r="DZM692" s="769"/>
      <c r="DZN692" s="769"/>
      <c r="DZO692" s="769"/>
      <c r="DZP692" s="769"/>
      <c r="DZQ692" s="769"/>
      <c r="DZR692" s="769"/>
      <c r="DZS692" s="769"/>
      <c r="DZT692" s="769"/>
      <c r="DZU692" s="769"/>
      <c r="DZV692" s="769"/>
      <c r="DZW692" s="769"/>
      <c r="DZX692" s="769"/>
      <c r="DZY692" s="769"/>
      <c r="DZZ692" s="769"/>
      <c r="EAA692" s="769"/>
      <c r="EAB692" s="769"/>
      <c r="EAC692" s="769"/>
      <c r="EAD692" s="769"/>
      <c r="EAE692" s="769"/>
      <c r="EAF692" s="769"/>
      <c r="EAG692" s="769"/>
      <c r="EAH692" s="769"/>
      <c r="EAI692" s="769"/>
      <c r="EAJ692" s="769"/>
      <c r="EAK692" s="769"/>
      <c r="EAL692" s="769"/>
      <c r="EAM692" s="769"/>
      <c r="EAN692" s="769"/>
      <c r="EAO692" s="769"/>
      <c r="EAP692" s="769"/>
      <c r="EAQ692" s="769"/>
      <c r="EAR692" s="769"/>
      <c r="EAS692" s="769"/>
      <c r="EAT692" s="769"/>
      <c r="EAU692" s="769"/>
      <c r="EAV692" s="769"/>
      <c r="EAW692" s="769"/>
      <c r="EAX692" s="769"/>
      <c r="EAY692" s="769"/>
      <c r="EAZ692" s="769"/>
      <c r="EBA692" s="769"/>
      <c r="EBB692" s="769"/>
      <c r="EBC692" s="769"/>
      <c r="EBD692" s="769"/>
      <c r="EBE692" s="769"/>
      <c r="EBF692" s="769"/>
      <c r="EBG692" s="769"/>
      <c r="EBH692" s="769"/>
      <c r="EBI692" s="769"/>
      <c r="EBJ692" s="769"/>
      <c r="EBK692" s="769"/>
      <c r="EBL692" s="769"/>
      <c r="EBM692" s="769"/>
      <c r="EBN692" s="769"/>
      <c r="EBO692" s="769"/>
      <c r="EBP692" s="769"/>
      <c r="EBQ692" s="769"/>
      <c r="EBR692" s="769"/>
      <c r="EBS692" s="769"/>
      <c r="EBT692" s="769"/>
      <c r="EBU692" s="769"/>
      <c r="EBV692" s="769"/>
      <c r="EBW692" s="769"/>
      <c r="EBX692" s="769"/>
      <c r="EBY692" s="769"/>
      <c r="EBZ692" s="769"/>
      <c r="ECA692" s="769"/>
      <c r="ECB692" s="769"/>
      <c r="ECC692" s="769"/>
      <c r="ECD692" s="769"/>
      <c r="ECE692" s="769"/>
      <c r="ECF692" s="769"/>
      <c r="ECG692" s="769"/>
      <c r="ECH692" s="769"/>
      <c r="ECI692" s="769"/>
      <c r="ECJ692" s="769"/>
      <c r="ECK692" s="769"/>
      <c r="ECL692" s="769"/>
      <c r="ECM692" s="769"/>
      <c r="ECN692" s="769"/>
      <c r="ECO692" s="769"/>
      <c r="ECP692" s="769"/>
      <c r="ECQ692" s="769"/>
      <c r="ECR692" s="769"/>
      <c r="ECS692" s="769"/>
      <c r="ECT692" s="769"/>
      <c r="ECU692" s="769"/>
      <c r="ECV692" s="769"/>
      <c r="ECW692" s="769"/>
      <c r="ECX692" s="769"/>
      <c r="ECY692" s="769"/>
      <c r="ECZ692" s="769"/>
      <c r="EDA692" s="769"/>
      <c r="EDB692" s="769"/>
      <c r="EDC692" s="769"/>
      <c r="EDD692" s="769"/>
      <c r="EDE692" s="769"/>
      <c r="EDF692" s="769"/>
      <c r="EDG692" s="769"/>
      <c r="EDH692" s="769"/>
      <c r="EDI692" s="769"/>
      <c r="EDJ692" s="769"/>
      <c r="EDK692" s="769"/>
      <c r="EDL692" s="769"/>
      <c r="EDM692" s="769"/>
      <c r="EDN692" s="769"/>
      <c r="EDO692" s="769"/>
      <c r="EDP692" s="769"/>
      <c r="EDQ692" s="769"/>
      <c r="EDR692" s="769"/>
      <c r="EDS692" s="769"/>
      <c r="EDT692" s="769"/>
      <c r="EDU692" s="769"/>
      <c r="EDV692" s="769"/>
      <c r="EDW692" s="769"/>
      <c r="EDX692" s="769"/>
      <c r="EDY692" s="769"/>
      <c r="EDZ692" s="769"/>
      <c r="EEA692" s="769"/>
      <c r="EEB692" s="769"/>
      <c r="EEC692" s="769"/>
      <c r="EED692" s="769"/>
      <c r="EEE692" s="769"/>
      <c r="EEF692" s="769"/>
      <c r="EEG692" s="769"/>
      <c r="EEH692" s="769"/>
      <c r="EEI692" s="769"/>
      <c r="EEJ692" s="769"/>
      <c r="EEK692" s="769"/>
      <c r="EEL692" s="769"/>
      <c r="EEM692" s="769"/>
      <c r="EEN692" s="769"/>
      <c r="EEO692" s="769"/>
      <c r="EEP692" s="769"/>
      <c r="EEQ692" s="769"/>
      <c r="EER692" s="769"/>
      <c r="EES692" s="769"/>
      <c r="EET692" s="769"/>
      <c r="EEU692" s="769"/>
      <c r="EEV692" s="769"/>
      <c r="EEW692" s="769"/>
      <c r="EEX692" s="769"/>
      <c r="EEY692" s="769"/>
      <c r="EEZ692" s="769"/>
      <c r="EFA692" s="769"/>
      <c r="EFB692" s="769"/>
      <c r="EFC692" s="769"/>
      <c r="EFD692" s="769"/>
      <c r="EFE692" s="769"/>
      <c r="EFF692" s="769"/>
      <c r="EFG692" s="769"/>
      <c r="EFH692" s="769"/>
      <c r="EFI692" s="769"/>
      <c r="EFJ692" s="769"/>
      <c r="EFK692" s="769"/>
      <c r="EFL692" s="769"/>
      <c r="EFM692" s="769"/>
      <c r="EFN692" s="769"/>
      <c r="EFO692" s="769"/>
      <c r="EFP692" s="769"/>
      <c r="EFQ692" s="769"/>
      <c r="EFR692" s="769"/>
      <c r="EFS692" s="769"/>
      <c r="EFT692" s="769"/>
      <c r="EFU692" s="769"/>
      <c r="EFV692" s="769"/>
      <c r="EFW692" s="769"/>
      <c r="EFX692" s="769"/>
      <c r="EFY692" s="769"/>
      <c r="EFZ692" s="769"/>
      <c r="EGA692" s="769"/>
      <c r="EGB692" s="769"/>
      <c r="EGC692" s="769"/>
      <c r="EGD692" s="769"/>
      <c r="EGE692" s="769"/>
      <c r="EGF692" s="769"/>
      <c r="EGG692" s="769"/>
      <c r="EGH692" s="769"/>
      <c r="EGI692" s="769"/>
      <c r="EGJ692" s="769"/>
      <c r="EGK692" s="769"/>
      <c r="EGL692" s="769"/>
      <c r="EGM692" s="769"/>
      <c r="EGN692" s="769"/>
      <c r="EGO692" s="769"/>
      <c r="EGP692" s="769"/>
      <c r="EGQ692" s="769"/>
      <c r="EGR692" s="769"/>
      <c r="EGS692" s="769"/>
      <c r="EGT692" s="769"/>
      <c r="EGU692" s="769"/>
      <c r="EGV692" s="769"/>
      <c r="EGW692" s="769"/>
      <c r="EGX692" s="769"/>
      <c r="EGY692" s="769"/>
      <c r="EGZ692" s="769"/>
      <c r="EHA692" s="769"/>
      <c r="EHB692" s="769"/>
      <c r="EHC692" s="769"/>
      <c r="EHD692" s="769"/>
      <c r="EHE692" s="769"/>
      <c r="EHF692" s="769"/>
      <c r="EHG692" s="769"/>
      <c r="EHH692" s="769"/>
      <c r="EHI692" s="769"/>
      <c r="EHJ692" s="769"/>
      <c r="EHK692" s="769"/>
      <c r="EHL692" s="769"/>
      <c r="EHM692" s="769"/>
      <c r="EHN692" s="769"/>
      <c r="EHO692" s="769"/>
      <c r="EHP692" s="769"/>
      <c r="EHQ692" s="769"/>
      <c r="EHR692" s="769"/>
      <c r="EHS692" s="769"/>
      <c r="EHT692" s="769"/>
      <c r="EHU692" s="769"/>
      <c r="EHV692" s="769"/>
      <c r="EHW692" s="769"/>
      <c r="EHX692" s="769"/>
      <c r="EHY692" s="769"/>
      <c r="EHZ692" s="769"/>
      <c r="EIA692" s="769"/>
      <c r="EIB692" s="769"/>
      <c r="EIC692" s="769"/>
      <c r="EID692" s="769"/>
      <c r="EIE692" s="769"/>
      <c r="EIF692" s="769"/>
      <c r="EIG692" s="769"/>
      <c r="EIH692" s="769"/>
      <c r="EII692" s="769"/>
      <c r="EIJ692" s="769"/>
      <c r="EIK692" s="769"/>
      <c r="EIL692" s="769"/>
      <c r="EIM692" s="769"/>
      <c r="EIN692" s="769"/>
      <c r="EIO692" s="769"/>
      <c r="EIP692" s="769"/>
      <c r="EIQ692" s="769"/>
      <c r="EIR692" s="769"/>
      <c r="EIS692" s="769"/>
      <c r="EIT692" s="769"/>
      <c r="EIU692" s="769"/>
      <c r="EIV692" s="769"/>
      <c r="EIW692" s="769"/>
      <c r="EIX692" s="769"/>
      <c r="EIY692" s="769"/>
      <c r="EIZ692" s="769"/>
      <c r="EJA692" s="769"/>
      <c r="EJB692" s="769"/>
      <c r="EJC692" s="769"/>
      <c r="EJD692" s="769"/>
      <c r="EJE692" s="769"/>
      <c r="EJF692" s="769"/>
      <c r="EJG692" s="769"/>
      <c r="EJH692" s="769"/>
      <c r="EJI692" s="769"/>
      <c r="EJJ692" s="769"/>
      <c r="EJK692" s="769"/>
      <c r="EJL692" s="769"/>
      <c r="EJM692" s="769"/>
      <c r="EJN692" s="769"/>
      <c r="EJO692" s="769"/>
      <c r="EJP692" s="769"/>
      <c r="EJQ692" s="769"/>
      <c r="EJR692" s="769"/>
      <c r="EJS692" s="769"/>
      <c r="EJT692" s="769"/>
      <c r="EJU692" s="769"/>
      <c r="EJV692" s="769"/>
      <c r="EJW692" s="769"/>
      <c r="EJX692" s="769"/>
      <c r="EJY692" s="769"/>
      <c r="EJZ692" s="769"/>
      <c r="EKA692" s="769"/>
      <c r="EKB692" s="769"/>
      <c r="EKC692" s="769"/>
      <c r="EKD692" s="769"/>
      <c r="EKE692" s="769"/>
      <c r="EKF692" s="769"/>
      <c r="EKG692" s="769"/>
      <c r="EKH692" s="769"/>
      <c r="EKI692" s="769"/>
      <c r="EKJ692" s="769"/>
      <c r="EKK692" s="769"/>
      <c r="EKL692" s="769"/>
      <c r="EKM692" s="769"/>
      <c r="EKN692" s="769"/>
      <c r="EKO692" s="769"/>
      <c r="EKP692" s="769"/>
      <c r="EKQ692" s="769"/>
      <c r="EKR692" s="769"/>
      <c r="EKS692" s="769"/>
      <c r="EKT692" s="769"/>
      <c r="EKU692" s="769"/>
      <c r="EKV692" s="769"/>
      <c r="EKW692" s="769"/>
      <c r="EKX692" s="769"/>
      <c r="EKY692" s="769"/>
      <c r="EKZ692" s="769"/>
      <c r="ELA692" s="769"/>
      <c r="ELB692" s="769"/>
      <c r="ELC692" s="769"/>
      <c r="ELD692" s="769"/>
      <c r="ELE692" s="769"/>
      <c r="ELF692" s="769"/>
      <c r="ELG692" s="769"/>
      <c r="ELH692" s="769"/>
      <c r="ELI692" s="769"/>
      <c r="ELJ692" s="769"/>
      <c r="ELK692" s="769"/>
      <c r="ELL692" s="769"/>
      <c r="ELM692" s="769"/>
      <c r="ELN692" s="769"/>
      <c r="ELO692" s="769"/>
      <c r="ELP692" s="769"/>
      <c r="ELQ692" s="769"/>
      <c r="ELR692" s="769"/>
      <c r="ELS692" s="769"/>
      <c r="ELT692" s="769"/>
      <c r="ELU692" s="769"/>
      <c r="ELV692" s="769"/>
      <c r="ELW692" s="769"/>
      <c r="ELX692" s="769"/>
      <c r="ELY692" s="769"/>
      <c r="ELZ692" s="769"/>
      <c r="EMA692" s="769"/>
      <c r="EMB692" s="769"/>
      <c r="EMC692" s="769"/>
      <c r="EMD692" s="769"/>
      <c r="EME692" s="769"/>
      <c r="EMF692" s="769"/>
      <c r="EMG692" s="769"/>
      <c r="EMH692" s="769"/>
      <c r="EMI692" s="769"/>
      <c r="EMJ692" s="769"/>
      <c r="EMK692" s="769"/>
      <c r="EML692" s="769"/>
      <c r="EMM692" s="769"/>
      <c r="EMN692" s="769"/>
      <c r="EMO692" s="769"/>
      <c r="EMP692" s="769"/>
      <c r="EMQ692" s="769"/>
      <c r="EMR692" s="769"/>
      <c r="EMS692" s="769"/>
      <c r="EMT692" s="769"/>
      <c r="EMU692" s="769"/>
      <c r="EMV692" s="769"/>
      <c r="EMW692" s="769"/>
      <c r="EMX692" s="769"/>
      <c r="EMY692" s="769"/>
      <c r="EMZ692" s="769"/>
      <c r="ENA692" s="769"/>
      <c r="ENB692" s="769"/>
      <c r="ENC692" s="769"/>
      <c r="END692" s="769"/>
      <c r="ENE692" s="769"/>
      <c r="ENF692" s="769"/>
      <c r="ENG692" s="769"/>
      <c r="ENH692" s="769"/>
      <c r="ENI692" s="769"/>
      <c r="ENJ692" s="769"/>
      <c r="ENK692" s="769"/>
      <c r="ENL692" s="769"/>
      <c r="ENM692" s="769"/>
      <c r="ENN692" s="769"/>
      <c r="ENO692" s="769"/>
      <c r="ENP692" s="769"/>
      <c r="ENQ692" s="769"/>
      <c r="ENR692" s="769"/>
      <c r="ENS692" s="769"/>
      <c r="ENT692" s="769"/>
      <c r="ENU692" s="769"/>
      <c r="ENV692" s="769"/>
      <c r="ENW692" s="769"/>
      <c r="ENX692" s="769"/>
      <c r="ENY692" s="769"/>
      <c r="ENZ692" s="769"/>
      <c r="EOA692" s="769"/>
      <c r="EOB692" s="769"/>
      <c r="EOC692" s="769"/>
      <c r="EOD692" s="769"/>
      <c r="EOE692" s="769"/>
      <c r="EOF692" s="769"/>
      <c r="EOG692" s="769"/>
      <c r="EOH692" s="769"/>
      <c r="EOI692" s="769"/>
      <c r="EOJ692" s="769"/>
      <c r="EOK692" s="769"/>
      <c r="EOL692" s="769"/>
      <c r="EOM692" s="769"/>
      <c r="EON692" s="769"/>
      <c r="EOO692" s="769"/>
      <c r="EOP692" s="769"/>
      <c r="EOQ692" s="769"/>
      <c r="EOR692" s="769"/>
      <c r="EOS692" s="769"/>
      <c r="EOT692" s="769"/>
      <c r="EOU692" s="769"/>
      <c r="EOV692" s="769"/>
      <c r="EOW692" s="769"/>
      <c r="EOX692" s="769"/>
      <c r="EOY692" s="769"/>
      <c r="EOZ692" s="769"/>
      <c r="EPA692" s="769"/>
      <c r="EPB692" s="769"/>
      <c r="EPC692" s="769"/>
      <c r="EPD692" s="769"/>
      <c r="EPE692" s="769"/>
      <c r="EPF692" s="769"/>
      <c r="EPG692" s="769"/>
      <c r="EPH692" s="769"/>
      <c r="EPI692" s="769"/>
      <c r="EPJ692" s="769"/>
      <c r="EPK692" s="769"/>
      <c r="EPL692" s="769"/>
      <c r="EPM692" s="769"/>
      <c r="EPN692" s="769"/>
      <c r="EPO692" s="769"/>
      <c r="EPP692" s="769"/>
      <c r="EPQ692" s="769"/>
      <c r="EPR692" s="769"/>
      <c r="EPS692" s="769"/>
      <c r="EPT692" s="769"/>
      <c r="EPU692" s="769"/>
      <c r="EPV692" s="769"/>
      <c r="EPW692" s="769"/>
      <c r="EPX692" s="769"/>
      <c r="EPY692" s="769"/>
      <c r="EPZ692" s="769"/>
      <c r="EQA692" s="769"/>
      <c r="EQB692" s="769"/>
      <c r="EQC692" s="769"/>
      <c r="EQD692" s="769"/>
      <c r="EQE692" s="769"/>
      <c r="EQF692" s="769"/>
      <c r="EQG692" s="769"/>
      <c r="EQH692" s="769"/>
      <c r="EQI692" s="769"/>
      <c r="EQJ692" s="769"/>
      <c r="EQK692" s="769"/>
      <c r="EQL692" s="769"/>
      <c r="EQM692" s="769"/>
      <c r="EQN692" s="769"/>
      <c r="EQO692" s="769"/>
      <c r="EQP692" s="769"/>
      <c r="EQQ692" s="769"/>
      <c r="EQR692" s="769"/>
      <c r="EQS692" s="769"/>
      <c r="EQT692" s="769"/>
      <c r="EQU692" s="769"/>
      <c r="EQV692" s="769"/>
      <c r="EQW692" s="769"/>
      <c r="EQX692" s="769"/>
      <c r="EQY692" s="769"/>
      <c r="EQZ692" s="769"/>
      <c r="ERA692" s="769"/>
      <c r="ERB692" s="769"/>
      <c r="ERC692" s="769"/>
      <c r="ERD692" s="769"/>
      <c r="ERE692" s="769"/>
      <c r="ERF692" s="769"/>
      <c r="ERG692" s="769"/>
      <c r="ERH692" s="769"/>
      <c r="ERI692" s="769"/>
      <c r="ERJ692" s="769"/>
      <c r="ERK692" s="769"/>
      <c r="ERL692" s="769"/>
      <c r="ERM692" s="769"/>
      <c r="ERN692" s="769"/>
      <c r="ERO692" s="769"/>
      <c r="ERP692" s="769"/>
      <c r="ERQ692" s="769"/>
      <c r="ERR692" s="769"/>
      <c r="ERS692" s="769"/>
      <c r="ERT692" s="769"/>
      <c r="ERU692" s="769"/>
      <c r="ERV692" s="769"/>
      <c r="ERW692" s="769"/>
      <c r="ERX692" s="769"/>
      <c r="ERY692" s="769"/>
      <c r="ERZ692" s="769"/>
      <c r="ESA692" s="769"/>
      <c r="ESB692" s="769"/>
      <c r="ESC692" s="769"/>
      <c r="ESD692" s="769"/>
      <c r="ESE692" s="769"/>
      <c r="ESF692" s="769"/>
      <c r="ESG692" s="769"/>
      <c r="ESH692" s="769"/>
      <c r="ESI692" s="769"/>
      <c r="ESJ692" s="769"/>
      <c r="ESK692" s="769"/>
      <c r="ESL692" s="769"/>
      <c r="ESM692" s="769"/>
      <c r="ESN692" s="769"/>
      <c r="ESO692" s="769"/>
      <c r="ESP692" s="769"/>
      <c r="ESQ692" s="769"/>
      <c r="ESR692" s="769"/>
      <c r="ESS692" s="769"/>
      <c r="EST692" s="769"/>
      <c r="ESU692" s="769"/>
      <c r="ESV692" s="769"/>
      <c r="ESW692" s="769"/>
      <c r="ESX692" s="769"/>
      <c r="ESY692" s="769"/>
      <c r="ESZ692" s="769"/>
      <c r="ETA692" s="769"/>
      <c r="ETB692" s="769"/>
      <c r="ETC692" s="769"/>
      <c r="ETD692" s="769"/>
      <c r="ETE692" s="769"/>
      <c r="ETF692" s="769"/>
      <c r="ETG692" s="769"/>
      <c r="ETH692" s="769"/>
      <c r="ETI692" s="769"/>
      <c r="ETJ692" s="769"/>
      <c r="ETK692" s="769"/>
      <c r="ETL692" s="769"/>
      <c r="ETM692" s="769"/>
      <c r="ETN692" s="769"/>
      <c r="ETO692" s="769"/>
      <c r="ETP692" s="769"/>
      <c r="ETQ692" s="769"/>
      <c r="ETR692" s="769"/>
      <c r="ETS692" s="769"/>
      <c r="ETT692" s="769"/>
      <c r="ETU692" s="769"/>
      <c r="ETV692" s="769"/>
      <c r="ETW692" s="769"/>
      <c r="ETX692" s="769"/>
      <c r="ETY692" s="769"/>
      <c r="ETZ692" s="769"/>
      <c r="EUA692" s="769"/>
      <c r="EUB692" s="769"/>
      <c r="EUC692" s="769"/>
      <c r="EUD692" s="769"/>
      <c r="EUE692" s="769"/>
      <c r="EUF692" s="769"/>
      <c r="EUG692" s="769"/>
      <c r="EUH692" s="769"/>
      <c r="EUI692" s="769"/>
      <c r="EUJ692" s="769"/>
      <c r="EUK692" s="769"/>
      <c r="EUL692" s="769"/>
      <c r="EUM692" s="769"/>
      <c r="EUN692" s="769"/>
      <c r="EUO692" s="769"/>
      <c r="EUP692" s="769"/>
      <c r="EUQ692" s="769"/>
      <c r="EUR692" s="769"/>
      <c r="EUS692" s="769"/>
      <c r="EUT692" s="769"/>
      <c r="EUU692" s="769"/>
      <c r="EUV692" s="769"/>
      <c r="EUW692" s="769"/>
      <c r="EUX692" s="769"/>
      <c r="EUY692" s="769"/>
      <c r="EUZ692" s="769"/>
      <c r="EVA692" s="769"/>
      <c r="EVB692" s="769"/>
      <c r="EVC692" s="769"/>
      <c r="EVD692" s="769"/>
      <c r="EVE692" s="769"/>
      <c r="EVF692" s="769"/>
      <c r="EVG692" s="769"/>
      <c r="EVH692" s="769"/>
      <c r="EVI692" s="769"/>
      <c r="EVJ692" s="769"/>
      <c r="EVK692" s="769"/>
      <c r="EVL692" s="769"/>
      <c r="EVM692" s="769"/>
      <c r="EVN692" s="769"/>
      <c r="EVO692" s="769"/>
      <c r="EVP692" s="769"/>
      <c r="EVQ692" s="769"/>
      <c r="EVR692" s="769"/>
      <c r="EVS692" s="769"/>
      <c r="EVT692" s="769"/>
      <c r="EVU692" s="769"/>
      <c r="EVV692" s="769"/>
      <c r="EVW692" s="769"/>
      <c r="EVX692" s="769"/>
      <c r="EVY692" s="769"/>
      <c r="EVZ692" s="769"/>
      <c r="EWA692" s="769"/>
      <c r="EWB692" s="769"/>
      <c r="EWC692" s="769"/>
      <c r="EWD692" s="769"/>
      <c r="EWE692" s="769"/>
      <c r="EWF692" s="769"/>
      <c r="EWG692" s="769"/>
      <c r="EWH692" s="769"/>
      <c r="EWI692" s="769"/>
      <c r="EWJ692" s="769"/>
      <c r="EWK692" s="769"/>
      <c r="EWL692" s="769"/>
      <c r="EWM692" s="769"/>
      <c r="EWN692" s="769"/>
      <c r="EWO692" s="769"/>
      <c r="EWP692" s="769"/>
      <c r="EWQ692" s="769"/>
      <c r="EWR692" s="769"/>
      <c r="EWS692" s="769"/>
      <c r="EWT692" s="769"/>
      <c r="EWU692" s="769"/>
      <c r="EWV692" s="769"/>
      <c r="EWW692" s="769"/>
      <c r="EWX692" s="769"/>
      <c r="EWY692" s="769"/>
      <c r="EWZ692" s="769"/>
      <c r="EXA692" s="769"/>
      <c r="EXB692" s="769"/>
      <c r="EXC692" s="769"/>
      <c r="EXD692" s="769"/>
      <c r="EXE692" s="769"/>
      <c r="EXF692" s="769"/>
      <c r="EXG692" s="769"/>
      <c r="EXH692" s="769"/>
      <c r="EXI692" s="769"/>
      <c r="EXJ692" s="769"/>
      <c r="EXK692" s="769"/>
      <c r="EXL692" s="769"/>
      <c r="EXM692" s="769"/>
      <c r="EXN692" s="769"/>
      <c r="EXO692" s="769"/>
      <c r="EXP692" s="769"/>
      <c r="EXQ692" s="769"/>
      <c r="EXR692" s="769"/>
      <c r="EXS692" s="769"/>
      <c r="EXT692" s="769"/>
      <c r="EXU692" s="769"/>
      <c r="EXV692" s="769"/>
      <c r="EXW692" s="769"/>
      <c r="EXX692" s="769"/>
      <c r="EXY692" s="769"/>
      <c r="EXZ692" s="769"/>
      <c r="EYA692" s="769"/>
      <c r="EYB692" s="769"/>
      <c r="EYC692" s="769"/>
      <c r="EYD692" s="769"/>
      <c r="EYE692" s="769"/>
      <c r="EYF692" s="769"/>
      <c r="EYG692" s="769"/>
      <c r="EYH692" s="769"/>
      <c r="EYI692" s="769"/>
      <c r="EYJ692" s="769"/>
      <c r="EYK692" s="769"/>
      <c r="EYL692" s="769"/>
      <c r="EYM692" s="769"/>
      <c r="EYN692" s="769"/>
      <c r="EYO692" s="769"/>
      <c r="EYP692" s="769"/>
      <c r="EYQ692" s="769"/>
      <c r="EYR692" s="769"/>
      <c r="EYS692" s="769"/>
      <c r="EYT692" s="769"/>
      <c r="EYU692" s="769"/>
      <c r="EYV692" s="769"/>
      <c r="EYW692" s="769"/>
      <c r="EYX692" s="769"/>
      <c r="EYY692" s="769"/>
      <c r="EYZ692" s="769"/>
      <c r="EZA692" s="769"/>
      <c r="EZB692" s="769"/>
      <c r="EZC692" s="769"/>
      <c r="EZD692" s="769"/>
      <c r="EZE692" s="769"/>
      <c r="EZF692" s="769"/>
      <c r="EZG692" s="769"/>
      <c r="EZH692" s="769"/>
      <c r="EZI692" s="769"/>
      <c r="EZJ692" s="769"/>
      <c r="EZK692" s="769"/>
      <c r="EZL692" s="769"/>
      <c r="EZM692" s="769"/>
      <c r="EZN692" s="769"/>
      <c r="EZO692" s="769"/>
      <c r="EZP692" s="769"/>
      <c r="EZQ692" s="769"/>
      <c r="EZR692" s="769"/>
      <c r="EZS692" s="769"/>
      <c r="EZT692" s="769"/>
      <c r="EZU692" s="769"/>
      <c r="EZV692" s="769"/>
      <c r="EZW692" s="769"/>
      <c r="EZX692" s="769"/>
      <c r="EZY692" s="769"/>
      <c r="EZZ692" s="769"/>
      <c r="FAA692" s="769"/>
      <c r="FAB692" s="769"/>
      <c r="FAC692" s="769"/>
      <c r="FAD692" s="769"/>
      <c r="FAE692" s="769"/>
      <c r="FAF692" s="769"/>
      <c r="FAG692" s="769"/>
      <c r="FAH692" s="769"/>
      <c r="FAI692" s="769"/>
      <c r="FAJ692" s="769"/>
      <c r="FAK692" s="769"/>
      <c r="FAL692" s="769"/>
      <c r="FAM692" s="769"/>
      <c r="FAN692" s="769"/>
      <c r="FAO692" s="769"/>
      <c r="FAP692" s="769"/>
      <c r="FAQ692" s="769"/>
      <c r="FAR692" s="769"/>
      <c r="FAS692" s="769"/>
      <c r="FAT692" s="769"/>
      <c r="FAU692" s="769"/>
      <c r="FAV692" s="769"/>
      <c r="FAW692" s="769"/>
      <c r="FAX692" s="769"/>
      <c r="FAY692" s="769"/>
      <c r="FAZ692" s="769"/>
      <c r="FBA692" s="769"/>
      <c r="FBB692" s="769"/>
      <c r="FBC692" s="769"/>
      <c r="FBD692" s="769"/>
      <c r="FBE692" s="769"/>
      <c r="FBF692" s="769"/>
      <c r="FBG692" s="769"/>
      <c r="FBH692" s="769"/>
      <c r="FBI692" s="769"/>
      <c r="FBJ692" s="769"/>
      <c r="FBK692" s="769"/>
      <c r="FBL692" s="769"/>
      <c r="FBM692" s="769"/>
      <c r="FBN692" s="769"/>
      <c r="FBO692" s="769"/>
      <c r="FBP692" s="769"/>
      <c r="FBQ692" s="769"/>
      <c r="FBR692" s="769"/>
      <c r="FBS692" s="769"/>
      <c r="FBT692" s="769"/>
      <c r="FBU692" s="769"/>
      <c r="FBV692" s="769"/>
      <c r="FBW692" s="769"/>
      <c r="FBX692" s="769"/>
      <c r="FBY692" s="769"/>
      <c r="FBZ692" s="769"/>
      <c r="FCA692" s="769"/>
      <c r="FCB692" s="769"/>
      <c r="FCC692" s="769"/>
      <c r="FCD692" s="769"/>
      <c r="FCE692" s="769"/>
      <c r="FCF692" s="769"/>
      <c r="FCG692" s="769"/>
      <c r="FCH692" s="769"/>
      <c r="FCI692" s="769"/>
      <c r="FCJ692" s="769"/>
      <c r="FCK692" s="769"/>
      <c r="FCL692" s="769"/>
      <c r="FCM692" s="769"/>
      <c r="FCN692" s="769"/>
      <c r="FCO692" s="769"/>
      <c r="FCP692" s="769"/>
      <c r="FCQ692" s="769"/>
      <c r="FCR692" s="769"/>
      <c r="FCS692" s="769"/>
      <c r="FCT692" s="769"/>
      <c r="FCU692" s="769"/>
      <c r="FCV692" s="769"/>
      <c r="FCW692" s="769"/>
      <c r="FCX692" s="769"/>
      <c r="FCY692" s="769"/>
      <c r="FCZ692" s="769"/>
      <c r="FDA692" s="769"/>
      <c r="FDB692" s="769"/>
      <c r="FDC692" s="769"/>
      <c r="FDD692" s="769"/>
      <c r="FDE692" s="769"/>
      <c r="FDF692" s="769"/>
      <c r="FDG692" s="769"/>
      <c r="FDH692" s="769"/>
      <c r="FDI692" s="769"/>
      <c r="FDJ692" s="769"/>
      <c r="FDK692" s="769"/>
      <c r="FDL692" s="769"/>
      <c r="FDM692" s="769"/>
      <c r="FDN692" s="769"/>
      <c r="FDO692" s="769"/>
      <c r="FDP692" s="769"/>
      <c r="FDQ692" s="769"/>
      <c r="FDR692" s="769"/>
      <c r="FDS692" s="769"/>
      <c r="FDT692" s="769"/>
      <c r="FDU692" s="769"/>
      <c r="FDV692" s="769"/>
      <c r="FDW692" s="769"/>
      <c r="FDX692" s="769"/>
      <c r="FDY692" s="769"/>
      <c r="FDZ692" s="769"/>
      <c r="FEA692" s="769"/>
      <c r="FEB692" s="769"/>
      <c r="FEC692" s="769"/>
      <c r="FED692" s="769"/>
      <c r="FEE692" s="769"/>
      <c r="FEF692" s="769"/>
      <c r="FEG692" s="769"/>
      <c r="FEH692" s="769"/>
      <c r="FEI692" s="769"/>
      <c r="FEJ692" s="769"/>
      <c r="FEK692" s="769"/>
      <c r="FEL692" s="769"/>
      <c r="FEM692" s="769"/>
      <c r="FEN692" s="769"/>
      <c r="FEO692" s="769"/>
      <c r="FEP692" s="769"/>
      <c r="FEQ692" s="769"/>
      <c r="FER692" s="769"/>
      <c r="FES692" s="769"/>
      <c r="FET692" s="769"/>
      <c r="FEU692" s="769"/>
      <c r="FEV692" s="769"/>
      <c r="FEW692" s="769"/>
      <c r="FEX692" s="769"/>
      <c r="FEY692" s="769"/>
      <c r="FEZ692" s="769"/>
      <c r="FFA692" s="769"/>
      <c r="FFB692" s="769"/>
      <c r="FFC692" s="769"/>
      <c r="FFD692" s="769"/>
      <c r="FFE692" s="769"/>
      <c r="FFF692" s="769"/>
      <c r="FFG692" s="769"/>
      <c r="FFH692" s="769"/>
      <c r="FFI692" s="769"/>
      <c r="FFJ692" s="769"/>
      <c r="FFK692" s="769"/>
      <c r="FFL692" s="769"/>
      <c r="FFM692" s="769"/>
      <c r="FFN692" s="769"/>
      <c r="FFO692" s="769"/>
      <c r="FFP692" s="769"/>
      <c r="FFQ692" s="769"/>
      <c r="FFR692" s="769"/>
      <c r="FFS692" s="769"/>
      <c r="FFT692" s="769"/>
      <c r="FFU692" s="769"/>
      <c r="FFV692" s="769"/>
      <c r="FFW692" s="769"/>
      <c r="FFX692" s="769"/>
      <c r="FFY692" s="769"/>
      <c r="FFZ692" s="769"/>
      <c r="FGA692" s="769"/>
      <c r="FGB692" s="769"/>
      <c r="FGC692" s="769"/>
      <c r="FGD692" s="769"/>
      <c r="FGE692" s="769"/>
      <c r="FGF692" s="769"/>
      <c r="FGG692" s="769"/>
      <c r="FGH692" s="769"/>
      <c r="FGI692" s="769"/>
      <c r="FGJ692" s="769"/>
      <c r="FGK692" s="769"/>
      <c r="FGL692" s="769"/>
      <c r="FGM692" s="769"/>
      <c r="FGN692" s="769"/>
      <c r="FGO692" s="769"/>
      <c r="FGP692" s="769"/>
      <c r="FGQ692" s="769"/>
      <c r="FGR692" s="769"/>
      <c r="FGS692" s="769"/>
      <c r="FGT692" s="769"/>
      <c r="FGU692" s="769"/>
      <c r="FGV692" s="769"/>
      <c r="FGW692" s="769"/>
      <c r="FGX692" s="769"/>
      <c r="FGY692" s="769"/>
      <c r="FGZ692" s="769"/>
      <c r="FHA692" s="769"/>
      <c r="FHB692" s="769"/>
      <c r="FHC692" s="769"/>
      <c r="FHD692" s="769"/>
      <c r="FHE692" s="769"/>
      <c r="FHF692" s="769"/>
      <c r="FHG692" s="769"/>
      <c r="FHH692" s="769"/>
      <c r="FHI692" s="769"/>
      <c r="FHJ692" s="769"/>
      <c r="FHK692" s="769"/>
      <c r="FHL692" s="769"/>
      <c r="FHM692" s="769"/>
      <c r="FHN692" s="769"/>
      <c r="FHO692" s="769"/>
      <c r="FHP692" s="769"/>
      <c r="FHQ692" s="769"/>
      <c r="FHR692" s="769"/>
      <c r="FHS692" s="769"/>
      <c r="FHT692" s="769"/>
      <c r="FHU692" s="769"/>
      <c r="FHV692" s="769"/>
      <c r="FHW692" s="769"/>
      <c r="FHX692" s="769"/>
      <c r="FHY692" s="769"/>
      <c r="FHZ692" s="769"/>
      <c r="FIA692" s="769"/>
      <c r="FIB692" s="769"/>
      <c r="FIC692" s="769"/>
      <c r="FID692" s="769"/>
      <c r="FIE692" s="769"/>
      <c r="FIF692" s="769"/>
      <c r="FIG692" s="769"/>
      <c r="FIH692" s="769"/>
      <c r="FII692" s="769"/>
      <c r="FIJ692" s="769"/>
      <c r="FIK692" s="769"/>
      <c r="FIL692" s="769"/>
      <c r="FIM692" s="769"/>
      <c r="FIN692" s="769"/>
      <c r="FIO692" s="769"/>
      <c r="FIP692" s="769"/>
      <c r="FIQ692" s="769"/>
      <c r="FIR692" s="769"/>
      <c r="FIS692" s="769"/>
      <c r="FIT692" s="769"/>
      <c r="FIU692" s="769"/>
      <c r="FIV692" s="769"/>
      <c r="FIW692" s="769"/>
      <c r="FIX692" s="769"/>
      <c r="FIY692" s="769"/>
      <c r="FIZ692" s="769"/>
      <c r="FJA692" s="769"/>
      <c r="FJB692" s="769"/>
      <c r="FJC692" s="769"/>
      <c r="FJD692" s="769"/>
      <c r="FJE692" s="769"/>
      <c r="FJF692" s="769"/>
      <c r="FJG692" s="769"/>
      <c r="FJH692" s="769"/>
      <c r="FJI692" s="769"/>
      <c r="FJJ692" s="769"/>
      <c r="FJK692" s="769"/>
      <c r="FJL692" s="769"/>
      <c r="FJM692" s="769"/>
      <c r="FJN692" s="769"/>
      <c r="FJO692" s="769"/>
      <c r="FJP692" s="769"/>
      <c r="FJQ692" s="769"/>
      <c r="FJR692" s="769"/>
      <c r="FJS692" s="769"/>
      <c r="FJT692" s="769"/>
      <c r="FJU692" s="769"/>
      <c r="FJV692" s="769"/>
      <c r="FJW692" s="769"/>
      <c r="FJX692" s="769"/>
      <c r="FJY692" s="769"/>
      <c r="FJZ692" s="769"/>
      <c r="FKA692" s="769"/>
      <c r="FKB692" s="769"/>
      <c r="FKC692" s="769"/>
      <c r="FKD692" s="769"/>
      <c r="FKE692" s="769"/>
      <c r="FKF692" s="769"/>
      <c r="FKG692" s="769"/>
      <c r="FKH692" s="769"/>
      <c r="FKI692" s="769"/>
      <c r="FKJ692" s="769"/>
      <c r="FKK692" s="769"/>
      <c r="FKL692" s="769"/>
      <c r="FKM692" s="769"/>
      <c r="FKN692" s="769"/>
      <c r="FKO692" s="769"/>
      <c r="FKP692" s="769"/>
      <c r="FKQ692" s="769"/>
      <c r="FKR692" s="769"/>
      <c r="FKS692" s="769"/>
      <c r="FKT692" s="769"/>
      <c r="FKU692" s="769"/>
      <c r="FKV692" s="769"/>
      <c r="FKW692" s="769"/>
      <c r="FKX692" s="769"/>
      <c r="FKY692" s="769"/>
      <c r="FKZ692" s="769"/>
      <c r="FLA692" s="769"/>
      <c r="FLB692" s="769"/>
      <c r="FLC692" s="769"/>
      <c r="FLD692" s="769"/>
      <c r="FLE692" s="769"/>
      <c r="FLF692" s="769"/>
      <c r="FLG692" s="769"/>
      <c r="FLH692" s="769"/>
      <c r="FLI692" s="769"/>
      <c r="FLJ692" s="769"/>
      <c r="FLK692" s="769"/>
      <c r="FLL692" s="769"/>
      <c r="FLM692" s="769"/>
      <c r="FLN692" s="769"/>
      <c r="FLO692" s="769"/>
      <c r="FLP692" s="769"/>
      <c r="FLQ692" s="769"/>
      <c r="FLR692" s="769"/>
      <c r="FLS692" s="769"/>
      <c r="FLT692" s="769"/>
      <c r="FLU692" s="769"/>
      <c r="FLV692" s="769"/>
      <c r="FLW692" s="769"/>
      <c r="FLX692" s="769"/>
      <c r="FLY692" s="769"/>
      <c r="FLZ692" s="769"/>
      <c r="FMA692" s="769"/>
      <c r="FMB692" s="769"/>
      <c r="FMC692" s="769"/>
      <c r="FMD692" s="769"/>
      <c r="FME692" s="769"/>
      <c r="FMF692" s="769"/>
      <c r="FMG692" s="769"/>
      <c r="FMH692" s="769"/>
      <c r="FMI692" s="769"/>
      <c r="FMJ692" s="769"/>
      <c r="FMK692" s="769"/>
      <c r="FML692" s="769"/>
      <c r="FMM692" s="769"/>
      <c r="FMN692" s="769"/>
      <c r="FMO692" s="769"/>
      <c r="FMP692" s="769"/>
      <c r="FMQ692" s="769"/>
      <c r="FMR692" s="769"/>
      <c r="FMS692" s="769"/>
      <c r="FMT692" s="769"/>
      <c r="FMU692" s="769"/>
      <c r="FMV692" s="769"/>
      <c r="FMW692" s="769"/>
      <c r="FMX692" s="769"/>
      <c r="FMY692" s="769"/>
      <c r="FMZ692" s="769"/>
      <c r="FNA692" s="769"/>
      <c r="FNB692" s="769"/>
      <c r="FNC692" s="769"/>
      <c r="FND692" s="769"/>
      <c r="FNE692" s="769"/>
      <c r="FNF692" s="769"/>
      <c r="FNG692" s="769"/>
      <c r="FNH692" s="769"/>
      <c r="FNI692" s="769"/>
      <c r="FNJ692" s="769"/>
      <c r="FNK692" s="769"/>
      <c r="FNL692" s="769"/>
      <c r="FNM692" s="769"/>
      <c r="FNN692" s="769"/>
      <c r="FNO692" s="769"/>
      <c r="FNP692" s="769"/>
      <c r="FNQ692" s="769"/>
      <c r="FNR692" s="769"/>
      <c r="FNS692" s="769"/>
      <c r="FNT692" s="769"/>
      <c r="FNU692" s="769"/>
      <c r="FNV692" s="769"/>
      <c r="FNW692" s="769"/>
      <c r="FNX692" s="769"/>
      <c r="FNY692" s="769"/>
      <c r="FNZ692" s="769"/>
      <c r="FOA692" s="769"/>
      <c r="FOB692" s="769"/>
      <c r="FOC692" s="769"/>
      <c r="FOD692" s="769"/>
      <c r="FOE692" s="769"/>
      <c r="FOF692" s="769"/>
      <c r="FOG692" s="769"/>
      <c r="FOH692" s="769"/>
      <c r="FOI692" s="769"/>
      <c r="FOJ692" s="769"/>
      <c r="FOK692" s="769"/>
      <c r="FOL692" s="769"/>
      <c r="FOM692" s="769"/>
      <c r="FON692" s="769"/>
      <c r="FOO692" s="769"/>
      <c r="FOP692" s="769"/>
      <c r="FOQ692" s="769"/>
      <c r="FOR692" s="769"/>
      <c r="FOS692" s="769"/>
      <c r="FOT692" s="769"/>
      <c r="FOU692" s="769"/>
      <c r="FOV692" s="769"/>
      <c r="FOW692" s="769"/>
      <c r="FOX692" s="769"/>
      <c r="FOY692" s="769"/>
      <c r="FOZ692" s="769"/>
      <c r="FPA692" s="769"/>
      <c r="FPB692" s="769"/>
      <c r="FPC692" s="769"/>
      <c r="FPD692" s="769"/>
      <c r="FPE692" s="769"/>
      <c r="FPF692" s="769"/>
      <c r="FPG692" s="769"/>
      <c r="FPH692" s="769"/>
      <c r="FPI692" s="769"/>
      <c r="FPJ692" s="769"/>
      <c r="FPK692" s="769"/>
      <c r="FPL692" s="769"/>
      <c r="FPM692" s="769"/>
      <c r="FPN692" s="769"/>
      <c r="FPO692" s="769"/>
      <c r="FPP692" s="769"/>
      <c r="FPQ692" s="769"/>
      <c r="FPR692" s="769"/>
      <c r="FPS692" s="769"/>
      <c r="FPT692" s="769"/>
      <c r="FPU692" s="769"/>
      <c r="FPV692" s="769"/>
      <c r="FPW692" s="769"/>
      <c r="FPX692" s="769"/>
      <c r="FPY692" s="769"/>
      <c r="FPZ692" s="769"/>
      <c r="FQA692" s="769"/>
      <c r="FQB692" s="769"/>
      <c r="FQC692" s="769"/>
      <c r="FQD692" s="769"/>
      <c r="FQE692" s="769"/>
      <c r="FQF692" s="769"/>
      <c r="FQG692" s="769"/>
      <c r="FQH692" s="769"/>
      <c r="FQI692" s="769"/>
      <c r="FQJ692" s="769"/>
      <c r="FQK692" s="769"/>
      <c r="FQL692" s="769"/>
      <c r="FQM692" s="769"/>
      <c r="FQN692" s="769"/>
      <c r="FQO692" s="769"/>
      <c r="FQP692" s="769"/>
      <c r="FQQ692" s="769"/>
      <c r="FQR692" s="769"/>
      <c r="FQS692" s="769"/>
      <c r="FQT692" s="769"/>
      <c r="FQU692" s="769"/>
      <c r="FQV692" s="769"/>
      <c r="FQW692" s="769"/>
      <c r="FQX692" s="769"/>
      <c r="FQY692" s="769"/>
      <c r="FQZ692" s="769"/>
      <c r="FRA692" s="769"/>
      <c r="FRB692" s="769"/>
      <c r="FRC692" s="769"/>
      <c r="FRD692" s="769"/>
      <c r="FRE692" s="769"/>
      <c r="FRF692" s="769"/>
      <c r="FRG692" s="769"/>
      <c r="FRH692" s="769"/>
      <c r="FRI692" s="769"/>
      <c r="FRJ692" s="769"/>
      <c r="FRK692" s="769"/>
      <c r="FRL692" s="769"/>
      <c r="FRM692" s="769"/>
      <c r="FRN692" s="769"/>
      <c r="FRO692" s="769"/>
      <c r="FRP692" s="769"/>
      <c r="FRQ692" s="769"/>
      <c r="FRR692" s="769"/>
      <c r="FRS692" s="769"/>
      <c r="FRT692" s="769"/>
      <c r="FRU692" s="769"/>
      <c r="FRV692" s="769"/>
      <c r="FRW692" s="769"/>
      <c r="FRX692" s="769"/>
      <c r="FRY692" s="769"/>
      <c r="FRZ692" s="769"/>
      <c r="FSA692" s="769"/>
      <c r="FSB692" s="769"/>
      <c r="FSC692" s="769"/>
      <c r="FSD692" s="769"/>
      <c r="FSE692" s="769"/>
      <c r="FSF692" s="769"/>
      <c r="FSG692" s="769"/>
      <c r="FSH692" s="769"/>
      <c r="FSI692" s="769"/>
      <c r="FSJ692" s="769"/>
      <c r="FSK692" s="769"/>
      <c r="FSL692" s="769"/>
      <c r="FSM692" s="769"/>
      <c r="FSN692" s="769"/>
      <c r="FSO692" s="769"/>
      <c r="FSP692" s="769"/>
      <c r="FSQ692" s="769"/>
      <c r="FSR692" s="769"/>
      <c r="FSS692" s="769"/>
      <c r="FST692" s="769"/>
      <c r="FSU692" s="769"/>
      <c r="FSV692" s="769"/>
      <c r="FSW692" s="769"/>
      <c r="FSX692" s="769"/>
      <c r="FSY692" s="769"/>
      <c r="FSZ692" s="769"/>
      <c r="FTA692" s="769"/>
      <c r="FTB692" s="769"/>
      <c r="FTC692" s="769"/>
      <c r="FTD692" s="769"/>
      <c r="FTE692" s="769"/>
      <c r="FTF692" s="769"/>
      <c r="FTG692" s="769"/>
      <c r="FTH692" s="769"/>
      <c r="FTI692" s="769"/>
      <c r="FTJ692" s="769"/>
      <c r="FTK692" s="769"/>
      <c r="FTL692" s="769"/>
      <c r="FTM692" s="769"/>
      <c r="FTN692" s="769"/>
      <c r="FTO692" s="769"/>
      <c r="FTP692" s="769"/>
      <c r="FTQ692" s="769"/>
      <c r="FTR692" s="769"/>
      <c r="FTS692" s="769"/>
      <c r="FTT692" s="769"/>
      <c r="FTU692" s="769"/>
      <c r="FTV692" s="769"/>
      <c r="FTW692" s="769"/>
      <c r="FTX692" s="769"/>
      <c r="FTY692" s="769"/>
      <c r="FTZ692" s="769"/>
      <c r="FUA692" s="769"/>
      <c r="FUB692" s="769"/>
      <c r="FUC692" s="769"/>
      <c r="FUD692" s="769"/>
      <c r="FUE692" s="769"/>
      <c r="FUF692" s="769"/>
      <c r="FUG692" s="769"/>
      <c r="FUH692" s="769"/>
      <c r="FUI692" s="769"/>
      <c r="FUJ692" s="769"/>
      <c r="FUK692" s="769"/>
      <c r="FUL692" s="769"/>
      <c r="FUM692" s="769"/>
      <c r="FUN692" s="769"/>
      <c r="FUO692" s="769"/>
      <c r="FUP692" s="769"/>
      <c r="FUQ692" s="769"/>
      <c r="FUR692" s="769"/>
      <c r="FUS692" s="769"/>
      <c r="FUT692" s="769"/>
      <c r="FUU692" s="769"/>
      <c r="FUV692" s="769"/>
      <c r="FUW692" s="769"/>
      <c r="FUX692" s="769"/>
      <c r="FUY692" s="769"/>
      <c r="FUZ692" s="769"/>
      <c r="FVA692" s="769"/>
      <c r="FVB692" s="769"/>
      <c r="FVC692" s="769"/>
      <c r="FVD692" s="769"/>
      <c r="FVE692" s="769"/>
      <c r="FVF692" s="769"/>
      <c r="FVG692" s="769"/>
      <c r="FVH692" s="769"/>
      <c r="FVI692" s="769"/>
      <c r="FVJ692" s="769"/>
      <c r="FVK692" s="769"/>
      <c r="FVL692" s="769"/>
      <c r="FVM692" s="769"/>
      <c r="FVN692" s="769"/>
      <c r="FVO692" s="769"/>
      <c r="FVP692" s="769"/>
      <c r="FVQ692" s="769"/>
      <c r="FVR692" s="769"/>
      <c r="FVS692" s="769"/>
      <c r="FVT692" s="769"/>
      <c r="FVU692" s="769"/>
      <c r="FVV692" s="769"/>
      <c r="FVW692" s="769"/>
      <c r="FVX692" s="769"/>
      <c r="FVY692" s="769"/>
      <c r="FVZ692" s="769"/>
      <c r="FWA692" s="769"/>
      <c r="FWB692" s="769"/>
      <c r="FWC692" s="769"/>
      <c r="FWD692" s="769"/>
      <c r="FWE692" s="769"/>
      <c r="FWF692" s="769"/>
      <c r="FWG692" s="769"/>
      <c r="FWH692" s="769"/>
      <c r="FWI692" s="769"/>
      <c r="FWJ692" s="769"/>
      <c r="FWK692" s="769"/>
      <c r="FWL692" s="769"/>
      <c r="FWM692" s="769"/>
      <c r="FWN692" s="769"/>
      <c r="FWO692" s="769"/>
      <c r="FWP692" s="769"/>
      <c r="FWQ692" s="769"/>
      <c r="FWR692" s="769"/>
      <c r="FWS692" s="769"/>
      <c r="FWT692" s="769"/>
      <c r="FWU692" s="769"/>
      <c r="FWV692" s="769"/>
      <c r="FWW692" s="769"/>
      <c r="FWX692" s="769"/>
      <c r="FWY692" s="769"/>
      <c r="FWZ692" s="769"/>
      <c r="FXA692" s="769"/>
      <c r="FXB692" s="769"/>
      <c r="FXC692" s="769"/>
      <c r="FXD692" s="769"/>
      <c r="FXE692" s="769"/>
      <c r="FXF692" s="769"/>
      <c r="FXG692" s="769"/>
      <c r="FXH692" s="769"/>
      <c r="FXI692" s="769"/>
      <c r="FXJ692" s="769"/>
      <c r="FXK692" s="769"/>
      <c r="FXL692" s="769"/>
      <c r="FXM692" s="769"/>
      <c r="FXN692" s="769"/>
      <c r="FXO692" s="769"/>
      <c r="FXP692" s="769"/>
      <c r="FXQ692" s="769"/>
      <c r="FXR692" s="769"/>
      <c r="FXS692" s="769"/>
      <c r="FXT692" s="769"/>
      <c r="FXU692" s="769"/>
      <c r="FXV692" s="769"/>
      <c r="FXW692" s="769"/>
      <c r="FXX692" s="769"/>
      <c r="FXY692" s="769"/>
      <c r="FXZ692" s="769"/>
      <c r="FYA692" s="769"/>
      <c r="FYB692" s="769"/>
      <c r="FYC692" s="769"/>
      <c r="FYD692" s="769"/>
      <c r="FYE692" s="769"/>
      <c r="FYF692" s="769"/>
      <c r="FYG692" s="769"/>
      <c r="FYH692" s="769"/>
      <c r="FYI692" s="769"/>
      <c r="FYJ692" s="769"/>
      <c r="FYK692" s="769"/>
      <c r="FYL692" s="769"/>
      <c r="FYM692" s="769"/>
      <c r="FYN692" s="769"/>
      <c r="FYO692" s="769"/>
      <c r="FYP692" s="769"/>
      <c r="FYQ692" s="769"/>
      <c r="FYR692" s="769"/>
      <c r="FYS692" s="769"/>
      <c r="FYT692" s="769"/>
      <c r="FYU692" s="769"/>
      <c r="FYV692" s="769"/>
      <c r="FYW692" s="769"/>
      <c r="FYX692" s="769"/>
      <c r="FYY692" s="769"/>
      <c r="FYZ692" s="769"/>
      <c r="FZA692" s="769"/>
      <c r="FZB692" s="769"/>
      <c r="FZC692" s="769"/>
      <c r="FZD692" s="769"/>
      <c r="FZE692" s="769"/>
      <c r="FZF692" s="769"/>
      <c r="FZG692" s="769"/>
      <c r="FZH692" s="769"/>
      <c r="FZI692" s="769"/>
      <c r="FZJ692" s="769"/>
      <c r="FZK692" s="769"/>
      <c r="FZL692" s="769"/>
      <c r="FZM692" s="769"/>
      <c r="FZN692" s="769"/>
      <c r="FZO692" s="769"/>
      <c r="FZP692" s="769"/>
      <c r="FZQ692" s="769"/>
      <c r="FZR692" s="769"/>
      <c r="FZS692" s="769"/>
      <c r="FZT692" s="769"/>
      <c r="FZU692" s="769"/>
      <c r="FZV692" s="769"/>
      <c r="FZW692" s="769"/>
      <c r="FZX692" s="769"/>
      <c r="FZY692" s="769"/>
      <c r="FZZ692" s="769"/>
      <c r="GAA692" s="769"/>
      <c r="GAB692" s="769"/>
      <c r="GAC692" s="769"/>
      <c r="GAD692" s="769"/>
      <c r="GAE692" s="769"/>
      <c r="GAF692" s="769"/>
      <c r="GAG692" s="769"/>
      <c r="GAH692" s="769"/>
      <c r="GAI692" s="769"/>
      <c r="GAJ692" s="769"/>
      <c r="GAK692" s="769"/>
      <c r="GAL692" s="769"/>
      <c r="GAM692" s="769"/>
      <c r="GAN692" s="769"/>
      <c r="GAO692" s="769"/>
      <c r="GAP692" s="769"/>
      <c r="GAQ692" s="769"/>
      <c r="GAR692" s="769"/>
      <c r="GAS692" s="769"/>
      <c r="GAT692" s="769"/>
      <c r="GAU692" s="769"/>
      <c r="GAV692" s="769"/>
      <c r="GAW692" s="769"/>
      <c r="GAX692" s="769"/>
      <c r="GAY692" s="769"/>
      <c r="GAZ692" s="769"/>
      <c r="GBA692" s="769"/>
      <c r="GBB692" s="769"/>
      <c r="GBC692" s="769"/>
      <c r="GBD692" s="769"/>
      <c r="GBE692" s="769"/>
      <c r="GBF692" s="769"/>
      <c r="GBG692" s="769"/>
      <c r="GBH692" s="769"/>
      <c r="GBI692" s="769"/>
      <c r="GBJ692" s="769"/>
      <c r="GBK692" s="769"/>
      <c r="GBL692" s="769"/>
      <c r="GBM692" s="769"/>
      <c r="GBN692" s="769"/>
      <c r="GBO692" s="769"/>
      <c r="GBP692" s="769"/>
      <c r="GBQ692" s="769"/>
      <c r="GBR692" s="769"/>
      <c r="GBS692" s="769"/>
      <c r="GBT692" s="769"/>
      <c r="GBU692" s="769"/>
      <c r="GBV692" s="769"/>
      <c r="GBW692" s="769"/>
      <c r="GBX692" s="769"/>
      <c r="GBY692" s="769"/>
      <c r="GBZ692" s="769"/>
      <c r="GCA692" s="769"/>
      <c r="GCB692" s="769"/>
      <c r="GCC692" s="769"/>
      <c r="GCD692" s="769"/>
      <c r="GCE692" s="769"/>
      <c r="GCF692" s="769"/>
      <c r="GCG692" s="769"/>
      <c r="GCH692" s="769"/>
      <c r="GCI692" s="769"/>
      <c r="GCJ692" s="769"/>
      <c r="GCK692" s="769"/>
      <c r="GCL692" s="769"/>
      <c r="GCM692" s="769"/>
      <c r="GCN692" s="769"/>
      <c r="GCO692" s="769"/>
      <c r="GCP692" s="769"/>
      <c r="GCQ692" s="769"/>
      <c r="GCR692" s="769"/>
      <c r="GCS692" s="769"/>
      <c r="GCT692" s="769"/>
      <c r="GCU692" s="769"/>
      <c r="GCV692" s="769"/>
      <c r="GCW692" s="769"/>
      <c r="GCX692" s="769"/>
      <c r="GCY692" s="769"/>
      <c r="GCZ692" s="769"/>
      <c r="GDA692" s="769"/>
      <c r="GDB692" s="769"/>
      <c r="GDC692" s="769"/>
      <c r="GDD692" s="769"/>
      <c r="GDE692" s="769"/>
      <c r="GDF692" s="769"/>
      <c r="GDG692" s="769"/>
      <c r="GDH692" s="769"/>
      <c r="GDI692" s="769"/>
      <c r="GDJ692" s="769"/>
      <c r="GDK692" s="769"/>
      <c r="GDL692" s="769"/>
      <c r="GDM692" s="769"/>
      <c r="GDN692" s="769"/>
      <c r="GDO692" s="769"/>
      <c r="GDP692" s="769"/>
      <c r="GDQ692" s="769"/>
      <c r="GDR692" s="769"/>
      <c r="GDS692" s="769"/>
      <c r="GDT692" s="769"/>
      <c r="GDU692" s="769"/>
      <c r="GDV692" s="769"/>
      <c r="GDW692" s="769"/>
      <c r="GDX692" s="769"/>
      <c r="GDY692" s="769"/>
      <c r="GDZ692" s="769"/>
      <c r="GEA692" s="769"/>
      <c r="GEB692" s="769"/>
      <c r="GEC692" s="769"/>
      <c r="GED692" s="769"/>
      <c r="GEE692" s="769"/>
      <c r="GEF692" s="769"/>
      <c r="GEG692" s="769"/>
      <c r="GEH692" s="769"/>
      <c r="GEI692" s="769"/>
      <c r="GEJ692" s="769"/>
      <c r="GEK692" s="769"/>
      <c r="GEL692" s="769"/>
      <c r="GEM692" s="769"/>
      <c r="GEN692" s="769"/>
      <c r="GEO692" s="769"/>
      <c r="GEP692" s="769"/>
      <c r="GEQ692" s="769"/>
      <c r="GER692" s="769"/>
      <c r="GES692" s="769"/>
      <c r="GET692" s="769"/>
      <c r="GEU692" s="769"/>
      <c r="GEV692" s="769"/>
      <c r="GEW692" s="769"/>
      <c r="GEX692" s="769"/>
      <c r="GEY692" s="769"/>
      <c r="GEZ692" s="769"/>
      <c r="GFA692" s="769"/>
      <c r="GFB692" s="769"/>
      <c r="GFC692" s="769"/>
      <c r="GFD692" s="769"/>
      <c r="GFE692" s="769"/>
      <c r="GFF692" s="769"/>
      <c r="GFG692" s="769"/>
      <c r="GFH692" s="769"/>
      <c r="GFI692" s="769"/>
      <c r="GFJ692" s="769"/>
      <c r="GFK692" s="769"/>
      <c r="GFL692" s="769"/>
      <c r="GFM692" s="769"/>
      <c r="GFN692" s="769"/>
      <c r="GFO692" s="769"/>
      <c r="GFP692" s="769"/>
      <c r="GFQ692" s="769"/>
      <c r="GFR692" s="769"/>
      <c r="GFS692" s="769"/>
      <c r="GFT692" s="769"/>
      <c r="GFU692" s="769"/>
      <c r="GFV692" s="769"/>
      <c r="GFW692" s="769"/>
      <c r="GFX692" s="769"/>
      <c r="GFY692" s="769"/>
      <c r="GFZ692" s="769"/>
      <c r="GGA692" s="769"/>
      <c r="GGB692" s="769"/>
      <c r="GGC692" s="769"/>
      <c r="GGD692" s="769"/>
      <c r="GGE692" s="769"/>
      <c r="GGF692" s="769"/>
      <c r="GGG692" s="769"/>
      <c r="GGH692" s="769"/>
      <c r="GGI692" s="769"/>
      <c r="GGJ692" s="769"/>
      <c r="GGK692" s="769"/>
      <c r="GGL692" s="769"/>
      <c r="GGM692" s="769"/>
      <c r="GGN692" s="769"/>
      <c r="GGO692" s="769"/>
      <c r="GGP692" s="769"/>
      <c r="GGQ692" s="769"/>
      <c r="GGR692" s="769"/>
      <c r="GGS692" s="769"/>
      <c r="GGT692" s="769"/>
      <c r="GGU692" s="769"/>
      <c r="GGV692" s="769"/>
      <c r="GGW692" s="769"/>
      <c r="GGX692" s="769"/>
      <c r="GGY692" s="769"/>
      <c r="GGZ692" s="769"/>
      <c r="GHA692" s="769"/>
      <c r="GHB692" s="769"/>
      <c r="GHC692" s="769"/>
      <c r="GHD692" s="769"/>
      <c r="GHE692" s="769"/>
      <c r="GHF692" s="769"/>
      <c r="GHG692" s="769"/>
      <c r="GHH692" s="769"/>
      <c r="GHI692" s="769"/>
      <c r="GHJ692" s="769"/>
      <c r="GHK692" s="769"/>
      <c r="GHL692" s="769"/>
      <c r="GHM692" s="769"/>
      <c r="GHN692" s="769"/>
      <c r="GHO692" s="769"/>
      <c r="GHP692" s="769"/>
      <c r="GHQ692" s="769"/>
      <c r="GHR692" s="769"/>
      <c r="GHS692" s="769"/>
      <c r="GHT692" s="769"/>
      <c r="GHU692" s="769"/>
      <c r="GHV692" s="769"/>
      <c r="GHW692" s="769"/>
      <c r="GHX692" s="769"/>
      <c r="GHY692" s="769"/>
      <c r="GHZ692" s="769"/>
      <c r="GIA692" s="769"/>
      <c r="GIB692" s="769"/>
      <c r="GIC692" s="769"/>
      <c r="GID692" s="769"/>
      <c r="GIE692" s="769"/>
      <c r="GIF692" s="769"/>
      <c r="GIG692" s="769"/>
      <c r="GIH692" s="769"/>
      <c r="GII692" s="769"/>
      <c r="GIJ692" s="769"/>
      <c r="GIK692" s="769"/>
      <c r="GIL692" s="769"/>
      <c r="GIM692" s="769"/>
      <c r="GIN692" s="769"/>
      <c r="GIO692" s="769"/>
      <c r="GIP692" s="769"/>
      <c r="GIQ692" s="769"/>
      <c r="GIR692" s="769"/>
      <c r="GIS692" s="769"/>
      <c r="GIT692" s="769"/>
      <c r="GIU692" s="769"/>
      <c r="GIV692" s="769"/>
      <c r="GIW692" s="769"/>
      <c r="GIX692" s="769"/>
      <c r="GIY692" s="769"/>
      <c r="GIZ692" s="769"/>
      <c r="GJA692" s="769"/>
      <c r="GJB692" s="769"/>
      <c r="GJC692" s="769"/>
      <c r="GJD692" s="769"/>
      <c r="GJE692" s="769"/>
      <c r="GJF692" s="769"/>
      <c r="GJG692" s="769"/>
      <c r="GJH692" s="769"/>
      <c r="GJI692" s="769"/>
      <c r="GJJ692" s="769"/>
      <c r="GJK692" s="769"/>
      <c r="GJL692" s="769"/>
      <c r="GJM692" s="769"/>
      <c r="GJN692" s="769"/>
      <c r="GJO692" s="769"/>
      <c r="GJP692" s="769"/>
      <c r="GJQ692" s="769"/>
      <c r="GJR692" s="769"/>
      <c r="GJS692" s="769"/>
      <c r="GJT692" s="769"/>
      <c r="GJU692" s="769"/>
      <c r="GJV692" s="769"/>
      <c r="GJW692" s="769"/>
      <c r="GJX692" s="769"/>
      <c r="GJY692" s="769"/>
      <c r="GJZ692" s="769"/>
      <c r="GKA692" s="769"/>
      <c r="GKB692" s="769"/>
      <c r="GKC692" s="769"/>
      <c r="GKD692" s="769"/>
      <c r="GKE692" s="769"/>
      <c r="GKF692" s="769"/>
      <c r="GKG692" s="769"/>
      <c r="GKH692" s="769"/>
      <c r="GKI692" s="769"/>
      <c r="GKJ692" s="769"/>
      <c r="GKK692" s="769"/>
      <c r="GKL692" s="769"/>
      <c r="GKM692" s="769"/>
      <c r="GKN692" s="769"/>
      <c r="GKO692" s="769"/>
      <c r="GKP692" s="769"/>
      <c r="GKQ692" s="769"/>
      <c r="GKR692" s="769"/>
      <c r="GKS692" s="769"/>
      <c r="GKT692" s="769"/>
      <c r="GKU692" s="769"/>
      <c r="GKV692" s="769"/>
      <c r="GKW692" s="769"/>
      <c r="GKX692" s="769"/>
      <c r="GKY692" s="769"/>
      <c r="GKZ692" s="769"/>
      <c r="GLA692" s="769"/>
      <c r="GLB692" s="769"/>
      <c r="GLC692" s="769"/>
      <c r="GLD692" s="769"/>
      <c r="GLE692" s="769"/>
      <c r="GLF692" s="769"/>
      <c r="GLG692" s="769"/>
      <c r="GLH692" s="769"/>
      <c r="GLI692" s="769"/>
      <c r="GLJ692" s="769"/>
      <c r="GLK692" s="769"/>
      <c r="GLL692" s="769"/>
      <c r="GLM692" s="769"/>
      <c r="GLN692" s="769"/>
      <c r="GLO692" s="769"/>
      <c r="GLP692" s="769"/>
      <c r="GLQ692" s="769"/>
      <c r="GLR692" s="769"/>
      <c r="GLS692" s="769"/>
      <c r="GLT692" s="769"/>
      <c r="GLU692" s="769"/>
      <c r="GLV692" s="769"/>
      <c r="GLW692" s="769"/>
      <c r="GLX692" s="769"/>
      <c r="GLY692" s="769"/>
      <c r="GLZ692" s="769"/>
      <c r="GMA692" s="769"/>
      <c r="GMB692" s="769"/>
      <c r="GMC692" s="769"/>
      <c r="GMD692" s="769"/>
      <c r="GME692" s="769"/>
      <c r="GMF692" s="769"/>
      <c r="GMG692" s="769"/>
      <c r="GMH692" s="769"/>
      <c r="GMI692" s="769"/>
      <c r="GMJ692" s="769"/>
      <c r="GMK692" s="769"/>
      <c r="GML692" s="769"/>
      <c r="GMM692" s="769"/>
      <c r="GMN692" s="769"/>
      <c r="GMO692" s="769"/>
      <c r="GMP692" s="769"/>
      <c r="GMQ692" s="769"/>
      <c r="GMR692" s="769"/>
      <c r="GMS692" s="769"/>
      <c r="GMT692" s="769"/>
      <c r="GMU692" s="769"/>
      <c r="GMV692" s="769"/>
      <c r="GMW692" s="769"/>
      <c r="GMX692" s="769"/>
      <c r="GMY692" s="769"/>
      <c r="GMZ692" s="769"/>
      <c r="GNA692" s="769"/>
      <c r="GNB692" s="769"/>
      <c r="GNC692" s="769"/>
      <c r="GND692" s="769"/>
      <c r="GNE692" s="769"/>
      <c r="GNF692" s="769"/>
      <c r="GNG692" s="769"/>
      <c r="GNH692" s="769"/>
      <c r="GNI692" s="769"/>
      <c r="GNJ692" s="769"/>
      <c r="GNK692" s="769"/>
      <c r="GNL692" s="769"/>
      <c r="GNM692" s="769"/>
      <c r="GNN692" s="769"/>
      <c r="GNO692" s="769"/>
      <c r="GNP692" s="769"/>
      <c r="GNQ692" s="769"/>
      <c r="GNR692" s="769"/>
      <c r="GNS692" s="769"/>
      <c r="GNT692" s="769"/>
      <c r="GNU692" s="769"/>
      <c r="GNV692" s="769"/>
      <c r="GNW692" s="769"/>
      <c r="GNX692" s="769"/>
      <c r="GNY692" s="769"/>
      <c r="GNZ692" s="769"/>
      <c r="GOA692" s="769"/>
      <c r="GOB692" s="769"/>
      <c r="GOC692" s="769"/>
      <c r="GOD692" s="769"/>
      <c r="GOE692" s="769"/>
      <c r="GOF692" s="769"/>
      <c r="GOG692" s="769"/>
      <c r="GOH692" s="769"/>
      <c r="GOI692" s="769"/>
      <c r="GOJ692" s="769"/>
      <c r="GOK692" s="769"/>
      <c r="GOL692" s="769"/>
      <c r="GOM692" s="769"/>
      <c r="GON692" s="769"/>
      <c r="GOO692" s="769"/>
      <c r="GOP692" s="769"/>
      <c r="GOQ692" s="769"/>
      <c r="GOR692" s="769"/>
      <c r="GOS692" s="769"/>
      <c r="GOT692" s="769"/>
      <c r="GOU692" s="769"/>
      <c r="GOV692" s="769"/>
      <c r="GOW692" s="769"/>
      <c r="GOX692" s="769"/>
      <c r="GOY692" s="769"/>
      <c r="GOZ692" s="769"/>
      <c r="GPA692" s="769"/>
      <c r="GPB692" s="769"/>
      <c r="GPC692" s="769"/>
      <c r="GPD692" s="769"/>
      <c r="GPE692" s="769"/>
      <c r="GPF692" s="769"/>
      <c r="GPG692" s="769"/>
      <c r="GPH692" s="769"/>
      <c r="GPI692" s="769"/>
      <c r="GPJ692" s="769"/>
      <c r="GPK692" s="769"/>
      <c r="GPL692" s="769"/>
      <c r="GPM692" s="769"/>
      <c r="GPN692" s="769"/>
      <c r="GPO692" s="769"/>
      <c r="GPP692" s="769"/>
      <c r="GPQ692" s="769"/>
      <c r="GPR692" s="769"/>
      <c r="GPS692" s="769"/>
      <c r="GPT692" s="769"/>
      <c r="GPU692" s="769"/>
      <c r="GPV692" s="769"/>
      <c r="GPW692" s="769"/>
      <c r="GPX692" s="769"/>
      <c r="GPY692" s="769"/>
      <c r="GPZ692" s="769"/>
      <c r="GQA692" s="769"/>
      <c r="GQB692" s="769"/>
      <c r="GQC692" s="769"/>
      <c r="GQD692" s="769"/>
      <c r="GQE692" s="769"/>
      <c r="GQF692" s="769"/>
      <c r="GQG692" s="769"/>
      <c r="GQH692" s="769"/>
      <c r="GQI692" s="769"/>
      <c r="GQJ692" s="769"/>
      <c r="GQK692" s="769"/>
      <c r="GQL692" s="769"/>
      <c r="GQM692" s="769"/>
      <c r="GQN692" s="769"/>
      <c r="GQO692" s="769"/>
      <c r="GQP692" s="769"/>
      <c r="GQQ692" s="769"/>
      <c r="GQR692" s="769"/>
      <c r="GQS692" s="769"/>
      <c r="GQT692" s="769"/>
      <c r="GQU692" s="769"/>
      <c r="GQV692" s="769"/>
      <c r="GQW692" s="769"/>
      <c r="GQX692" s="769"/>
      <c r="GQY692" s="769"/>
      <c r="GQZ692" s="769"/>
      <c r="GRA692" s="769"/>
      <c r="GRB692" s="769"/>
      <c r="GRC692" s="769"/>
      <c r="GRD692" s="769"/>
      <c r="GRE692" s="769"/>
      <c r="GRF692" s="769"/>
      <c r="GRG692" s="769"/>
      <c r="GRH692" s="769"/>
      <c r="GRI692" s="769"/>
      <c r="GRJ692" s="769"/>
      <c r="GRK692" s="769"/>
      <c r="GRL692" s="769"/>
      <c r="GRM692" s="769"/>
      <c r="GRN692" s="769"/>
      <c r="GRO692" s="769"/>
      <c r="GRP692" s="769"/>
      <c r="GRQ692" s="769"/>
      <c r="GRR692" s="769"/>
      <c r="GRS692" s="769"/>
      <c r="GRT692" s="769"/>
      <c r="GRU692" s="769"/>
      <c r="GRV692" s="769"/>
      <c r="GRW692" s="769"/>
      <c r="GRX692" s="769"/>
      <c r="GRY692" s="769"/>
      <c r="GRZ692" s="769"/>
      <c r="GSA692" s="769"/>
      <c r="GSB692" s="769"/>
      <c r="GSC692" s="769"/>
      <c r="GSD692" s="769"/>
      <c r="GSE692" s="769"/>
      <c r="GSF692" s="769"/>
      <c r="GSG692" s="769"/>
      <c r="GSH692" s="769"/>
      <c r="GSI692" s="769"/>
      <c r="GSJ692" s="769"/>
      <c r="GSK692" s="769"/>
      <c r="GSL692" s="769"/>
      <c r="GSM692" s="769"/>
      <c r="GSN692" s="769"/>
      <c r="GSO692" s="769"/>
      <c r="GSP692" s="769"/>
      <c r="GSQ692" s="769"/>
      <c r="GSR692" s="769"/>
      <c r="GSS692" s="769"/>
      <c r="GST692" s="769"/>
      <c r="GSU692" s="769"/>
      <c r="GSV692" s="769"/>
      <c r="GSW692" s="769"/>
      <c r="GSX692" s="769"/>
      <c r="GSY692" s="769"/>
      <c r="GSZ692" s="769"/>
      <c r="GTA692" s="769"/>
      <c r="GTB692" s="769"/>
      <c r="GTC692" s="769"/>
      <c r="GTD692" s="769"/>
      <c r="GTE692" s="769"/>
      <c r="GTF692" s="769"/>
      <c r="GTG692" s="769"/>
      <c r="GTH692" s="769"/>
      <c r="GTI692" s="769"/>
      <c r="GTJ692" s="769"/>
      <c r="GTK692" s="769"/>
      <c r="GTL692" s="769"/>
      <c r="GTM692" s="769"/>
      <c r="GTN692" s="769"/>
      <c r="GTO692" s="769"/>
      <c r="GTP692" s="769"/>
      <c r="GTQ692" s="769"/>
      <c r="GTR692" s="769"/>
      <c r="GTS692" s="769"/>
      <c r="GTT692" s="769"/>
      <c r="GTU692" s="769"/>
      <c r="GTV692" s="769"/>
      <c r="GTW692" s="769"/>
      <c r="GTX692" s="769"/>
      <c r="GTY692" s="769"/>
      <c r="GTZ692" s="769"/>
      <c r="GUA692" s="769"/>
      <c r="GUB692" s="769"/>
      <c r="GUC692" s="769"/>
      <c r="GUD692" s="769"/>
      <c r="GUE692" s="769"/>
      <c r="GUF692" s="769"/>
      <c r="GUG692" s="769"/>
      <c r="GUH692" s="769"/>
      <c r="GUI692" s="769"/>
      <c r="GUJ692" s="769"/>
      <c r="GUK692" s="769"/>
      <c r="GUL692" s="769"/>
      <c r="GUM692" s="769"/>
      <c r="GUN692" s="769"/>
      <c r="GUO692" s="769"/>
      <c r="GUP692" s="769"/>
      <c r="GUQ692" s="769"/>
      <c r="GUR692" s="769"/>
      <c r="GUS692" s="769"/>
      <c r="GUT692" s="769"/>
      <c r="GUU692" s="769"/>
      <c r="GUV692" s="769"/>
      <c r="GUW692" s="769"/>
      <c r="GUX692" s="769"/>
      <c r="GUY692" s="769"/>
      <c r="GUZ692" s="769"/>
      <c r="GVA692" s="769"/>
      <c r="GVB692" s="769"/>
      <c r="GVC692" s="769"/>
      <c r="GVD692" s="769"/>
      <c r="GVE692" s="769"/>
      <c r="GVF692" s="769"/>
      <c r="GVG692" s="769"/>
      <c r="GVH692" s="769"/>
      <c r="GVI692" s="769"/>
      <c r="GVJ692" s="769"/>
      <c r="GVK692" s="769"/>
      <c r="GVL692" s="769"/>
      <c r="GVM692" s="769"/>
      <c r="GVN692" s="769"/>
      <c r="GVO692" s="769"/>
      <c r="GVP692" s="769"/>
      <c r="GVQ692" s="769"/>
      <c r="GVR692" s="769"/>
      <c r="GVS692" s="769"/>
      <c r="GVT692" s="769"/>
      <c r="GVU692" s="769"/>
      <c r="GVV692" s="769"/>
      <c r="GVW692" s="769"/>
      <c r="GVX692" s="769"/>
      <c r="GVY692" s="769"/>
      <c r="GVZ692" s="769"/>
      <c r="GWA692" s="769"/>
      <c r="GWB692" s="769"/>
      <c r="GWC692" s="769"/>
      <c r="GWD692" s="769"/>
      <c r="GWE692" s="769"/>
      <c r="GWF692" s="769"/>
      <c r="GWG692" s="769"/>
      <c r="GWH692" s="769"/>
      <c r="GWI692" s="769"/>
      <c r="GWJ692" s="769"/>
      <c r="GWK692" s="769"/>
      <c r="GWL692" s="769"/>
      <c r="GWM692" s="769"/>
      <c r="GWN692" s="769"/>
      <c r="GWO692" s="769"/>
      <c r="GWP692" s="769"/>
      <c r="GWQ692" s="769"/>
      <c r="GWR692" s="769"/>
      <c r="GWS692" s="769"/>
      <c r="GWT692" s="769"/>
      <c r="GWU692" s="769"/>
      <c r="GWV692" s="769"/>
      <c r="GWW692" s="769"/>
      <c r="GWX692" s="769"/>
      <c r="GWY692" s="769"/>
      <c r="GWZ692" s="769"/>
      <c r="GXA692" s="769"/>
      <c r="GXB692" s="769"/>
      <c r="GXC692" s="769"/>
      <c r="GXD692" s="769"/>
      <c r="GXE692" s="769"/>
      <c r="GXF692" s="769"/>
      <c r="GXG692" s="769"/>
      <c r="GXH692" s="769"/>
      <c r="GXI692" s="769"/>
      <c r="GXJ692" s="769"/>
      <c r="GXK692" s="769"/>
      <c r="GXL692" s="769"/>
      <c r="GXM692" s="769"/>
      <c r="GXN692" s="769"/>
      <c r="GXO692" s="769"/>
      <c r="GXP692" s="769"/>
      <c r="GXQ692" s="769"/>
      <c r="GXR692" s="769"/>
      <c r="GXS692" s="769"/>
      <c r="GXT692" s="769"/>
      <c r="GXU692" s="769"/>
      <c r="GXV692" s="769"/>
      <c r="GXW692" s="769"/>
      <c r="GXX692" s="769"/>
      <c r="GXY692" s="769"/>
      <c r="GXZ692" s="769"/>
      <c r="GYA692" s="769"/>
      <c r="GYB692" s="769"/>
      <c r="GYC692" s="769"/>
      <c r="GYD692" s="769"/>
      <c r="GYE692" s="769"/>
      <c r="GYF692" s="769"/>
      <c r="GYG692" s="769"/>
      <c r="GYH692" s="769"/>
      <c r="GYI692" s="769"/>
      <c r="GYJ692" s="769"/>
      <c r="GYK692" s="769"/>
      <c r="GYL692" s="769"/>
      <c r="GYM692" s="769"/>
      <c r="GYN692" s="769"/>
      <c r="GYO692" s="769"/>
      <c r="GYP692" s="769"/>
      <c r="GYQ692" s="769"/>
      <c r="GYR692" s="769"/>
      <c r="GYS692" s="769"/>
      <c r="GYT692" s="769"/>
      <c r="GYU692" s="769"/>
      <c r="GYV692" s="769"/>
      <c r="GYW692" s="769"/>
      <c r="GYX692" s="769"/>
      <c r="GYY692" s="769"/>
      <c r="GYZ692" s="769"/>
      <c r="GZA692" s="769"/>
      <c r="GZB692" s="769"/>
      <c r="GZC692" s="769"/>
      <c r="GZD692" s="769"/>
      <c r="GZE692" s="769"/>
      <c r="GZF692" s="769"/>
      <c r="GZG692" s="769"/>
      <c r="GZH692" s="769"/>
      <c r="GZI692" s="769"/>
      <c r="GZJ692" s="769"/>
      <c r="GZK692" s="769"/>
      <c r="GZL692" s="769"/>
      <c r="GZM692" s="769"/>
      <c r="GZN692" s="769"/>
      <c r="GZO692" s="769"/>
      <c r="GZP692" s="769"/>
      <c r="GZQ692" s="769"/>
      <c r="GZR692" s="769"/>
      <c r="GZS692" s="769"/>
      <c r="GZT692" s="769"/>
      <c r="GZU692" s="769"/>
      <c r="GZV692" s="769"/>
      <c r="GZW692" s="769"/>
      <c r="GZX692" s="769"/>
      <c r="GZY692" s="769"/>
      <c r="GZZ692" s="769"/>
      <c r="HAA692" s="769"/>
      <c r="HAB692" s="769"/>
      <c r="HAC692" s="769"/>
      <c r="HAD692" s="769"/>
      <c r="HAE692" s="769"/>
      <c r="HAF692" s="769"/>
      <c r="HAG692" s="769"/>
      <c r="HAH692" s="769"/>
      <c r="HAI692" s="769"/>
      <c r="HAJ692" s="769"/>
      <c r="HAK692" s="769"/>
      <c r="HAL692" s="769"/>
      <c r="HAM692" s="769"/>
      <c r="HAN692" s="769"/>
      <c r="HAO692" s="769"/>
      <c r="HAP692" s="769"/>
      <c r="HAQ692" s="769"/>
      <c r="HAR692" s="769"/>
      <c r="HAS692" s="769"/>
      <c r="HAT692" s="769"/>
      <c r="HAU692" s="769"/>
      <c r="HAV692" s="769"/>
      <c r="HAW692" s="769"/>
      <c r="HAX692" s="769"/>
      <c r="HAY692" s="769"/>
      <c r="HAZ692" s="769"/>
      <c r="HBA692" s="769"/>
      <c r="HBB692" s="769"/>
      <c r="HBC692" s="769"/>
      <c r="HBD692" s="769"/>
      <c r="HBE692" s="769"/>
      <c r="HBF692" s="769"/>
      <c r="HBG692" s="769"/>
      <c r="HBH692" s="769"/>
      <c r="HBI692" s="769"/>
      <c r="HBJ692" s="769"/>
      <c r="HBK692" s="769"/>
      <c r="HBL692" s="769"/>
      <c r="HBM692" s="769"/>
      <c r="HBN692" s="769"/>
      <c r="HBO692" s="769"/>
      <c r="HBP692" s="769"/>
      <c r="HBQ692" s="769"/>
      <c r="HBR692" s="769"/>
      <c r="HBS692" s="769"/>
      <c r="HBT692" s="769"/>
      <c r="HBU692" s="769"/>
      <c r="HBV692" s="769"/>
      <c r="HBW692" s="769"/>
      <c r="HBX692" s="769"/>
      <c r="HBY692" s="769"/>
      <c r="HBZ692" s="769"/>
      <c r="HCA692" s="769"/>
      <c r="HCB692" s="769"/>
      <c r="HCC692" s="769"/>
      <c r="HCD692" s="769"/>
      <c r="HCE692" s="769"/>
      <c r="HCF692" s="769"/>
      <c r="HCG692" s="769"/>
      <c r="HCH692" s="769"/>
      <c r="HCI692" s="769"/>
      <c r="HCJ692" s="769"/>
      <c r="HCK692" s="769"/>
      <c r="HCL692" s="769"/>
      <c r="HCM692" s="769"/>
      <c r="HCN692" s="769"/>
      <c r="HCO692" s="769"/>
      <c r="HCP692" s="769"/>
      <c r="HCQ692" s="769"/>
      <c r="HCR692" s="769"/>
      <c r="HCS692" s="769"/>
      <c r="HCT692" s="769"/>
      <c r="HCU692" s="769"/>
      <c r="HCV692" s="769"/>
      <c r="HCW692" s="769"/>
      <c r="HCX692" s="769"/>
      <c r="HCY692" s="769"/>
      <c r="HCZ692" s="769"/>
      <c r="HDA692" s="769"/>
      <c r="HDB692" s="769"/>
      <c r="HDC692" s="769"/>
      <c r="HDD692" s="769"/>
      <c r="HDE692" s="769"/>
      <c r="HDF692" s="769"/>
      <c r="HDG692" s="769"/>
      <c r="HDH692" s="769"/>
      <c r="HDI692" s="769"/>
      <c r="HDJ692" s="769"/>
      <c r="HDK692" s="769"/>
      <c r="HDL692" s="769"/>
      <c r="HDM692" s="769"/>
      <c r="HDN692" s="769"/>
      <c r="HDO692" s="769"/>
      <c r="HDP692" s="769"/>
      <c r="HDQ692" s="769"/>
      <c r="HDR692" s="769"/>
      <c r="HDS692" s="769"/>
      <c r="HDT692" s="769"/>
      <c r="HDU692" s="769"/>
      <c r="HDV692" s="769"/>
      <c r="HDW692" s="769"/>
      <c r="HDX692" s="769"/>
      <c r="HDY692" s="769"/>
      <c r="HDZ692" s="769"/>
      <c r="HEA692" s="769"/>
      <c r="HEB692" s="769"/>
      <c r="HEC692" s="769"/>
      <c r="HED692" s="769"/>
      <c r="HEE692" s="769"/>
      <c r="HEF692" s="769"/>
      <c r="HEG692" s="769"/>
      <c r="HEH692" s="769"/>
      <c r="HEI692" s="769"/>
      <c r="HEJ692" s="769"/>
      <c r="HEK692" s="769"/>
      <c r="HEL692" s="769"/>
      <c r="HEM692" s="769"/>
      <c r="HEN692" s="769"/>
      <c r="HEO692" s="769"/>
      <c r="HEP692" s="769"/>
      <c r="HEQ692" s="769"/>
      <c r="HER692" s="769"/>
      <c r="HES692" s="769"/>
      <c r="HET692" s="769"/>
      <c r="HEU692" s="769"/>
      <c r="HEV692" s="769"/>
      <c r="HEW692" s="769"/>
      <c r="HEX692" s="769"/>
      <c r="HEY692" s="769"/>
      <c r="HEZ692" s="769"/>
      <c r="HFA692" s="769"/>
      <c r="HFB692" s="769"/>
      <c r="HFC692" s="769"/>
      <c r="HFD692" s="769"/>
      <c r="HFE692" s="769"/>
      <c r="HFF692" s="769"/>
      <c r="HFG692" s="769"/>
      <c r="HFH692" s="769"/>
      <c r="HFI692" s="769"/>
      <c r="HFJ692" s="769"/>
      <c r="HFK692" s="769"/>
      <c r="HFL692" s="769"/>
      <c r="HFM692" s="769"/>
      <c r="HFN692" s="769"/>
      <c r="HFO692" s="769"/>
      <c r="HFP692" s="769"/>
      <c r="HFQ692" s="769"/>
      <c r="HFR692" s="769"/>
      <c r="HFS692" s="769"/>
      <c r="HFT692" s="769"/>
      <c r="HFU692" s="769"/>
      <c r="HFV692" s="769"/>
      <c r="HFW692" s="769"/>
      <c r="HFX692" s="769"/>
      <c r="HFY692" s="769"/>
      <c r="HFZ692" s="769"/>
      <c r="HGA692" s="769"/>
      <c r="HGB692" s="769"/>
      <c r="HGC692" s="769"/>
      <c r="HGD692" s="769"/>
      <c r="HGE692" s="769"/>
      <c r="HGF692" s="769"/>
      <c r="HGG692" s="769"/>
      <c r="HGH692" s="769"/>
      <c r="HGI692" s="769"/>
      <c r="HGJ692" s="769"/>
      <c r="HGK692" s="769"/>
      <c r="HGL692" s="769"/>
      <c r="HGM692" s="769"/>
      <c r="HGN692" s="769"/>
      <c r="HGO692" s="769"/>
      <c r="HGP692" s="769"/>
      <c r="HGQ692" s="769"/>
      <c r="HGR692" s="769"/>
      <c r="HGS692" s="769"/>
      <c r="HGT692" s="769"/>
      <c r="HGU692" s="769"/>
      <c r="HGV692" s="769"/>
      <c r="HGW692" s="769"/>
      <c r="HGX692" s="769"/>
      <c r="HGY692" s="769"/>
      <c r="HGZ692" s="769"/>
      <c r="HHA692" s="769"/>
      <c r="HHB692" s="769"/>
      <c r="HHC692" s="769"/>
      <c r="HHD692" s="769"/>
      <c r="HHE692" s="769"/>
      <c r="HHF692" s="769"/>
      <c r="HHG692" s="769"/>
      <c r="HHH692" s="769"/>
      <c r="HHI692" s="769"/>
      <c r="HHJ692" s="769"/>
      <c r="HHK692" s="769"/>
      <c r="HHL692" s="769"/>
      <c r="HHM692" s="769"/>
      <c r="HHN692" s="769"/>
      <c r="HHO692" s="769"/>
      <c r="HHP692" s="769"/>
      <c r="HHQ692" s="769"/>
      <c r="HHR692" s="769"/>
      <c r="HHS692" s="769"/>
      <c r="HHT692" s="769"/>
      <c r="HHU692" s="769"/>
      <c r="HHV692" s="769"/>
      <c r="HHW692" s="769"/>
      <c r="HHX692" s="769"/>
      <c r="HHY692" s="769"/>
      <c r="HHZ692" s="769"/>
      <c r="HIA692" s="769"/>
      <c r="HIB692" s="769"/>
      <c r="HIC692" s="769"/>
      <c r="HID692" s="769"/>
      <c r="HIE692" s="769"/>
      <c r="HIF692" s="769"/>
      <c r="HIG692" s="769"/>
      <c r="HIH692" s="769"/>
      <c r="HII692" s="769"/>
      <c r="HIJ692" s="769"/>
      <c r="HIK692" s="769"/>
      <c r="HIL692" s="769"/>
      <c r="HIM692" s="769"/>
      <c r="HIN692" s="769"/>
      <c r="HIO692" s="769"/>
      <c r="HIP692" s="769"/>
      <c r="HIQ692" s="769"/>
      <c r="HIR692" s="769"/>
      <c r="HIS692" s="769"/>
      <c r="HIT692" s="769"/>
      <c r="HIU692" s="769"/>
      <c r="HIV692" s="769"/>
      <c r="HIW692" s="769"/>
      <c r="HIX692" s="769"/>
      <c r="HIY692" s="769"/>
      <c r="HIZ692" s="769"/>
      <c r="HJA692" s="769"/>
      <c r="HJB692" s="769"/>
      <c r="HJC692" s="769"/>
      <c r="HJD692" s="769"/>
      <c r="HJE692" s="769"/>
      <c r="HJF692" s="769"/>
      <c r="HJG692" s="769"/>
      <c r="HJH692" s="769"/>
      <c r="HJI692" s="769"/>
      <c r="HJJ692" s="769"/>
      <c r="HJK692" s="769"/>
      <c r="HJL692" s="769"/>
      <c r="HJM692" s="769"/>
      <c r="HJN692" s="769"/>
      <c r="HJO692" s="769"/>
      <c r="HJP692" s="769"/>
      <c r="HJQ692" s="769"/>
      <c r="HJR692" s="769"/>
      <c r="HJS692" s="769"/>
      <c r="HJT692" s="769"/>
      <c r="HJU692" s="769"/>
      <c r="HJV692" s="769"/>
      <c r="HJW692" s="769"/>
      <c r="HJX692" s="769"/>
      <c r="HJY692" s="769"/>
      <c r="HJZ692" s="769"/>
      <c r="HKA692" s="769"/>
      <c r="HKB692" s="769"/>
      <c r="HKC692" s="769"/>
      <c r="HKD692" s="769"/>
      <c r="HKE692" s="769"/>
      <c r="HKF692" s="769"/>
      <c r="HKG692" s="769"/>
      <c r="HKH692" s="769"/>
      <c r="HKI692" s="769"/>
      <c r="HKJ692" s="769"/>
      <c r="HKK692" s="769"/>
      <c r="HKL692" s="769"/>
      <c r="HKM692" s="769"/>
      <c r="HKN692" s="769"/>
      <c r="HKO692" s="769"/>
      <c r="HKP692" s="769"/>
      <c r="HKQ692" s="769"/>
      <c r="HKR692" s="769"/>
      <c r="HKS692" s="769"/>
      <c r="HKT692" s="769"/>
      <c r="HKU692" s="769"/>
      <c r="HKV692" s="769"/>
      <c r="HKW692" s="769"/>
      <c r="HKX692" s="769"/>
      <c r="HKY692" s="769"/>
      <c r="HKZ692" s="769"/>
      <c r="HLA692" s="769"/>
      <c r="HLB692" s="769"/>
      <c r="HLC692" s="769"/>
      <c r="HLD692" s="769"/>
      <c r="HLE692" s="769"/>
      <c r="HLF692" s="769"/>
      <c r="HLG692" s="769"/>
      <c r="HLH692" s="769"/>
      <c r="HLI692" s="769"/>
      <c r="HLJ692" s="769"/>
      <c r="HLK692" s="769"/>
      <c r="HLL692" s="769"/>
      <c r="HLM692" s="769"/>
      <c r="HLN692" s="769"/>
      <c r="HLO692" s="769"/>
      <c r="HLP692" s="769"/>
      <c r="HLQ692" s="769"/>
      <c r="HLR692" s="769"/>
      <c r="HLS692" s="769"/>
      <c r="HLT692" s="769"/>
      <c r="HLU692" s="769"/>
      <c r="HLV692" s="769"/>
      <c r="HLW692" s="769"/>
      <c r="HLX692" s="769"/>
      <c r="HLY692" s="769"/>
      <c r="HLZ692" s="769"/>
      <c r="HMA692" s="769"/>
      <c r="HMB692" s="769"/>
      <c r="HMC692" s="769"/>
      <c r="HMD692" s="769"/>
      <c r="HME692" s="769"/>
      <c r="HMF692" s="769"/>
      <c r="HMG692" s="769"/>
      <c r="HMH692" s="769"/>
      <c r="HMI692" s="769"/>
      <c r="HMJ692" s="769"/>
      <c r="HMK692" s="769"/>
      <c r="HML692" s="769"/>
      <c r="HMM692" s="769"/>
      <c r="HMN692" s="769"/>
      <c r="HMO692" s="769"/>
      <c r="HMP692" s="769"/>
      <c r="HMQ692" s="769"/>
      <c r="HMR692" s="769"/>
      <c r="HMS692" s="769"/>
      <c r="HMT692" s="769"/>
      <c r="HMU692" s="769"/>
      <c r="HMV692" s="769"/>
      <c r="HMW692" s="769"/>
      <c r="HMX692" s="769"/>
      <c r="HMY692" s="769"/>
      <c r="HMZ692" s="769"/>
      <c r="HNA692" s="769"/>
      <c r="HNB692" s="769"/>
      <c r="HNC692" s="769"/>
      <c r="HND692" s="769"/>
      <c r="HNE692" s="769"/>
      <c r="HNF692" s="769"/>
      <c r="HNG692" s="769"/>
      <c r="HNH692" s="769"/>
      <c r="HNI692" s="769"/>
      <c r="HNJ692" s="769"/>
      <c r="HNK692" s="769"/>
      <c r="HNL692" s="769"/>
      <c r="HNM692" s="769"/>
      <c r="HNN692" s="769"/>
      <c r="HNO692" s="769"/>
      <c r="HNP692" s="769"/>
      <c r="HNQ692" s="769"/>
      <c r="HNR692" s="769"/>
      <c r="HNS692" s="769"/>
      <c r="HNT692" s="769"/>
      <c r="HNU692" s="769"/>
      <c r="HNV692" s="769"/>
      <c r="HNW692" s="769"/>
      <c r="HNX692" s="769"/>
      <c r="HNY692" s="769"/>
      <c r="HNZ692" s="769"/>
      <c r="HOA692" s="769"/>
      <c r="HOB692" s="769"/>
      <c r="HOC692" s="769"/>
      <c r="HOD692" s="769"/>
      <c r="HOE692" s="769"/>
      <c r="HOF692" s="769"/>
      <c r="HOG692" s="769"/>
      <c r="HOH692" s="769"/>
      <c r="HOI692" s="769"/>
      <c r="HOJ692" s="769"/>
      <c r="HOK692" s="769"/>
      <c r="HOL692" s="769"/>
      <c r="HOM692" s="769"/>
      <c r="HON692" s="769"/>
      <c r="HOO692" s="769"/>
      <c r="HOP692" s="769"/>
      <c r="HOQ692" s="769"/>
      <c r="HOR692" s="769"/>
      <c r="HOS692" s="769"/>
      <c r="HOT692" s="769"/>
      <c r="HOU692" s="769"/>
      <c r="HOV692" s="769"/>
      <c r="HOW692" s="769"/>
      <c r="HOX692" s="769"/>
      <c r="HOY692" s="769"/>
      <c r="HOZ692" s="769"/>
      <c r="HPA692" s="769"/>
      <c r="HPB692" s="769"/>
      <c r="HPC692" s="769"/>
      <c r="HPD692" s="769"/>
      <c r="HPE692" s="769"/>
      <c r="HPF692" s="769"/>
      <c r="HPG692" s="769"/>
      <c r="HPH692" s="769"/>
      <c r="HPI692" s="769"/>
      <c r="HPJ692" s="769"/>
      <c r="HPK692" s="769"/>
      <c r="HPL692" s="769"/>
      <c r="HPM692" s="769"/>
      <c r="HPN692" s="769"/>
      <c r="HPO692" s="769"/>
      <c r="HPP692" s="769"/>
      <c r="HPQ692" s="769"/>
      <c r="HPR692" s="769"/>
      <c r="HPS692" s="769"/>
      <c r="HPT692" s="769"/>
      <c r="HPU692" s="769"/>
      <c r="HPV692" s="769"/>
      <c r="HPW692" s="769"/>
      <c r="HPX692" s="769"/>
      <c r="HPY692" s="769"/>
      <c r="HPZ692" s="769"/>
      <c r="HQA692" s="769"/>
      <c r="HQB692" s="769"/>
      <c r="HQC692" s="769"/>
      <c r="HQD692" s="769"/>
      <c r="HQE692" s="769"/>
      <c r="HQF692" s="769"/>
      <c r="HQG692" s="769"/>
      <c r="HQH692" s="769"/>
      <c r="HQI692" s="769"/>
      <c r="HQJ692" s="769"/>
      <c r="HQK692" s="769"/>
      <c r="HQL692" s="769"/>
      <c r="HQM692" s="769"/>
      <c r="HQN692" s="769"/>
      <c r="HQO692" s="769"/>
      <c r="HQP692" s="769"/>
      <c r="HQQ692" s="769"/>
      <c r="HQR692" s="769"/>
      <c r="HQS692" s="769"/>
      <c r="HQT692" s="769"/>
      <c r="HQU692" s="769"/>
      <c r="HQV692" s="769"/>
      <c r="HQW692" s="769"/>
      <c r="HQX692" s="769"/>
      <c r="HQY692" s="769"/>
      <c r="HQZ692" s="769"/>
      <c r="HRA692" s="769"/>
      <c r="HRB692" s="769"/>
      <c r="HRC692" s="769"/>
      <c r="HRD692" s="769"/>
      <c r="HRE692" s="769"/>
      <c r="HRF692" s="769"/>
      <c r="HRG692" s="769"/>
      <c r="HRH692" s="769"/>
      <c r="HRI692" s="769"/>
      <c r="HRJ692" s="769"/>
      <c r="HRK692" s="769"/>
      <c r="HRL692" s="769"/>
      <c r="HRM692" s="769"/>
      <c r="HRN692" s="769"/>
      <c r="HRO692" s="769"/>
      <c r="HRP692" s="769"/>
      <c r="HRQ692" s="769"/>
      <c r="HRR692" s="769"/>
      <c r="HRS692" s="769"/>
      <c r="HRT692" s="769"/>
      <c r="HRU692" s="769"/>
      <c r="HRV692" s="769"/>
      <c r="HRW692" s="769"/>
      <c r="HRX692" s="769"/>
      <c r="HRY692" s="769"/>
      <c r="HRZ692" s="769"/>
      <c r="HSA692" s="769"/>
      <c r="HSB692" s="769"/>
      <c r="HSC692" s="769"/>
      <c r="HSD692" s="769"/>
      <c r="HSE692" s="769"/>
      <c r="HSF692" s="769"/>
      <c r="HSG692" s="769"/>
      <c r="HSH692" s="769"/>
      <c r="HSI692" s="769"/>
      <c r="HSJ692" s="769"/>
      <c r="HSK692" s="769"/>
      <c r="HSL692" s="769"/>
      <c r="HSM692" s="769"/>
      <c r="HSN692" s="769"/>
      <c r="HSO692" s="769"/>
      <c r="HSP692" s="769"/>
      <c r="HSQ692" s="769"/>
      <c r="HSR692" s="769"/>
      <c r="HSS692" s="769"/>
      <c r="HST692" s="769"/>
      <c r="HSU692" s="769"/>
      <c r="HSV692" s="769"/>
      <c r="HSW692" s="769"/>
      <c r="HSX692" s="769"/>
      <c r="HSY692" s="769"/>
      <c r="HSZ692" s="769"/>
      <c r="HTA692" s="769"/>
      <c r="HTB692" s="769"/>
      <c r="HTC692" s="769"/>
      <c r="HTD692" s="769"/>
      <c r="HTE692" s="769"/>
      <c r="HTF692" s="769"/>
      <c r="HTG692" s="769"/>
      <c r="HTH692" s="769"/>
      <c r="HTI692" s="769"/>
      <c r="HTJ692" s="769"/>
      <c r="HTK692" s="769"/>
      <c r="HTL692" s="769"/>
      <c r="HTM692" s="769"/>
      <c r="HTN692" s="769"/>
      <c r="HTO692" s="769"/>
      <c r="HTP692" s="769"/>
      <c r="HTQ692" s="769"/>
      <c r="HTR692" s="769"/>
      <c r="HTS692" s="769"/>
      <c r="HTT692" s="769"/>
      <c r="HTU692" s="769"/>
      <c r="HTV692" s="769"/>
      <c r="HTW692" s="769"/>
      <c r="HTX692" s="769"/>
      <c r="HTY692" s="769"/>
      <c r="HTZ692" s="769"/>
      <c r="HUA692" s="769"/>
      <c r="HUB692" s="769"/>
      <c r="HUC692" s="769"/>
      <c r="HUD692" s="769"/>
      <c r="HUE692" s="769"/>
      <c r="HUF692" s="769"/>
      <c r="HUG692" s="769"/>
      <c r="HUH692" s="769"/>
      <c r="HUI692" s="769"/>
      <c r="HUJ692" s="769"/>
      <c r="HUK692" s="769"/>
      <c r="HUL692" s="769"/>
      <c r="HUM692" s="769"/>
      <c r="HUN692" s="769"/>
      <c r="HUO692" s="769"/>
      <c r="HUP692" s="769"/>
      <c r="HUQ692" s="769"/>
      <c r="HUR692" s="769"/>
      <c r="HUS692" s="769"/>
      <c r="HUT692" s="769"/>
      <c r="HUU692" s="769"/>
      <c r="HUV692" s="769"/>
      <c r="HUW692" s="769"/>
      <c r="HUX692" s="769"/>
      <c r="HUY692" s="769"/>
      <c r="HUZ692" s="769"/>
      <c r="HVA692" s="769"/>
      <c r="HVB692" s="769"/>
      <c r="HVC692" s="769"/>
      <c r="HVD692" s="769"/>
      <c r="HVE692" s="769"/>
      <c r="HVF692" s="769"/>
      <c r="HVG692" s="769"/>
      <c r="HVH692" s="769"/>
      <c r="HVI692" s="769"/>
      <c r="HVJ692" s="769"/>
      <c r="HVK692" s="769"/>
      <c r="HVL692" s="769"/>
      <c r="HVM692" s="769"/>
      <c r="HVN692" s="769"/>
      <c r="HVO692" s="769"/>
      <c r="HVP692" s="769"/>
      <c r="HVQ692" s="769"/>
      <c r="HVR692" s="769"/>
      <c r="HVS692" s="769"/>
      <c r="HVT692" s="769"/>
      <c r="HVU692" s="769"/>
      <c r="HVV692" s="769"/>
      <c r="HVW692" s="769"/>
      <c r="HVX692" s="769"/>
      <c r="HVY692" s="769"/>
      <c r="HVZ692" s="769"/>
      <c r="HWA692" s="769"/>
      <c r="HWB692" s="769"/>
      <c r="HWC692" s="769"/>
      <c r="HWD692" s="769"/>
      <c r="HWE692" s="769"/>
      <c r="HWF692" s="769"/>
      <c r="HWG692" s="769"/>
      <c r="HWH692" s="769"/>
      <c r="HWI692" s="769"/>
      <c r="HWJ692" s="769"/>
      <c r="HWK692" s="769"/>
      <c r="HWL692" s="769"/>
      <c r="HWM692" s="769"/>
      <c r="HWN692" s="769"/>
      <c r="HWO692" s="769"/>
      <c r="HWP692" s="769"/>
      <c r="HWQ692" s="769"/>
      <c r="HWR692" s="769"/>
      <c r="HWS692" s="769"/>
      <c r="HWT692" s="769"/>
      <c r="HWU692" s="769"/>
      <c r="HWV692" s="769"/>
      <c r="HWW692" s="769"/>
      <c r="HWX692" s="769"/>
      <c r="HWY692" s="769"/>
      <c r="HWZ692" s="769"/>
      <c r="HXA692" s="769"/>
      <c r="HXB692" s="769"/>
      <c r="HXC692" s="769"/>
      <c r="HXD692" s="769"/>
      <c r="HXE692" s="769"/>
      <c r="HXF692" s="769"/>
      <c r="HXG692" s="769"/>
      <c r="HXH692" s="769"/>
      <c r="HXI692" s="769"/>
      <c r="HXJ692" s="769"/>
      <c r="HXK692" s="769"/>
      <c r="HXL692" s="769"/>
      <c r="HXM692" s="769"/>
      <c r="HXN692" s="769"/>
      <c r="HXO692" s="769"/>
      <c r="HXP692" s="769"/>
      <c r="HXQ692" s="769"/>
      <c r="HXR692" s="769"/>
      <c r="HXS692" s="769"/>
      <c r="HXT692" s="769"/>
      <c r="HXU692" s="769"/>
      <c r="HXV692" s="769"/>
      <c r="HXW692" s="769"/>
      <c r="HXX692" s="769"/>
      <c r="HXY692" s="769"/>
      <c r="HXZ692" s="769"/>
      <c r="HYA692" s="769"/>
      <c r="HYB692" s="769"/>
      <c r="HYC692" s="769"/>
      <c r="HYD692" s="769"/>
      <c r="HYE692" s="769"/>
      <c r="HYF692" s="769"/>
      <c r="HYG692" s="769"/>
      <c r="HYH692" s="769"/>
      <c r="HYI692" s="769"/>
      <c r="HYJ692" s="769"/>
      <c r="HYK692" s="769"/>
      <c r="HYL692" s="769"/>
      <c r="HYM692" s="769"/>
      <c r="HYN692" s="769"/>
      <c r="HYO692" s="769"/>
      <c r="HYP692" s="769"/>
      <c r="HYQ692" s="769"/>
      <c r="HYR692" s="769"/>
      <c r="HYS692" s="769"/>
      <c r="HYT692" s="769"/>
      <c r="HYU692" s="769"/>
      <c r="HYV692" s="769"/>
      <c r="HYW692" s="769"/>
      <c r="HYX692" s="769"/>
      <c r="HYY692" s="769"/>
      <c r="HYZ692" s="769"/>
      <c r="HZA692" s="769"/>
      <c r="HZB692" s="769"/>
      <c r="HZC692" s="769"/>
      <c r="HZD692" s="769"/>
      <c r="HZE692" s="769"/>
      <c r="HZF692" s="769"/>
      <c r="HZG692" s="769"/>
      <c r="HZH692" s="769"/>
      <c r="HZI692" s="769"/>
      <c r="HZJ692" s="769"/>
      <c r="HZK692" s="769"/>
      <c r="HZL692" s="769"/>
      <c r="HZM692" s="769"/>
      <c r="HZN692" s="769"/>
      <c r="HZO692" s="769"/>
      <c r="HZP692" s="769"/>
      <c r="HZQ692" s="769"/>
      <c r="HZR692" s="769"/>
      <c r="HZS692" s="769"/>
      <c r="HZT692" s="769"/>
      <c r="HZU692" s="769"/>
      <c r="HZV692" s="769"/>
      <c r="HZW692" s="769"/>
      <c r="HZX692" s="769"/>
      <c r="HZY692" s="769"/>
      <c r="HZZ692" s="769"/>
      <c r="IAA692" s="769"/>
      <c r="IAB692" s="769"/>
      <c r="IAC692" s="769"/>
      <c r="IAD692" s="769"/>
      <c r="IAE692" s="769"/>
      <c r="IAF692" s="769"/>
      <c r="IAG692" s="769"/>
      <c r="IAH692" s="769"/>
      <c r="IAI692" s="769"/>
      <c r="IAJ692" s="769"/>
      <c r="IAK692" s="769"/>
      <c r="IAL692" s="769"/>
      <c r="IAM692" s="769"/>
      <c r="IAN692" s="769"/>
      <c r="IAO692" s="769"/>
      <c r="IAP692" s="769"/>
      <c r="IAQ692" s="769"/>
      <c r="IAR692" s="769"/>
      <c r="IAS692" s="769"/>
      <c r="IAT692" s="769"/>
      <c r="IAU692" s="769"/>
      <c r="IAV692" s="769"/>
      <c r="IAW692" s="769"/>
      <c r="IAX692" s="769"/>
      <c r="IAY692" s="769"/>
      <c r="IAZ692" s="769"/>
      <c r="IBA692" s="769"/>
      <c r="IBB692" s="769"/>
      <c r="IBC692" s="769"/>
      <c r="IBD692" s="769"/>
      <c r="IBE692" s="769"/>
      <c r="IBF692" s="769"/>
      <c r="IBG692" s="769"/>
      <c r="IBH692" s="769"/>
      <c r="IBI692" s="769"/>
      <c r="IBJ692" s="769"/>
      <c r="IBK692" s="769"/>
      <c r="IBL692" s="769"/>
      <c r="IBM692" s="769"/>
      <c r="IBN692" s="769"/>
      <c r="IBO692" s="769"/>
      <c r="IBP692" s="769"/>
      <c r="IBQ692" s="769"/>
      <c r="IBR692" s="769"/>
      <c r="IBS692" s="769"/>
      <c r="IBT692" s="769"/>
      <c r="IBU692" s="769"/>
      <c r="IBV692" s="769"/>
      <c r="IBW692" s="769"/>
      <c r="IBX692" s="769"/>
      <c r="IBY692" s="769"/>
      <c r="IBZ692" s="769"/>
      <c r="ICA692" s="769"/>
      <c r="ICB692" s="769"/>
      <c r="ICC692" s="769"/>
      <c r="ICD692" s="769"/>
      <c r="ICE692" s="769"/>
      <c r="ICF692" s="769"/>
      <c r="ICG692" s="769"/>
      <c r="ICH692" s="769"/>
      <c r="ICI692" s="769"/>
      <c r="ICJ692" s="769"/>
      <c r="ICK692" s="769"/>
      <c r="ICL692" s="769"/>
      <c r="ICM692" s="769"/>
      <c r="ICN692" s="769"/>
      <c r="ICO692" s="769"/>
      <c r="ICP692" s="769"/>
      <c r="ICQ692" s="769"/>
      <c r="ICR692" s="769"/>
      <c r="ICS692" s="769"/>
      <c r="ICT692" s="769"/>
      <c r="ICU692" s="769"/>
      <c r="ICV692" s="769"/>
      <c r="ICW692" s="769"/>
      <c r="ICX692" s="769"/>
      <c r="ICY692" s="769"/>
      <c r="ICZ692" s="769"/>
      <c r="IDA692" s="769"/>
      <c r="IDB692" s="769"/>
      <c r="IDC692" s="769"/>
      <c r="IDD692" s="769"/>
      <c r="IDE692" s="769"/>
      <c r="IDF692" s="769"/>
      <c r="IDG692" s="769"/>
      <c r="IDH692" s="769"/>
      <c r="IDI692" s="769"/>
      <c r="IDJ692" s="769"/>
      <c r="IDK692" s="769"/>
      <c r="IDL692" s="769"/>
      <c r="IDM692" s="769"/>
      <c r="IDN692" s="769"/>
      <c r="IDO692" s="769"/>
      <c r="IDP692" s="769"/>
      <c r="IDQ692" s="769"/>
      <c r="IDR692" s="769"/>
      <c r="IDS692" s="769"/>
      <c r="IDT692" s="769"/>
      <c r="IDU692" s="769"/>
      <c r="IDV692" s="769"/>
      <c r="IDW692" s="769"/>
      <c r="IDX692" s="769"/>
      <c r="IDY692" s="769"/>
      <c r="IDZ692" s="769"/>
      <c r="IEA692" s="769"/>
      <c r="IEB692" s="769"/>
      <c r="IEC692" s="769"/>
      <c r="IED692" s="769"/>
      <c r="IEE692" s="769"/>
      <c r="IEF692" s="769"/>
      <c r="IEG692" s="769"/>
      <c r="IEH692" s="769"/>
      <c r="IEI692" s="769"/>
      <c r="IEJ692" s="769"/>
      <c r="IEK692" s="769"/>
      <c r="IEL692" s="769"/>
      <c r="IEM692" s="769"/>
      <c r="IEN692" s="769"/>
      <c r="IEO692" s="769"/>
      <c r="IEP692" s="769"/>
      <c r="IEQ692" s="769"/>
      <c r="IER692" s="769"/>
      <c r="IES692" s="769"/>
      <c r="IET692" s="769"/>
      <c r="IEU692" s="769"/>
      <c r="IEV692" s="769"/>
      <c r="IEW692" s="769"/>
      <c r="IEX692" s="769"/>
      <c r="IEY692" s="769"/>
      <c r="IEZ692" s="769"/>
      <c r="IFA692" s="769"/>
      <c r="IFB692" s="769"/>
      <c r="IFC692" s="769"/>
      <c r="IFD692" s="769"/>
      <c r="IFE692" s="769"/>
      <c r="IFF692" s="769"/>
      <c r="IFG692" s="769"/>
      <c r="IFH692" s="769"/>
      <c r="IFI692" s="769"/>
      <c r="IFJ692" s="769"/>
      <c r="IFK692" s="769"/>
      <c r="IFL692" s="769"/>
      <c r="IFM692" s="769"/>
      <c r="IFN692" s="769"/>
      <c r="IFO692" s="769"/>
      <c r="IFP692" s="769"/>
      <c r="IFQ692" s="769"/>
      <c r="IFR692" s="769"/>
      <c r="IFS692" s="769"/>
      <c r="IFT692" s="769"/>
      <c r="IFU692" s="769"/>
      <c r="IFV692" s="769"/>
      <c r="IFW692" s="769"/>
      <c r="IFX692" s="769"/>
      <c r="IFY692" s="769"/>
      <c r="IFZ692" s="769"/>
      <c r="IGA692" s="769"/>
      <c r="IGB692" s="769"/>
      <c r="IGC692" s="769"/>
      <c r="IGD692" s="769"/>
      <c r="IGE692" s="769"/>
      <c r="IGF692" s="769"/>
      <c r="IGG692" s="769"/>
      <c r="IGH692" s="769"/>
      <c r="IGI692" s="769"/>
      <c r="IGJ692" s="769"/>
      <c r="IGK692" s="769"/>
      <c r="IGL692" s="769"/>
      <c r="IGM692" s="769"/>
      <c r="IGN692" s="769"/>
      <c r="IGO692" s="769"/>
      <c r="IGP692" s="769"/>
      <c r="IGQ692" s="769"/>
      <c r="IGR692" s="769"/>
      <c r="IGS692" s="769"/>
      <c r="IGT692" s="769"/>
      <c r="IGU692" s="769"/>
      <c r="IGV692" s="769"/>
      <c r="IGW692" s="769"/>
      <c r="IGX692" s="769"/>
      <c r="IGY692" s="769"/>
      <c r="IGZ692" s="769"/>
      <c r="IHA692" s="769"/>
      <c r="IHB692" s="769"/>
      <c r="IHC692" s="769"/>
      <c r="IHD692" s="769"/>
      <c r="IHE692" s="769"/>
      <c r="IHF692" s="769"/>
      <c r="IHG692" s="769"/>
      <c r="IHH692" s="769"/>
      <c r="IHI692" s="769"/>
      <c r="IHJ692" s="769"/>
      <c r="IHK692" s="769"/>
      <c r="IHL692" s="769"/>
      <c r="IHM692" s="769"/>
      <c r="IHN692" s="769"/>
      <c r="IHO692" s="769"/>
      <c r="IHP692" s="769"/>
      <c r="IHQ692" s="769"/>
      <c r="IHR692" s="769"/>
      <c r="IHS692" s="769"/>
      <c r="IHT692" s="769"/>
      <c r="IHU692" s="769"/>
      <c r="IHV692" s="769"/>
      <c r="IHW692" s="769"/>
      <c r="IHX692" s="769"/>
      <c r="IHY692" s="769"/>
      <c r="IHZ692" s="769"/>
      <c r="IIA692" s="769"/>
      <c r="IIB692" s="769"/>
      <c r="IIC692" s="769"/>
      <c r="IID692" s="769"/>
      <c r="IIE692" s="769"/>
      <c r="IIF692" s="769"/>
      <c r="IIG692" s="769"/>
      <c r="IIH692" s="769"/>
      <c r="III692" s="769"/>
      <c r="IIJ692" s="769"/>
      <c r="IIK692" s="769"/>
      <c r="IIL692" s="769"/>
      <c r="IIM692" s="769"/>
      <c r="IIN692" s="769"/>
      <c r="IIO692" s="769"/>
      <c r="IIP692" s="769"/>
      <c r="IIQ692" s="769"/>
      <c r="IIR692" s="769"/>
      <c r="IIS692" s="769"/>
      <c r="IIT692" s="769"/>
      <c r="IIU692" s="769"/>
      <c r="IIV692" s="769"/>
      <c r="IIW692" s="769"/>
      <c r="IIX692" s="769"/>
      <c r="IIY692" s="769"/>
      <c r="IIZ692" s="769"/>
      <c r="IJA692" s="769"/>
      <c r="IJB692" s="769"/>
      <c r="IJC692" s="769"/>
      <c r="IJD692" s="769"/>
      <c r="IJE692" s="769"/>
      <c r="IJF692" s="769"/>
      <c r="IJG692" s="769"/>
      <c r="IJH692" s="769"/>
      <c r="IJI692" s="769"/>
      <c r="IJJ692" s="769"/>
      <c r="IJK692" s="769"/>
      <c r="IJL692" s="769"/>
      <c r="IJM692" s="769"/>
      <c r="IJN692" s="769"/>
      <c r="IJO692" s="769"/>
      <c r="IJP692" s="769"/>
      <c r="IJQ692" s="769"/>
      <c r="IJR692" s="769"/>
      <c r="IJS692" s="769"/>
      <c r="IJT692" s="769"/>
      <c r="IJU692" s="769"/>
      <c r="IJV692" s="769"/>
      <c r="IJW692" s="769"/>
      <c r="IJX692" s="769"/>
      <c r="IJY692" s="769"/>
      <c r="IJZ692" s="769"/>
      <c r="IKA692" s="769"/>
      <c r="IKB692" s="769"/>
      <c r="IKC692" s="769"/>
      <c r="IKD692" s="769"/>
      <c r="IKE692" s="769"/>
      <c r="IKF692" s="769"/>
      <c r="IKG692" s="769"/>
      <c r="IKH692" s="769"/>
      <c r="IKI692" s="769"/>
      <c r="IKJ692" s="769"/>
      <c r="IKK692" s="769"/>
      <c r="IKL692" s="769"/>
      <c r="IKM692" s="769"/>
      <c r="IKN692" s="769"/>
      <c r="IKO692" s="769"/>
      <c r="IKP692" s="769"/>
      <c r="IKQ692" s="769"/>
      <c r="IKR692" s="769"/>
      <c r="IKS692" s="769"/>
      <c r="IKT692" s="769"/>
      <c r="IKU692" s="769"/>
      <c r="IKV692" s="769"/>
      <c r="IKW692" s="769"/>
      <c r="IKX692" s="769"/>
      <c r="IKY692" s="769"/>
      <c r="IKZ692" s="769"/>
      <c r="ILA692" s="769"/>
      <c r="ILB692" s="769"/>
      <c r="ILC692" s="769"/>
      <c r="ILD692" s="769"/>
      <c r="ILE692" s="769"/>
      <c r="ILF692" s="769"/>
      <c r="ILG692" s="769"/>
      <c r="ILH692" s="769"/>
      <c r="ILI692" s="769"/>
      <c r="ILJ692" s="769"/>
      <c r="ILK692" s="769"/>
      <c r="ILL692" s="769"/>
      <c r="ILM692" s="769"/>
      <c r="ILN692" s="769"/>
      <c r="ILO692" s="769"/>
      <c r="ILP692" s="769"/>
      <c r="ILQ692" s="769"/>
      <c r="ILR692" s="769"/>
      <c r="ILS692" s="769"/>
      <c r="ILT692" s="769"/>
      <c r="ILU692" s="769"/>
      <c r="ILV692" s="769"/>
      <c r="ILW692" s="769"/>
      <c r="ILX692" s="769"/>
      <c r="ILY692" s="769"/>
      <c r="ILZ692" s="769"/>
      <c r="IMA692" s="769"/>
      <c r="IMB692" s="769"/>
      <c r="IMC692" s="769"/>
      <c r="IMD692" s="769"/>
      <c r="IME692" s="769"/>
      <c r="IMF692" s="769"/>
      <c r="IMG692" s="769"/>
      <c r="IMH692" s="769"/>
      <c r="IMI692" s="769"/>
      <c r="IMJ692" s="769"/>
      <c r="IMK692" s="769"/>
      <c r="IML692" s="769"/>
      <c r="IMM692" s="769"/>
      <c r="IMN692" s="769"/>
      <c r="IMO692" s="769"/>
      <c r="IMP692" s="769"/>
      <c r="IMQ692" s="769"/>
      <c r="IMR692" s="769"/>
      <c r="IMS692" s="769"/>
      <c r="IMT692" s="769"/>
      <c r="IMU692" s="769"/>
      <c r="IMV692" s="769"/>
      <c r="IMW692" s="769"/>
      <c r="IMX692" s="769"/>
      <c r="IMY692" s="769"/>
      <c r="IMZ692" s="769"/>
      <c r="INA692" s="769"/>
      <c r="INB692" s="769"/>
      <c r="INC692" s="769"/>
      <c r="IND692" s="769"/>
      <c r="INE692" s="769"/>
      <c r="INF692" s="769"/>
      <c r="ING692" s="769"/>
      <c r="INH692" s="769"/>
      <c r="INI692" s="769"/>
      <c r="INJ692" s="769"/>
      <c r="INK692" s="769"/>
      <c r="INL692" s="769"/>
      <c r="INM692" s="769"/>
      <c r="INN692" s="769"/>
      <c r="INO692" s="769"/>
      <c r="INP692" s="769"/>
      <c r="INQ692" s="769"/>
      <c r="INR692" s="769"/>
      <c r="INS692" s="769"/>
      <c r="INT692" s="769"/>
      <c r="INU692" s="769"/>
      <c r="INV692" s="769"/>
      <c r="INW692" s="769"/>
      <c r="INX692" s="769"/>
      <c r="INY692" s="769"/>
      <c r="INZ692" s="769"/>
      <c r="IOA692" s="769"/>
      <c r="IOB692" s="769"/>
      <c r="IOC692" s="769"/>
      <c r="IOD692" s="769"/>
      <c r="IOE692" s="769"/>
      <c r="IOF692" s="769"/>
      <c r="IOG692" s="769"/>
      <c r="IOH692" s="769"/>
      <c r="IOI692" s="769"/>
      <c r="IOJ692" s="769"/>
      <c r="IOK692" s="769"/>
      <c r="IOL692" s="769"/>
      <c r="IOM692" s="769"/>
      <c r="ION692" s="769"/>
      <c r="IOO692" s="769"/>
      <c r="IOP692" s="769"/>
      <c r="IOQ692" s="769"/>
      <c r="IOR692" s="769"/>
      <c r="IOS692" s="769"/>
      <c r="IOT692" s="769"/>
      <c r="IOU692" s="769"/>
      <c r="IOV692" s="769"/>
      <c r="IOW692" s="769"/>
      <c r="IOX692" s="769"/>
      <c r="IOY692" s="769"/>
      <c r="IOZ692" s="769"/>
      <c r="IPA692" s="769"/>
      <c r="IPB692" s="769"/>
      <c r="IPC692" s="769"/>
      <c r="IPD692" s="769"/>
      <c r="IPE692" s="769"/>
      <c r="IPF692" s="769"/>
      <c r="IPG692" s="769"/>
      <c r="IPH692" s="769"/>
      <c r="IPI692" s="769"/>
      <c r="IPJ692" s="769"/>
      <c r="IPK692" s="769"/>
      <c r="IPL692" s="769"/>
      <c r="IPM692" s="769"/>
      <c r="IPN692" s="769"/>
      <c r="IPO692" s="769"/>
      <c r="IPP692" s="769"/>
      <c r="IPQ692" s="769"/>
      <c r="IPR692" s="769"/>
      <c r="IPS692" s="769"/>
      <c r="IPT692" s="769"/>
      <c r="IPU692" s="769"/>
      <c r="IPV692" s="769"/>
      <c r="IPW692" s="769"/>
      <c r="IPX692" s="769"/>
      <c r="IPY692" s="769"/>
      <c r="IPZ692" s="769"/>
      <c r="IQA692" s="769"/>
      <c r="IQB692" s="769"/>
      <c r="IQC692" s="769"/>
      <c r="IQD692" s="769"/>
      <c r="IQE692" s="769"/>
      <c r="IQF692" s="769"/>
      <c r="IQG692" s="769"/>
      <c r="IQH692" s="769"/>
      <c r="IQI692" s="769"/>
      <c r="IQJ692" s="769"/>
      <c r="IQK692" s="769"/>
      <c r="IQL692" s="769"/>
      <c r="IQM692" s="769"/>
      <c r="IQN692" s="769"/>
      <c r="IQO692" s="769"/>
      <c r="IQP692" s="769"/>
      <c r="IQQ692" s="769"/>
      <c r="IQR692" s="769"/>
      <c r="IQS692" s="769"/>
      <c r="IQT692" s="769"/>
      <c r="IQU692" s="769"/>
      <c r="IQV692" s="769"/>
      <c r="IQW692" s="769"/>
      <c r="IQX692" s="769"/>
      <c r="IQY692" s="769"/>
      <c r="IQZ692" s="769"/>
      <c r="IRA692" s="769"/>
      <c r="IRB692" s="769"/>
      <c r="IRC692" s="769"/>
      <c r="IRD692" s="769"/>
      <c r="IRE692" s="769"/>
      <c r="IRF692" s="769"/>
      <c r="IRG692" s="769"/>
      <c r="IRH692" s="769"/>
      <c r="IRI692" s="769"/>
      <c r="IRJ692" s="769"/>
      <c r="IRK692" s="769"/>
      <c r="IRL692" s="769"/>
      <c r="IRM692" s="769"/>
      <c r="IRN692" s="769"/>
      <c r="IRO692" s="769"/>
      <c r="IRP692" s="769"/>
      <c r="IRQ692" s="769"/>
      <c r="IRR692" s="769"/>
      <c r="IRS692" s="769"/>
      <c r="IRT692" s="769"/>
      <c r="IRU692" s="769"/>
      <c r="IRV692" s="769"/>
      <c r="IRW692" s="769"/>
      <c r="IRX692" s="769"/>
      <c r="IRY692" s="769"/>
      <c r="IRZ692" s="769"/>
      <c r="ISA692" s="769"/>
      <c r="ISB692" s="769"/>
      <c r="ISC692" s="769"/>
      <c r="ISD692" s="769"/>
      <c r="ISE692" s="769"/>
      <c r="ISF692" s="769"/>
      <c r="ISG692" s="769"/>
      <c r="ISH692" s="769"/>
      <c r="ISI692" s="769"/>
      <c r="ISJ692" s="769"/>
      <c r="ISK692" s="769"/>
      <c r="ISL692" s="769"/>
      <c r="ISM692" s="769"/>
      <c r="ISN692" s="769"/>
      <c r="ISO692" s="769"/>
      <c r="ISP692" s="769"/>
      <c r="ISQ692" s="769"/>
      <c r="ISR692" s="769"/>
      <c r="ISS692" s="769"/>
      <c r="IST692" s="769"/>
      <c r="ISU692" s="769"/>
      <c r="ISV692" s="769"/>
      <c r="ISW692" s="769"/>
      <c r="ISX692" s="769"/>
      <c r="ISY692" s="769"/>
      <c r="ISZ692" s="769"/>
      <c r="ITA692" s="769"/>
      <c r="ITB692" s="769"/>
      <c r="ITC692" s="769"/>
      <c r="ITD692" s="769"/>
      <c r="ITE692" s="769"/>
      <c r="ITF692" s="769"/>
      <c r="ITG692" s="769"/>
      <c r="ITH692" s="769"/>
      <c r="ITI692" s="769"/>
      <c r="ITJ692" s="769"/>
      <c r="ITK692" s="769"/>
      <c r="ITL692" s="769"/>
      <c r="ITM692" s="769"/>
      <c r="ITN692" s="769"/>
      <c r="ITO692" s="769"/>
      <c r="ITP692" s="769"/>
      <c r="ITQ692" s="769"/>
      <c r="ITR692" s="769"/>
      <c r="ITS692" s="769"/>
      <c r="ITT692" s="769"/>
      <c r="ITU692" s="769"/>
      <c r="ITV692" s="769"/>
      <c r="ITW692" s="769"/>
      <c r="ITX692" s="769"/>
      <c r="ITY692" s="769"/>
      <c r="ITZ692" s="769"/>
      <c r="IUA692" s="769"/>
      <c r="IUB692" s="769"/>
      <c r="IUC692" s="769"/>
      <c r="IUD692" s="769"/>
      <c r="IUE692" s="769"/>
      <c r="IUF692" s="769"/>
      <c r="IUG692" s="769"/>
      <c r="IUH692" s="769"/>
      <c r="IUI692" s="769"/>
      <c r="IUJ692" s="769"/>
      <c r="IUK692" s="769"/>
      <c r="IUL692" s="769"/>
      <c r="IUM692" s="769"/>
      <c r="IUN692" s="769"/>
      <c r="IUO692" s="769"/>
      <c r="IUP692" s="769"/>
      <c r="IUQ692" s="769"/>
      <c r="IUR692" s="769"/>
      <c r="IUS692" s="769"/>
      <c r="IUT692" s="769"/>
      <c r="IUU692" s="769"/>
      <c r="IUV692" s="769"/>
      <c r="IUW692" s="769"/>
      <c r="IUX692" s="769"/>
      <c r="IUY692" s="769"/>
      <c r="IUZ692" s="769"/>
      <c r="IVA692" s="769"/>
      <c r="IVB692" s="769"/>
      <c r="IVC692" s="769"/>
      <c r="IVD692" s="769"/>
      <c r="IVE692" s="769"/>
      <c r="IVF692" s="769"/>
      <c r="IVG692" s="769"/>
      <c r="IVH692" s="769"/>
      <c r="IVI692" s="769"/>
      <c r="IVJ692" s="769"/>
      <c r="IVK692" s="769"/>
      <c r="IVL692" s="769"/>
      <c r="IVM692" s="769"/>
      <c r="IVN692" s="769"/>
      <c r="IVO692" s="769"/>
      <c r="IVP692" s="769"/>
      <c r="IVQ692" s="769"/>
      <c r="IVR692" s="769"/>
      <c r="IVS692" s="769"/>
      <c r="IVT692" s="769"/>
      <c r="IVU692" s="769"/>
      <c r="IVV692" s="769"/>
      <c r="IVW692" s="769"/>
      <c r="IVX692" s="769"/>
      <c r="IVY692" s="769"/>
      <c r="IVZ692" s="769"/>
      <c r="IWA692" s="769"/>
      <c r="IWB692" s="769"/>
      <c r="IWC692" s="769"/>
      <c r="IWD692" s="769"/>
      <c r="IWE692" s="769"/>
      <c r="IWF692" s="769"/>
      <c r="IWG692" s="769"/>
      <c r="IWH692" s="769"/>
      <c r="IWI692" s="769"/>
      <c r="IWJ692" s="769"/>
      <c r="IWK692" s="769"/>
      <c r="IWL692" s="769"/>
      <c r="IWM692" s="769"/>
      <c r="IWN692" s="769"/>
      <c r="IWO692" s="769"/>
      <c r="IWP692" s="769"/>
      <c r="IWQ692" s="769"/>
      <c r="IWR692" s="769"/>
      <c r="IWS692" s="769"/>
      <c r="IWT692" s="769"/>
      <c r="IWU692" s="769"/>
      <c r="IWV692" s="769"/>
      <c r="IWW692" s="769"/>
      <c r="IWX692" s="769"/>
      <c r="IWY692" s="769"/>
      <c r="IWZ692" s="769"/>
      <c r="IXA692" s="769"/>
      <c r="IXB692" s="769"/>
      <c r="IXC692" s="769"/>
      <c r="IXD692" s="769"/>
      <c r="IXE692" s="769"/>
      <c r="IXF692" s="769"/>
      <c r="IXG692" s="769"/>
      <c r="IXH692" s="769"/>
      <c r="IXI692" s="769"/>
      <c r="IXJ692" s="769"/>
      <c r="IXK692" s="769"/>
      <c r="IXL692" s="769"/>
      <c r="IXM692" s="769"/>
      <c r="IXN692" s="769"/>
      <c r="IXO692" s="769"/>
      <c r="IXP692" s="769"/>
      <c r="IXQ692" s="769"/>
      <c r="IXR692" s="769"/>
      <c r="IXS692" s="769"/>
      <c r="IXT692" s="769"/>
      <c r="IXU692" s="769"/>
      <c r="IXV692" s="769"/>
      <c r="IXW692" s="769"/>
      <c r="IXX692" s="769"/>
      <c r="IXY692" s="769"/>
      <c r="IXZ692" s="769"/>
      <c r="IYA692" s="769"/>
      <c r="IYB692" s="769"/>
      <c r="IYC692" s="769"/>
      <c r="IYD692" s="769"/>
      <c r="IYE692" s="769"/>
      <c r="IYF692" s="769"/>
      <c r="IYG692" s="769"/>
      <c r="IYH692" s="769"/>
      <c r="IYI692" s="769"/>
      <c r="IYJ692" s="769"/>
      <c r="IYK692" s="769"/>
      <c r="IYL692" s="769"/>
      <c r="IYM692" s="769"/>
      <c r="IYN692" s="769"/>
      <c r="IYO692" s="769"/>
      <c r="IYP692" s="769"/>
      <c r="IYQ692" s="769"/>
      <c r="IYR692" s="769"/>
      <c r="IYS692" s="769"/>
      <c r="IYT692" s="769"/>
      <c r="IYU692" s="769"/>
      <c r="IYV692" s="769"/>
      <c r="IYW692" s="769"/>
      <c r="IYX692" s="769"/>
      <c r="IYY692" s="769"/>
      <c r="IYZ692" s="769"/>
      <c r="IZA692" s="769"/>
      <c r="IZB692" s="769"/>
      <c r="IZC692" s="769"/>
      <c r="IZD692" s="769"/>
      <c r="IZE692" s="769"/>
      <c r="IZF692" s="769"/>
      <c r="IZG692" s="769"/>
      <c r="IZH692" s="769"/>
      <c r="IZI692" s="769"/>
      <c r="IZJ692" s="769"/>
      <c r="IZK692" s="769"/>
      <c r="IZL692" s="769"/>
      <c r="IZM692" s="769"/>
      <c r="IZN692" s="769"/>
      <c r="IZO692" s="769"/>
      <c r="IZP692" s="769"/>
      <c r="IZQ692" s="769"/>
      <c r="IZR692" s="769"/>
      <c r="IZS692" s="769"/>
      <c r="IZT692" s="769"/>
      <c r="IZU692" s="769"/>
      <c r="IZV692" s="769"/>
      <c r="IZW692" s="769"/>
      <c r="IZX692" s="769"/>
      <c r="IZY692" s="769"/>
      <c r="IZZ692" s="769"/>
      <c r="JAA692" s="769"/>
      <c r="JAB692" s="769"/>
      <c r="JAC692" s="769"/>
      <c r="JAD692" s="769"/>
      <c r="JAE692" s="769"/>
      <c r="JAF692" s="769"/>
      <c r="JAG692" s="769"/>
      <c r="JAH692" s="769"/>
      <c r="JAI692" s="769"/>
      <c r="JAJ692" s="769"/>
      <c r="JAK692" s="769"/>
      <c r="JAL692" s="769"/>
      <c r="JAM692" s="769"/>
      <c r="JAN692" s="769"/>
      <c r="JAO692" s="769"/>
      <c r="JAP692" s="769"/>
      <c r="JAQ692" s="769"/>
      <c r="JAR692" s="769"/>
      <c r="JAS692" s="769"/>
      <c r="JAT692" s="769"/>
      <c r="JAU692" s="769"/>
      <c r="JAV692" s="769"/>
      <c r="JAW692" s="769"/>
      <c r="JAX692" s="769"/>
      <c r="JAY692" s="769"/>
      <c r="JAZ692" s="769"/>
      <c r="JBA692" s="769"/>
      <c r="JBB692" s="769"/>
      <c r="JBC692" s="769"/>
      <c r="JBD692" s="769"/>
      <c r="JBE692" s="769"/>
      <c r="JBF692" s="769"/>
      <c r="JBG692" s="769"/>
      <c r="JBH692" s="769"/>
      <c r="JBI692" s="769"/>
      <c r="JBJ692" s="769"/>
      <c r="JBK692" s="769"/>
      <c r="JBL692" s="769"/>
      <c r="JBM692" s="769"/>
      <c r="JBN692" s="769"/>
      <c r="JBO692" s="769"/>
      <c r="JBP692" s="769"/>
      <c r="JBQ692" s="769"/>
      <c r="JBR692" s="769"/>
      <c r="JBS692" s="769"/>
      <c r="JBT692" s="769"/>
      <c r="JBU692" s="769"/>
      <c r="JBV692" s="769"/>
      <c r="JBW692" s="769"/>
      <c r="JBX692" s="769"/>
      <c r="JBY692" s="769"/>
      <c r="JBZ692" s="769"/>
      <c r="JCA692" s="769"/>
      <c r="JCB692" s="769"/>
      <c r="JCC692" s="769"/>
      <c r="JCD692" s="769"/>
      <c r="JCE692" s="769"/>
      <c r="JCF692" s="769"/>
      <c r="JCG692" s="769"/>
      <c r="JCH692" s="769"/>
      <c r="JCI692" s="769"/>
      <c r="JCJ692" s="769"/>
      <c r="JCK692" s="769"/>
      <c r="JCL692" s="769"/>
      <c r="JCM692" s="769"/>
      <c r="JCN692" s="769"/>
      <c r="JCO692" s="769"/>
      <c r="JCP692" s="769"/>
      <c r="JCQ692" s="769"/>
      <c r="JCR692" s="769"/>
      <c r="JCS692" s="769"/>
      <c r="JCT692" s="769"/>
      <c r="JCU692" s="769"/>
      <c r="JCV692" s="769"/>
      <c r="JCW692" s="769"/>
      <c r="JCX692" s="769"/>
      <c r="JCY692" s="769"/>
      <c r="JCZ692" s="769"/>
      <c r="JDA692" s="769"/>
      <c r="JDB692" s="769"/>
      <c r="JDC692" s="769"/>
      <c r="JDD692" s="769"/>
      <c r="JDE692" s="769"/>
      <c r="JDF692" s="769"/>
      <c r="JDG692" s="769"/>
      <c r="JDH692" s="769"/>
      <c r="JDI692" s="769"/>
      <c r="JDJ692" s="769"/>
      <c r="JDK692" s="769"/>
      <c r="JDL692" s="769"/>
      <c r="JDM692" s="769"/>
      <c r="JDN692" s="769"/>
      <c r="JDO692" s="769"/>
      <c r="JDP692" s="769"/>
      <c r="JDQ692" s="769"/>
      <c r="JDR692" s="769"/>
      <c r="JDS692" s="769"/>
      <c r="JDT692" s="769"/>
      <c r="JDU692" s="769"/>
      <c r="JDV692" s="769"/>
      <c r="JDW692" s="769"/>
      <c r="JDX692" s="769"/>
      <c r="JDY692" s="769"/>
      <c r="JDZ692" s="769"/>
      <c r="JEA692" s="769"/>
      <c r="JEB692" s="769"/>
      <c r="JEC692" s="769"/>
      <c r="JED692" s="769"/>
      <c r="JEE692" s="769"/>
      <c r="JEF692" s="769"/>
      <c r="JEG692" s="769"/>
      <c r="JEH692" s="769"/>
      <c r="JEI692" s="769"/>
      <c r="JEJ692" s="769"/>
      <c r="JEK692" s="769"/>
      <c r="JEL692" s="769"/>
      <c r="JEM692" s="769"/>
      <c r="JEN692" s="769"/>
      <c r="JEO692" s="769"/>
      <c r="JEP692" s="769"/>
      <c r="JEQ692" s="769"/>
      <c r="JER692" s="769"/>
      <c r="JES692" s="769"/>
      <c r="JET692" s="769"/>
      <c r="JEU692" s="769"/>
      <c r="JEV692" s="769"/>
      <c r="JEW692" s="769"/>
      <c r="JEX692" s="769"/>
      <c r="JEY692" s="769"/>
      <c r="JEZ692" s="769"/>
      <c r="JFA692" s="769"/>
      <c r="JFB692" s="769"/>
      <c r="JFC692" s="769"/>
      <c r="JFD692" s="769"/>
      <c r="JFE692" s="769"/>
      <c r="JFF692" s="769"/>
      <c r="JFG692" s="769"/>
      <c r="JFH692" s="769"/>
      <c r="JFI692" s="769"/>
      <c r="JFJ692" s="769"/>
      <c r="JFK692" s="769"/>
      <c r="JFL692" s="769"/>
      <c r="JFM692" s="769"/>
      <c r="JFN692" s="769"/>
      <c r="JFO692" s="769"/>
      <c r="JFP692" s="769"/>
      <c r="JFQ692" s="769"/>
      <c r="JFR692" s="769"/>
      <c r="JFS692" s="769"/>
      <c r="JFT692" s="769"/>
      <c r="JFU692" s="769"/>
      <c r="JFV692" s="769"/>
      <c r="JFW692" s="769"/>
      <c r="JFX692" s="769"/>
      <c r="JFY692" s="769"/>
      <c r="JFZ692" s="769"/>
      <c r="JGA692" s="769"/>
      <c r="JGB692" s="769"/>
      <c r="JGC692" s="769"/>
      <c r="JGD692" s="769"/>
      <c r="JGE692" s="769"/>
      <c r="JGF692" s="769"/>
      <c r="JGG692" s="769"/>
      <c r="JGH692" s="769"/>
      <c r="JGI692" s="769"/>
      <c r="JGJ692" s="769"/>
      <c r="JGK692" s="769"/>
      <c r="JGL692" s="769"/>
      <c r="JGM692" s="769"/>
      <c r="JGN692" s="769"/>
      <c r="JGO692" s="769"/>
      <c r="JGP692" s="769"/>
      <c r="JGQ692" s="769"/>
      <c r="JGR692" s="769"/>
      <c r="JGS692" s="769"/>
      <c r="JGT692" s="769"/>
      <c r="JGU692" s="769"/>
      <c r="JGV692" s="769"/>
      <c r="JGW692" s="769"/>
      <c r="JGX692" s="769"/>
      <c r="JGY692" s="769"/>
      <c r="JGZ692" s="769"/>
      <c r="JHA692" s="769"/>
      <c r="JHB692" s="769"/>
      <c r="JHC692" s="769"/>
      <c r="JHD692" s="769"/>
      <c r="JHE692" s="769"/>
      <c r="JHF692" s="769"/>
      <c r="JHG692" s="769"/>
      <c r="JHH692" s="769"/>
      <c r="JHI692" s="769"/>
      <c r="JHJ692" s="769"/>
      <c r="JHK692" s="769"/>
      <c r="JHL692" s="769"/>
      <c r="JHM692" s="769"/>
      <c r="JHN692" s="769"/>
      <c r="JHO692" s="769"/>
      <c r="JHP692" s="769"/>
      <c r="JHQ692" s="769"/>
      <c r="JHR692" s="769"/>
      <c r="JHS692" s="769"/>
      <c r="JHT692" s="769"/>
      <c r="JHU692" s="769"/>
      <c r="JHV692" s="769"/>
      <c r="JHW692" s="769"/>
      <c r="JHX692" s="769"/>
      <c r="JHY692" s="769"/>
      <c r="JHZ692" s="769"/>
      <c r="JIA692" s="769"/>
      <c r="JIB692" s="769"/>
      <c r="JIC692" s="769"/>
      <c r="JID692" s="769"/>
      <c r="JIE692" s="769"/>
      <c r="JIF692" s="769"/>
      <c r="JIG692" s="769"/>
      <c r="JIH692" s="769"/>
      <c r="JII692" s="769"/>
      <c r="JIJ692" s="769"/>
      <c r="JIK692" s="769"/>
      <c r="JIL692" s="769"/>
      <c r="JIM692" s="769"/>
      <c r="JIN692" s="769"/>
      <c r="JIO692" s="769"/>
      <c r="JIP692" s="769"/>
      <c r="JIQ692" s="769"/>
      <c r="JIR692" s="769"/>
      <c r="JIS692" s="769"/>
      <c r="JIT692" s="769"/>
      <c r="JIU692" s="769"/>
      <c r="JIV692" s="769"/>
      <c r="JIW692" s="769"/>
      <c r="JIX692" s="769"/>
      <c r="JIY692" s="769"/>
      <c r="JIZ692" s="769"/>
      <c r="JJA692" s="769"/>
      <c r="JJB692" s="769"/>
      <c r="JJC692" s="769"/>
      <c r="JJD692" s="769"/>
      <c r="JJE692" s="769"/>
      <c r="JJF692" s="769"/>
      <c r="JJG692" s="769"/>
      <c r="JJH692" s="769"/>
      <c r="JJI692" s="769"/>
      <c r="JJJ692" s="769"/>
      <c r="JJK692" s="769"/>
      <c r="JJL692" s="769"/>
      <c r="JJM692" s="769"/>
      <c r="JJN692" s="769"/>
      <c r="JJO692" s="769"/>
      <c r="JJP692" s="769"/>
      <c r="JJQ692" s="769"/>
      <c r="JJR692" s="769"/>
      <c r="JJS692" s="769"/>
      <c r="JJT692" s="769"/>
      <c r="JJU692" s="769"/>
      <c r="JJV692" s="769"/>
      <c r="JJW692" s="769"/>
      <c r="JJX692" s="769"/>
      <c r="JJY692" s="769"/>
      <c r="JJZ692" s="769"/>
      <c r="JKA692" s="769"/>
      <c r="JKB692" s="769"/>
      <c r="JKC692" s="769"/>
      <c r="JKD692" s="769"/>
      <c r="JKE692" s="769"/>
      <c r="JKF692" s="769"/>
      <c r="JKG692" s="769"/>
      <c r="JKH692" s="769"/>
      <c r="JKI692" s="769"/>
      <c r="JKJ692" s="769"/>
      <c r="JKK692" s="769"/>
      <c r="JKL692" s="769"/>
      <c r="JKM692" s="769"/>
      <c r="JKN692" s="769"/>
      <c r="JKO692" s="769"/>
      <c r="JKP692" s="769"/>
      <c r="JKQ692" s="769"/>
      <c r="JKR692" s="769"/>
      <c r="JKS692" s="769"/>
      <c r="JKT692" s="769"/>
      <c r="JKU692" s="769"/>
      <c r="JKV692" s="769"/>
      <c r="JKW692" s="769"/>
      <c r="JKX692" s="769"/>
      <c r="JKY692" s="769"/>
      <c r="JKZ692" s="769"/>
      <c r="JLA692" s="769"/>
      <c r="JLB692" s="769"/>
      <c r="JLC692" s="769"/>
      <c r="JLD692" s="769"/>
      <c r="JLE692" s="769"/>
      <c r="JLF692" s="769"/>
      <c r="JLG692" s="769"/>
      <c r="JLH692" s="769"/>
      <c r="JLI692" s="769"/>
      <c r="JLJ692" s="769"/>
      <c r="JLK692" s="769"/>
      <c r="JLL692" s="769"/>
      <c r="JLM692" s="769"/>
      <c r="JLN692" s="769"/>
      <c r="JLO692" s="769"/>
      <c r="JLP692" s="769"/>
      <c r="JLQ692" s="769"/>
      <c r="JLR692" s="769"/>
      <c r="JLS692" s="769"/>
      <c r="JLT692" s="769"/>
      <c r="JLU692" s="769"/>
      <c r="JLV692" s="769"/>
      <c r="JLW692" s="769"/>
      <c r="JLX692" s="769"/>
      <c r="JLY692" s="769"/>
      <c r="JLZ692" s="769"/>
      <c r="JMA692" s="769"/>
      <c r="JMB692" s="769"/>
      <c r="JMC692" s="769"/>
      <c r="JMD692" s="769"/>
      <c r="JME692" s="769"/>
      <c r="JMF692" s="769"/>
      <c r="JMG692" s="769"/>
      <c r="JMH692" s="769"/>
      <c r="JMI692" s="769"/>
      <c r="JMJ692" s="769"/>
      <c r="JMK692" s="769"/>
      <c r="JML692" s="769"/>
      <c r="JMM692" s="769"/>
      <c r="JMN692" s="769"/>
      <c r="JMO692" s="769"/>
      <c r="JMP692" s="769"/>
      <c r="JMQ692" s="769"/>
      <c r="JMR692" s="769"/>
      <c r="JMS692" s="769"/>
      <c r="JMT692" s="769"/>
      <c r="JMU692" s="769"/>
      <c r="JMV692" s="769"/>
      <c r="JMW692" s="769"/>
      <c r="JMX692" s="769"/>
      <c r="JMY692" s="769"/>
      <c r="JMZ692" s="769"/>
      <c r="JNA692" s="769"/>
      <c r="JNB692" s="769"/>
      <c r="JNC692" s="769"/>
      <c r="JND692" s="769"/>
      <c r="JNE692" s="769"/>
      <c r="JNF692" s="769"/>
      <c r="JNG692" s="769"/>
      <c r="JNH692" s="769"/>
      <c r="JNI692" s="769"/>
      <c r="JNJ692" s="769"/>
      <c r="JNK692" s="769"/>
      <c r="JNL692" s="769"/>
      <c r="JNM692" s="769"/>
      <c r="JNN692" s="769"/>
      <c r="JNO692" s="769"/>
      <c r="JNP692" s="769"/>
      <c r="JNQ692" s="769"/>
      <c r="JNR692" s="769"/>
      <c r="JNS692" s="769"/>
      <c r="JNT692" s="769"/>
      <c r="JNU692" s="769"/>
      <c r="JNV692" s="769"/>
      <c r="JNW692" s="769"/>
      <c r="JNX692" s="769"/>
      <c r="JNY692" s="769"/>
      <c r="JNZ692" s="769"/>
      <c r="JOA692" s="769"/>
      <c r="JOB692" s="769"/>
      <c r="JOC692" s="769"/>
      <c r="JOD692" s="769"/>
      <c r="JOE692" s="769"/>
      <c r="JOF692" s="769"/>
      <c r="JOG692" s="769"/>
      <c r="JOH692" s="769"/>
      <c r="JOI692" s="769"/>
      <c r="JOJ692" s="769"/>
      <c r="JOK692" s="769"/>
      <c r="JOL692" s="769"/>
      <c r="JOM692" s="769"/>
      <c r="JON692" s="769"/>
      <c r="JOO692" s="769"/>
      <c r="JOP692" s="769"/>
      <c r="JOQ692" s="769"/>
      <c r="JOR692" s="769"/>
      <c r="JOS692" s="769"/>
      <c r="JOT692" s="769"/>
      <c r="JOU692" s="769"/>
      <c r="JOV692" s="769"/>
      <c r="JOW692" s="769"/>
      <c r="JOX692" s="769"/>
      <c r="JOY692" s="769"/>
      <c r="JOZ692" s="769"/>
      <c r="JPA692" s="769"/>
      <c r="JPB692" s="769"/>
      <c r="JPC692" s="769"/>
      <c r="JPD692" s="769"/>
      <c r="JPE692" s="769"/>
      <c r="JPF692" s="769"/>
      <c r="JPG692" s="769"/>
      <c r="JPH692" s="769"/>
      <c r="JPI692" s="769"/>
      <c r="JPJ692" s="769"/>
      <c r="JPK692" s="769"/>
      <c r="JPL692" s="769"/>
      <c r="JPM692" s="769"/>
      <c r="JPN692" s="769"/>
      <c r="JPO692" s="769"/>
      <c r="JPP692" s="769"/>
      <c r="JPQ692" s="769"/>
      <c r="JPR692" s="769"/>
      <c r="JPS692" s="769"/>
      <c r="JPT692" s="769"/>
      <c r="JPU692" s="769"/>
      <c r="JPV692" s="769"/>
      <c r="JPW692" s="769"/>
      <c r="JPX692" s="769"/>
      <c r="JPY692" s="769"/>
      <c r="JPZ692" s="769"/>
      <c r="JQA692" s="769"/>
      <c r="JQB692" s="769"/>
      <c r="JQC692" s="769"/>
      <c r="JQD692" s="769"/>
      <c r="JQE692" s="769"/>
      <c r="JQF692" s="769"/>
      <c r="JQG692" s="769"/>
      <c r="JQH692" s="769"/>
      <c r="JQI692" s="769"/>
      <c r="JQJ692" s="769"/>
      <c r="JQK692" s="769"/>
      <c r="JQL692" s="769"/>
      <c r="JQM692" s="769"/>
      <c r="JQN692" s="769"/>
      <c r="JQO692" s="769"/>
      <c r="JQP692" s="769"/>
      <c r="JQQ692" s="769"/>
      <c r="JQR692" s="769"/>
      <c r="JQS692" s="769"/>
      <c r="JQT692" s="769"/>
      <c r="JQU692" s="769"/>
      <c r="JQV692" s="769"/>
      <c r="JQW692" s="769"/>
      <c r="JQX692" s="769"/>
      <c r="JQY692" s="769"/>
      <c r="JQZ692" s="769"/>
      <c r="JRA692" s="769"/>
      <c r="JRB692" s="769"/>
      <c r="JRC692" s="769"/>
      <c r="JRD692" s="769"/>
      <c r="JRE692" s="769"/>
      <c r="JRF692" s="769"/>
      <c r="JRG692" s="769"/>
      <c r="JRH692" s="769"/>
      <c r="JRI692" s="769"/>
      <c r="JRJ692" s="769"/>
      <c r="JRK692" s="769"/>
      <c r="JRL692" s="769"/>
      <c r="JRM692" s="769"/>
      <c r="JRN692" s="769"/>
      <c r="JRO692" s="769"/>
      <c r="JRP692" s="769"/>
      <c r="JRQ692" s="769"/>
      <c r="JRR692" s="769"/>
      <c r="JRS692" s="769"/>
      <c r="JRT692" s="769"/>
      <c r="JRU692" s="769"/>
      <c r="JRV692" s="769"/>
      <c r="JRW692" s="769"/>
      <c r="JRX692" s="769"/>
      <c r="JRY692" s="769"/>
      <c r="JRZ692" s="769"/>
      <c r="JSA692" s="769"/>
      <c r="JSB692" s="769"/>
      <c r="JSC692" s="769"/>
      <c r="JSD692" s="769"/>
      <c r="JSE692" s="769"/>
      <c r="JSF692" s="769"/>
      <c r="JSG692" s="769"/>
      <c r="JSH692" s="769"/>
      <c r="JSI692" s="769"/>
      <c r="JSJ692" s="769"/>
      <c r="JSK692" s="769"/>
      <c r="JSL692" s="769"/>
      <c r="JSM692" s="769"/>
      <c r="JSN692" s="769"/>
      <c r="JSO692" s="769"/>
      <c r="JSP692" s="769"/>
      <c r="JSQ692" s="769"/>
      <c r="JSR692" s="769"/>
      <c r="JSS692" s="769"/>
      <c r="JST692" s="769"/>
      <c r="JSU692" s="769"/>
      <c r="JSV692" s="769"/>
      <c r="JSW692" s="769"/>
      <c r="JSX692" s="769"/>
      <c r="JSY692" s="769"/>
      <c r="JSZ692" s="769"/>
      <c r="JTA692" s="769"/>
      <c r="JTB692" s="769"/>
      <c r="JTC692" s="769"/>
      <c r="JTD692" s="769"/>
      <c r="JTE692" s="769"/>
      <c r="JTF692" s="769"/>
      <c r="JTG692" s="769"/>
      <c r="JTH692" s="769"/>
      <c r="JTI692" s="769"/>
      <c r="JTJ692" s="769"/>
      <c r="JTK692" s="769"/>
      <c r="JTL692" s="769"/>
      <c r="JTM692" s="769"/>
      <c r="JTN692" s="769"/>
      <c r="JTO692" s="769"/>
      <c r="JTP692" s="769"/>
      <c r="JTQ692" s="769"/>
      <c r="JTR692" s="769"/>
      <c r="JTS692" s="769"/>
      <c r="JTT692" s="769"/>
      <c r="JTU692" s="769"/>
      <c r="JTV692" s="769"/>
      <c r="JTW692" s="769"/>
      <c r="JTX692" s="769"/>
      <c r="JTY692" s="769"/>
      <c r="JTZ692" s="769"/>
      <c r="JUA692" s="769"/>
      <c r="JUB692" s="769"/>
      <c r="JUC692" s="769"/>
      <c r="JUD692" s="769"/>
      <c r="JUE692" s="769"/>
      <c r="JUF692" s="769"/>
      <c r="JUG692" s="769"/>
      <c r="JUH692" s="769"/>
      <c r="JUI692" s="769"/>
      <c r="JUJ692" s="769"/>
      <c r="JUK692" s="769"/>
      <c r="JUL692" s="769"/>
      <c r="JUM692" s="769"/>
      <c r="JUN692" s="769"/>
      <c r="JUO692" s="769"/>
      <c r="JUP692" s="769"/>
      <c r="JUQ692" s="769"/>
      <c r="JUR692" s="769"/>
      <c r="JUS692" s="769"/>
      <c r="JUT692" s="769"/>
      <c r="JUU692" s="769"/>
      <c r="JUV692" s="769"/>
      <c r="JUW692" s="769"/>
      <c r="JUX692" s="769"/>
      <c r="JUY692" s="769"/>
      <c r="JUZ692" s="769"/>
      <c r="JVA692" s="769"/>
      <c r="JVB692" s="769"/>
      <c r="JVC692" s="769"/>
      <c r="JVD692" s="769"/>
      <c r="JVE692" s="769"/>
      <c r="JVF692" s="769"/>
      <c r="JVG692" s="769"/>
      <c r="JVH692" s="769"/>
      <c r="JVI692" s="769"/>
      <c r="JVJ692" s="769"/>
      <c r="JVK692" s="769"/>
      <c r="JVL692" s="769"/>
      <c r="JVM692" s="769"/>
      <c r="JVN692" s="769"/>
      <c r="JVO692" s="769"/>
      <c r="JVP692" s="769"/>
      <c r="JVQ692" s="769"/>
      <c r="JVR692" s="769"/>
      <c r="JVS692" s="769"/>
      <c r="JVT692" s="769"/>
      <c r="JVU692" s="769"/>
      <c r="JVV692" s="769"/>
      <c r="JVW692" s="769"/>
      <c r="JVX692" s="769"/>
      <c r="JVY692" s="769"/>
      <c r="JVZ692" s="769"/>
      <c r="JWA692" s="769"/>
      <c r="JWB692" s="769"/>
      <c r="JWC692" s="769"/>
      <c r="JWD692" s="769"/>
      <c r="JWE692" s="769"/>
      <c r="JWF692" s="769"/>
      <c r="JWG692" s="769"/>
      <c r="JWH692" s="769"/>
      <c r="JWI692" s="769"/>
      <c r="JWJ692" s="769"/>
      <c r="JWK692" s="769"/>
      <c r="JWL692" s="769"/>
      <c r="JWM692" s="769"/>
      <c r="JWN692" s="769"/>
      <c r="JWO692" s="769"/>
      <c r="JWP692" s="769"/>
      <c r="JWQ692" s="769"/>
      <c r="JWR692" s="769"/>
      <c r="JWS692" s="769"/>
      <c r="JWT692" s="769"/>
      <c r="JWU692" s="769"/>
      <c r="JWV692" s="769"/>
      <c r="JWW692" s="769"/>
      <c r="JWX692" s="769"/>
      <c r="JWY692" s="769"/>
      <c r="JWZ692" s="769"/>
      <c r="JXA692" s="769"/>
      <c r="JXB692" s="769"/>
      <c r="JXC692" s="769"/>
      <c r="JXD692" s="769"/>
      <c r="JXE692" s="769"/>
      <c r="JXF692" s="769"/>
      <c r="JXG692" s="769"/>
      <c r="JXH692" s="769"/>
      <c r="JXI692" s="769"/>
      <c r="JXJ692" s="769"/>
      <c r="JXK692" s="769"/>
      <c r="JXL692" s="769"/>
      <c r="JXM692" s="769"/>
      <c r="JXN692" s="769"/>
      <c r="JXO692" s="769"/>
      <c r="JXP692" s="769"/>
      <c r="JXQ692" s="769"/>
      <c r="JXR692" s="769"/>
      <c r="JXS692" s="769"/>
      <c r="JXT692" s="769"/>
      <c r="JXU692" s="769"/>
      <c r="JXV692" s="769"/>
      <c r="JXW692" s="769"/>
      <c r="JXX692" s="769"/>
      <c r="JXY692" s="769"/>
      <c r="JXZ692" s="769"/>
      <c r="JYA692" s="769"/>
      <c r="JYB692" s="769"/>
      <c r="JYC692" s="769"/>
      <c r="JYD692" s="769"/>
      <c r="JYE692" s="769"/>
      <c r="JYF692" s="769"/>
      <c r="JYG692" s="769"/>
      <c r="JYH692" s="769"/>
      <c r="JYI692" s="769"/>
      <c r="JYJ692" s="769"/>
      <c r="JYK692" s="769"/>
      <c r="JYL692" s="769"/>
      <c r="JYM692" s="769"/>
      <c r="JYN692" s="769"/>
      <c r="JYO692" s="769"/>
      <c r="JYP692" s="769"/>
      <c r="JYQ692" s="769"/>
      <c r="JYR692" s="769"/>
      <c r="JYS692" s="769"/>
      <c r="JYT692" s="769"/>
      <c r="JYU692" s="769"/>
      <c r="JYV692" s="769"/>
      <c r="JYW692" s="769"/>
      <c r="JYX692" s="769"/>
      <c r="JYY692" s="769"/>
      <c r="JYZ692" s="769"/>
      <c r="JZA692" s="769"/>
      <c r="JZB692" s="769"/>
      <c r="JZC692" s="769"/>
      <c r="JZD692" s="769"/>
      <c r="JZE692" s="769"/>
      <c r="JZF692" s="769"/>
      <c r="JZG692" s="769"/>
      <c r="JZH692" s="769"/>
      <c r="JZI692" s="769"/>
      <c r="JZJ692" s="769"/>
      <c r="JZK692" s="769"/>
      <c r="JZL692" s="769"/>
      <c r="JZM692" s="769"/>
      <c r="JZN692" s="769"/>
      <c r="JZO692" s="769"/>
      <c r="JZP692" s="769"/>
      <c r="JZQ692" s="769"/>
      <c r="JZR692" s="769"/>
      <c r="JZS692" s="769"/>
      <c r="JZT692" s="769"/>
      <c r="JZU692" s="769"/>
      <c r="JZV692" s="769"/>
      <c r="JZW692" s="769"/>
      <c r="JZX692" s="769"/>
      <c r="JZY692" s="769"/>
      <c r="JZZ692" s="769"/>
      <c r="KAA692" s="769"/>
      <c r="KAB692" s="769"/>
      <c r="KAC692" s="769"/>
      <c r="KAD692" s="769"/>
      <c r="KAE692" s="769"/>
      <c r="KAF692" s="769"/>
      <c r="KAG692" s="769"/>
      <c r="KAH692" s="769"/>
      <c r="KAI692" s="769"/>
      <c r="KAJ692" s="769"/>
      <c r="KAK692" s="769"/>
      <c r="KAL692" s="769"/>
      <c r="KAM692" s="769"/>
      <c r="KAN692" s="769"/>
      <c r="KAO692" s="769"/>
      <c r="KAP692" s="769"/>
      <c r="KAQ692" s="769"/>
      <c r="KAR692" s="769"/>
      <c r="KAS692" s="769"/>
      <c r="KAT692" s="769"/>
      <c r="KAU692" s="769"/>
      <c r="KAV692" s="769"/>
      <c r="KAW692" s="769"/>
      <c r="KAX692" s="769"/>
      <c r="KAY692" s="769"/>
      <c r="KAZ692" s="769"/>
      <c r="KBA692" s="769"/>
      <c r="KBB692" s="769"/>
      <c r="KBC692" s="769"/>
      <c r="KBD692" s="769"/>
      <c r="KBE692" s="769"/>
      <c r="KBF692" s="769"/>
      <c r="KBG692" s="769"/>
      <c r="KBH692" s="769"/>
      <c r="KBI692" s="769"/>
      <c r="KBJ692" s="769"/>
      <c r="KBK692" s="769"/>
      <c r="KBL692" s="769"/>
      <c r="KBM692" s="769"/>
      <c r="KBN692" s="769"/>
      <c r="KBO692" s="769"/>
      <c r="KBP692" s="769"/>
      <c r="KBQ692" s="769"/>
      <c r="KBR692" s="769"/>
      <c r="KBS692" s="769"/>
      <c r="KBT692" s="769"/>
      <c r="KBU692" s="769"/>
      <c r="KBV692" s="769"/>
      <c r="KBW692" s="769"/>
      <c r="KBX692" s="769"/>
      <c r="KBY692" s="769"/>
      <c r="KBZ692" s="769"/>
      <c r="KCA692" s="769"/>
      <c r="KCB692" s="769"/>
      <c r="KCC692" s="769"/>
      <c r="KCD692" s="769"/>
      <c r="KCE692" s="769"/>
      <c r="KCF692" s="769"/>
      <c r="KCG692" s="769"/>
      <c r="KCH692" s="769"/>
      <c r="KCI692" s="769"/>
      <c r="KCJ692" s="769"/>
      <c r="KCK692" s="769"/>
      <c r="KCL692" s="769"/>
      <c r="KCM692" s="769"/>
      <c r="KCN692" s="769"/>
      <c r="KCO692" s="769"/>
      <c r="KCP692" s="769"/>
      <c r="KCQ692" s="769"/>
      <c r="KCR692" s="769"/>
      <c r="KCS692" s="769"/>
      <c r="KCT692" s="769"/>
      <c r="KCU692" s="769"/>
      <c r="KCV692" s="769"/>
      <c r="KCW692" s="769"/>
      <c r="KCX692" s="769"/>
      <c r="KCY692" s="769"/>
      <c r="KCZ692" s="769"/>
      <c r="KDA692" s="769"/>
      <c r="KDB692" s="769"/>
      <c r="KDC692" s="769"/>
      <c r="KDD692" s="769"/>
      <c r="KDE692" s="769"/>
      <c r="KDF692" s="769"/>
      <c r="KDG692" s="769"/>
      <c r="KDH692" s="769"/>
      <c r="KDI692" s="769"/>
      <c r="KDJ692" s="769"/>
      <c r="KDK692" s="769"/>
      <c r="KDL692" s="769"/>
      <c r="KDM692" s="769"/>
      <c r="KDN692" s="769"/>
      <c r="KDO692" s="769"/>
      <c r="KDP692" s="769"/>
      <c r="KDQ692" s="769"/>
      <c r="KDR692" s="769"/>
      <c r="KDS692" s="769"/>
      <c r="KDT692" s="769"/>
      <c r="KDU692" s="769"/>
      <c r="KDV692" s="769"/>
      <c r="KDW692" s="769"/>
      <c r="KDX692" s="769"/>
      <c r="KDY692" s="769"/>
      <c r="KDZ692" s="769"/>
      <c r="KEA692" s="769"/>
      <c r="KEB692" s="769"/>
      <c r="KEC692" s="769"/>
      <c r="KED692" s="769"/>
      <c r="KEE692" s="769"/>
      <c r="KEF692" s="769"/>
      <c r="KEG692" s="769"/>
      <c r="KEH692" s="769"/>
      <c r="KEI692" s="769"/>
      <c r="KEJ692" s="769"/>
      <c r="KEK692" s="769"/>
      <c r="KEL692" s="769"/>
      <c r="KEM692" s="769"/>
      <c r="KEN692" s="769"/>
      <c r="KEO692" s="769"/>
      <c r="KEP692" s="769"/>
      <c r="KEQ692" s="769"/>
      <c r="KER692" s="769"/>
      <c r="KES692" s="769"/>
      <c r="KET692" s="769"/>
      <c r="KEU692" s="769"/>
      <c r="KEV692" s="769"/>
      <c r="KEW692" s="769"/>
      <c r="KEX692" s="769"/>
      <c r="KEY692" s="769"/>
      <c r="KEZ692" s="769"/>
      <c r="KFA692" s="769"/>
      <c r="KFB692" s="769"/>
      <c r="KFC692" s="769"/>
      <c r="KFD692" s="769"/>
      <c r="KFE692" s="769"/>
      <c r="KFF692" s="769"/>
      <c r="KFG692" s="769"/>
      <c r="KFH692" s="769"/>
      <c r="KFI692" s="769"/>
      <c r="KFJ692" s="769"/>
      <c r="KFK692" s="769"/>
      <c r="KFL692" s="769"/>
      <c r="KFM692" s="769"/>
      <c r="KFN692" s="769"/>
      <c r="KFO692" s="769"/>
      <c r="KFP692" s="769"/>
      <c r="KFQ692" s="769"/>
      <c r="KFR692" s="769"/>
      <c r="KFS692" s="769"/>
      <c r="KFT692" s="769"/>
      <c r="KFU692" s="769"/>
      <c r="KFV692" s="769"/>
      <c r="KFW692" s="769"/>
      <c r="KFX692" s="769"/>
      <c r="KFY692" s="769"/>
      <c r="KFZ692" s="769"/>
      <c r="KGA692" s="769"/>
      <c r="KGB692" s="769"/>
      <c r="KGC692" s="769"/>
      <c r="KGD692" s="769"/>
      <c r="KGE692" s="769"/>
      <c r="KGF692" s="769"/>
      <c r="KGG692" s="769"/>
      <c r="KGH692" s="769"/>
      <c r="KGI692" s="769"/>
      <c r="KGJ692" s="769"/>
      <c r="KGK692" s="769"/>
      <c r="KGL692" s="769"/>
      <c r="KGM692" s="769"/>
      <c r="KGN692" s="769"/>
      <c r="KGO692" s="769"/>
      <c r="KGP692" s="769"/>
      <c r="KGQ692" s="769"/>
      <c r="KGR692" s="769"/>
      <c r="KGS692" s="769"/>
      <c r="KGT692" s="769"/>
      <c r="KGU692" s="769"/>
      <c r="KGV692" s="769"/>
      <c r="KGW692" s="769"/>
      <c r="KGX692" s="769"/>
      <c r="KGY692" s="769"/>
      <c r="KGZ692" s="769"/>
      <c r="KHA692" s="769"/>
      <c r="KHB692" s="769"/>
      <c r="KHC692" s="769"/>
      <c r="KHD692" s="769"/>
      <c r="KHE692" s="769"/>
      <c r="KHF692" s="769"/>
      <c r="KHG692" s="769"/>
      <c r="KHH692" s="769"/>
      <c r="KHI692" s="769"/>
      <c r="KHJ692" s="769"/>
      <c r="KHK692" s="769"/>
      <c r="KHL692" s="769"/>
      <c r="KHM692" s="769"/>
      <c r="KHN692" s="769"/>
      <c r="KHO692" s="769"/>
      <c r="KHP692" s="769"/>
      <c r="KHQ692" s="769"/>
      <c r="KHR692" s="769"/>
      <c r="KHS692" s="769"/>
      <c r="KHT692" s="769"/>
      <c r="KHU692" s="769"/>
      <c r="KHV692" s="769"/>
      <c r="KHW692" s="769"/>
      <c r="KHX692" s="769"/>
      <c r="KHY692" s="769"/>
      <c r="KHZ692" s="769"/>
      <c r="KIA692" s="769"/>
      <c r="KIB692" s="769"/>
      <c r="KIC692" s="769"/>
      <c r="KID692" s="769"/>
      <c r="KIE692" s="769"/>
      <c r="KIF692" s="769"/>
      <c r="KIG692" s="769"/>
      <c r="KIH692" s="769"/>
      <c r="KII692" s="769"/>
      <c r="KIJ692" s="769"/>
      <c r="KIK692" s="769"/>
      <c r="KIL692" s="769"/>
      <c r="KIM692" s="769"/>
      <c r="KIN692" s="769"/>
      <c r="KIO692" s="769"/>
      <c r="KIP692" s="769"/>
      <c r="KIQ692" s="769"/>
      <c r="KIR692" s="769"/>
      <c r="KIS692" s="769"/>
      <c r="KIT692" s="769"/>
      <c r="KIU692" s="769"/>
      <c r="KIV692" s="769"/>
      <c r="KIW692" s="769"/>
      <c r="KIX692" s="769"/>
      <c r="KIY692" s="769"/>
      <c r="KIZ692" s="769"/>
      <c r="KJA692" s="769"/>
      <c r="KJB692" s="769"/>
      <c r="KJC692" s="769"/>
      <c r="KJD692" s="769"/>
      <c r="KJE692" s="769"/>
      <c r="KJF692" s="769"/>
      <c r="KJG692" s="769"/>
      <c r="KJH692" s="769"/>
      <c r="KJI692" s="769"/>
      <c r="KJJ692" s="769"/>
      <c r="KJK692" s="769"/>
      <c r="KJL692" s="769"/>
      <c r="KJM692" s="769"/>
      <c r="KJN692" s="769"/>
      <c r="KJO692" s="769"/>
      <c r="KJP692" s="769"/>
      <c r="KJQ692" s="769"/>
      <c r="KJR692" s="769"/>
      <c r="KJS692" s="769"/>
      <c r="KJT692" s="769"/>
      <c r="KJU692" s="769"/>
      <c r="KJV692" s="769"/>
      <c r="KJW692" s="769"/>
      <c r="KJX692" s="769"/>
      <c r="KJY692" s="769"/>
      <c r="KJZ692" s="769"/>
      <c r="KKA692" s="769"/>
      <c r="KKB692" s="769"/>
      <c r="KKC692" s="769"/>
      <c r="KKD692" s="769"/>
      <c r="KKE692" s="769"/>
      <c r="KKF692" s="769"/>
      <c r="KKG692" s="769"/>
      <c r="KKH692" s="769"/>
      <c r="KKI692" s="769"/>
      <c r="KKJ692" s="769"/>
      <c r="KKK692" s="769"/>
      <c r="KKL692" s="769"/>
      <c r="KKM692" s="769"/>
      <c r="KKN692" s="769"/>
      <c r="KKO692" s="769"/>
      <c r="KKP692" s="769"/>
      <c r="KKQ692" s="769"/>
      <c r="KKR692" s="769"/>
      <c r="KKS692" s="769"/>
      <c r="KKT692" s="769"/>
      <c r="KKU692" s="769"/>
      <c r="KKV692" s="769"/>
      <c r="KKW692" s="769"/>
      <c r="KKX692" s="769"/>
      <c r="KKY692" s="769"/>
      <c r="KKZ692" s="769"/>
      <c r="KLA692" s="769"/>
      <c r="KLB692" s="769"/>
      <c r="KLC692" s="769"/>
      <c r="KLD692" s="769"/>
      <c r="KLE692" s="769"/>
      <c r="KLF692" s="769"/>
      <c r="KLG692" s="769"/>
      <c r="KLH692" s="769"/>
      <c r="KLI692" s="769"/>
      <c r="KLJ692" s="769"/>
      <c r="KLK692" s="769"/>
      <c r="KLL692" s="769"/>
      <c r="KLM692" s="769"/>
      <c r="KLN692" s="769"/>
      <c r="KLO692" s="769"/>
      <c r="KLP692" s="769"/>
      <c r="KLQ692" s="769"/>
      <c r="KLR692" s="769"/>
      <c r="KLS692" s="769"/>
      <c r="KLT692" s="769"/>
      <c r="KLU692" s="769"/>
      <c r="KLV692" s="769"/>
      <c r="KLW692" s="769"/>
      <c r="KLX692" s="769"/>
      <c r="KLY692" s="769"/>
      <c r="KLZ692" s="769"/>
      <c r="KMA692" s="769"/>
      <c r="KMB692" s="769"/>
      <c r="KMC692" s="769"/>
      <c r="KMD692" s="769"/>
      <c r="KME692" s="769"/>
      <c r="KMF692" s="769"/>
      <c r="KMG692" s="769"/>
      <c r="KMH692" s="769"/>
      <c r="KMI692" s="769"/>
      <c r="KMJ692" s="769"/>
      <c r="KMK692" s="769"/>
      <c r="KML692" s="769"/>
      <c r="KMM692" s="769"/>
      <c r="KMN692" s="769"/>
      <c r="KMO692" s="769"/>
      <c r="KMP692" s="769"/>
      <c r="KMQ692" s="769"/>
      <c r="KMR692" s="769"/>
      <c r="KMS692" s="769"/>
      <c r="KMT692" s="769"/>
      <c r="KMU692" s="769"/>
      <c r="KMV692" s="769"/>
      <c r="KMW692" s="769"/>
      <c r="KMX692" s="769"/>
      <c r="KMY692" s="769"/>
      <c r="KMZ692" s="769"/>
      <c r="KNA692" s="769"/>
      <c r="KNB692" s="769"/>
      <c r="KNC692" s="769"/>
      <c r="KND692" s="769"/>
      <c r="KNE692" s="769"/>
      <c r="KNF692" s="769"/>
      <c r="KNG692" s="769"/>
      <c r="KNH692" s="769"/>
      <c r="KNI692" s="769"/>
      <c r="KNJ692" s="769"/>
      <c r="KNK692" s="769"/>
      <c r="KNL692" s="769"/>
      <c r="KNM692" s="769"/>
      <c r="KNN692" s="769"/>
      <c r="KNO692" s="769"/>
      <c r="KNP692" s="769"/>
      <c r="KNQ692" s="769"/>
      <c r="KNR692" s="769"/>
      <c r="KNS692" s="769"/>
      <c r="KNT692" s="769"/>
      <c r="KNU692" s="769"/>
      <c r="KNV692" s="769"/>
      <c r="KNW692" s="769"/>
      <c r="KNX692" s="769"/>
      <c r="KNY692" s="769"/>
      <c r="KNZ692" s="769"/>
      <c r="KOA692" s="769"/>
      <c r="KOB692" s="769"/>
      <c r="KOC692" s="769"/>
      <c r="KOD692" s="769"/>
      <c r="KOE692" s="769"/>
      <c r="KOF692" s="769"/>
      <c r="KOG692" s="769"/>
      <c r="KOH692" s="769"/>
      <c r="KOI692" s="769"/>
      <c r="KOJ692" s="769"/>
      <c r="KOK692" s="769"/>
      <c r="KOL692" s="769"/>
      <c r="KOM692" s="769"/>
      <c r="KON692" s="769"/>
      <c r="KOO692" s="769"/>
      <c r="KOP692" s="769"/>
      <c r="KOQ692" s="769"/>
      <c r="KOR692" s="769"/>
      <c r="KOS692" s="769"/>
      <c r="KOT692" s="769"/>
      <c r="KOU692" s="769"/>
      <c r="KOV692" s="769"/>
      <c r="KOW692" s="769"/>
      <c r="KOX692" s="769"/>
      <c r="KOY692" s="769"/>
      <c r="KOZ692" s="769"/>
      <c r="KPA692" s="769"/>
      <c r="KPB692" s="769"/>
      <c r="KPC692" s="769"/>
      <c r="KPD692" s="769"/>
      <c r="KPE692" s="769"/>
      <c r="KPF692" s="769"/>
      <c r="KPG692" s="769"/>
      <c r="KPH692" s="769"/>
      <c r="KPI692" s="769"/>
      <c r="KPJ692" s="769"/>
      <c r="KPK692" s="769"/>
      <c r="KPL692" s="769"/>
      <c r="KPM692" s="769"/>
      <c r="KPN692" s="769"/>
      <c r="KPO692" s="769"/>
      <c r="KPP692" s="769"/>
      <c r="KPQ692" s="769"/>
      <c r="KPR692" s="769"/>
      <c r="KPS692" s="769"/>
      <c r="KPT692" s="769"/>
      <c r="KPU692" s="769"/>
      <c r="KPV692" s="769"/>
      <c r="KPW692" s="769"/>
      <c r="KPX692" s="769"/>
      <c r="KPY692" s="769"/>
      <c r="KPZ692" s="769"/>
      <c r="KQA692" s="769"/>
      <c r="KQB692" s="769"/>
      <c r="KQC692" s="769"/>
      <c r="KQD692" s="769"/>
      <c r="KQE692" s="769"/>
      <c r="KQF692" s="769"/>
      <c r="KQG692" s="769"/>
      <c r="KQH692" s="769"/>
      <c r="KQI692" s="769"/>
      <c r="KQJ692" s="769"/>
      <c r="KQK692" s="769"/>
      <c r="KQL692" s="769"/>
      <c r="KQM692" s="769"/>
      <c r="KQN692" s="769"/>
      <c r="KQO692" s="769"/>
      <c r="KQP692" s="769"/>
      <c r="KQQ692" s="769"/>
      <c r="KQR692" s="769"/>
      <c r="KQS692" s="769"/>
      <c r="KQT692" s="769"/>
      <c r="KQU692" s="769"/>
      <c r="KQV692" s="769"/>
      <c r="KQW692" s="769"/>
      <c r="KQX692" s="769"/>
      <c r="KQY692" s="769"/>
      <c r="KQZ692" s="769"/>
      <c r="KRA692" s="769"/>
      <c r="KRB692" s="769"/>
      <c r="KRC692" s="769"/>
      <c r="KRD692" s="769"/>
      <c r="KRE692" s="769"/>
      <c r="KRF692" s="769"/>
      <c r="KRG692" s="769"/>
      <c r="KRH692" s="769"/>
      <c r="KRI692" s="769"/>
      <c r="KRJ692" s="769"/>
      <c r="KRK692" s="769"/>
      <c r="KRL692" s="769"/>
      <c r="KRM692" s="769"/>
      <c r="KRN692" s="769"/>
      <c r="KRO692" s="769"/>
      <c r="KRP692" s="769"/>
      <c r="KRQ692" s="769"/>
      <c r="KRR692" s="769"/>
      <c r="KRS692" s="769"/>
      <c r="KRT692" s="769"/>
      <c r="KRU692" s="769"/>
      <c r="KRV692" s="769"/>
      <c r="KRW692" s="769"/>
      <c r="KRX692" s="769"/>
      <c r="KRY692" s="769"/>
      <c r="KRZ692" s="769"/>
      <c r="KSA692" s="769"/>
      <c r="KSB692" s="769"/>
      <c r="KSC692" s="769"/>
      <c r="KSD692" s="769"/>
      <c r="KSE692" s="769"/>
      <c r="KSF692" s="769"/>
      <c r="KSG692" s="769"/>
      <c r="KSH692" s="769"/>
      <c r="KSI692" s="769"/>
      <c r="KSJ692" s="769"/>
      <c r="KSK692" s="769"/>
      <c r="KSL692" s="769"/>
      <c r="KSM692" s="769"/>
      <c r="KSN692" s="769"/>
      <c r="KSO692" s="769"/>
      <c r="KSP692" s="769"/>
      <c r="KSQ692" s="769"/>
      <c r="KSR692" s="769"/>
      <c r="KSS692" s="769"/>
      <c r="KST692" s="769"/>
      <c r="KSU692" s="769"/>
      <c r="KSV692" s="769"/>
      <c r="KSW692" s="769"/>
      <c r="KSX692" s="769"/>
      <c r="KSY692" s="769"/>
      <c r="KSZ692" s="769"/>
      <c r="KTA692" s="769"/>
      <c r="KTB692" s="769"/>
      <c r="KTC692" s="769"/>
      <c r="KTD692" s="769"/>
      <c r="KTE692" s="769"/>
      <c r="KTF692" s="769"/>
      <c r="KTG692" s="769"/>
      <c r="KTH692" s="769"/>
      <c r="KTI692" s="769"/>
      <c r="KTJ692" s="769"/>
      <c r="KTK692" s="769"/>
      <c r="KTL692" s="769"/>
      <c r="KTM692" s="769"/>
      <c r="KTN692" s="769"/>
      <c r="KTO692" s="769"/>
      <c r="KTP692" s="769"/>
      <c r="KTQ692" s="769"/>
      <c r="KTR692" s="769"/>
      <c r="KTS692" s="769"/>
      <c r="KTT692" s="769"/>
      <c r="KTU692" s="769"/>
      <c r="KTV692" s="769"/>
      <c r="KTW692" s="769"/>
      <c r="KTX692" s="769"/>
      <c r="KTY692" s="769"/>
      <c r="KTZ692" s="769"/>
      <c r="KUA692" s="769"/>
      <c r="KUB692" s="769"/>
      <c r="KUC692" s="769"/>
      <c r="KUD692" s="769"/>
      <c r="KUE692" s="769"/>
      <c r="KUF692" s="769"/>
      <c r="KUG692" s="769"/>
      <c r="KUH692" s="769"/>
      <c r="KUI692" s="769"/>
      <c r="KUJ692" s="769"/>
      <c r="KUK692" s="769"/>
      <c r="KUL692" s="769"/>
      <c r="KUM692" s="769"/>
      <c r="KUN692" s="769"/>
      <c r="KUO692" s="769"/>
      <c r="KUP692" s="769"/>
      <c r="KUQ692" s="769"/>
      <c r="KUR692" s="769"/>
      <c r="KUS692" s="769"/>
      <c r="KUT692" s="769"/>
      <c r="KUU692" s="769"/>
      <c r="KUV692" s="769"/>
      <c r="KUW692" s="769"/>
      <c r="KUX692" s="769"/>
      <c r="KUY692" s="769"/>
      <c r="KUZ692" s="769"/>
      <c r="KVA692" s="769"/>
      <c r="KVB692" s="769"/>
      <c r="KVC692" s="769"/>
      <c r="KVD692" s="769"/>
      <c r="KVE692" s="769"/>
      <c r="KVF692" s="769"/>
      <c r="KVG692" s="769"/>
      <c r="KVH692" s="769"/>
      <c r="KVI692" s="769"/>
      <c r="KVJ692" s="769"/>
      <c r="KVK692" s="769"/>
      <c r="KVL692" s="769"/>
      <c r="KVM692" s="769"/>
      <c r="KVN692" s="769"/>
      <c r="KVO692" s="769"/>
      <c r="KVP692" s="769"/>
      <c r="KVQ692" s="769"/>
      <c r="KVR692" s="769"/>
      <c r="KVS692" s="769"/>
      <c r="KVT692" s="769"/>
      <c r="KVU692" s="769"/>
      <c r="KVV692" s="769"/>
      <c r="KVW692" s="769"/>
      <c r="KVX692" s="769"/>
      <c r="KVY692" s="769"/>
      <c r="KVZ692" s="769"/>
      <c r="KWA692" s="769"/>
      <c r="KWB692" s="769"/>
      <c r="KWC692" s="769"/>
      <c r="KWD692" s="769"/>
      <c r="KWE692" s="769"/>
      <c r="KWF692" s="769"/>
      <c r="KWG692" s="769"/>
      <c r="KWH692" s="769"/>
      <c r="KWI692" s="769"/>
      <c r="KWJ692" s="769"/>
      <c r="KWK692" s="769"/>
      <c r="KWL692" s="769"/>
      <c r="KWM692" s="769"/>
      <c r="KWN692" s="769"/>
      <c r="KWO692" s="769"/>
      <c r="KWP692" s="769"/>
      <c r="KWQ692" s="769"/>
      <c r="KWR692" s="769"/>
      <c r="KWS692" s="769"/>
      <c r="KWT692" s="769"/>
      <c r="KWU692" s="769"/>
      <c r="KWV692" s="769"/>
      <c r="KWW692" s="769"/>
      <c r="KWX692" s="769"/>
      <c r="KWY692" s="769"/>
      <c r="KWZ692" s="769"/>
      <c r="KXA692" s="769"/>
      <c r="KXB692" s="769"/>
      <c r="KXC692" s="769"/>
      <c r="KXD692" s="769"/>
      <c r="KXE692" s="769"/>
      <c r="KXF692" s="769"/>
      <c r="KXG692" s="769"/>
      <c r="KXH692" s="769"/>
      <c r="KXI692" s="769"/>
      <c r="KXJ692" s="769"/>
      <c r="KXK692" s="769"/>
      <c r="KXL692" s="769"/>
      <c r="KXM692" s="769"/>
      <c r="KXN692" s="769"/>
      <c r="KXO692" s="769"/>
      <c r="KXP692" s="769"/>
      <c r="KXQ692" s="769"/>
      <c r="KXR692" s="769"/>
      <c r="KXS692" s="769"/>
      <c r="KXT692" s="769"/>
      <c r="KXU692" s="769"/>
      <c r="KXV692" s="769"/>
      <c r="KXW692" s="769"/>
      <c r="KXX692" s="769"/>
      <c r="KXY692" s="769"/>
      <c r="KXZ692" s="769"/>
      <c r="KYA692" s="769"/>
      <c r="KYB692" s="769"/>
      <c r="KYC692" s="769"/>
      <c r="KYD692" s="769"/>
      <c r="KYE692" s="769"/>
      <c r="KYF692" s="769"/>
      <c r="KYG692" s="769"/>
      <c r="KYH692" s="769"/>
      <c r="KYI692" s="769"/>
      <c r="KYJ692" s="769"/>
      <c r="KYK692" s="769"/>
      <c r="KYL692" s="769"/>
      <c r="KYM692" s="769"/>
      <c r="KYN692" s="769"/>
      <c r="KYO692" s="769"/>
      <c r="KYP692" s="769"/>
      <c r="KYQ692" s="769"/>
      <c r="KYR692" s="769"/>
      <c r="KYS692" s="769"/>
      <c r="KYT692" s="769"/>
      <c r="KYU692" s="769"/>
      <c r="KYV692" s="769"/>
      <c r="KYW692" s="769"/>
      <c r="KYX692" s="769"/>
      <c r="KYY692" s="769"/>
      <c r="KYZ692" s="769"/>
      <c r="KZA692" s="769"/>
      <c r="KZB692" s="769"/>
      <c r="KZC692" s="769"/>
      <c r="KZD692" s="769"/>
      <c r="KZE692" s="769"/>
      <c r="KZF692" s="769"/>
      <c r="KZG692" s="769"/>
      <c r="KZH692" s="769"/>
      <c r="KZI692" s="769"/>
      <c r="KZJ692" s="769"/>
      <c r="KZK692" s="769"/>
      <c r="KZL692" s="769"/>
      <c r="KZM692" s="769"/>
      <c r="KZN692" s="769"/>
      <c r="KZO692" s="769"/>
      <c r="KZP692" s="769"/>
      <c r="KZQ692" s="769"/>
      <c r="KZR692" s="769"/>
      <c r="KZS692" s="769"/>
      <c r="KZT692" s="769"/>
      <c r="KZU692" s="769"/>
      <c r="KZV692" s="769"/>
      <c r="KZW692" s="769"/>
      <c r="KZX692" s="769"/>
      <c r="KZY692" s="769"/>
      <c r="KZZ692" s="769"/>
      <c r="LAA692" s="769"/>
      <c r="LAB692" s="769"/>
      <c r="LAC692" s="769"/>
      <c r="LAD692" s="769"/>
      <c r="LAE692" s="769"/>
      <c r="LAF692" s="769"/>
      <c r="LAG692" s="769"/>
      <c r="LAH692" s="769"/>
      <c r="LAI692" s="769"/>
      <c r="LAJ692" s="769"/>
      <c r="LAK692" s="769"/>
      <c r="LAL692" s="769"/>
      <c r="LAM692" s="769"/>
      <c r="LAN692" s="769"/>
      <c r="LAO692" s="769"/>
      <c r="LAP692" s="769"/>
      <c r="LAQ692" s="769"/>
      <c r="LAR692" s="769"/>
      <c r="LAS692" s="769"/>
      <c r="LAT692" s="769"/>
      <c r="LAU692" s="769"/>
      <c r="LAV692" s="769"/>
      <c r="LAW692" s="769"/>
      <c r="LAX692" s="769"/>
      <c r="LAY692" s="769"/>
      <c r="LAZ692" s="769"/>
      <c r="LBA692" s="769"/>
      <c r="LBB692" s="769"/>
      <c r="LBC692" s="769"/>
      <c r="LBD692" s="769"/>
      <c r="LBE692" s="769"/>
      <c r="LBF692" s="769"/>
      <c r="LBG692" s="769"/>
      <c r="LBH692" s="769"/>
      <c r="LBI692" s="769"/>
      <c r="LBJ692" s="769"/>
      <c r="LBK692" s="769"/>
      <c r="LBL692" s="769"/>
      <c r="LBM692" s="769"/>
      <c r="LBN692" s="769"/>
      <c r="LBO692" s="769"/>
      <c r="LBP692" s="769"/>
      <c r="LBQ692" s="769"/>
      <c r="LBR692" s="769"/>
      <c r="LBS692" s="769"/>
      <c r="LBT692" s="769"/>
      <c r="LBU692" s="769"/>
      <c r="LBV692" s="769"/>
      <c r="LBW692" s="769"/>
      <c r="LBX692" s="769"/>
      <c r="LBY692" s="769"/>
      <c r="LBZ692" s="769"/>
      <c r="LCA692" s="769"/>
      <c r="LCB692" s="769"/>
      <c r="LCC692" s="769"/>
      <c r="LCD692" s="769"/>
      <c r="LCE692" s="769"/>
      <c r="LCF692" s="769"/>
      <c r="LCG692" s="769"/>
      <c r="LCH692" s="769"/>
      <c r="LCI692" s="769"/>
      <c r="LCJ692" s="769"/>
      <c r="LCK692" s="769"/>
      <c r="LCL692" s="769"/>
      <c r="LCM692" s="769"/>
      <c r="LCN692" s="769"/>
      <c r="LCO692" s="769"/>
      <c r="LCP692" s="769"/>
      <c r="LCQ692" s="769"/>
      <c r="LCR692" s="769"/>
      <c r="LCS692" s="769"/>
      <c r="LCT692" s="769"/>
      <c r="LCU692" s="769"/>
      <c r="LCV692" s="769"/>
      <c r="LCW692" s="769"/>
      <c r="LCX692" s="769"/>
      <c r="LCY692" s="769"/>
      <c r="LCZ692" s="769"/>
      <c r="LDA692" s="769"/>
      <c r="LDB692" s="769"/>
      <c r="LDC692" s="769"/>
      <c r="LDD692" s="769"/>
      <c r="LDE692" s="769"/>
      <c r="LDF692" s="769"/>
      <c r="LDG692" s="769"/>
      <c r="LDH692" s="769"/>
      <c r="LDI692" s="769"/>
      <c r="LDJ692" s="769"/>
      <c r="LDK692" s="769"/>
      <c r="LDL692" s="769"/>
      <c r="LDM692" s="769"/>
      <c r="LDN692" s="769"/>
      <c r="LDO692" s="769"/>
      <c r="LDP692" s="769"/>
      <c r="LDQ692" s="769"/>
      <c r="LDR692" s="769"/>
      <c r="LDS692" s="769"/>
      <c r="LDT692" s="769"/>
      <c r="LDU692" s="769"/>
      <c r="LDV692" s="769"/>
      <c r="LDW692" s="769"/>
      <c r="LDX692" s="769"/>
      <c r="LDY692" s="769"/>
      <c r="LDZ692" s="769"/>
      <c r="LEA692" s="769"/>
      <c r="LEB692" s="769"/>
      <c r="LEC692" s="769"/>
      <c r="LED692" s="769"/>
      <c r="LEE692" s="769"/>
      <c r="LEF692" s="769"/>
      <c r="LEG692" s="769"/>
      <c r="LEH692" s="769"/>
      <c r="LEI692" s="769"/>
      <c r="LEJ692" s="769"/>
      <c r="LEK692" s="769"/>
      <c r="LEL692" s="769"/>
      <c r="LEM692" s="769"/>
      <c r="LEN692" s="769"/>
      <c r="LEO692" s="769"/>
      <c r="LEP692" s="769"/>
      <c r="LEQ692" s="769"/>
      <c r="LER692" s="769"/>
      <c r="LES692" s="769"/>
      <c r="LET692" s="769"/>
      <c r="LEU692" s="769"/>
      <c r="LEV692" s="769"/>
      <c r="LEW692" s="769"/>
      <c r="LEX692" s="769"/>
      <c r="LEY692" s="769"/>
      <c r="LEZ692" s="769"/>
      <c r="LFA692" s="769"/>
      <c r="LFB692" s="769"/>
      <c r="LFC692" s="769"/>
      <c r="LFD692" s="769"/>
      <c r="LFE692" s="769"/>
      <c r="LFF692" s="769"/>
      <c r="LFG692" s="769"/>
      <c r="LFH692" s="769"/>
      <c r="LFI692" s="769"/>
      <c r="LFJ692" s="769"/>
      <c r="LFK692" s="769"/>
      <c r="LFL692" s="769"/>
      <c r="LFM692" s="769"/>
      <c r="LFN692" s="769"/>
      <c r="LFO692" s="769"/>
      <c r="LFP692" s="769"/>
      <c r="LFQ692" s="769"/>
      <c r="LFR692" s="769"/>
      <c r="LFS692" s="769"/>
      <c r="LFT692" s="769"/>
      <c r="LFU692" s="769"/>
      <c r="LFV692" s="769"/>
      <c r="LFW692" s="769"/>
      <c r="LFX692" s="769"/>
      <c r="LFY692" s="769"/>
      <c r="LFZ692" s="769"/>
      <c r="LGA692" s="769"/>
      <c r="LGB692" s="769"/>
      <c r="LGC692" s="769"/>
      <c r="LGD692" s="769"/>
      <c r="LGE692" s="769"/>
      <c r="LGF692" s="769"/>
      <c r="LGG692" s="769"/>
      <c r="LGH692" s="769"/>
      <c r="LGI692" s="769"/>
      <c r="LGJ692" s="769"/>
      <c r="LGK692" s="769"/>
      <c r="LGL692" s="769"/>
      <c r="LGM692" s="769"/>
      <c r="LGN692" s="769"/>
      <c r="LGO692" s="769"/>
      <c r="LGP692" s="769"/>
      <c r="LGQ692" s="769"/>
      <c r="LGR692" s="769"/>
      <c r="LGS692" s="769"/>
      <c r="LGT692" s="769"/>
      <c r="LGU692" s="769"/>
      <c r="LGV692" s="769"/>
      <c r="LGW692" s="769"/>
      <c r="LGX692" s="769"/>
      <c r="LGY692" s="769"/>
      <c r="LGZ692" s="769"/>
      <c r="LHA692" s="769"/>
      <c r="LHB692" s="769"/>
      <c r="LHC692" s="769"/>
      <c r="LHD692" s="769"/>
      <c r="LHE692" s="769"/>
      <c r="LHF692" s="769"/>
      <c r="LHG692" s="769"/>
      <c r="LHH692" s="769"/>
      <c r="LHI692" s="769"/>
      <c r="LHJ692" s="769"/>
      <c r="LHK692" s="769"/>
      <c r="LHL692" s="769"/>
      <c r="LHM692" s="769"/>
      <c r="LHN692" s="769"/>
      <c r="LHO692" s="769"/>
      <c r="LHP692" s="769"/>
      <c r="LHQ692" s="769"/>
      <c r="LHR692" s="769"/>
      <c r="LHS692" s="769"/>
      <c r="LHT692" s="769"/>
      <c r="LHU692" s="769"/>
      <c r="LHV692" s="769"/>
      <c r="LHW692" s="769"/>
      <c r="LHX692" s="769"/>
      <c r="LHY692" s="769"/>
      <c r="LHZ692" s="769"/>
      <c r="LIA692" s="769"/>
      <c r="LIB692" s="769"/>
      <c r="LIC692" s="769"/>
      <c r="LID692" s="769"/>
      <c r="LIE692" s="769"/>
      <c r="LIF692" s="769"/>
      <c r="LIG692" s="769"/>
      <c r="LIH692" s="769"/>
      <c r="LII692" s="769"/>
      <c r="LIJ692" s="769"/>
      <c r="LIK692" s="769"/>
      <c r="LIL692" s="769"/>
      <c r="LIM692" s="769"/>
      <c r="LIN692" s="769"/>
      <c r="LIO692" s="769"/>
      <c r="LIP692" s="769"/>
      <c r="LIQ692" s="769"/>
      <c r="LIR692" s="769"/>
      <c r="LIS692" s="769"/>
      <c r="LIT692" s="769"/>
      <c r="LIU692" s="769"/>
      <c r="LIV692" s="769"/>
      <c r="LIW692" s="769"/>
      <c r="LIX692" s="769"/>
      <c r="LIY692" s="769"/>
      <c r="LIZ692" s="769"/>
      <c r="LJA692" s="769"/>
      <c r="LJB692" s="769"/>
      <c r="LJC692" s="769"/>
      <c r="LJD692" s="769"/>
      <c r="LJE692" s="769"/>
      <c r="LJF692" s="769"/>
      <c r="LJG692" s="769"/>
      <c r="LJH692" s="769"/>
      <c r="LJI692" s="769"/>
      <c r="LJJ692" s="769"/>
      <c r="LJK692" s="769"/>
      <c r="LJL692" s="769"/>
      <c r="LJM692" s="769"/>
      <c r="LJN692" s="769"/>
      <c r="LJO692" s="769"/>
      <c r="LJP692" s="769"/>
      <c r="LJQ692" s="769"/>
      <c r="LJR692" s="769"/>
      <c r="LJS692" s="769"/>
      <c r="LJT692" s="769"/>
      <c r="LJU692" s="769"/>
      <c r="LJV692" s="769"/>
      <c r="LJW692" s="769"/>
      <c r="LJX692" s="769"/>
      <c r="LJY692" s="769"/>
      <c r="LJZ692" s="769"/>
      <c r="LKA692" s="769"/>
      <c r="LKB692" s="769"/>
      <c r="LKC692" s="769"/>
      <c r="LKD692" s="769"/>
      <c r="LKE692" s="769"/>
      <c r="LKF692" s="769"/>
      <c r="LKG692" s="769"/>
      <c r="LKH692" s="769"/>
      <c r="LKI692" s="769"/>
      <c r="LKJ692" s="769"/>
      <c r="LKK692" s="769"/>
      <c r="LKL692" s="769"/>
      <c r="LKM692" s="769"/>
      <c r="LKN692" s="769"/>
      <c r="LKO692" s="769"/>
      <c r="LKP692" s="769"/>
      <c r="LKQ692" s="769"/>
      <c r="LKR692" s="769"/>
      <c r="LKS692" s="769"/>
      <c r="LKT692" s="769"/>
      <c r="LKU692" s="769"/>
      <c r="LKV692" s="769"/>
      <c r="LKW692" s="769"/>
      <c r="LKX692" s="769"/>
      <c r="LKY692" s="769"/>
      <c r="LKZ692" s="769"/>
      <c r="LLA692" s="769"/>
      <c r="LLB692" s="769"/>
      <c r="LLC692" s="769"/>
      <c r="LLD692" s="769"/>
      <c r="LLE692" s="769"/>
      <c r="LLF692" s="769"/>
      <c r="LLG692" s="769"/>
      <c r="LLH692" s="769"/>
      <c r="LLI692" s="769"/>
      <c r="LLJ692" s="769"/>
      <c r="LLK692" s="769"/>
      <c r="LLL692" s="769"/>
      <c r="LLM692" s="769"/>
      <c r="LLN692" s="769"/>
      <c r="LLO692" s="769"/>
      <c r="LLP692" s="769"/>
      <c r="LLQ692" s="769"/>
      <c r="LLR692" s="769"/>
      <c r="LLS692" s="769"/>
      <c r="LLT692" s="769"/>
      <c r="LLU692" s="769"/>
      <c r="LLV692" s="769"/>
      <c r="LLW692" s="769"/>
      <c r="LLX692" s="769"/>
      <c r="LLY692" s="769"/>
      <c r="LLZ692" s="769"/>
      <c r="LMA692" s="769"/>
      <c r="LMB692" s="769"/>
      <c r="LMC692" s="769"/>
      <c r="LMD692" s="769"/>
      <c r="LME692" s="769"/>
      <c r="LMF692" s="769"/>
      <c r="LMG692" s="769"/>
      <c r="LMH692" s="769"/>
      <c r="LMI692" s="769"/>
      <c r="LMJ692" s="769"/>
      <c r="LMK692" s="769"/>
      <c r="LML692" s="769"/>
      <c r="LMM692" s="769"/>
      <c r="LMN692" s="769"/>
      <c r="LMO692" s="769"/>
      <c r="LMP692" s="769"/>
      <c r="LMQ692" s="769"/>
      <c r="LMR692" s="769"/>
      <c r="LMS692" s="769"/>
      <c r="LMT692" s="769"/>
      <c r="LMU692" s="769"/>
      <c r="LMV692" s="769"/>
      <c r="LMW692" s="769"/>
      <c r="LMX692" s="769"/>
      <c r="LMY692" s="769"/>
      <c r="LMZ692" s="769"/>
      <c r="LNA692" s="769"/>
      <c r="LNB692" s="769"/>
      <c r="LNC692" s="769"/>
      <c r="LND692" s="769"/>
      <c r="LNE692" s="769"/>
      <c r="LNF692" s="769"/>
      <c r="LNG692" s="769"/>
      <c r="LNH692" s="769"/>
      <c r="LNI692" s="769"/>
      <c r="LNJ692" s="769"/>
      <c r="LNK692" s="769"/>
      <c r="LNL692" s="769"/>
      <c r="LNM692" s="769"/>
      <c r="LNN692" s="769"/>
      <c r="LNO692" s="769"/>
      <c r="LNP692" s="769"/>
      <c r="LNQ692" s="769"/>
      <c r="LNR692" s="769"/>
      <c r="LNS692" s="769"/>
      <c r="LNT692" s="769"/>
      <c r="LNU692" s="769"/>
      <c r="LNV692" s="769"/>
      <c r="LNW692" s="769"/>
      <c r="LNX692" s="769"/>
      <c r="LNY692" s="769"/>
      <c r="LNZ692" s="769"/>
      <c r="LOA692" s="769"/>
      <c r="LOB692" s="769"/>
      <c r="LOC692" s="769"/>
      <c r="LOD692" s="769"/>
      <c r="LOE692" s="769"/>
      <c r="LOF692" s="769"/>
      <c r="LOG692" s="769"/>
      <c r="LOH692" s="769"/>
      <c r="LOI692" s="769"/>
      <c r="LOJ692" s="769"/>
      <c r="LOK692" s="769"/>
      <c r="LOL692" s="769"/>
      <c r="LOM692" s="769"/>
      <c r="LON692" s="769"/>
      <c r="LOO692" s="769"/>
      <c r="LOP692" s="769"/>
      <c r="LOQ692" s="769"/>
      <c r="LOR692" s="769"/>
      <c r="LOS692" s="769"/>
      <c r="LOT692" s="769"/>
      <c r="LOU692" s="769"/>
      <c r="LOV692" s="769"/>
      <c r="LOW692" s="769"/>
      <c r="LOX692" s="769"/>
      <c r="LOY692" s="769"/>
      <c r="LOZ692" s="769"/>
      <c r="LPA692" s="769"/>
      <c r="LPB692" s="769"/>
      <c r="LPC692" s="769"/>
      <c r="LPD692" s="769"/>
      <c r="LPE692" s="769"/>
      <c r="LPF692" s="769"/>
      <c r="LPG692" s="769"/>
      <c r="LPH692" s="769"/>
      <c r="LPI692" s="769"/>
      <c r="LPJ692" s="769"/>
      <c r="LPK692" s="769"/>
      <c r="LPL692" s="769"/>
      <c r="LPM692" s="769"/>
      <c r="LPN692" s="769"/>
      <c r="LPO692" s="769"/>
      <c r="LPP692" s="769"/>
      <c r="LPQ692" s="769"/>
      <c r="LPR692" s="769"/>
      <c r="LPS692" s="769"/>
      <c r="LPT692" s="769"/>
      <c r="LPU692" s="769"/>
      <c r="LPV692" s="769"/>
      <c r="LPW692" s="769"/>
      <c r="LPX692" s="769"/>
      <c r="LPY692" s="769"/>
      <c r="LPZ692" s="769"/>
      <c r="LQA692" s="769"/>
      <c r="LQB692" s="769"/>
      <c r="LQC692" s="769"/>
      <c r="LQD692" s="769"/>
      <c r="LQE692" s="769"/>
      <c r="LQF692" s="769"/>
      <c r="LQG692" s="769"/>
      <c r="LQH692" s="769"/>
      <c r="LQI692" s="769"/>
      <c r="LQJ692" s="769"/>
      <c r="LQK692" s="769"/>
      <c r="LQL692" s="769"/>
      <c r="LQM692" s="769"/>
      <c r="LQN692" s="769"/>
      <c r="LQO692" s="769"/>
      <c r="LQP692" s="769"/>
      <c r="LQQ692" s="769"/>
      <c r="LQR692" s="769"/>
      <c r="LQS692" s="769"/>
      <c r="LQT692" s="769"/>
      <c r="LQU692" s="769"/>
      <c r="LQV692" s="769"/>
      <c r="LQW692" s="769"/>
      <c r="LQX692" s="769"/>
      <c r="LQY692" s="769"/>
      <c r="LQZ692" s="769"/>
      <c r="LRA692" s="769"/>
      <c r="LRB692" s="769"/>
      <c r="LRC692" s="769"/>
      <c r="LRD692" s="769"/>
      <c r="LRE692" s="769"/>
      <c r="LRF692" s="769"/>
      <c r="LRG692" s="769"/>
      <c r="LRH692" s="769"/>
      <c r="LRI692" s="769"/>
      <c r="LRJ692" s="769"/>
      <c r="LRK692" s="769"/>
      <c r="LRL692" s="769"/>
      <c r="LRM692" s="769"/>
      <c r="LRN692" s="769"/>
      <c r="LRO692" s="769"/>
      <c r="LRP692" s="769"/>
      <c r="LRQ692" s="769"/>
      <c r="LRR692" s="769"/>
      <c r="LRS692" s="769"/>
      <c r="LRT692" s="769"/>
      <c r="LRU692" s="769"/>
      <c r="LRV692" s="769"/>
      <c r="LRW692" s="769"/>
      <c r="LRX692" s="769"/>
      <c r="LRY692" s="769"/>
      <c r="LRZ692" s="769"/>
      <c r="LSA692" s="769"/>
      <c r="LSB692" s="769"/>
      <c r="LSC692" s="769"/>
      <c r="LSD692" s="769"/>
      <c r="LSE692" s="769"/>
      <c r="LSF692" s="769"/>
      <c r="LSG692" s="769"/>
      <c r="LSH692" s="769"/>
      <c r="LSI692" s="769"/>
      <c r="LSJ692" s="769"/>
      <c r="LSK692" s="769"/>
      <c r="LSL692" s="769"/>
      <c r="LSM692" s="769"/>
      <c r="LSN692" s="769"/>
      <c r="LSO692" s="769"/>
      <c r="LSP692" s="769"/>
      <c r="LSQ692" s="769"/>
      <c r="LSR692" s="769"/>
      <c r="LSS692" s="769"/>
      <c r="LST692" s="769"/>
      <c r="LSU692" s="769"/>
      <c r="LSV692" s="769"/>
      <c r="LSW692" s="769"/>
      <c r="LSX692" s="769"/>
      <c r="LSY692" s="769"/>
      <c r="LSZ692" s="769"/>
      <c r="LTA692" s="769"/>
      <c r="LTB692" s="769"/>
      <c r="LTC692" s="769"/>
      <c r="LTD692" s="769"/>
      <c r="LTE692" s="769"/>
      <c r="LTF692" s="769"/>
      <c r="LTG692" s="769"/>
      <c r="LTH692" s="769"/>
      <c r="LTI692" s="769"/>
      <c r="LTJ692" s="769"/>
      <c r="LTK692" s="769"/>
      <c r="LTL692" s="769"/>
      <c r="LTM692" s="769"/>
      <c r="LTN692" s="769"/>
      <c r="LTO692" s="769"/>
      <c r="LTP692" s="769"/>
      <c r="LTQ692" s="769"/>
      <c r="LTR692" s="769"/>
      <c r="LTS692" s="769"/>
      <c r="LTT692" s="769"/>
      <c r="LTU692" s="769"/>
      <c r="LTV692" s="769"/>
      <c r="LTW692" s="769"/>
      <c r="LTX692" s="769"/>
      <c r="LTY692" s="769"/>
      <c r="LTZ692" s="769"/>
      <c r="LUA692" s="769"/>
      <c r="LUB692" s="769"/>
      <c r="LUC692" s="769"/>
      <c r="LUD692" s="769"/>
      <c r="LUE692" s="769"/>
      <c r="LUF692" s="769"/>
      <c r="LUG692" s="769"/>
      <c r="LUH692" s="769"/>
      <c r="LUI692" s="769"/>
      <c r="LUJ692" s="769"/>
      <c r="LUK692" s="769"/>
      <c r="LUL692" s="769"/>
      <c r="LUM692" s="769"/>
      <c r="LUN692" s="769"/>
      <c r="LUO692" s="769"/>
      <c r="LUP692" s="769"/>
      <c r="LUQ692" s="769"/>
      <c r="LUR692" s="769"/>
      <c r="LUS692" s="769"/>
      <c r="LUT692" s="769"/>
      <c r="LUU692" s="769"/>
      <c r="LUV692" s="769"/>
      <c r="LUW692" s="769"/>
      <c r="LUX692" s="769"/>
      <c r="LUY692" s="769"/>
      <c r="LUZ692" s="769"/>
      <c r="LVA692" s="769"/>
      <c r="LVB692" s="769"/>
      <c r="LVC692" s="769"/>
      <c r="LVD692" s="769"/>
      <c r="LVE692" s="769"/>
      <c r="LVF692" s="769"/>
      <c r="LVG692" s="769"/>
      <c r="LVH692" s="769"/>
      <c r="LVI692" s="769"/>
      <c r="LVJ692" s="769"/>
      <c r="LVK692" s="769"/>
      <c r="LVL692" s="769"/>
      <c r="LVM692" s="769"/>
      <c r="LVN692" s="769"/>
      <c r="LVO692" s="769"/>
      <c r="LVP692" s="769"/>
      <c r="LVQ692" s="769"/>
      <c r="LVR692" s="769"/>
      <c r="LVS692" s="769"/>
      <c r="LVT692" s="769"/>
      <c r="LVU692" s="769"/>
      <c r="LVV692" s="769"/>
      <c r="LVW692" s="769"/>
      <c r="LVX692" s="769"/>
      <c r="LVY692" s="769"/>
      <c r="LVZ692" s="769"/>
      <c r="LWA692" s="769"/>
      <c r="LWB692" s="769"/>
      <c r="LWC692" s="769"/>
      <c r="LWD692" s="769"/>
      <c r="LWE692" s="769"/>
      <c r="LWF692" s="769"/>
      <c r="LWG692" s="769"/>
      <c r="LWH692" s="769"/>
      <c r="LWI692" s="769"/>
      <c r="LWJ692" s="769"/>
      <c r="LWK692" s="769"/>
      <c r="LWL692" s="769"/>
      <c r="LWM692" s="769"/>
      <c r="LWN692" s="769"/>
      <c r="LWO692" s="769"/>
      <c r="LWP692" s="769"/>
      <c r="LWQ692" s="769"/>
      <c r="LWR692" s="769"/>
      <c r="LWS692" s="769"/>
      <c r="LWT692" s="769"/>
      <c r="LWU692" s="769"/>
      <c r="LWV692" s="769"/>
      <c r="LWW692" s="769"/>
      <c r="LWX692" s="769"/>
      <c r="LWY692" s="769"/>
      <c r="LWZ692" s="769"/>
      <c r="LXA692" s="769"/>
      <c r="LXB692" s="769"/>
      <c r="LXC692" s="769"/>
      <c r="LXD692" s="769"/>
      <c r="LXE692" s="769"/>
      <c r="LXF692" s="769"/>
      <c r="LXG692" s="769"/>
      <c r="LXH692" s="769"/>
      <c r="LXI692" s="769"/>
      <c r="LXJ692" s="769"/>
      <c r="LXK692" s="769"/>
      <c r="LXL692" s="769"/>
      <c r="LXM692" s="769"/>
      <c r="LXN692" s="769"/>
      <c r="LXO692" s="769"/>
      <c r="LXP692" s="769"/>
      <c r="LXQ692" s="769"/>
      <c r="LXR692" s="769"/>
      <c r="LXS692" s="769"/>
      <c r="LXT692" s="769"/>
      <c r="LXU692" s="769"/>
      <c r="LXV692" s="769"/>
      <c r="LXW692" s="769"/>
      <c r="LXX692" s="769"/>
      <c r="LXY692" s="769"/>
      <c r="LXZ692" s="769"/>
      <c r="LYA692" s="769"/>
      <c r="LYB692" s="769"/>
      <c r="LYC692" s="769"/>
      <c r="LYD692" s="769"/>
      <c r="LYE692" s="769"/>
      <c r="LYF692" s="769"/>
      <c r="LYG692" s="769"/>
      <c r="LYH692" s="769"/>
      <c r="LYI692" s="769"/>
      <c r="LYJ692" s="769"/>
      <c r="LYK692" s="769"/>
      <c r="LYL692" s="769"/>
      <c r="LYM692" s="769"/>
      <c r="LYN692" s="769"/>
      <c r="LYO692" s="769"/>
      <c r="LYP692" s="769"/>
      <c r="LYQ692" s="769"/>
      <c r="LYR692" s="769"/>
      <c r="LYS692" s="769"/>
      <c r="LYT692" s="769"/>
      <c r="LYU692" s="769"/>
      <c r="LYV692" s="769"/>
      <c r="LYW692" s="769"/>
      <c r="LYX692" s="769"/>
      <c r="LYY692" s="769"/>
      <c r="LYZ692" s="769"/>
      <c r="LZA692" s="769"/>
      <c r="LZB692" s="769"/>
      <c r="LZC692" s="769"/>
      <c r="LZD692" s="769"/>
      <c r="LZE692" s="769"/>
      <c r="LZF692" s="769"/>
      <c r="LZG692" s="769"/>
      <c r="LZH692" s="769"/>
      <c r="LZI692" s="769"/>
      <c r="LZJ692" s="769"/>
      <c r="LZK692" s="769"/>
      <c r="LZL692" s="769"/>
      <c r="LZM692" s="769"/>
      <c r="LZN692" s="769"/>
      <c r="LZO692" s="769"/>
      <c r="LZP692" s="769"/>
      <c r="LZQ692" s="769"/>
      <c r="LZR692" s="769"/>
      <c r="LZS692" s="769"/>
      <c r="LZT692" s="769"/>
      <c r="LZU692" s="769"/>
      <c r="LZV692" s="769"/>
      <c r="LZW692" s="769"/>
      <c r="LZX692" s="769"/>
      <c r="LZY692" s="769"/>
      <c r="LZZ692" s="769"/>
      <c r="MAA692" s="769"/>
      <c r="MAB692" s="769"/>
      <c r="MAC692" s="769"/>
      <c r="MAD692" s="769"/>
      <c r="MAE692" s="769"/>
      <c r="MAF692" s="769"/>
      <c r="MAG692" s="769"/>
      <c r="MAH692" s="769"/>
      <c r="MAI692" s="769"/>
      <c r="MAJ692" s="769"/>
      <c r="MAK692" s="769"/>
      <c r="MAL692" s="769"/>
      <c r="MAM692" s="769"/>
      <c r="MAN692" s="769"/>
      <c r="MAO692" s="769"/>
      <c r="MAP692" s="769"/>
      <c r="MAQ692" s="769"/>
      <c r="MAR692" s="769"/>
      <c r="MAS692" s="769"/>
      <c r="MAT692" s="769"/>
      <c r="MAU692" s="769"/>
      <c r="MAV692" s="769"/>
      <c r="MAW692" s="769"/>
      <c r="MAX692" s="769"/>
      <c r="MAY692" s="769"/>
      <c r="MAZ692" s="769"/>
      <c r="MBA692" s="769"/>
      <c r="MBB692" s="769"/>
      <c r="MBC692" s="769"/>
      <c r="MBD692" s="769"/>
      <c r="MBE692" s="769"/>
      <c r="MBF692" s="769"/>
      <c r="MBG692" s="769"/>
      <c r="MBH692" s="769"/>
      <c r="MBI692" s="769"/>
      <c r="MBJ692" s="769"/>
      <c r="MBK692" s="769"/>
      <c r="MBL692" s="769"/>
      <c r="MBM692" s="769"/>
      <c r="MBN692" s="769"/>
      <c r="MBO692" s="769"/>
      <c r="MBP692" s="769"/>
      <c r="MBQ692" s="769"/>
      <c r="MBR692" s="769"/>
      <c r="MBS692" s="769"/>
      <c r="MBT692" s="769"/>
      <c r="MBU692" s="769"/>
      <c r="MBV692" s="769"/>
      <c r="MBW692" s="769"/>
      <c r="MBX692" s="769"/>
      <c r="MBY692" s="769"/>
      <c r="MBZ692" s="769"/>
      <c r="MCA692" s="769"/>
      <c r="MCB692" s="769"/>
      <c r="MCC692" s="769"/>
      <c r="MCD692" s="769"/>
      <c r="MCE692" s="769"/>
      <c r="MCF692" s="769"/>
      <c r="MCG692" s="769"/>
      <c r="MCH692" s="769"/>
      <c r="MCI692" s="769"/>
      <c r="MCJ692" s="769"/>
      <c r="MCK692" s="769"/>
      <c r="MCL692" s="769"/>
      <c r="MCM692" s="769"/>
      <c r="MCN692" s="769"/>
      <c r="MCO692" s="769"/>
      <c r="MCP692" s="769"/>
      <c r="MCQ692" s="769"/>
      <c r="MCR692" s="769"/>
      <c r="MCS692" s="769"/>
      <c r="MCT692" s="769"/>
      <c r="MCU692" s="769"/>
      <c r="MCV692" s="769"/>
      <c r="MCW692" s="769"/>
      <c r="MCX692" s="769"/>
      <c r="MCY692" s="769"/>
      <c r="MCZ692" s="769"/>
      <c r="MDA692" s="769"/>
      <c r="MDB692" s="769"/>
      <c r="MDC692" s="769"/>
      <c r="MDD692" s="769"/>
      <c r="MDE692" s="769"/>
      <c r="MDF692" s="769"/>
      <c r="MDG692" s="769"/>
      <c r="MDH692" s="769"/>
      <c r="MDI692" s="769"/>
      <c r="MDJ692" s="769"/>
      <c r="MDK692" s="769"/>
      <c r="MDL692" s="769"/>
      <c r="MDM692" s="769"/>
      <c r="MDN692" s="769"/>
      <c r="MDO692" s="769"/>
      <c r="MDP692" s="769"/>
      <c r="MDQ692" s="769"/>
      <c r="MDR692" s="769"/>
      <c r="MDS692" s="769"/>
      <c r="MDT692" s="769"/>
      <c r="MDU692" s="769"/>
      <c r="MDV692" s="769"/>
      <c r="MDW692" s="769"/>
      <c r="MDX692" s="769"/>
      <c r="MDY692" s="769"/>
      <c r="MDZ692" s="769"/>
      <c r="MEA692" s="769"/>
      <c r="MEB692" s="769"/>
      <c r="MEC692" s="769"/>
      <c r="MED692" s="769"/>
      <c r="MEE692" s="769"/>
      <c r="MEF692" s="769"/>
      <c r="MEG692" s="769"/>
      <c r="MEH692" s="769"/>
      <c r="MEI692" s="769"/>
      <c r="MEJ692" s="769"/>
      <c r="MEK692" s="769"/>
      <c r="MEL692" s="769"/>
      <c r="MEM692" s="769"/>
      <c r="MEN692" s="769"/>
      <c r="MEO692" s="769"/>
      <c r="MEP692" s="769"/>
      <c r="MEQ692" s="769"/>
      <c r="MER692" s="769"/>
      <c r="MES692" s="769"/>
      <c r="MET692" s="769"/>
      <c r="MEU692" s="769"/>
      <c r="MEV692" s="769"/>
      <c r="MEW692" s="769"/>
      <c r="MEX692" s="769"/>
      <c r="MEY692" s="769"/>
      <c r="MEZ692" s="769"/>
      <c r="MFA692" s="769"/>
      <c r="MFB692" s="769"/>
      <c r="MFC692" s="769"/>
      <c r="MFD692" s="769"/>
      <c r="MFE692" s="769"/>
      <c r="MFF692" s="769"/>
      <c r="MFG692" s="769"/>
      <c r="MFH692" s="769"/>
      <c r="MFI692" s="769"/>
      <c r="MFJ692" s="769"/>
      <c r="MFK692" s="769"/>
      <c r="MFL692" s="769"/>
      <c r="MFM692" s="769"/>
      <c r="MFN692" s="769"/>
      <c r="MFO692" s="769"/>
      <c r="MFP692" s="769"/>
      <c r="MFQ692" s="769"/>
      <c r="MFR692" s="769"/>
      <c r="MFS692" s="769"/>
      <c r="MFT692" s="769"/>
      <c r="MFU692" s="769"/>
      <c r="MFV692" s="769"/>
      <c r="MFW692" s="769"/>
      <c r="MFX692" s="769"/>
      <c r="MFY692" s="769"/>
      <c r="MFZ692" s="769"/>
      <c r="MGA692" s="769"/>
      <c r="MGB692" s="769"/>
      <c r="MGC692" s="769"/>
      <c r="MGD692" s="769"/>
      <c r="MGE692" s="769"/>
      <c r="MGF692" s="769"/>
      <c r="MGG692" s="769"/>
      <c r="MGH692" s="769"/>
      <c r="MGI692" s="769"/>
      <c r="MGJ692" s="769"/>
      <c r="MGK692" s="769"/>
      <c r="MGL692" s="769"/>
      <c r="MGM692" s="769"/>
      <c r="MGN692" s="769"/>
      <c r="MGO692" s="769"/>
      <c r="MGP692" s="769"/>
      <c r="MGQ692" s="769"/>
      <c r="MGR692" s="769"/>
      <c r="MGS692" s="769"/>
      <c r="MGT692" s="769"/>
      <c r="MGU692" s="769"/>
      <c r="MGV692" s="769"/>
      <c r="MGW692" s="769"/>
      <c r="MGX692" s="769"/>
      <c r="MGY692" s="769"/>
      <c r="MGZ692" s="769"/>
      <c r="MHA692" s="769"/>
      <c r="MHB692" s="769"/>
      <c r="MHC692" s="769"/>
      <c r="MHD692" s="769"/>
      <c r="MHE692" s="769"/>
      <c r="MHF692" s="769"/>
      <c r="MHG692" s="769"/>
      <c r="MHH692" s="769"/>
      <c r="MHI692" s="769"/>
      <c r="MHJ692" s="769"/>
      <c r="MHK692" s="769"/>
      <c r="MHL692" s="769"/>
      <c r="MHM692" s="769"/>
      <c r="MHN692" s="769"/>
      <c r="MHO692" s="769"/>
      <c r="MHP692" s="769"/>
      <c r="MHQ692" s="769"/>
      <c r="MHR692" s="769"/>
      <c r="MHS692" s="769"/>
      <c r="MHT692" s="769"/>
      <c r="MHU692" s="769"/>
      <c r="MHV692" s="769"/>
      <c r="MHW692" s="769"/>
      <c r="MHX692" s="769"/>
      <c r="MHY692" s="769"/>
      <c r="MHZ692" s="769"/>
      <c r="MIA692" s="769"/>
      <c r="MIB692" s="769"/>
      <c r="MIC692" s="769"/>
      <c r="MID692" s="769"/>
      <c r="MIE692" s="769"/>
      <c r="MIF692" s="769"/>
      <c r="MIG692" s="769"/>
      <c r="MIH692" s="769"/>
      <c r="MII692" s="769"/>
      <c r="MIJ692" s="769"/>
      <c r="MIK692" s="769"/>
      <c r="MIL692" s="769"/>
      <c r="MIM692" s="769"/>
      <c r="MIN692" s="769"/>
      <c r="MIO692" s="769"/>
      <c r="MIP692" s="769"/>
      <c r="MIQ692" s="769"/>
      <c r="MIR692" s="769"/>
      <c r="MIS692" s="769"/>
      <c r="MIT692" s="769"/>
      <c r="MIU692" s="769"/>
      <c r="MIV692" s="769"/>
      <c r="MIW692" s="769"/>
      <c r="MIX692" s="769"/>
      <c r="MIY692" s="769"/>
      <c r="MIZ692" s="769"/>
      <c r="MJA692" s="769"/>
      <c r="MJB692" s="769"/>
      <c r="MJC692" s="769"/>
      <c r="MJD692" s="769"/>
      <c r="MJE692" s="769"/>
      <c r="MJF692" s="769"/>
      <c r="MJG692" s="769"/>
      <c r="MJH692" s="769"/>
      <c r="MJI692" s="769"/>
      <c r="MJJ692" s="769"/>
      <c r="MJK692" s="769"/>
      <c r="MJL692" s="769"/>
      <c r="MJM692" s="769"/>
      <c r="MJN692" s="769"/>
      <c r="MJO692" s="769"/>
      <c r="MJP692" s="769"/>
      <c r="MJQ692" s="769"/>
      <c r="MJR692" s="769"/>
      <c r="MJS692" s="769"/>
      <c r="MJT692" s="769"/>
      <c r="MJU692" s="769"/>
      <c r="MJV692" s="769"/>
      <c r="MJW692" s="769"/>
      <c r="MJX692" s="769"/>
      <c r="MJY692" s="769"/>
      <c r="MJZ692" s="769"/>
      <c r="MKA692" s="769"/>
      <c r="MKB692" s="769"/>
      <c r="MKC692" s="769"/>
      <c r="MKD692" s="769"/>
      <c r="MKE692" s="769"/>
      <c r="MKF692" s="769"/>
      <c r="MKG692" s="769"/>
      <c r="MKH692" s="769"/>
      <c r="MKI692" s="769"/>
      <c r="MKJ692" s="769"/>
      <c r="MKK692" s="769"/>
      <c r="MKL692" s="769"/>
      <c r="MKM692" s="769"/>
      <c r="MKN692" s="769"/>
      <c r="MKO692" s="769"/>
      <c r="MKP692" s="769"/>
      <c r="MKQ692" s="769"/>
      <c r="MKR692" s="769"/>
      <c r="MKS692" s="769"/>
      <c r="MKT692" s="769"/>
      <c r="MKU692" s="769"/>
      <c r="MKV692" s="769"/>
      <c r="MKW692" s="769"/>
      <c r="MKX692" s="769"/>
      <c r="MKY692" s="769"/>
      <c r="MKZ692" s="769"/>
      <c r="MLA692" s="769"/>
      <c r="MLB692" s="769"/>
      <c r="MLC692" s="769"/>
      <c r="MLD692" s="769"/>
      <c r="MLE692" s="769"/>
      <c r="MLF692" s="769"/>
      <c r="MLG692" s="769"/>
      <c r="MLH692" s="769"/>
      <c r="MLI692" s="769"/>
      <c r="MLJ692" s="769"/>
      <c r="MLK692" s="769"/>
      <c r="MLL692" s="769"/>
      <c r="MLM692" s="769"/>
      <c r="MLN692" s="769"/>
      <c r="MLO692" s="769"/>
      <c r="MLP692" s="769"/>
      <c r="MLQ692" s="769"/>
      <c r="MLR692" s="769"/>
      <c r="MLS692" s="769"/>
      <c r="MLT692" s="769"/>
      <c r="MLU692" s="769"/>
      <c r="MLV692" s="769"/>
      <c r="MLW692" s="769"/>
      <c r="MLX692" s="769"/>
      <c r="MLY692" s="769"/>
      <c r="MLZ692" s="769"/>
      <c r="MMA692" s="769"/>
      <c r="MMB692" s="769"/>
      <c r="MMC692" s="769"/>
      <c r="MMD692" s="769"/>
      <c r="MME692" s="769"/>
      <c r="MMF692" s="769"/>
      <c r="MMG692" s="769"/>
      <c r="MMH692" s="769"/>
      <c r="MMI692" s="769"/>
      <c r="MMJ692" s="769"/>
      <c r="MMK692" s="769"/>
      <c r="MML692" s="769"/>
      <c r="MMM692" s="769"/>
      <c r="MMN692" s="769"/>
      <c r="MMO692" s="769"/>
      <c r="MMP692" s="769"/>
      <c r="MMQ692" s="769"/>
      <c r="MMR692" s="769"/>
      <c r="MMS692" s="769"/>
      <c r="MMT692" s="769"/>
      <c r="MMU692" s="769"/>
      <c r="MMV692" s="769"/>
      <c r="MMW692" s="769"/>
      <c r="MMX692" s="769"/>
      <c r="MMY692" s="769"/>
      <c r="MMZ692" s="769"/>
      <c r="MNA692" s="769"/>
      <c r="MNB692" s="769"/>
      <c r="MNC692" s="769"/>
      <c r="MND692" s="769"/>
      <c r="MNE692" s="769"/>
      <c r="MNF692" s="769"/>
      <c r="MNG692" s="769"/>
      <c r="MNH692" s="769"/>
      <c r="MNI692" s="769"/>
      <c r="MNJ692" s="769"/>
      <c r="MNK692" s="769"/>
      <c r="MNL692" s="769"/>
      <c r="MNM692" s="769"/>
      <c r="MNN692" s="769"/>
      <c r="MNO692" s="769"/>
      <c r="MNP692" s="769"/>
      <c r="MNQ692" s="769"/>
      <c r="MNR692" s="769"/>
      <c r="MNS692" s="769"/>
      <c r="MNT692" s="769"/>
      <c r="MNU692" s="769"/>
      <c r="MNV692" s="769"/>
      <c r="MNW692" s="769"/>
      <c r="MNX692" s="769"/>
      <c r="MNY692" s="769"/>
      <c r="MNZ692" s="769"/>
      <c r="MOA692" s="769"/>
      <c r="MOB692" s="769"/>
      <c r="MOC692" s="769"/>
      <c r="MOD692" s="769"/>
      <c r="MOE692" s="769"/>
      <c r="MOF692" s="769"/>
      <c r="MOG692" s="769"/>
      <c r="MOH692" s="769"/>
      <c r="MOI692" s="769"/>
      <c r="MOJ692" s="769"/>
      <c r="MOK692" s="769"/>
      <c r="MOL692" s="769"/>
      <c r="MOM692" s="769"/>
      <c r="MON692" s="769"/>
      <c r="MOO692" s="769"/>
      <c r="MOP692" s="769"/>
      <c r="MOQ692" s="769"/>
      <c r="MOR692" s="769"/>
      <c r="MOS692" s="769"/>
      <c r="MOT692" s="769"/>
      <c r="MOU692" s="769"/>
      <c r="MOV692" s="769"/>
      <c r="MOW692" s="769"/>
      <c r="MOX692" s="769"/>
      <c r="MOY692" s="769"/>
      <c r="MOZ692" s="769"/>
      <c r="MPA692" s="769"/>
      <c r="MPB692" s="769"/>
      <c r="MPC692" s="769"/>
      <c r="MPD692" s="769"/>
      <c r="MPE692" s="769"/>
      <c r="MPF692" s="769"/>
      <c r="MPG692" s="769"/>
      <c r="MPH692" s="769"/>
      <c r="MPI692" s="769"/>
      <c r="MPJ692" s="769"/>
      <c r="MPK692" s="769"/>
      <c r="MPL692" s="769"/>
      <c r="MPM692" s="769"/>
      <c r="MPN692" s="769"/>
      <c r="MPO692" s="769"/>
      <c r="MPP692" s="769"/>
      <c r="MPQ692" s="769"/>
      <c r="MPR692" s="769"/>
      <c r="MPS692" s="769"/>
      <c r="MPT692" s="769"/>
      <c r="MPU692" s="769"/>
      <c r="MPV692" s="769"/>
      <c r="MPW692" s="769"/>
      <c r="MPX692" s="769"/>
      <c r="MPY692" s="769"/>
      <c r="MPZ692" s="769"/>
      <c r="MQA692" s="769"/>
      <c r="MQB692" s="769"/>
      <c r="MQC692" s="769"/>
      <c r="MQD692" s="769"/>
      <c r="MQE692" s="769"/>
      <c r="MQF692" s="769"/>
      <c r="MQG692" s="769"/>
      <c r="MQH692" s="769"/>
      <c r="MQI692" s="769"/>
      <c r="MQJ692" s="769"/>
      <c r="MQK692" s="769"/>
      <c r="MQL692" s="769"/>
      <c r="MQM692" s="769"/>
      <c r="MQN692" s="769"/>
      <c r="MQO692" s="769"/>
      <c r="MQP692" s="769"/>
      <c r="MQQ692" s="769"/>
      <c r="MQR692" s="769"/>
      <c r="MQS692" s="769"/>
      <c r="MQT692" s="769"/>
      <c r="MQU692" s="769"/>
      <c r="MQV692" s="769"/>
      <c r="MQW692" s="769"/>
      <c r="MQX692" s="769"/>
      <c r="MQY692" s="769"/>
      <c r="MQZ692" s="769"/>
      <c r="MRA692" s="769"/>
      <c r="MRB692" s="769"/>
      <c r="MRC692" s="769"/>
      <c r="MRD692" s="769"/>
      <c r="MRE692" s="769"/>
      <c r="MRF692" s="769"/>
      <c r="MRG692" s="769"/>
      <c r="MRH692" s="769"/>
      <c r="MRI692" s="769"/>
      <c r="MRJ692" s="769"/>
      <c r="MRK692" s="769"/>
      <c r="MRL692" s="769"/>
      <c r="MRM692" s="769"/>
      <c r="MRN692" s="769"/>
      <c r="MRO692" s="769"/>
      <c r="MRP692" s="769"/>
      <c r="MRQ692" s="769"/>
      <c r="MRR692" s="769"/>
      <c r="MRS692" s="769"/>
      <c r="MRT692" s="769"/>
      <c r="MRU692" s="769"/>
      <c r="MRV692" s="769"/>
      <c r="MRW692" s="769"/>
      <c r="MRX692" s="769"/>
      <c r="MRY692" s="769"/>
      <c r="MRZ692" s="769"/>
      <c r="MSA692" s="769"/>
      <c r="MSB692" s="769"/>
      <c r="MSC692" s="769"/>
      <c r="MSD692" s="769"/>
      <c r="MSE692" s="769"/>
      <c r="MSF692" s="769"/>
      <c r="MSG692" s="769"/>
      <c r="MSH692" s="769"/>
      <c r="MSI692" s="769"/>
      <c r="MSJ692" s="769"/>
      <c r="MSK692" s="769"/>
      <c r="MSL692" s="769"/>
      <c r="MSM692" s="769"/>
      <c r="MSN692" s="769"/>
      <c r="MSO692" s="769"/>
      <c r="MSP692" s="769"/>
      <c r="MSQ692" s="769"/>
      <c r="MSR692" s="769"/>
      <c r="MSS692" s="769"/>
      <c r="MST692" s="769"/>
      <c r="MSU692" s="769"/>
      <c r="MSV692" s="769"/>
      <c r="MSW692" s="769"/>
      <c r="MSX692" s="769"/>
      <c r="MSY692" s="769"/>
      <c r="MSZ692" s="769"/>
      <c r="MTA692" s="769"/>
      <c r="MTB692" s="769"/>
      <c r="MTC692" s="769"/>
      <c r="MTD692" s="769"/>
      <c r="MTE692" s="769"/>
      <c r="MTF692" s="769"/>
      <c r="MTG692" s="769"/>
      <c r="MTH692" s="769"/>
      <c r="MTI692" s="769"/>
      <c r="MTJ692" s="769"/>
      <c r="MTK692" s="769"/>
      <c r="MTL692" s="769"/>
      <c r="MTM692" s="769"/>
      <c r="MTN692" s="769"/>
      <c r="MTO692" s="769"/>
      <c r="MTP692" s="769"/>
      <c r="MTQ692" s="769"/>
      <c r="MTR692" s="769"/>
      <c r="MTS692" s="769"/>
      <c r="MTT692" s="769"/>
      <c r="MTU692" s="769"/>
      <c r="MTV692" s="769"/>
      <c r="MTW692" s="769"/>
      <c r="MTX692" s="769"/>
      <c r="MTY692" s="769"/>
      <c r="MTZ692" s="769"/>
      <c r="MUA692" s="769"/>
      <c r="MUB692" s="769"/>
      <c r="MUC692" s="769"/>
      <c r="MUD692" s="769"/>
      <c r="MUE692" s="769"/>
      <c r="MUF692" s="769"/>
      <c r="MUG692" s="769"/>
      <c r="MUH692" s="769"/>
      <c r="MUI692" s="769"/>
      <c r="MUJ692" s="769"/>
      <c r="MUK692" s="769"/>
      <c r="MUL692" s="769"/>
      <c r="MUM692" s="769"/>
      <c r="MUN692" s="769"/>
      <c r="MUO692" s="769"/>
      <c r="MUP692" s="769"/>
      <c r="MUQ692" s="769"/>
      <c r="MUR692" s="769"/>
      <c r="MUS692" s="769"/>
      <c r="MUT692" s="769"/>
      <c r="MUU692" s="769"/>
      <c r="MUV692" s="769"/>
      <c r="MUW692" s="769"/>
      <c r="MUX692" s="769"/>
      <c r="MUY692" s="769"/>
      <c r="MUZ692" s="769"/>
      <c r="MVA692" s="769"/>
      <c r="MVB692" s="769"/>
      <c r="MVC692" s="769"/>
      <c r="MVD692" s="769"/>
      <c r="MVE692" s="769"/>
      <c r="MVF692" s="769"/>
      <c r="MVG692" s="769"/>
      <c r="MVH692" s="769"/>
      <c r="MVI692" s="769"/>
      <c r="MVJ692" s="769"/>
      <c r="MVK692" s="769"/>
      <c r="MVL692" s="769"/>
      <c r="MVM692" s="769"/>
      <c r="MVN692" s="769"/>
      <c r="MVO692" s="769"/>
      <c r="MVP692" s="769"/>
      <c r="MVQ692" s="769"/>
      <c r="MVR692" s="769"/>
      <c r="MVS692" s="769"/>
      <c r="MVT692" s="769"/>
      <c r="MVU692" s="769"/>
      <c r="MVV692" s="769"/>
      <c r="MVW692" s="769"/>
      <c r="MVX692" s="769"/>
      <c r="MVY692" s="769"/>
      <c r="MVZ692" s="769"/>
      <c r="MWA692" s="769"/>
      <c r="MWB692" s="769"/>
      <c r="MWC692" s="769"/>
      <c r="MWD692" s="769"/>
      <c r="MWE692" s="769"/>
      <c r="MWF692" s="769"/>
      <c r="MWG692" s="769"/>
      <c r="MWH692" s="769"/>
      <c r="MWI692" s="769"/>
      <c r="MWJ692" s="769"/>
      <c r="MWK692" s="769"/>
      <c r="MWL692" s="769"/>
      <c r="MWM692" s="769"/>
      <c r="MWN692" s="769"/>
      <c r="MWO692" s="769"/>
      <c r="MWP692" s="769"/>
      <c r="MWQ692" s="769"/>
      <c r="MWR692" s="769"/>
      <c r="MWS692" s="769"/>
      <c r="MWT692" s="769"/>
      <c r="MWU692" s="769"/>
      <c r="MWV692" s="769"/>
      <c r="MWW692" s="769"/>
      <c r="MWX692" s="769"/>
      <c r="MWY692" s="769"/>
      <c r="MWZ692" s="769"/>
      <c r="MXA692" s="769"/>
      <c r="MXB692" s="769"/>
      <c r="MXC692" s="769"/>
      <c r="MXD692" s="769"/>
      <c r="MXE692" s="769"/>
      <c r="MXF692" s="769"/>
      <c r="MXG692" s="769"/>
      <c r="MXH692" s="769"/>
      <c r="MXI692" s="769"/>
      <c r="MXJ692" s="769"/>
      <c r="MXK692" s="769"/>
      <c r="MXL692" s="769"/>
      <c r="MXM692" s="769"/>
      <c r="MXN692" s="769"/>
      <c r="MXO692" s="769"/>
      <c r="MXP692" s="769"/>
      <c r="MXQ692" s="769"/>
      <c r="MXR692" s="769"/>
      <c r="MXS692" s="769"/>
      <c r="MXT692" s="769"/>
      <c r="MXU692" s="769"/>
      <c r="MXV692" s="769"/>
      <c r="MXW692" s="769"/>
      <c r="MXX692" s="769"/>
      <c r="MXY692" s="769"/>
      <c r="MXZ692" s="769"/>
      <c r="MYA692" s="769"/>
      <c r="MYB692" s="769"/>
      <c r="MYC692" s="769"/>
      <c r="MYD692" s="769"/>
      <c r="MYE692" s="769"/>
      <c r="MYF692" s="769"/>
      <c r="MYG692" s="769"/>
      <c r="MYH692" s="769"/>
      <c r="MYI692" s="769"/>
      <c r="MYJ692" s="769"/>
      <c r="MYK692" s="769"/>
      <c r="MYL692" s="769"/>
      <c r="MYM692" s="769"/>
      <c r="MYN692" s="769"/>
      <c r="MYO692" s="769"/>
      <c r="MYP692" s="769"/>
      <c r="MYQ692" s="769"/>
      <c r="MYR692" s="769"/>
      <c r="MYS692" s="769"/>
      <c r="MYT692" s="769"/>
      <c r="MYU692" s="769"/>
      <c r="MYV692" s="769"/>
      <c r="MYW692" s="769"/>
      <c r="MYX692" s="769"/>
      <c r="MYY692" s="769"/>
      <c r="MYZ692" s="769"/>
      <c r="MZA692" s="769"/>
      <c r="MZB692" s="769"/>
      <c r="MZC692" s="769"/>
      <c r="MZD692" s="769"/>
      <c r="MZE692" s="769"/>
      <c r="MZF692" s="769"/>
      <c r="MZG692" s="769"/>
      <c r="MZH692" s="769"/>
      <c r="MZI692" s="769"/>
      <c r="MZJ692" s="769"/>
      <c r="MZK692" s="769"/>
      <c r="MZL692" s="769"/>
      <c r="MZM692" s="769"/>
      <c r="MZN692" s="769"/>
      <c r="MZO692" s="769"/>
      <c r="MZP692" s="769"/>
      <c r="MZQ692" s="769"/>
      <c r="MZR692" s="769"/>
      <c r="MZS692" s="769"/>
      <c r="MZT692" s="769"/>
      <c r="MZU692" s="769"/>
      <c r="MZV692" s="769"/>
      <c r="MZW692" s="769"/>
      <c r="MZX692" s="769"/>
      <c r="MZY692" s="769"/>
      <c r="MZZ692" s="769"/>
      <c r="NAA692" s="769"/>
      <c r="NAB692" s="769"/>
      <c r="NAC692" s="769"/>
      <c r="NAD692" s="769"/>
      <c r="NAE692" s="769"/>
      <c r="NAF692" s="769"/>
      <c r="NAG692" s="769"/>
      <c r="NAH692" s="769"/>
      <c r="NAI692" s="769"/>
      <c r="NAJ692" s="769"/>
      <c r="NAK692" s="769"/>
      <c r="NAL692" s="769"/>
      <c r="NAM692" s="769"/>
      <c r="NAN692" s="769"/>
      <c r="NAO692" s="769"/>
      <c r="NAP692" s="769"/>
      <c r="NAQ692" s="769"/>
      <c r="NAR692" s="769"/>
      <c r="NAS692" s="769"/>
      <c r="NAT692" s="769"/>
      <c r="NAU692" s="769"/>
      <c r="NAV692" s="769"/>
      <c r="NAW692" s="769"/>
      <c r="NAX692" s="769"/>
      <c r="NAY692" s="769"/>
      <c r="NAZ692" s="769"/>
      <c r="NBA692" s="769"/>
      <c r="NBB692" s="769"/>
      <c r="NBC692" s="769"/>
      <c r="NBD692" s="769"/>
      <c r="NBE692" s="769"/>
      <c r="NBF692" s="769"/>
      <c r="NBG692" s="769"/>
      <c r="NBH692" s="769"/>
      <c r="NBI692" s="769"/>
      <c r="NBJ692" s="769"/>
      <c r="NBK692" s="769"/>
      <c r="NBL692" s="769"/>
      <c r="NBM692" s="769"/>
      <c r="NBN692" s="769"/>
      <c r="NBO692" s="769"/>
      <c r="NBP692" s="769"/>
      <c r="NBQ692" s="769"/>
      <c r="NBR692" s="769"/>
      <c r="NBS692" s="769"/>
      <c r="NBT692" s="769"/>
      <c r="NBU692" s="769"/>
      <c r="NBV692" s="769"/>
      <c r="NBW692" s="769"/>
      <c r="NBX692" s="769"/>
      <c r="NBY692" s="769"/>
      <c r="NBZ692" s="769"/>
      <c r="NCA692" s="769"/>
      <c r="NCB692" s="769"/>
      <c r="NCC692" s="769"/>
      <c r="NCD692" s="769"/>
      <c r="NCE692" s="769"/>
      <c r="NCF692" s="769"/>
      <c r="NCG692" s="769"/>
      <c r="NCH692" s="769"/>
      <c r="NCI692" s="769"/>
      <c r="NCJ692" s="769"/>
      <c r="NCK692" s="769"/>
      <c r="NCL692" s="769"/>
      <c r="NCM692" s="769"/>
      <c r="NCN692" s="769"/>
      <c r="NCO692" s="769"/>
      <c r="NCP692" s="769"/>
      <c r="NCQ692" s="769"/>
      <c r="NCR692" s="769"/>
      <c r="NCS692" s="769"/>
      <c r="NCT692" s="769"/>
      <c r="NCU692" s="769"/>
      <c r="NCV692" s="769"/>
      <c r="NCW692" s="769"/>
      <c r="NCX692" s="769"/>
      <c r="NCY692" s="769"/>
      <c r="NCZ692" s="769"/>
      <c r="NDA692" s="769"/>
      <c r="NDB692" s="769"/>
      <c r="NDC692" s="769"/>
      <c r="NDD692" s="769"/>
      <c r="NDE692" s="769"/>
      <c r="NDF692" s="769"/>
      <c r="NDG692" s="769"/>
      <c r="NDH692" s="769"/>
      <c r="NDI692" s="769"/>
      <c r="NDJ692" s="769"/>
      <c r="NDK692" s="769"/>
      <c r="NDL692" s="769"/>
      <c r="NDM692" s="769"/>
      <c r="NDN692" s="769"/>
      <c r="NDO692" s="769"/>
      <c r="NDP692" s="769"/>
      <c r="NDQ692" s="769"/>
      <c r="NDR692" s="769"/>
      <c r="NDS692" s="769"/>
      <c r="NDT692" s="769"/>
      <c r="NDU692" s="769"/>
      <c r="NDV692" s="769"/>
      <c r="NDW692" s="769"/>
      <c r="NDX692" s="769"/>
      <c r="NDY692" s="769"/>
      <c r="NDZ692" s="769"/>
      <c r="NEA692" s="769"/>
      <c r="NEB692" s="769"/>
      <c r="NEC692" s="769"/>
      <c r="NED692" s="769"/>
      <c r="NEE692" s="769"/>
      <c r="NEF692" s="769"/>
      <c r="NEG692" s="769"/>
      <c r="NEH692" s="769"/>
      <c r="NEI692" s="769"/>
      <c r="NEJ692" s="769"/>
      <c r="NEK692" s="769"/>
      <c r="NEL692" s="769"/>
      <c r="NEM692" s="769"/>
      <c r="NEN692" s="769"/>
      <c r="NEO692" s="769"/>
      <c r="NEP692" s="769"/>
      <c r="NEQ692" s="769"/>
      <c r="NER692" s="769"/>
      <c r="NES692" s="769"/>
      <c r="NET692" s="769"/>
      <c r="NEU692" s="769"/>
      <c r="NEV692" s="769"/>
      <c r="NEW692" s="769"/>
      <c r="NEX692" s="769"/>
      <c r="NEY692" s="769"/>
      <c r="NEZ692" s="769"/>
      <c r="NFA692" s="769"/>
      <c r="NFB692" s="769"/>
      <c r="NFC692" s="769"/>
      <c r="NFD692" s="769"/>
      <c r="NFE692" s="769"/>
      <c r="NFF692" s="769"/>
      <c r="NFG692" s="769"/>
      <c r="NFH692" s="769"/>
      <c r="NFI692" s="769"/>
      <c r="NFJ692" s="769"/>
      <c r="NFK692" s="769"/>
      <c r="NFL692" s="769"/>
      <c r="NFM692" s="769"/>
      <c r="NFN692" s="769"/>
      <c r="NFO692" s="769"/>
      <c r="NFP692" s="769"/>
      <c r="NFQ692" s="769"/>
      <c r="NFR692" s="769"/>
      <c r="NFS692" s="769"/>
      <c r="NFT692" s="769"/>
      <c r="NFU692" s="769"/>
      <c r="NFV692" s="769"/>
      <c r="NFW692" s="769"/>
      <c r="NFX692" s="769"/>
      <c r="NFY692" s="769"/>
      <c r="NFZ692" s="769"/>
      <c r="NGA692" s="769"/>
      <c r="NGB692" s="769"/>
      <c r="NGC692" s="769"/>
      <c r="NGD692" s="769"/>
      <c r="NGE692" s="769"/>
      <c r="NGF692" s="769"/>
      <c r="NGG692" s="769"/>
      <c r="NGH692" s="769"/>
      <c r="NGI692" s="769"/>
      <c r="NGJ692" s="769"/>
      <c r="NGK692" s="769"/>
      <c r="NGL692" s="769"/>
      <c r="NGM692" s="769"/>
      <c r="NGN692" s="769"/>
      <c r="NGO692" s="769"/>
      <c r="NGP692" s="769"/>
      <c r="NGQ692" s="769"/>
      <c r="NGR692" s="769"/>
      <c r="NGS692" s="769"/>
      <c r="NGT692" s="769"/>
      <c r="NGU692" s="769"/>
      <c r="NGV692" s="769"/>
      <c r="NGW692" s="769"/>
      <c r="NGX692" s="769"/>
      <c r="NGY692" s="769"/>
      <c r="NGZ692" s="769"/>
      <c r="NHA692" s="769"/>
      <c r="NHB692" s="769"/>
      <c r="NHC692" s="769"/>
      <c r="NHD692" s="769"/>
      <c r="NHE692" s="769"/>
      <c r="NHF692" s="769"/>
      <c r="NHG692" s="769"/>
      <c r="NHH692" s="769"/>
      <c r="NHI692" s="769"/>
      <c r="NHJ692" s="769"/>
      <c r="NHK692" s="769"/>
      <c r="NHL692" s="769"/>
      <c r="NHM692" s="769"/>
      <c r="NHN692" s="769"/>
      <c r="NHO692" s="769"/>
      <c r="NHP692" s="769"/>
      <c r="NHQ692" s="769"/>
      <c r="NHR692" s="769"/>
      <c r="NHS692" s="769"/>
      <c r="NHT692" s="769"/>
      <c r="NHU692" s="769"/>
      <c r="NHV692" s="769"/>
      <c r="NHW692" s="769"/>
      <c r="NHX692" s="769"/>
      <c r="NHY692" s="769"/>
      <c r="NHZ692" s="769"/>
      <c r="NIA692" s="769"/>
      <c r="NIB692" s="769"/>
      <c r="NIC692" s="769"/>
      <c r="NID692" s="769"/>
      <c r="NIE692" s="769"/>
      <c r="NIF692" s="769"/>
      <c r="NIG692" s="769"/>
      <c r="NIH692" s="769"/>
      <c r="NII692" s="769"/>
      <c r="NIJ692" s="769"/>
      <c r="NIK692" s="769"/>
      <c r="NIL692" s="769"/>
      <c r="NIM692" s="769"/>
      <c r="NIN692" s="769"/>
      <c r="NIO692" s="769"/>
      <c r="NIP692" s="769"/>
      <c r="NIQ692" s="769"/>
      <c r="NIR692" s="769"/>
      <c r="NIS692" s="769"/>
      <c r="NIT692" s="769"/>
      <c r="NIU692" s="769"/>
      <c r="NIV692" s="769"/>
      <c r="NIW692" s="769"/>
      <c r="NIX692" s="769"/>
      <c r="NIY692" s="769"/>
      <c r="NIZ692" s="769"/>
      <c r="NJA692" s="769"/>
      <c r="NJB692" s="769"/>
      <c r="NJC692" s="769"/>
      <c r="NJD692" s="769"/>
      <c r="NJE692" s="769"/>
      <c r="NJF692" s="769"/>
      <c r="NJG692" s="769"/>
      <c r="NJH692" s="769"/>
      <c r="NJI692" s="769"/>
      <c r="NJJ692" s="769"/>
      <c r="NJK692" s="769"/>
      <c r="NJL692" s="769"/>
      <c r="NJM692" s="769"/>
      <c r="NJN692" s="769"/>
      <c r="NJO692" s="769"/>
      <c r="NJP692" s="769"/>
      <c r="NJQ692" s="769"/>
      <c r="NJR692" s="769"/>
      <c r="NJS692" s="769"/>
      <c r="NJT692" s="769"/>
      <c r="NJU692" s="769"/>
      <c r="NJV692" s="769"/>
      <c r="NJW692" s="769"/>
      <c r="NJX692" s="769"/>
      <c r="NJY692" s="769"/>
      <c r="NJZ692" s="769"/>
      <c r="NKA692" s="769"/>
      <c r="NKB692" s="769"/>
      <c r="NKC692" s="769"/>
      <c r="NKD692" s="769"/>
      <c r="NKE692" s="769"/>
      <c r="NKF692" s="769"/>
      <c r="NKG692" s="769"/>
      <c r="NKH692" s="769"/>
      <c r="NKI692" s="769"/>
      <c r="NKJ692" s="769"/>
      <c r="NKK692" s="769"/>
      <c r="NKL692" s="769"/>
      <c r="NKM692" s="769"/>
      <c r="NKN692" s="769"/>
      <c r="NKO692" s="769"/>
      <c r="NKP692" s="769"/>
      <c r="NKQ692" s="769"/>
      <c r="NKR692" s="769"/>
      <c r="NKS692" s="769"/>
      <c r="NKT692" s="769"/>
      <c r="NKU692" s="769"/>
      <c r="NKV692" s="769"/>
      <c r="NKW692" s="769"/>
      <c r="NKX692" s="769"/>
      <c r="NKY692" s="769"/>
      <c r="NKZ692" s="769"/>
      <c r="NLA692" s="769"/>
      <c r="NLB692" s="769"/>
      <c r="NLC692" s="769"/>
      <c r="NLD692" s="769"/>
      <c r="NLE692" s="769"/>
      <c r="NLF692" s="769"/>
      <c r="NLG692" s="769"/>
      <c r="NLH692" s="769"/>
      <c r="NLI692" s="769"/>
      <c r="NLJ692" s="769"/>
      <c r="NLK692" s="769"/>
      <c r="NLL692" s="769"/>
      <c r="NLM692" s="769"/>
      <c r="NLN692" s="769"/>
      <c r="NLO692" s="769"/>
      <c r="NLP692" s="769"/>
      <c r="NLQ692" s="769"/>
      <c r="NLR692" s="769"/>
      <c r="NLS692" s="769"/>
      <c r="NLT692" s="769"/>
      <c r="NLU692" s="769"/>
      <c r="NLV692" s="769"/>
      <c r="NLW692" s="769"/>
      <c r="NLX692" s="769"/>
      <c r="NLY692" s="769"/>
      <c r="NLZ692" s="769"/>
      <c r="NMA692" s="769"/>
      <c r="NMB692" s="769"/>
      <c r="NMC692" s="769"/>
      <c r="NMD692" s="769"/>
      <c r="NME692" s="769"/>
      <c r="NMF692" s="769"/>
      <c r="NMG692" s="769"/>
      <c r="NMH692" s="769"/>
      <c r="NMI692" s="769"/>
      <c r="NMJ692" s="769"/>
      <c r="NMK692" s="769"/>
      <c r="NML692" s="769"/>
      <c r="NMM692" s="769"/>
      <c r="NMN692" s="769"/>
      <c r="NMO692" s="769"/>
      <c r="NMP692" s="769"/>
      <c r="NMQ692" s="769"/>
      <c r="NMR692" s="769"/>
      <c r="NMS692" s="769"/>
      <c r="NMT692" s="769"/>
      <c r="NMU692" s="769"/>
      <c r="NMV692" s="769"/>
      <c r="NMW692" s="769"/>
      <c r="NMX692" s="769"/>
      <c r="NMY692" s="769"/>
      <c r="NMZ692" s="769"/>
      <c r="NNA692" s="769"/>
      <c r="NNB692" s="769"/>
      <c r="NNC692" s="769"/>
      <c r="NND692" s="769"/>
      <c r="NNE692" s="769"/>
      <c r="NNF692" s="769"/>
      <c r="NNG692" s="769"/>
      <c r="NNH692" s="769"/>
      <c r="NNI692" s="769"/>
      <c r="NNJ692" s="769"/>
      <c r="NNK692" s="769"/>
      <c r="NNL692" s="769"/>
      <c r="NNM692" s="769"/>
      <c r="NNN692" s="769"/>
      <c r="NNO692" s="769"/>
      <c r="NNP692" s="769"/>
      <c r="NNQ692" s="769"/>
      <c r="NNR692" s="769"/>
      <c r="NNS692" s="769"/>
      <c r="NNT692" s="769"/>
      <c r="NNU692" s="769"/>
      <c r="NNV692" s="769"/>
      <c r="NNW692" s="769"/>
      <c r="NNX692" s="769"/>
      <c r="NNY692" s="769"/>
      <c r="NNZ692" s="769"/>
      <c r="NOA692" s="769"/>
      <c r="NOB692" s="769"/>
      <c r="NOC692" s="769"/>
      <c r="NOD692" s="769"/>
      <c r="NOE692" s="769"/>
      <c r="NOF692" s="769"/>
      <c r="NOG692" s="769"/>
      <c r="NOH692" s="769"/>
      <c r="NOI692" s="769"/>
      <c r="NOJ692" s="769"/>
      <c r="NOK692" s="769"/>
      <c r="NOL692" s="769"/>
      <c r="NOM692" s="769"/>
      <c r="NON692" s="769"/>
      <c r="NOO692" s="769"/>
      <c r="NOP692" s="769"/>
      <c r="NOQ692" s="769"/>
      <c r="NOR692" s="769"/>
      <c r="NOS692" s="769"/>
      <c r="NOT692" s="769"/>
      <c r="NOU692" s="769"/>
      <c r="NOV692" s="769"/>
      <c r="NOW692" s="769"/>
      <c r="NOX692" s="769"/>
      <c r="NOY692" s="769"/>
      <c r="NOZ692" s="769"/>
      <c r="NPA692" s="769"/>
      <c r="NPB692" s="769"/>
      <c r="NPC692" s="769"/>
      <c r="NPD692" s="769"/>
      <c r="NPE692" s="769"/>
      <c r="NPF692" s="769"/>
      <c r="NPG692" s="769"/>
      <c r="NPH692" s="769"/>
      <c r="NPI692" s="769"/>
      <c r="NPJ692" s="769"/>
      <c r="NPK692" s="769"/>
      <c r="NPL692" s="769"/>
      <c r="NPM692" s="769"/>
      <c r="NPN692" s="769"/>
      <c r="NPO692" s="769"/>
      <c r="NPP692" s="769"/>
      <c r="NPQ692" s="769"/>
      <c r="NPR692" s="769"/>
      <c r="NPS692" s="769"/>
      <c r="NPT692" s="769"/>
      <c r="NPU692" s="769"/>
      <c r="NPV692" s="769"/>
      <c r="NPW692" s="769"/>
      <c r="NPX692" s="769"/>
      <c r="NPY692" s="769"/>
      <c r="NPZ692" s="769"/>
      <c r="NQA692" s="769"/>
      <c r="NQB692" s="769"/>
      <c r="NQC692" s="769"/>
      <c r="NQD692" s="769"/>
      <c r="NQE692" s="769"/>
      <c r="NQF692" s="769"/>
      <c r="NQG692" s="769"/>
      <c r="NQH692" s="769"/>
      <c r="NQI692" s="769"/>
      <c r="NQJ692" s="769"/>
      <c r="NQK692" s="769"/>
      <c r="NQL692" s="769"/>
      <c r="NQM692" s="769"/>
      <c r="NQN692" s="769"/>
      <c r="NQO692" s="769"/>
      <c r="NQP692" s="769"/>
      <c r="NQQ692" s="769"/>
      <c r="NQR692" s="769"/>
      <c r="NQS692" s="769"/>
      <c r="NQT692" s="769"/>
      <c r="NQU692" s="769"/>
      <c r="NQV692" s="769"/>
      <c r="NQW692" s="769"/>
      <c r="NQX692" s="769"/>
      <c r="NQY692" s="769"/>
      <c r="NQZ692" s="769"/>
      <c r="NRA692" s="769"/>
      <c r="NRB692" s="769"/>
      <c r="NRC692" s="769"/>
      <c r="NRD692" s="769"/>
      <c r="NRE692" s="769"/>
      <c r="NRF692" s="769"/>
      <c r="NRG692" s="769"/>
      <c r="NRH692" s="769"/>
      <c r="NRI692" s="769"/>
      <c r="NRJ692" s="769"/>
      <c r="NRK692" s="769"/>
      <c r="NRL692" s="769"/>
      <c r="NRM692" s="769"/>
      <c r="NRN692" s="769"/>
      <c r="NRO692" s="769"/>
      <c r="NRP692" s="769"/>
      <c r="NRQ692" s="769"/>
      <c r="NRR692" s="769"/>
      <c r="NRS692" s="769"/>
      <c r="NRT692" s="769"/>
      <c r="NRU692" s="769"/>
      <c r="NRV692" s="769"/>
      <c r="NRW692" s="769"/>
      <c r="NRX692" s="769"/>
      <c r="NRY692" s="769"/>
      <c r="NRZ692" s="769"/>
      <c r="NSA692" s="769"/>
      <c r="NSB692" s="769"/>
      <c r="NSC692" s="769"/>
      <c r="NSD692" s="769"/>
      <c r="NSE692" s="769"/>
      <c r="NSF692" s="769"/>
      <c r="NSG692" s="769"/>
      <c r="NSH692" s="769"/>
      <c r="NSI692" s="769"/>
      <c r="NSJ692" s="769"/>
      <c r="NSK692" s="769"/>
      <c r="NSL692" s="769"/>
      <c r="NSM692" s="769"/>
      <c r="NSN692" s="769"/>
      <c r="NSO692" s="769"/>
      <c r="NSP692" s="769"/>
      <c r="NSQ692" s="769"/>
      <c r="NSR692" s="769"/>
      <c r="NSS692" s="769"/>
      <c r="NST692" s="769"/>
      <c r="NSU692" s="769"/>
      <c r="NSV692" s="769"/>
      <c r="NSW692" s="769"/>
      <c r="NSX692" s="769"/>
      <c r="NSY692" s="769"/>
      <c r="NSZ692" s="769"/>
      <c r="NTA692" s="769"/>
      <c r="NTB692" s="769"/>
      <c r="NTC692" s="769"/>
      <c r="NTD692" s="769"/>
      <c r="NTE692" s="769"/>
      <c r="NTF692" s="769"/>
      <c r="NTG692" s="769"/>
      <c r="NTH692" s="769"/>
      <c r="NTI692" s="769"/>
      <c r="NTJ692" s="769"/>
      <c r="NTK692" s="769"/>
      <c r="NTL692" s="769"/>
      <c r="NTM692" s="769"/>
      <c r="NTN692" s="769"/>
      <c r="NTO692" s="769"/>
      <c r="NTP692" s="769"/>
      <c r="NTQ692" s="769"/>
      <c r="NTR692" s="769"/>
      <c r="NTS692" s="769"/>
      <c r="NTT692" s="769"/>
      <c r="NTU692" s="769"/>
      <c r="NTV692" s="769"/>
      <c r="NTW692" s="769"/>
      <c r="NTX692" s="769"/>
      <c r="NTY692" s="769"/>
      <c r="NTZ692" s="769"/>
      <c r="NUA692" s="769"/>
      <c r="NUB692" s="769"/>
      <c r="NUC692" s="769"/>
      <c r="NUD692" s="769"/>
      <c r="NUE692" s="769"/>
      <c r="NUF692" s="769"/>
      <c r="NUG692" s="769"/>
      <c r="NUH692" s="769"/>
      <c r="NUI692" s="769"/>
      <c r="NUJ692" s="769"/>
      <c r="NUK692" s="769"/>
      <c r="NUL692" s="769"/>
      <c r="NUM692" s="769"/>
      <c r="NUN692" s="769"/>
      <c r="NUO692" s="769"/>
      <c r="NUP692" s="769"/>
      <c r="NUQ692" s="769"/>
      <c r="NUR692" s="769"/>
      <c r="NUS692" s="769"/>
      <c r="NUT692" s="769"/>
      <c r="NUU692" s="769"/>
      <c r="NUV692" s="769"/>
      <c r="NUW692" s="769"/>
      <c r="NUX692" s="769"/>
      <c r="NUY692" s="769"/>
      <c r="NUZ692" s="769"/>
      <c r="NVA692" s="769"/>
      <c r="NVB692" s="769"/>
      <c r="NVC692" s="769"/>
      <c r="NVD692" s="769"/>
      <c r="NVE692" s="769"/>
      <c r="NVF692" s="769"/>
      <c r="NVG692" s="769"/>
      <c r="NVH692" s="769"/>
      <c r="NVI692" s="769"/>
      <c r="NVJ692" s="769"/>
      <c r="NVK692" s="769"/>
      <c r="NVL692" s="769"/>
      <c r="NVM692" s="769"/>
      <c r="NVN692" s="769"/>
      <c r="NVO692" s="769"/>
      <c r="NVP692" s="769"/>
      <c r="NVQ692" s="769"/>
      <c r="NVR692" s="769"/>
      <c r="NVS692" s="769"/>
      <c r="NVT692" s="769"/>
      <c r="NVU692" s="769"/>
      <c r="NVV692" s="769"/>
      <c r="NVW692" s="769"/>
      <c r="NVX692" s="769"/>
      <c r="NVY692" s="769"/>
      <c r="NVZ692" s="769"/>
      <c r="NWA692" s="769"/>
      <c r="NWB692" s="769"/>
      <c r="NWC692" s="769"/>
      <c r="NWD692" s="769"/>
      <c r="NWE692" s="769"/>
      <c r="NWF692" s="769"/>
      <c r="NWG692" s="769"/>
      <c r="NWH692" s="769"/>
      <c r="NWI692" s="769"/>
      <c r="NWJ692" s="769"/>
      <c r="NWK692" s="769"/>
      <c r="NWL692" s="769"/>
      <c r="NWM692" s="769"/>
      <c r="NWN692" s="769"/>
      <c r="NWO692" s="769"/>
      <c r="NWP692" s="769"/>
      <c r="NWQ692" s="769"/>
      <c r="NWR692" s="769"/>
      <c r="NWS692" s="769"/>
      <c r="NWT692" s="769"/>
      <c r="NWU692" s="769"/>
      <c r="NWV692" s="769"/>
      <c r="NWW692" s="769"/>
      <c r="NWX692" s="769"/>
      <c r="NWY692" s="769"/>
      <c r="NWZ692" s="769"/>
      <c r="NXA692" s="769"/>
      <c r="NXB692" s="769"/>
      <c r="NXC692" s="769"/>
      <c r="NXD692" s="769"/>
      <c r="NXE692" s="769"/>
      <c r="NXF692" s="769"/>
      <c r="NXG692" s="769"/>
      <c r="NXH692" s="769"/>
      <c r="NXI692" s="769"/>
      <c r="NXJ692" s="769"/>
      <c r="NXK692" s="769"/>
      <c r="NXL692" s="769"/>
      <c r="NXM692" s="769"/>
      <c r="NXN692" s="769"/>
      <c r="NXO692" s="769"/>
      <c r="NXP692" s="769"/>
      <c r="NXQ692" s="769"/>
      <c r="NXR692" s="769"/>
      <c r="NXS692" s="769"/>
      <c r="NXT692" s="769"/>
      <c r="NXU692" s="769"/>
      <c r="NXV692" s="769"/>
      <c r="NXW692" s="769"/>
      <c r="NXX692" s="769"/>
      <c r="NXY692" s="769"/>
      <c r="NXZ692" s="769"/>
      <c r="NYA692" s="769"/>
      <c r="NYB692" s="769"/>
      <c r="NYC692" s="769"/>
      <c r="NYD692" s="769"/>
      <c r="NYE692" s="769"/>
      <c r="NYF692" s="769"/>
      <c r="NYG692" s="769"/>
      <c r="NYH692" s="769"/>
      <c r="NYI692" s="769"/>
      <c r="NYJ692" s="769"/>
      <c r="NYK692" s="769"/>
      <c r="NYL692" s="769"/>
      <c r="NYM692" s="769"/>
      <c r="NYN692" s="769"/>
      <c r="NYO692" s="769"/>
      <c r="NYP692" s="769"/>
      <c r="NYQ692" s="769"/>
      <c r="NYR692" s="769"/>
      <c r="NYS692" s="769"/>
      <c r="NYT692" s="769"/>
      <c r="NYU692" s="769"/>
      <c r="NYV692" s="769"/>
      <c r="NYW692" s="769"/>
      <c r="NYX692" s="769"/>
      <c r="NYY692" s="769"/>
      <c r="NYZ692" s="769"/>
      <c r="NZA692" s="769"/>
      <c r="NZB692" s="769"/>
      <c r="NZC692" s="769"/>
      <c r="NZD692" s="769"/>
      <c r="NZE692" s="769"/>
      <c r="NZF692" s="769"/>
      <c r="NZG692" s="769"/>
      <c r="NZH692" s="769"/>
      <c r="NZI692" s="769"/>
      <c r="NZJ692" s="769"/>
      <c r="NZK692" s="769"/>
      <c r="NZL692" s="769"/>
      <c r="NZM692" s="769"/>
      <c r="NZN692" s="769"/>
      <c r="NZO692" s="769"/>
      <c r="NZP692" s="769"/>
      <c r="NZQ692" s="769"/>
      <c r="NZR692" s="769"/>
      <c r="NZS692" s="769"/>
      <c r="NZT692" s="769"/>
      <c r="NZU692" s="769"/>
      <c r="NZV692" s="769"/>
      <c r="NZW692" s="769"/>
      <c r="NZX692" s="769"/>
      <c r="NZY692" s="769"/>
      <c r="NZZ692" s="769"/>
      <c r="OAA692" s="769"/>
      <c r="OAB692" s="769"/>
      <c r="OAC692" s="769"/>
      <c r="OAD692" s="769"/>
      <c r="OAE692" s="769"/>
      <c r="OAF692" s="769"/>
      <c r="OAG692" s="769"/>
      <c r="OAH692" s="769"/>
      <c r="OAI692" s="769"/>
      <c r="OAJ692" s="769"/>
      <c r="OAK692" s="769"/>
      <c r="OAL692" s="769"/>
      <c r="OAM692" s="769"/>
      <c r="OAN692" s="769"/>
      <c r="OAO692" s="769"/>
      <c r="OAP692" s="769"/>
      <c r="OAQ692" s="769"/>
      <c r="OAR692" s="769"/>
      <c r="OAS692" s="769"/>
      <c r="OAT692" s="769"/>
      <c r="OAU692" s="769"/>
      <c r="OAV692" s="769"/>
      <c r="OAW692" s="769"/>
      <c r="OAX692" s="769"/>
      <c r="OAY692" s="769"/>
      <c r="OAZ692" s="769"/>
      <c r="OBA692" s="769"/>
      <c r="OBB692" s="769"/>
      <c r="OBC692" s="769"/>
      <c r="OBD692" s="769"/>
      <c r="OBE692" s="769"/>
      <c r="OBF692" s="769"/>
      <c r="OBG692" s="769"/>
      <c r="OBH692" s="769"/>
      <c r="OBI692" s="769"/>
      <c r="OBJ692" s="769"/>
      <c r="OBK692" s="769"/>
      <c r="OBL692" s="769"/>
      <c r="OBM692" s="769"/>
      <c r="OBN692" s="769"/>
      <c r="OBO692" s="769"/>
      <c r="OBP692" s="769"/>
      <c r="OBQ692" s="769"/>
      <c r="OBR692" s="769"/>
      <c r="OBS692" s="769"/>
      <c r="OBT692" s="769"/>
      <c r="OBU692" s="769"/>
      <c r="OBV692" s="769"/>
      <c r="OBW692" s="769"/>
      <c r="OBX692" s="769"/>
      <c r="OBY692" s="769"/>
      <c r="OBZ692" s="769"/>
      <c r="OCA692" s="769"/>
      <c r="OCB692" s="769"/>
      <c r="OCC692" s="769"/>
      <c r="OCD692" s="769"/>
      <c r="OCE692" s="769"/>
      <c r="OCF692" s="769"/>
      <c r="OCG692" s="769"/>
      <c r="OCH692" s="769"/>
      <c r="OCI692" s="769"/>
      <c r="OCJ692" s="769"/>
      <c r="OCK692" s="769"/>
      <c r="OCL692" s="769"/>
      <c r="OCM692" s="769"/>
      <c r="OCN692" s="769"/>
      <c r="OCO692" s="769"/>
      <c r="OCP692" s="769"/>
      <c r="OCQ692" s="769"/>
      <c r="OCR692" s="769"/>
      <c r="OCS692" s="769"/>
      <c r="OCT692" s="769"/>
      <c r="OCU692" s="769"/>
      <c r="OCV692" s="769"/>
      <c r="OCW692" s="769"/>
      <c r="OCX692" s="769"/>
      <c r="OCY692" s="769"/>
      <c r="OCZ692" s="769"/>
      <c r="ODA692" s="769"/>
      <c r="ODB692" s="769"/>
      <c r="ODC692" s="769"/>
      <c r="ODD692" s="769"/>
      <c r="ODE692" s="769"/>
      <c r="ODF692" s="769"/>
      <c r="ODG692" s="769"/>
      <c r="ODH692" s="769"/>
      <c r="ODI692" s="769"/>
      <c r="ODJ692" s="769"/>
      <c r="ODK692" s="769"/>
      <c r="ODL692" s="769"/>
      <c r="ODM692" s="769"/>
      <c r="ODN692" s="769"/>
      <c r="ODO692" s="769"/>
      <c r="ODP692" s="769"/>
      <c r="ODQ692" s="769"/>
      <c r="ODR692" s="769"/>
      <c r="ODS692" s="769"/>
      <c r="ODT692" s="769"/>
      <c r="ODU692" s="769"/>
      <c r="ODV692" s="769"/>
      <c r="ODW692" s="769"/>
      <c r="ODX692" s="769"/>
      <c r="ODY692" s="769"/>
      <c r="ODZ692" s="769"/>
      <c r="OEA692" s="769"/>
      <c r="OEB692" s="769"/>
      <c r="OEC692" s="769"/>
      <c r="OED692" s="769"/>
      <c r="OEE692" s="769"/>
      <c r="OEF692" s="769"/>
      <c r="OEG692" s="769"/>
      <c r="OEH692" s="769"/>
      <c r="OEI692" s="769"/>
      <c r="OEJ692" s="769"/>
      <c r="OEK692" s="769"/>
      <c r="OEL692" s="769"/>
      <c r="OEM692" s="769"/>
      <c r="OEN692" s="769"/>
      <c r="OEO692" s="769"/>
      <c r="OEP692" s="769"/>
      <c r="OEQ692" s="769"/>
      <c r="OER692" s="769"/>
      <c r="OES692" s="769"/>
      <c r="OET692" s="769"/>
      <c r="OEU692" s="769"/>
      <c r="OEV692" s="769"/>
      <c r="OEW692" s="769"/>
      <c r="OEX692" s="769"/>
      <c r="OEY692" s="769"/>
      <c r="OEZ692" s="769"/>
      <c r="OFA692" s="769"/>
      <c r="OFB692" s="769"/>
      <c r="OFC692" s="769"/>
      <c r="OFD692" s="769"/>
      <c r="OFE692" s="769"/>
      <c r="OFF692" s="769"/>
      <c r="OFG692" s="769"/>
      <c r="OFH692" s="769"/>
      <c r="OFI692" s="769"/>
      <c r="OFJ692" s="769"/>
      <c r="OFK692" s="769"/>
      <c r="OFL692" s="769"/>
      <c r="OFM692" s="769"/>
      <c r="OFN692" s="769"/>
      <c r="OFO692" s="769"/>
      <c r="OFP692" s="769"/>
      <c r="OFQ692" s="769"/>
      <c r="OFR692" s="769"/>
      <c r="OFS692" s="769"/>
      <c r="OFT692" s="769"/>
      <c r="OFU692" s="769"/>
      <c r="OFV692" s="769"/>
      <c r="OFW692" s="769"/>
      <c r="OFX692" s="769"/>
      <c r="OFY692" s="769"/>
      <c r="OFZ692" s="769"/>
      <c r="OGA692" s="769"/>
      <c r="OGB692" s="769"/>
      <c r="OGC692" s="769"/>
      <c r="OGD692" s="769"/>
      <c r="OGE692" s="769"/>
      <c r="OGF692" s="769"/>
      <c r="OGG692" s="769"/>
      <c r="OGH692" s="769"/>
      <c r="OGI692" s="769"/>
      <c r="OGJ692" s="769"/>
      <c r="OGK692" s="769"/>
      <c r="OGL692" s="769"/>
      <c r="OGM692" s="769"/>
      <c r="OGN692" s="769"/>
      <c r="OGO692" s="769"/>
      <c r="OGP692" s="769"/>
      <c r="OGQ692" s="769"/>
      <c r="OGR692" s="769"/>
      <c r="OGS692" s="769"/>
      <c r="OGT692" s="769"/>
      <c r="OGU692" s="769"/>
      <c r="OGV692" s="769"/>
      <c r="OGW692" s="769"/>
      <c r="OGX692" s="769"/>
      <c r="OGY692" s="769"/>
      <c r="OGZ692" s="769"/>
      <c r="OHA692" s="769"/>
      <c r="OHB692" s="769"/>
      <c r="OHC692" s="769"/>
      <c r="OHD692" s="769"/>
      <c r="OHE692" s="769"/>
      <c r="OHF692" s="769"/>
      <c r="OHG692" s="769"/>
      <c r="OHH692" s="769"/>
      <c r="OHI692" s="769"/>
      <c r="OHJ692" s="769"/>
      <c r="OHK692" s="769"/>
      <c r="OHL692" s="769"/>
      <c r="OHM692" s="769"/>
      <c r="OHN692" s="769"/>
      <c r="OHO692" s="769"/>
      <c r="OHP692" s="769"/>
      <c r="OHQ692" s="769"/>
      <c r="OHR692" s="769"/>
      <c r="OHS692" s="769"/>
      <c r="OHT692" s="769"/>
      <c r="OHU692" s="769"/>
      <c r="OHV692" s="769"/>
      <c r="OHW692" s="769"/>
      <c r="OHX692" s="769"/>
      <c r="OHY692" s="769"/>
      <c r="OHZ692" s="769"/>
      <c r="OIA692" s="769"/>
      <c r="OIB692" s="769"/>
      <c r="OIC692" s="769"/>
      <c r="OID692" s="769"/>
      <c r="OIE692" s="769"/>
      <c r="OIF692" s="769"/>
      <c r="OIG692" s="769"/>
      <c r="OIH692" s="769"/>
      <c r="OII692" s="769"/>
      <c r="OIJ692" s="769"/>
      <c r="OIK692" s="769"/>
      <c r="OIL692" s="769"/>
      <c r="OIM692" s="769"/>
      <c r="OIN692" s="769"/>
      <c r="OIO692" s="769"/>
      <c r="OIP692" s="769"/>
      <c r="OIQ692" s="769"/>
      <c r="OIR692" s="769"/>
      <c r="OIS692" s="769"/>
      <c r="OIT692" s="769"/>
      <c r="OIU692" s="769"/>
      <c r="OIV692" s="769"/>
      <c r="OIW692" s="769"/>
      <c r="OIX692" s="769"/>
      <c r="OIY692" s="769"/>
      <c r="OIZ692" s="769"/>
      <c r="OJA692" s="769"/>
      <c r="OJB692" s="769"/>
      <c r="OJC692" s="769"/>
      <c r="OJD692" s="769"/>
      <c r="OJE692" s="769"/>
      <c r="OJF692" s="769"/>
      <c r="OJG692" s="769"/>
      <c r="OJH692" s="769"/>
      <c r="OJI692" s="769"/>
      <c r="OJJ692" s="769"/>
      <c r="OJK692" s="769"/>
      <c r="OJL692" s="769"/>
      <c r="OJM692" s="769"/>
      <c r="OJN692" s="769"/>
      <c r="OJO692" s="769"/>
      <c r="OJP692" s="769"/>
      <c r="OJQ692" s="769"/>
      <c r="OJR692" s="769"/>
      <c r="OJS692" s="769"/>
      <c r="OJT692" s="769"/>
      <c r="OJU692" s="769"/>
      <c r="OJV692" s="769"/>
      <c r="OJW692" s="769"/>
      <c r="OJX692" s="769"/>
      <c r="OJY692" s="769"/>
      <c r="OJZ692" s="769"/>
      <c r="OKA692" s="769"/>
      <c r="OKB692" s="769"/>
      <c r="OKC692" s="769"/>
      <c r="OKD692" s="769"/>
      <c r="OKE692" s="769"/>
      <c r="OKF692" s="769"/>
      <c r="OKG692" s="769"/>
      <c r="OKH692" s="769"/>
      <c r="OKI692" s="769"/>
      <c r="OKJ692" s="769"/>
      <c r="OKK692" s="769"/>
      <c r="OKL692" s="769"/>
      <c r="OKM692" s="769"/>
      <c r="OKN692" s="769"/>
      <c r="OKO692" s="769"/>
      <c r="OKP692" s="769"/>
      <c r="OKQ692" s="769"/>
      <c r="OKR692" s="769"/>
      <c r="OKS692" s="769"/>
      <c r="OKT692" s="769"/>
      <c r="OKU692" s="769"/>
      <c r="OKV692" s="769"/>
      <c r="OKW692" s="769"/>
      <c r="OKX692" s="769"/>
      <c r="OKY692" s="769"/>
      <c r="OKZ692" s="769"/>
      <c r="OLA692" s="769"/>
      <c r="OLB692" s="769"/>
      <c r="OLC692" s="769"/>
      <c r="OLD692" s="769"/>
      <c r="OLE692" s="769"/>
      <c r="OLF692" s="769"/>
      <c r="OLG692" s="769"/>
      <c r="OLH692" s="769"/>
      <c r="OLI692" s="769"/>
      <c r="OLJ692" s="769"/>
      <c r="OLK692" s="769"/>
      <c r="OLL692" s="769"/>
      <c r="OLM692" s="769"/>
      <c r="OLN692" s="769"/>
      <c r="OLO692" s="769"/>
      <c r="OLP692" s="769"/>
      <c r="OLQ692" s="769"/>
      <c r="OLR692" s="769"/>
      <c r="OLS692" s="769"/>
      <c r="OLT692" s="769"/>
      <c r="OLU692" s="769"/>
      <c r="OLV692" s="769"/>
      <c r="OLW692" s="769"/>
      <c r="OLX692" s="769"/>
      <c r="OLY692" s="769"/>
      <c r="OLZ692" s="769"/>
      <c r="OMA692" s="769"/>
      <c r="OMB692" s="769"/>
      <c r="OMC692" s="769"/>
      <c r="OMD692" s="769"/>
      <c r="OME692" s="769"/>
      <c r="OMF692" s="769"/>
      <c r="OMG692" s="769"/>
      <c r="OMH692" s="769"/>
      <c r="OMI692" s="769"/>
      <c r="OMJ692" s="769"/>
      <c r="OMK692" s="769"/>
      <c r="OML692" s="769"/>
      <c r="OMM692" s="769"/>
      <c r="OMN692" s="769"/>
      <c r="OMO692" s="769"/>
      <c r="OMP692" s="769"/>
      <c r="OMQ692" s="769"/>
      <c r="OMR692" s="769"/>
      <c r="OMS692" s="769"/>
      <c r="OMT692" s="769"/>
      <c r="OMU692" s="769"/>
      <c r="OMV692" s="769"/>
      <c r="OMW692" s="769"/>
      <c r="OMX692" s="769"/>
      <c r="OMY692" s="769"/>
      <c r="OMZ692" s="769"/>
      <c r="ONA692" s="769"/>
      <c r="ONB692" s="769"/>
      <c r="ONC692" s="769"/>
      <c r="OND692" s="769"/>
      <c r="ONE692" s="769"/>
      <c r="ONF692" s="769"/>
      <c r="ONG692" s="769"/>
      <c r="ONH692" s="769"/>
      <c r="ONI692" s="769"/>
      <c r="ONJ692" s="769"/>
      <c r="ONK692" s="769"/>
      <c r="ONL692" s="769"/>
      <c r="ONM692" s="769"/>
      <c r="ONN692" s="769"/>
      <c r="ONO692" s="769"/>
      <c r="ONP692" s="769"/>
      <c r="ONQ692" s="769"/>
      <c r="ONR692" s="769"/>
      <c r="ONS692" s="769"/>
      <c r="ONT692" s="769"/>
      <c r="ONU692" s="769"/>
      <c r="ONV692" s="769"/>
      <c r="ONW692" s="769"/>
      <c r="ONX692" s="769"/>
      <c r="ONY692" s="769"/>
      <c r="ONZ692" s="769"/>
      <c r="OOA692" s="769"/>
      <c r="OOB692" s="769"/>
      <c r="OOC692" s="769"/>
      <c r="OOD692" s="769"/>
      <c r="OOE692" s="769"/>
      <c r="OOF692" s="769"/>
      <c r="OOG692" s="769"/>
      <c r="OOH692" s="769"/>
      <c r="OOI692" s="769"/>
      <c r="OOJ692" s="769"/>
      <c r="OOK692" s="769"/>
      <c r="OOL692" s="769"/>
      <c r="OOM692" s="769"/>
      <c r="OON692" s="769"/>
      <c r="OOO692" s="769"/>
      <c r="OOP692" s="769"/>
      <c r="OOQ692" s="769"/>
      <c r="OOR692" s="769"/>
      <c r="OOS692" s="769"/>
      <c r="OOT692" s="769"/>
      <c r="OOU692" s="769"/>
      <c r="OOV692" s="769"/>
      <c r="OOW692" s="769"/>
      <c r="OOX692" s="769"/>
      <c r="OOY692" s="769"/>
      <c r="OOZ692" s="769"/>
      <c r="OPA692" s="769"/>
      <c r="OPB692" s="769"/>
      <c r="OPC692" s="769"/>
      <c r="OPD692" s="769"/>
      <c r="OPE692" s="769"/>
      <c r="OPF692" s="769"/>
      <c r="OPG692" s="769"/>
      <c r="OPH692" s="769"/>
      <c r="OPI692" s="769"/>
      <c r="OPJ692" s="769"/>
      <c r="OPK692" s="769"/>
      <c r="OPL692" s="769"/>
      <c r="OPM692" s="769"/>
      <c r="OPN692" s="769"/>
      <c r="OPO692" s="769"/>
      <c r="OPP692" s="769"/>
      <c r="OPQ692" s="769"/>
      <c r="OPR692" s="769"/>
      <c r="OPS692" s="769"/>
      <c r="OPT692" s="769"/>
      <c r="OPU692" s="769"/>
      <c r="OPV692" s="769"/>
      <c r="OPW692" s="769"/>
      <c r="OPX692" s="769"/>
      <c r="OPY692" s="769"/>
      <c r="OPZ692" s="769"/>
      <c r="OQA692" s="769"/>
      <c r="OQB692" s="769"/>
      <c r="OQC692" s="769"/>
      <c r="OQD692" s="769"/>
      <c r="OQE692" s="769"/>
      <c r="OQF692" s="769"/>
      <c r="OQG692" s="769"/>
      <c r="OQH692" s="769"/>
      <c r="OQI692" s="769"/>
      <c r="OQJ692" s="769"/>
      <c r="OQK692" s="769"/>
      <c r="OQL692" s="769"/>
      <c r="OQM692" s="769"/>
      <c r="OQN692" s="769"/>
      <c r="OQO692" s="769"/>
      <c r="OQP692" s="769"/>
      <c r="OQQ692" s="769"/>
      <c r="OQR692" s="769"/>
      <c r="OQS692" s="769"/>
      <c r="OQT692" s="769"/>
      <c r="OQU692" s="769"/>
      <c r="OQV692" s="769"/>
      <c r="OQW692" s="769"/>
      <c r="OQX692" s="769"/>
      <c r="OQY692" s="769"/>
      <c r="OQZ692" s="769"/>
      <c r="ORA692" s="769"/>
      <c r="ORB692" s="769"/>
      <c r="ORC692" s="769"/>
      <c r="ORD692" s="769"/>
      <c r="ORE692" s="769"/>
      <c r="ORF692" s="769"/>
      <c r="ORG692" s="769"/>
      <c r="ORH692" s="769"/>
      <c r="ORI692" s="769"/>
      <c r="ORJ692" s="769"/>
      <c r="ORK692" s="769"/>
      <c r="ORL692" s="769"/>
      <c r="ORM692" s="769"/>
      <c r="ORN692" s="769"/>
      <c r="ORO692" s="769"/>
      <c r="ORP692" s="769"/>
      <c r="ORQ692" s="769"/>
      <c r="ORR692" s="769"/>
      <c r="ORS692" s="769"/>
      <c r="ORT692" s="769"/>
      <c r="ORU692" s="769"/>
      <c r="ORV692" s="769"/>
      <c r="ORW692" s="769"/>
      <c r="ORX692" s="769"/>
      <c r="ORY692" s="769"/>
      <c r="ORZ692" s="769"/>
      <c r="OSA692" s="769"/>
      <c r="OSB692" s="769"/>
      <c r="OSC692" s="769"/>
      <c r="OSD692" s="769"/>
      <c r="OSE692" s="769"/>
      <c r="OSF692" s="769"/>
      <c r="OSG692" s="769"/>
      <c r="OSH692" s="769"/>
      <c r="OSI692" s="769"/>
      <c r="OSJ692" s="769"/>
      <c r="OSK692" s="769"/>
      <c r="OSL692" s="769"/>
      <c r="OSM692" s="769"/>
      <c r="OSN692" s="769"/>
      <c r="OSO692" s="769"/>
      <c r="OSP692" s="769"/>
      <c r="OSQ692" s="769"/>
      <c r="OSR692" s="769"/>
      <c r="OSS692" s="769"/>
      <c r="OST692" s="769"/>
      <c r="OSU692" s="769"/>
      <c r="OSV692" s="769"/>
      <c r="OSW692" s="769"/>
      <c r="OSX692" s="769"/>
      <c r="OSY692" s="769"/>
      <c r="OSZ692" s="769"/>
      <c r="OTA692" s="769"/>
      <c r="OTB692" s="769"/>
      <c r="OTC692" s="769"/>
      <c r="OTD692" s="769"/>
      <c r="OTE692" s="769"/>
      <c r="OTF692" s="769"/>
      <c r="OTG692" s="769"/>
      <c r="OTH692" s="769"/>
      <c r="OTI692" s="769"/>
      <c r="OTJ692" s="769"/>
      <c r="OTK692" s="769"/>
      <c r="OTL692" s="769"/>
      <c r="OTM692" s="769"/>
      <c r="OTN692" s="769"/>
      <c r="OTO692" s="769"/>
      <c r="OTP692" s="769"/>
      <c r="OTQ692" s="769"/>
      <c r="OTR692" s="769"/>
      <c r="OTS692" s="769"/>
      <c r="OTT692" s="769"/>
      <c r="OTU692" s="769"/>
      <c r="OTV692" s="769"/>
      <c r="OTW692" s="769"/>
      <c r="OTX692" s="769"/>
      <c r="OTY692" s="769"/>
      <c r="OTZ692" s="769"/>
      <c r="OUA692" s="769"/>
      <c r="OUB692" s="769"/>
      <c r="OUC692" s="769"/>
      <c r="OUD692" s="769"/>
      <c r="OUE692" s="769"/>
      <c r="OUF692" s="769"/>
      <c r="OUG692" s="769"/>
      <c r="OUH692" s="769"/>
      <c r="OUI692" s="769"/>
      <c r="OUJ692" s="769"/>
      <c r="OUK692" s="769"/>
      <c r="OUL692" s="769"/>
      <c r="OUM692" s="769"/>
      <c r="OUN692" s="769"/>
      <c r="OUO692" s="769"/>
      <c r="OUP692" s="769"/>
      <c r="OUQ692" s="769"/>
      <c r="OUR692" s="769"/>
      <c r="OUS692" s="769"/>
      <c r="OUT692" s="769"/>
      <c r="OUU692" s="769"/>
      <c r="OUV692" s="769"/>
      <c r="OUW692" s="769"/>
      <c r="OUX692" s="769"/>
      <c r="OUY692" s="769"/>
      <c r="OUZ692" s="769"/>
      <c r="OVA692" s="769"/>
      <c r="OVB692" s="769"/>
      <c r="OVC692" s="769"/>
      <c r="OVD692" s="769"/>
      <c r="OVE692" s="769"/>
      <c r="OVF692" s="769"/>
      <c r="OVG692" s="769"/>
      <c r="OVH692" s="769"/>
      <c r="OVI692" s="769"/>
      <c r="OVJ692" s="769"/>
      <c r="OVK692" s="769"/>
      <c r="OVL692" s="769"/>
      <c r="OVM692" s="769"/>
      <c r="OVN692" s="769"/>
      <c r="OVO692" s="769"/>
      <c r="OVP692" s="769"/>
      <c r="OVQ692" s="769"/>
      <c r="OVR692" s="769"/>
      <c r="OVS692" s="769"/>
      <c r="OVT692" s="769"/>
      <c r="OVU692" s="769"/>
      <c r="OVV692" s="769"/>
      <c r="OVW692" s="769"/>
      <c r="OVX692" s="769"/>
      <c r="OVY692" s="769"/>
      <c r="OVZ692" s="769"/>
      <c r="OWA692" s="769"/>
      <c r="OWB692" s="769"/>
      <c r="OWC692" s="769"/>
      <c r="OWD692" s="769"/>
      <c r="OWE692" s="769"/>
      <c r="OWF692" s="769"/>
      <c r="OWG692" s="769"/>
      <c r="OWH692" s="769"/>
      <c r="OWI692" s="769"/>
      <c r="OWJ692" s="769"/>
      <c r="OWK692" s="769"/>
      <c r="OWL692" s="769"/>
      <c r="OWM692" s="769"/>
      <c r="OWN692" s="769"/>
      <c r="OWO692" s="769"/>
      <c r="OWP692" s="769"/>
      <c r="OWQ692" s="769"/>
      <c r="OWR692" s="769"/>
      <c r="OWS692" s="769"/>
      <c r="OWT692" s="769"/>
      <c r="OWU692" s="769"/>
      <c r="OWV692" s="769"/>
      <c r="OWW692" s="769"/>
      <c r="OWX692" s="769"/>
      <c r="OWY692" s="769"/>
      <c r="OWZ692" s="769"/>
      <c r="OXA692" s="769"/>
      <c r="OXB692" s="769"/>
      <c r="OXC692" s="769"/>
      <c r="OXD692" s="769"/>
      <c r="OXE692" s="769"/>
      <c r="OXF692" s="769"/>
      <c r="OXG692" s="769"/>
      <c r="OXH692" s="769"/>
      <c r="OXI692" s="769"/>
      <c r="OXJ692" s="769"/>
      <c r="OXK692" s="769"/>
      <c r="OXL692" s="769"/>
      <c r="OXM692" s="769"/>
      <c r="OXN692" s="769"/>
      <c r="OXO692" s="769"/>
      <c r="OXP692" s="769"/>
      <c r="OXQ692" s="769"/>
      <c r="OXR692" s="769"/>
      <c r="OXS692" s="769"/>
      <c r="OXT692" s="769"/>
      <c r="OXU692" s="769"/>
      <c r="OXV692" s="769"/>
      <c r="OXW692" s="769"/>
      <c r="OXX692" s="769"/>
      <c r="OXY692" s="769"/>
      <c r="OXZ692" s="769"/>
      <c r="OYA692" s="769"/>
      <c r="OYB692" s="769"/>
      <c r="OYC692" s="769"/>
      <c r="OYD692" s="769"/>
      <c r="OYE692" s="769"/>
      <c r="OYF692" s="769"/>
      <c r="OYG692" s="769"/>
      <c r="OYH692" s="769"/>
      <c r="OYI692" s="769"/>
      <c r="OYJ692" s="769"/>
      <c r="OYK692" s="769"/>
      <c r="OYL692" s="769"/>
      <c r="OYM692" s="769"/>
      <c r="OYN692" s="769"/>
      <c r="OYO692" s="769"/>
      <c r="OYP692" s="769"/>
      <c r="OYQ692" s="769"/>
      <c r="OYR692" s="769"/>
      <c r="OYS692" s="769"/>
      <c r="OYT692" s="769"/>
      <c r="OYU692" s="769"/>
      <c r="OYV692" s="769"/>
      <c r="OYW692" s="769"/>
      <c r="OYX692" s="769"/>
      <c r="OYY692" s="769"/>
      <c r="OYZ692" s="769"/>
      <c r="OZA692" s="769"/>
      <c r="OZB692" s="769"/>
      <c r="OZC692" s="769"/>
      <c r="OZD692" s="769"/>
      <c r="OZE692" s="769"/>
      <c r="OZF692" s="769"/>
      <c r="OZG692" s="769"/>
      <c r="OZH692" s="769"/>
      <c r="OZI692" s="769"/>
      <c r="OZJ692" s="769"/>
      <c r="OZK692" s="769"/>
      <c r="OZL692" s="769"/>
      <c r="OZM692" s="769"/>
      <c r="OZN692" s="769"/>
      <c r="OZO692" s="769"/>
      <c r="OZP692" s="769"/>
      <c r="OZQ692" s="769"/>
      <c r="OZR692" s="769"/>
      <c r="OZS692" s="769"/>
      <c r="OZT692" s="769"/>
      <c r="OZU692" s="769"/>
      <c r="OZV692" s="769"/>
      <c r="OZW692" s="769"/>
      <c r="OZX692" s="769"/>
      <c r="OZY692" s="769"/>
      <c r="OZZ692" s="769"/>
      <c r="PAA692" s="769"/>
      <c r="PAB692" s="769"/>
      <c r="PAC692" s="769"/>
      <c r="PAD692" s="769"/>
      <c r="PAE692" s="769"/>
      <c r="PAF692" s="769"/>
      <c r="PAG692" s="769"/>
      <c r="PAH692" s="769"/>
      <c r="PAI692" s="769"/>
      <c r="PAJ692" s="769"/>
      <c r="PAK692" s="769"/>
      <c r="PAL692" s="769"/>
      <c r="PAM692" s="769"/>
      <c r="PAN692" s="769"/>
      <c r="PAO692" s="769"/>
      <c r="PAP692" s="769"/>
      <c r="PAQ692" s="769"/>
      <c r="PAR692" s="769"/>
      <c r="PAS692" s="769"/>
      <c r="PAT692" s="769"/>
      <c r="PAU692" s="769"/>
      <c r="PAV692" s="769"/>
      <c r="PAW692" s="769"/>
      <c r="PAX692" s="769"/>
      <c r="PAY692" s="769"/>
      <c r="PAZ692" s="769"/>
      <c r="PBA692" s="769"/>
      <c r="PBB692" s="769"/>
      <c r="PBC692" s="769"/>
      <c r="PBD692" s="769"/>
      <c r="PBE692" s="769"/>
      <c r="PBF692" s="769"/>
      <c r="PBG692" s="769"/>
      <c r="PBH692" s="769"/>
      <c r="PBI692" s="769"/>
      <c r="PBJ692" s="769"/>
      <c r="PBK692" s="769"/>
      <c r="PBL692" s="769"/>
      <c r="PBM692" s="769"/>
      <c r="PBN692" s="769"/>
      <c r="PBO692" s="769"/>
      <c r="PBP692" s="769"/>
      <c r="PBQ692" s="769"/>
      <c r="PBR692" s="769"/>
      <c r="PBS692" s="769"/>
      <c r="PBT692" s="769"/>
      <c r="PBU692" s="769"/>
      <c r="PBV692" s="769"/>
      <c r="PBW692" s="769"/>
      <c r="PBX692" s="769"/>
      <c r="PBY692" s="769"/>
      <c r="PBZ692" s="769"/>
      <c r="PCA692" s="769"/>
      <c r="PCB692" s="769"/>
      <c r="PCC692" s="769"/>
      <c r="PCD692" s="769"/>
      <c r="PCE692" s="769"/>
      <c r="PCF692" s="769"/>
      <c r="PCG692" s="769"/>
      <c r="PCH692" s="769"/>
      <c r="PCI692" s="769"/>
      <c r="PCJ692" s="769"/>
      <c r="PCK692" s="769"/>
      <c r="PCL692" s="769"/>
      <c r="PCM692" s="769"/>
      <c r="PCN692" s="769"/>
      <c r="PCO692" s="769"/>
      <c r="PCP692" s="769"/>
      <c r="PCQ692" s="769"/>
      <c r="PCR692" s="769"/>
      <c r="PCS692" s="769"/>
      <c r="PCT692" s="769"/>
      <c r="PCU692" s="769"/>
      <c r="PCV692" s="769"/>
      <c r="PCW692" s="769"/>
      <c r="PCX692" s="769"/>
      <c r="PCY692" s="769"/>
      <c r="PCZ692" s="769"/>
      <c r="PDA692" s="769"/>
      <c r="PDB692" s="769"/>
      <c r="PDC692" s="769"/>
      <c r="PDD692" s="769"/>
      <c r="PDE692" s="769"/>
      <c r="PDF692" s="769"/>
      <c r="PDG692" s="769"/>
      <c r="PDH692" s="769"/>
      <c r="PDI692" s="769"/>
      <c r="PDJ692" s="769"/>
      <c r="PDK692" s="769"/>
      <c r="PDL692" s="769"/>
      <c r="PDM692" s="769"/>
      <c r="PDN692" s="769"/>
      <c r="PDO692" s="769"/>
      <c r="PDP692" s="769"/>
      <c r="PDQ692" s="769"/>
      <c r="PDR692" s="769"/>
      <c r="PDS692" s="769"/>
      <c r="PDT692" s="769"/>
      <c r="PDU692" s="769"/>
      <c r="PDV692" s="769"/>
      <c r="PDW692" s="769"/>
      <c r="PDX692" s="769"/>
      <c r="PDY692" s="769"/>
      <c r="PDZ692" s="769"/>
      <c r="PEA692" s="769"/>
      <c r="PEB692" s="769"/>
      <c r="PEC692" s="769"/>
      <c r="PED692" s="769"/>
      <c r="PEE692" s="769"/>
      <c r="PEF692" s="769"/>
      <c r="PEG692" s="769"/>
      <c r="PEH692" s="769"/>
      <c r="PEI692" s="769"/>
      <c r="PEJ692" s="769"/>
      <c r="PEK692" s="769"/>
      <c r="PEL692" s="769"/>
      <c r="PEM692" s="769"/>
      <c r="PEN692" s="769"/>
      <c r="PEO692" s="769"/>
      <c r="PEP692" s="769"/>
      <c r="PEQ692" s="769"/>
      <c r="PER692" s="769"/>
      <c r="PES692" s="769"/>
      <c r="PET692" s="769"/>
      <c r="PEU692" s="769"/>
      <c r="PEV692" s="769"/>
      <c r="PEW692" s="769"/>
      <c r="PEX692" s="769"/>
      <c r="PEY692" s="769"/>
      <c r="PEZ692" s="769"/>
      <c r="PFA692" s="769"/>
      <c r="PFB692" s="769"/>
      <c r="PFC692" s="769"/>
      <c r="PFD692" s="769"/>
      <c r="PFE692" s="769"/>
      <c r="PFF692" s="769"/>
      <c r="PFG692" s="769"/>
      <c r="PFH692" s="769"/>
      <c r="PFI692" s="769"/>
      <c r="PFJ692" s="769"/>
      <c r="PFK692" s="769"/>
      <c r="PFL692" s="769"/>
      <c r="PFM692" s="769"/>
      <c r="PFN692" s="769"/>
      <c r="PFO692" s="769"/>
      <c r="PFP692" s="769"/>
      <c r="PFQ692" s="769"/>
      <c r="PFR692" s="769"/>
      <c r="PFS692" s="769"/>
      <c r="PFT692" s="769"/>
      <c r="PFU692" s="769"/>
      <c r="PFV692" s="769"/>
      <c r="PFW692" s="769"/>
      <c r="PFX692" s="769"/>
      <c r="PFY692" s="769"/>
      <c r="PFZ692" s="769"/>
      <c r="PGA692" s="769"/>
      <c r="PGB692" s="769"/>
      <c r="PGC692" s="769"/>
      <c r="PGD692" s="769"/>
      <c r="PGE692" s="769"/>
      <c r="PGF692" s="769"/>
      <c r="PGG692" s="769"/>
      <c r="PGH692" s="769"/>
      <c r="PGI692" s="769"/>
      <c r="PGJ692" s="769"/>
      <c r="PGK692" s="769"/>
      <c r="PGL692" s="769"/>
      <c r="PGM692" s="769"/>
      <c r="PGN692" s="769"/>
      <c r="PGO692" s="769"/>
      <c r="PGP692" s="769"/>
      <c r="PGQ692" s="769"/>
      <c r="PGR692" s="769"/>
      <c r="PGS692" s="769"/>
      <c r="PGT692" s="769"/>
      <c r="PGU692" s="769"/>
      <c r="PGV692" s="769"/>
      <c r="PGW692" s="769"/>
      <c r="PGX692" s="769"/>
      <c r="PGY692" s="769"/>
      <c r="PGZ692" s="769"/>
      <c r="PHA692" s="769"/>
      <c r="PHB692" s="769"/>
      <c r="PHC692" s="769"/>
      <c r="PHD692" s="769"/>
      <c r="PHE692" s="769"/>
      <c r="PHF692" s="769"/>
      <c r="PHG692" s="769"/>
      <c r="PHH692" s="769"/>
      <c r="PHI692" s="769"/>
      <c r="PHJ692" s="769"/>
      <c r="PHK692" s="769"/>
      <c r="PHL692" s="769"/>
      <c r="PHM692" s="769"/>
      <c r="PHN692" s="769"/>
      <c r="PHO692" s="769"/>
      <c r="PHP692" s="769"/>
      <c r="PHQ692" s="769"/>
      <c r="PHR692" s="769"/>
      <c r="PHS692" s="769"/>
      <c r="PHT692" s="769"/>
      <c r="PHU692" s="769"/>
      <c r="PHV692" s="769"/>
      <c r="PHW692" s="769"/>
      <c r="PHX692" s="769"/>
      <c r="PHY692" s="769"/>
      <c r="PHZ692" s="769"/>
      <c r="PIA692" s="769"/>
      <c r="PIB692" s="769"/>
      <c r="PIC692" s="769"/>
      <c r="PID692" s="769"/>
      <c r="PIE692" s="769"/>
      <c r="PIF692" s="769"/>
      <c r="PIG692" s="769"/>
      <c r="PIH692" s="769"/>
      <c r="PII692" s="769"/>
      <c r="PIJ692" s="769"/>
      <c r="PIK692" s="769"/>
      <c r="PIL692" s="769"/>
      <c r="PIM692" s="769"/>
      <c r="PIN692" s="769"/>
      <c r="PIO692" s="769"/>
      <c r="PIP692" s="769"/>
      <c r="PIQ692" s="769"/>
      <c r="PIR692" s="769"/>
      <c r="PIS692" s="769"/>
      <c r="PIT692" s="769"/>
      <c r="PIU692" s="769"/>
      <c r="PIV692" s="769"/>
      <c r="PIW692" s="769"/>
      <c r="PIX692" s="769"/>
      <c r="PIY692" s="769"/>
      <c r="PIZ692" s="769"/>
      <c r="PJA692" s="769"/>
      <c r="PJB692" s="769"/>
      <c r="PJC692" s="769"/>
      <c r="PJD692" s="769"/>
      <c r="PJE692" s="769"/>
      <c r="PJF692" s="769"/>
      <c r="PJG692" s="769"/>
      <c r="PJH692" s="769"/>
      <c r="PJI692" s="769"/>
      <c r="PJJ692" s="769"/>
      <c r="PJK692" s="769"/>
      <c r="PJL692" s="769"/>
      <c r="PJM692" s="769"/>
      <c r="PJN692" s="769"/>
      <c r="PJO692" s="769"/>
      <c r="PJP692" s="769"/>
      <c r="PJQ692" s="769"/>
      <c r="PJR692" s="769"/>
      <c r="PJS692" s="769"/>
      <c r="PJT692" s="769"/>
      <c r="PJU692" s="769"/>
      <c r="PJV692" s="769"/>
      <c r="PJW692" s="769"/>
      <c r="PJX692" s="769"/>
      <c r="PJY692" s="769"/>
      <c r="PJZ692" s="769"/>
      <c r="PKA692" s="769"/>
      <c r="PKB692" s="769"/>
      <c r="PKC692" s="769"/>
      <c r="PKD692" s="769"/>
      <c r="PKE692" s="769"/>
      <c r="PKF692" s="769"/>
      <c r="PKG692" s="769"/>
      <c r="PKH692" s="769"/>
      <c r="PKI692" s="769"/>
      <c r="PKJ692" s="769"/>
      <c r="PKK692" s="769"/>
      <c r="PKL692" s="769"/>
      <c r="PKM692" s="769"/>
      <c r="PKN692" s="769"/>
      <c r="PKO692" s="769"/>
      <c r="PKP692" s="769"/>
      <c r="PKQ692" s="769"/>
      <c r="PKR692" s="769"/>
      <c r="PKS692" s="769"/>
      <c r="PKT692" s="769"/>
      <c r="PKU692" s="769"/>
      <c r="PKV692" s="769"/>
      <c r="PKW692" s="769"/>
      <c r="PKX692" s="769"/>
      <c r="PKY692" s="769"/>
      <c r="PKZ692" s="769"/>
      <c r="PLA692" s="769"/>
      <c r="PLB692" s="769"/>
      <c r="PLC692" s="769"/>
      <c r="PLD692" s="769"/>
      <c r="PLE692" s="769"/>
      <c r="PLF692" s="769"/>
      <c r="PLG692" s="769"/>
      <c r="PLH692" s="769"/>
      <c r="PLI692" s="769"/>
      <c r="PLJ692" s="769"/>
      <c r="PLK692" s="769"/>
      <c r="PLL692" s="769"/>
      <c r="PLM692" s="769"/>
      <c r="PLN692" s="769"/>
      <c r="PLO692" s="769"/>
      <c r="PLP692" s="769"/>
      <c r="PLQ692" s="769"/>
      <c r="PLR692" s="769"/>
      <c r="PLS692" s="769"/>
      <c r="PLT692" s="769"/>
      <c r="PLU692" s="769"/>
      <c r="PLV692" s="769"/>
      <c r="PLW692" s="769"/>
      <c r="PLX692" s="769"/>
      <c r="PLY692" s="769"/>
      <c r="PLZ692" s="769"/>
      <c r="PMA692" s="769"/>
      <c r="PMB692" s="769"/>
      <c r="PMC692" s="769"/>
      <c r="PMD692" s="769"/>
      <c r="PME692" s="769"/>
      <c r="PMF692" s="769"/>
      <c r="PMG692" s="769"/>
      <c r="PMH692" s="769"/>
      <c r="PMI692" s="769"/>
      <c r="PMJ692" s="769"/>
      <c r="PMK692" s="769"/>
      <c r="PML692" s="769"/>
      <c r="PMM692" s="769"/>
      <c r="PMN692" s="769"/>
      <c r="PMO692" s="769"/>
      <c r="PMP692" s="769"/>
      <c r="PMQ692" s="769"/>
      <c r="PMR692" s="769"/>
      <c r="PMS692" s="769"/>
      <c r="PMT692" s="769"/>
      <c r="PMU692" s="769"/>
      <c r="PMV692" s="769"/>
      <c r="PMW692" s="769"/>
      <c r="PMX692" s="769"/>
      <c r="PMY692" s="769"/>
      <c r="PMZ692" s="769"/>
      <c r="PNA692" s="769"/>
      <c r="PNB692" s="769"/>
      <c r="PNC692" s="769"/>
      <c r="PND692" s="769"/>
      <c r="PNE692" s="769"/>
      <c r="PNF692" s="769"/>
      <c r="PNG692" s="769"/>
      <c r="PNH692" s="769"/>
      <c r="PNI692" s="769"/>
      <c r="PNJ692" s="769"/>
      <c r="PNK692" s="769"/>
      <c r="PNL692" s="769"/>
      <c r="PNM692" s="769"/>
      <c r="PNN692" s="769"/>
      <c r="PNO692" s="769"/>
      <c r="PNP692" s="769"/>
      <c r="PNQ692" s="769"/>
      <c r="PNR692" s="769"/>
      <c r="PNS692" s="769"/>
      <c r="PNT692" s="769"/>
      <c r="PNU692" s="769"/>
      <c r="PNV692" s="769"/>
      <c r="PNW692" s="769"/>
      <c r="PNX692" s="769"/>
      <c r="PNY692" s="769"/>
      <c r="PNZ692" s="769"/>
      <c r="POA692" s="769"/>
      <c r="POB692" s="769"/>
      <c r="POC692" s="769"/>
      <c r="POD692" s="769"/>
      <c r="POE692" s="769"/>
      <c r="POF692" s="769"/>
      <c r="POG692" s="769"/>
      <c r="POH692" s="769"/>
      <c r="POI692" s="769"/>
      <c r="POJ692" s="769"/>
      <c r="POK692" s="769"/>
      <c r="POL692" s="769"/>
      <c r="POM692" s="769"/>
      <c r="PON692" s="769"/>
      <c r="POO692" s="769"/>
      <c r="POP692" s="769"/>
      <c r="POQ692" s="769"/>
      <c r="POR692" s="769"/>
      <c r="POS692" s="769"/>
      <c r="POT692" s="769"/>
      <c r="POU692" s="769"/>
      <c r="POV692" s="769"/>
      <c r="POW692" s="769"/>
      <c r="POX692" s="769"/>
      <c r="POY692" s="769"/>
      <c r="POZ692" s="769"/>
      <c r="PPA692" s="769"/>
      <c r="PPB692" s="769"/>
      <c r="PPC692" s="769"/>
      <c r="PPD692" s="769"/>
      <c r="PPE692" s="769"/>
      <c r="PPF692" s="769"/>
      <c r="PPG692" s="769"/>
      <c r="PPH692" s="769"/>
      <c r="PPI692" s="769"/>
      <c r="PPJ692" s="769"/>
      <c r="PPK692" s="769"/>
      <c r="PPL692" s="769"/>
      <c r="PPM692" s="769"/>
      <c r="PPN692" s="769"/>
      <c r="PPO692" s="769"/>
      <c r="PPP692" s="769"/>
      <c r="PPQ692" s="769"/>
      <c r="PPR692" s="769"/>
      <c r="PPS692" s="769"/>
      <c r="PPT692" s="769"/>
      <c r="PPU692" s="769"/>
      <c r="PPV692" s="769"/>
      <c r="PPW692" s="769"/>
      <c r="PPX692" s="769"/>
      <c r="PPY692" s="769"/>
      <c r="PPZ692" s="769"/>
      <c r="PQA692" s="769"/>
      <c r="PQB692" s="769"/>
      <c r="PQC692" s="769"/>
      <c r="PQD692" s="769"/>
      <c r="PQE692" s="769"/>
      <c r="PQF692" s="769"/>
      <c r="PQG692" s="769"/>
      <c r="PQH692" s="769"/>
      <c r="PQI692" s="769"/>
      <c r="PQJ692" s="769"/>
      <c r="PQK692" s="769"/>
      <c r="PQL692" s="769"/>
      <c r="PQM692" s="769"/>
      <c r="PQN692" s="769"/>
      <c r="PQO692" s="769"/>
      <c r="PQP692" s="769"/>
      <c r="PQQ692" s="769"/>
      <c r="PQR692" s="769"/>
      <c r="PQS692" s="769"/>
      <c r="PQT692" s="769"/>
      <c r="PQU692" s="769"/>
      <c r="PQV692" s="769"/>
      <c r="PQW692" s="769"/>
      <c r="PQX692" s="769"/>
      <c r="PQY692" s="769"/>
      <c r="PQZ692" s="769"/>
      <c r="PRA692" s="769"/>
      <c r="PRB692" s="769"/>
      <c r="PRC692" s="769"/>
      <c r="PRD692" s="769"/>
      <c r="PRE692" s="769"/>
      <c r="PRF692" s="769"/>
      <c r="PRG692" s="769"/>
      <c r="PRH692" s="769"/>
      <c r="PRI692" s="769"/>
      <c r="PRJ692" s="769"/>
      <c r="PRK692" s="769"/>
      <c r="PRL692" s="769"/>
      <c r="PRM692" s="769"/>
      <c r="PRN692" s="769"/>
      <c r="PRO692" s="769"/>
      <c r="PRP692" s="769"/>
      <c r="PRQ692" s="769"/>
      <c r="PRR692" s="769"/>
      <c r="PRS692" s="769"/>
      <c r="PRT692" s="769"/>
      <c r="PRU692" s="769"/>
      <c r="PRV692" s="769"/>
      <c r="PRW692" s="769"/>
      <c r="PRX692" s="769"/>
      <c r="PRY692" s="769"/>
      <c r="PRZ692" s="769"/>
      <c r="PSA692" s="769"/>
      <c r="PSB692" s="769"/>
      <c r="PSC692" s="769"/>
      <c r="PSD692" s="769"/>
      <c r="PSE692" s="769"/>
      <c r="PSF692" s="769"/>
      <c r="PSG692" s="769"/>
      <c r="PSH692" s="769"/>
      <c r="PSI692" s="769"/>
      <c r="PSJ692" s="769"/>
      <c r="PSK692" s="769"/>
      <c r="PSL692" s="769"/>
      <c r="PSM692" s="769"/>
      <c r="PSN692" s="769"/>
      <c r="PSO692" s="769"/>
      <c r="PSP692" s="769"/>
      <c r="PSQ692" s="769"/>
      <c r="PSR692" s="769"/>
      <c r="PSS692" s="769"/>
      <c r="PST692" s="769"/>
      <c r="PSU692" s="769"/>
      <c r="PSV692" s="769"/>
      <c r="PSW692" s="769"/>
      <c r="PSX692" s="769"/>
      <c r="PSY692" s="769"/>
      <c r="PSZ692" s="769"/>
      <c r="PTA692" s="769"/>
      <c r="PTB692" s="769"/>
      <c r="PTC692" s="769"/>
      <c r="PTD692" s="769"/>
      <c r="PTE692" s="769"/>
      <c r="PTF692" s="769"/>
      <c r="PTG692" s="769"/>
      <c r="PTH692" s="769"/>
      <c r="PTI692" s="769"/>
      <c r="PTJ692" s="769"/>
      <c r="PTK692" s="769"/>
      <c r="PTL692" s="769"/>
      <c r="PTM692" s="769"/>
      <c r="PTN692" s="769"/>
      <c r="PTO692" s="769"/>
      <c r="PTP692" s="769"/>
      <c r="PTQ692" s="769"/>
      <c r="PTR692" s="769"/>
      <c r="PTS692" s="769"/>
      <c r="PTT692" s="769"/>
      <c r="PTU692" s="769"/>
      <c r="PTV692" s="769"/>
      <c r="PTW692" s="769"/>
      <c r="PTX692" s="769"/>
      <c r="PTY692" s="769"/>
      <c r="PTZ692" s="769"/>
      <c r="PUA692" s="769"/>
      <c r="PUB692" s="769"/>
      <c r="PUC692" s="769"/>
      <c r="PUD692" s="769"/>
      <c r="PUE692" s="769"/>
      <c r="PUF692" s="769"/>
      <c r="PUG692" s="769"/>
      <c r="PUH692" s="769"/>
      <c r="PUI692" s="769"/>
      <c r="PUJ692" s="769"/>
      <c r="PUK692" s="769"/>
      <c r="PUL692" s="769"/>
      <c r="PUM692" s="769"/>
      <c r="PUN692" s="769"/>
      <c r="PUO692" s="769"/>
      <c r="PUP692" s="769"/>
      <c r="PUQ692" s="769"/>
      <c r="PUR692" s="769"/>
      <c r="PUS692" s="769"/>
      <c r="PUT692" s="769"/>
      <c r="PUU692" s="769"/>
      <c r="PUV692" s="769"/>
      <c r="PUW692" s="769"/>
      <c r="PUX692" s="769"/>
      <c r="PUY692" s="769"/>
      <c r="PUZ692" s="769"/>
      <c r="PVA692" s="769"/>
      <c r="PVB692" s="769"/>
      <c r="PVC692" s="769"/>
      <c r="PVD692" s="769"/>
      <c r="PVE692" s="769"/>
      <c r="PVF692" s="769"/>
      <c r="PVG692" s="769"/>
      <c r="PVH692" s="769"/>
      <c r="PVI692" s="769"/>
      <c r="PVJ692" s="769"/>
      <c r="PVK692" s="769"/>
      <c r="PVL692" s="769"/>
      <c r="PVM692" s="769"/>
      <c r="PVN692" s="769"/>
      <c r="PVO692" s="769"/>
      <c r="PVP692" s="769"/>
      <c r="PVQ692" s="769"/>
      <c r="PVR692" s="769"/>
      <c r="PVS692" s="769"/>
      <c r="PVT692" s="769"/>
      <c r="PVU692" s="769"/>
      <c r="PVV692" s="769"/>
      <c r="PVW692" s="769"/>
      <c r="PVX692" s="769"/>
      <c r="PVY692" s="769"/>
      <c r="PVZ692" s="769"/>
      <c r="PWA692" s="769"/>
      <c r="PWB692" s="769"/>
      <c r="PWC692" s="769"/>
      <c r="PWD692" s="769"/>
      <c r="PWE692" s="769"/>
      <c r="PWF692" s="769"/>
      <c r="PWG692" s="769"/>
      <c r="PWH692" s="769"/>
      <c r="PWI692" s="769"/>
      <c r="PWJ692" s="769"/>
      <c r="PWK692" s="769"/>
      <c r="PWL692" s="769"/>
      <c r="PWM692" s="769"/>
      <c r="PWN692" s="769"/>
      <c r="PWO692" s="769"/>
      <c r="PWP692" s="769"/>
      <c r="PWQ692" s="769"/>
      <c r="PWR692" s="769"/>
      <c r="PWS692" s="769"/>
      <c r="PWT692" s="769"/>
      <c r="PWU692" s="769"/>
      <c r="PWV692" s="769"/>
      <c r="PWW692" s="769"/>
      <c r="PWX692" s="769"/>
      <c r="PWY692" s="769"/>
      <c r="PWZ692" s="769"/>
      <c r="PXA692" s="769"/>
      <c r="PXB692" s="769"/>
      <c r="PXC692" s="769"/>
      <c r="PXD692" s="769"/>
      <c r="PXE692" s="769"/>
      <c r="PXF692" s="769"/>
      <c r="PXG692" s="769"/>
      <c r="PXH692" s="769"/>
      <c r="PXI692" s="769"/>
      <c r="PXJ692" s="769"/>
      <c r="PXK692" s="769"/>
      <c r="PXL692" s="769"/>
      <c r="PXM692" s="769"/>
      <c r="PXN692" s="769"/>
      <c r="PXO692" s="769"/>
      <c r="PXP692" s="769"/>
      <c r="PXQ692" s="769"/>
      <c r="PXR692" s="769"/>
      <c r="PXS692" s="769"/>
      <c r="PXT692" s="769"/>
      <c r="PXU692" s="769"/>
      <c r="PXV692" s="769"/>
      <c r="PXW692" s="769"/>
      <c r="PXX692" s="769"/>
      <c r="PXY692" s="769"/>
      <c r="PXZ692" s="769"/>
      <c r="PYA692" s="769"/>
      <c r="PYB692" s="769"/>
      <c r="PYC692" s="769"/>
      <c r="PYD692" s="769"/>
      <c r="PYE692" s="769"/>
      <c r="PYF692" s="769"/>
      <c r="PYG692" s="769"/>
      <c r="PYH692" s="769"/>
      <c r="PYI692" s="769"/>
      <c r="PYJ692" s="769"/>
      <c r="PYK692" s="769"/>
      <c r="PYL692" s="769"/>
      <c r="PYM692" s="769"/>
      <c r="PYN692" s="769"/>
      <c r="PYO692" s="769"/>
      <c r="PYP692" s="769"/>
      <c r="PYQ692" s="769"/>
      <c r="PYR692" s="769"/>
      <c r="PYS692" s="769"/>
      <c r="PYT692" s="769"/>
      <c r="PYU692" s="769"/>
      <c r="PYV692" s="769"/>
      <c r="PYW692" s="769"/>
      <c r="PYX692" s="769"/>
      <c r="PYY692" s="769"/>
      <c r="PYZ692" s="769"/>
      <c r="PZA692" s="769"/>
      <c r="PZB692" s="769"/>
      <c r="PZC692" s="769"/>
      <c r="PZD692" s="769"/>
      <c r="PZE692" s="769"/>
      <c r="PZF692" s="769"/>
      <c r="PZG692" s="769"/>
      <c r="PZH692" s="769"/>
      <c r="PZI692" s="769"/>
      <c r="PZJ692" s="769"/>
      <c r="PZK692" s="769"/>
      <c r="PZL692" s="769"/>
      <c r="PZM692" s="769"/>
      <c r="PZN692" s="769"/>
      <c r="PZO692" s="769"/>
      <c r="PZP692" s="769"/>
      <c r="PZQ692" s="769"/>
      <c r="PZR692" s="769"/>
      <c r="PZS692" s="769"/>
      <c r="PZT692" s="769"/>
      <c r="PZU692" s="769"/>
      <c r="PZV692" s="769"/>
      <c r="PZW692" s="769"/>
      <c r="PZX692" s="769"/>
      <c r="PZY692" s="769"/>
      <c r="PZZ692" s="769"/>
      <c r="QAA692" s="769"/>
      <c r="QAB692" s="769"/>
      <c r="QAC692" s="769"/>
      <c r="QAD692" s="769"/>
      <c r="QAE692" s="769"/>
      <c r="QAF692" s="769"/>
      <c r="QAG692" s="769"/>
      <c r="QAH692" s="769"/>
      <c r="QAI692" s="769"/>
      <c r="QAJ692" s="769"/>
      <c r="QAK692" s="769"/>
      <c r="QAL692" s="769"/>
      <c r="QAM692" s="769"/>
      <c r="QAN692" s="769"/>
      <c r="QAO692" s="769"/>
      <c r="QAP692" s="769"/>
      <c r="QAQ692" s="769"/>
      <c r="QAR692" s="769"/>
      <c r="QAS692" s="769"/>
      <c r="QAT692" s="769"/>
      <c r="QAU692" s="769"/>
      <c r="QAV692" s="769"/>
      <c r="QAW692" s="769"/>
      <c r="QAX692" s="769"/>
      <c r="QAY692" s="769"/>
      <c r="QAZ692" s="769"/>
      <c r="QBA692" s="769"/>
      <c r="QBB692" s="769"/>
      <c r="QBC692" s="769"/>
      <c r="QBD692" s="769"/>
      <c r="QBE692" s="769"/>
      <c r="QBF692" s="769"/>
      <c r="QBG692" s="769"/>
      <c r="QBH692" s="769"/>
      <c r="QBI692" s="769"/>
      <c r="QBJ692" s="769"/>
      <c r="QBK692" s="769"/>
      <c r="QBL692" s="769"/>
      <c r="QBM692" s="769"/>
      <c r="QBN692" s="769"/>
      <c r="QBO692" s="769"/>
      <c r="QBP692" s="769"/>
      <c r="QBQ692" s="769"/>
      <c r="QBR692" s="769"/>
      <c r="QBS692" s="769"/>
      <c r="QBT692" s="769"/>
      <c r="QBU692" s="769"/>
      <c r="QBV692" s="769"/>
      <c r="QBW692" s="769"/>
      <c r="QBX692" s="769"/>
      <c r="QBY692" s="769"/>
      <c r="QBZ692" s="769"/>
      <c r="QCA692" s="769"/>
      <c r="QCB692" s="769"/>
      <c r="QCC692" s="769"/>
      <c r="QCD692" s="769"/>
      <c r="QCE692" s="769"/>
      <c r="QCF692" s="769"/>
      <c r="QCG692" s="769"/>
      <c r="QCH692" s="769"/>
      <c r="QCI692" s="769"/>
      <c r="QCJ692" s="769"/>
      <c r="QCK692" s="769"/>
      <c r="QCL692" s="769"/>
      <c r="QCM692" s="769"/>
      <c r="QCN692" s="769"/>
      <c r="QCO692" s="769"/>
      <c r="QCP692" s="769"/>
      <c r="QCQ692" s="769"/>
      <c r="QCR692" s="769"/>
      <c r="QCS692" s="769"/>
      <c r="QCT692" s="769"/>
      <c r="QCU692" s="769"/>
      <c r="QCV692" s="769"/>
      <c r="QCW692" s="769"/>
      <c r="QCX692" s="769"/>
      <c r="QCY692" s="769"/>
      <c r="QCZ692" s="769"/>
      <c r="QDA692" s="769"/>
      <c r="QDB692" s="769"/>
      <c r="QDC692" s="769"/>
      <c r="QDD692" s="769"/>
      <c r="QDE692" s="769"/>
      <c r="QDF692" s="769"/>
      <c r="QDG692" s="769"/>
      <c r="QDH692" s="769"/>
      <c r="QDI692" s="769"/>
      <c r="QDJ692" s="769"/>
      <c r="QDK692" s="769"/>
      <c r="QDL692" s="769"/>
      <c r="QDM692" s="769"/>
      <c r="QDN692" s="769"/>
      <c r="QDO692" s="769"/>
      <c r="QDP692" s="769"/>
      <c r="QDQ692" s="769"/>
      <c r="QDR692" s="769"/>
      <c r="QDS692" s="769"/>
      <c r="QDT692" s="769"/>
      <c r="QDU692" s="769"/>
      <c r="QDV692" s="769"/>
      <c r="QDW692" s="769"/>
      <c r="QDX692" s="769"/>
      <c r="QDY692" s="769"/>
      <c r="QDZ692" s="769"/>
      <c r="QEA692" s="769"/>
      <c r="QEB692" s="769"/>
      <c r="QEC692" s="769"/>
      <c r="QED692" s="769"/>
      <c r="QEE692" s="769"/>
      <c r="QEF692" s="769"/>
      <c r="QEG692" s="769"/>
      <c r="QEH692" s="769"/>
      <c r="QEI692" s="769"/>
      <c r="QEJ692" s="769"/>
      <c r="QEK692" s="769"/>
      <c r="QEL692" s="769"/>
      <c r="QEM692" s="769"/>
      <c r="QEN692" s="769"/>
      <c r="QEO692" s="769"/>
      <c r="QEP692" s="769"/>
      <c r="QEQ692" s="769"/>
      <c r="QER692" s="769"/>
      <c r="QES692" s="769"/>
      <c r="QET692" s="769"/>
      <c r="QEU692" s="769"/>
      <c r="QEV692" s="769"/>
      <c r="QEW692" s="769"/>
      <c r="QEX692" s="769"/>
      <c r="QEY692" s="769"/>
      <c r="QEZ692" s="769"/>
      <c r="QFA692" s="769"/>
      <c r="QFB692" s="769"/>
      <c r="QFC692" s="769"/>
      <c r="QFD692" s="769"/>
      <c r="QFE692" s="769"/>
      <c r="QFF692" s="769"/>
      <c r="QFG692" s="769"/>
      <c r="QFH692" s="769"/>
      <c r="QFI692" s="769"/>
      <c r="QFJ692" s="769"/>
      <c r="QFK692" s="769"/>
      <c r="QFL692" s="769"/>
      <c r="QFM692" s="769"/>
      <c r="QFN692" s="769"/>
      <c r="QFO692" s="769"/>
      <c r="QFP692" s="769"/>
      <c r="QFQ692" s="769"/>
      <c r="QFR692" s="769"/>
      <c r="QFS692" s="769"/>
      <c r="QFT692" s="769"/>
      <c r="QFU692" s="769"/>
      <c r="QFV692" s="769"/>
      <c r="QFW692" s="769"/>
      <c r="QFX692" s="769"/>
      <c r="QFY692" s="769"/>
      <c r="QFZ692" s="769"/>
      <c r="QGA692" s="769"/>
      <c r="QGB692" s="769"/>
      <c r="QGC692" s="769"/>
      <c r="QGD692" s="769"/>
      <c r="QGE692" s="769"/>
      <c r="QGF692" s="769"/>
      <c r="QGG692" s="769"/>
      <c r="QGH692" s="769"/>
      <c r="QGI692" s="769"/>
      <c r="QGJ692" s="769"/>
      <c r="QGK692" s="769"/>
      <c r="QGL692" s="769"/>
      <c r="QGM692" s="769"/>
      <c r="QGN692" s="769"/>
      <c r="QGO692" s="769"/>
      <c r="QGP692" s="769"/>
      <c r="QGQ692" s="769"/>
      <c r="QGR692" s="769"/>
      <c r="QGS692" s="769"/>
      <c r="QGT692" s="769"/>
      <c r="QGU692" s="769"/>
      <c r="QGV692" s="769"/>
      <c r="QGW692" s="769"/>
      <c r="QGX692" s="769"/>
      <c r="QGY692" s="769"/>
      <c r="QGZ692" s="769"/>
      <c r="QHA692" s="769"/>
      <c r="QHB692" s="769"/>
      <c r="QHC692" s="769"/>
      <c r="QHD692" s="769"/>
      <c r="QHE692" s="769"/>
      <c r="QHF692" s="769"/>
      <c r="QHG692" s="769"/>
      <c r="QHH692" s="769"/>
      <c r="QHI692" s="769"/>
      <c r="QHJ692" s="769"/>
      <c r="QHK692" s="769"/>
      <c r="QHL692" s="769"/>
      <c r="QHM692" s="769"/>
      <c r="QHN692" s="769"/>
      <c r="QHO692" s="769"/>
      <c r="QHP692" s="769"/>
      <c r="QHQ692" s="769"/>
      <c r="QHR692" s="769"/>
      <c r="QHS692" s="769"/>
      <c r="QHT692" s="769"/>
      <c r="QHU692" s="769"/>
      <c r="QHV692" s="769"/>
      <c r="QHW692" s="769"/>
      <c r="QHX692" s="769"/>
      <c r="QHY692" s="769"/>
      <c r="QHZ692" s="769"/>
      <c r="QIA692" s="769"/>
      <c r="QIB692" s="769"/>
      <c r="QIC692" s="769"/>
      <c r="QID692" s="769"/>
      <c r="QIE692" s="769"/>
      <c r="QIF692" s="769"/>
      <c r="QIG692" s="769"/>
      <c r="QIH692" s="769"/>
      <c r="QII692" s="769"/>
      <c r="QIJ692" s="769"/>
      <c r="QIK692" s="769"/>
      <c r="QIL692" s="769"/>
      <c r="QIM692" s="769"/>
      <c r="QIN692" s="769"/>
      <c r="QIO692" s="769"/>
      <c r="QIP692" s="769"/>
      <c r="QIQ692" s="769"/>
      <c r="QIR692" s="769"/>
      <c r="QIS692" s="769"/>
      <c r="QIT692" s="769"/>
      <c r="QIU692" s="769"/>
      <c r="QIV692" s="769"/>
      <c r="QIW692" s="769"/>
      <c r="QIX692" s="769"/>
      <c r="QIY692" s="769"/>
      <c r="QIZ692" s="769"/>
      <c r="QJA692" s="769"/>
      <c r="QJB692" s="769"/>
      <c r="QJC692" s="769"/>
      <c r="QJD692" s="769"/>
      <c r="QJE692" s="769"/>
      <c r="QJF692" s="769"/>
      <c r="QJG692" s="769"/>
      <c r="QJH692" s="769"/>
      <c r="QJI692" s="769"/>
      <c r="QJJ692" s="769"/>
      <c r="QJK692" s="769"/>
      <c r="QJL692" s="769"/>
      <c r="QJM692" s="769"/>
      <c r="QJN692" s="769"/>
      <c r="QJO692" s="769"/>
      <c r="QJP692" s="769"/>
      <c r="QJQ692" s="769"/>
      <c r="QJR692" s="769"/>
      <c r="QJS692" s="769"/>
      <c r="QJT692" s="769"/>
      <c r="QJU692" s="769"/>
      <c r="QJV692" s="769"/>
      <c r="QJW692" s="769"/>
      <c r="QJX692" s="769"/>
      <c r="QJY692" s="769"/>
      <c r="QJZ692" s="769"/>
      <c r="QKA692" s="769"/>
      <c r="QKB692" s="769"/>
      <c r="QKC692" s="769"/>
      <c r="QKD692" s="769"/>
      <c r="QKE692" s="769"/>
      <c r="QKF692" s="769"/>
      <c r="QKG692" s="769"/>
      <c r="QKH692" s="769"/>
      <c r="QKI692" s="769"/>
      <c r="QKJ692" s="769"/>
      <c r="QKK692" s="769"/>
      <c r="QKL692" s="769"/>
      <c r="QKM692" s="769"/>
      <c r="QKN692" s="769"/>
      <c r="QKO692" s="769"/>
      <c r="QKP692" s="769"/>
      <c r="QKQ692" s="769"/>
      <c r="QKR692" s="769"/>
      <c r="QKS692" s="769"/>
      <c r="QKT692" s="769"/>
      <c r="QKU692" s="769"/>
      <c r="QKV692" s="769"/>
      <c r="QKW692" s="769"/>
      <c r="QKX692" s="769"/>
      <c r="QKY692" s="769"/>
      <c r="QKZ692" s="769"/>
      <c r="QLA692" s="769"/>
      <c r="QLB692" s="769"/>
      <c r="QLC692" s="769"/>
      <c r="QLD692" s="769"/>
      <c r="QLE692" s="769"/>
      <c r="QLF692" s="769"/>
      <c r="QLG692" s="769"/>
      <c r="QLH692" s="769"/>
      <c r="QLI692" s="769"/>
      <c r="QLJ692" s="769"/>
      <c r="QLK692" s="769"/>
      <c r="QLL692" s="769"/>
      <c r="QLM692" s="769"/>
      <c r="QLN692" s="769"/>
      <c r="QLO692" s="769"/>
      <c r="QLP692" s="769"/>
      <c r="QLQ692" s="769"/>
      <c r="QLR692" s="769"/>
      <c r="QLS692" s="769"/>
      <c r="QLT692" s="769"/>
      <c r="QLU692" s="769"/>
      <c r="QLV692" s="769"/>
      <c r="QLW692" s="769"/>
      <c r="QLX692" s="769"/>
      <c r="QLY692" s="769"/>
      <c r="QLZ692" s="769"/>
      <c r="QMA692" s="769"/>
      <c r="QMB692" s="769"/>
      <c r="QMC692" s="769"/>
      <c r="QMD692" s="769"/>
      <c r="QME692" s="769"/>
      <c r="QMF692" s="769"/>
      <c r="QMG692" s="769"/>
      <c r="QMH692" s="769"/>
      <c r="QMI692" s="769"/>
      <c r="QMJ692" s="769"/>
      <c r="QMK692" s="769"/>
      <c r="QML692" s="769"/>
      <c r="QMM692" s="769"/>
      <c r="QMN692" s="769"/>
      <c r="QMO692" s="769"/>
      <c r="QMP692" s="769"/>
      <c r="QMQ692" s="769"/>
      <c r="QMR692" s="769"/>
      <c r="QMS692" s="769"/>
      <c r="QMT692" s="769"/>
      <c r="QMU692" s="769"/>
      <c r="QMV692" s="769"/>
      <c r="QMW692" s="769"/>
      <c r="QMX692" s="769"/>
      <c r="QMY692" s="769"/>
      <c r="QMZ692" s="769"/>
      <c r="QNA692" s="769"/>
      <c r="QNB692" s="769"/>
      <c r="QNC692" s="769"/>
      <c r="QND692" s="769"/>
      <c r="QNE692" s="769"/>
      <c r="QNF692" s="769"/>
      <c r="QNG692" s="769"/>
      <c r="QNH692" s="769"/>
      <c r="QNI692" s="769"/>
      <c r="QNJ692" s="769"/>
      <c r="QNK692" s="769"/>
      <c r="QNL692" s="769"/>
      <c r="QNM692" s="769"/>
      <c r="QNN692" s="769"/>
      <c r="QNO692" s="769"/>
      <c r="QNP692" s="769"/>
      <c r="QNQ692" s="769"/>
      <c r="QNR692" s="769"/>
      <c r="QNS692" s="769"/>
      <c r="QNT692" s="769"/>
      <c r="QNU692" s="769"/>
      <c r="QNV692" s="769"/>
      <c r="QNW692" s="769"/>
      <c r="QNX692" s="769"/>
      <c r="QNY692" s="769"/>
      <c r="QNZ692" s="769"/>
      <c r="QOA692" s="769"/>
      <c r="QOB692" s="769"/>
      <c r="QOC692" s="769"/>
      <c r="QOD692" s="769"/>
      <c r="QOE692" s="769"/>
      <c r="QOF692" s="769"/>
      <c r="QOG692" s="769"/>
      <c r="QOH692" s="769"/>
      <c r="QOI692" s="769"/>
      <c r="QOJ692" s="769"/>
      <c r="QOK692" s="769"/>
      <c r="QOL692" s="769"/>
      <c r="QOM692" s="769"/>
      <c r="QON692" s="769"/>
      <c r="QOO692" s="769"/>
      <c r="QOP692" s="769"/>
      <c r="QOQ692" s="769"/>
      <c r="QOR692" s="769"/>
      <c r="QOS692" s="769"/>
      <c r="QOT692" s="769"/>
      <c r="QOU692" s="769"/>
      <c r="QOV692" s="769"/>
      <c r="QOW692" s="769"/>
      <c r="QOX692" s="769"/>
      <c r="QOY692" s="769"/>
      <c r="QOZ692" s="769"/>
      <c r="QPA692" s="769"/>
      <c r="QPB692" s="769"/>
      <c r="QPC692" s="769"/>
      <c r="QPD692" s="769"/>
      <c r="QPE692" s="769"/>
      <c r="QPF692" s="769"/>
      <c r="QPG692" s="769"/>
      <c r="QPH692" s="769"/>
      <c r="QPI692" s="769"/>
      <c r="QPJ692" s="769"/>
      <c r="QPK692" s="769"/>
      <c r="QPL692" s="769"/>
      <c r="QPM692" s="769"/>
      <c r="QPN692" s="769"/>
      <c r="QPO692" s="769"/>
      <c r="QPP692" s="769"/>
      <c r="QPQ692" s="769"/>
      <c r="QPR692" s="769"/>
      <c r="QPS692" s="769"/>
      <c r="QPT692" s="769"/>
      <c r="QPU692" s="769"/>
      <c r="QPV692" s="769"/>
      <c r="QPW692" s="769"/>
      <c r="QPX692" s="769"/>
      <c r="QPY692" s="769"/>
      <c r="QPZ692" s="769"/>
      <c r="QQA692" s="769"/>
      <c r="QQB692" s="769"/>
      <c r="QQC692" s="769"/>
      <c r="QQD692" s="769"/>
      <c r="QQE692" s="769"/>
      <c r="QQF692" s="769"/>
      <c r="QQG692" s="769"/>
      <c r="QQH692" s="769"/>
      <c r="QQI692" s="769"/>
      <c r="QQJ692" s="769"/>
      <c r="QQK692" s="769"/>
      <c r="QQL692" s="769"/>
      <c r="QQM692" s="769"/>
      <c r="QQN692" s="769"/>
      <c r="QQO692" s="769"/>
      <c r="QQP692" s="769"/>
      <c r="QQQ692" s="769"/>
      <c r="QQR692" s="769"/>
      <c r="QQS692" s="769"/>
      <c r="QQT692" s="769"/>
      <c r="QQU692" s="769"/>
      <c r="QQV692" s="769"/>
      <c r="QQW692" s="769"/>
      <c r="QQX692" s="769"/>
      <c r="QQY692" s="769"/>
      <c r="QQZ692" s="769"/>
      <c r="QRA692" s="769"/>
      <c r="QRB692" s="769"/>
      <c r="QRC692" s="769"/>
      <c r="QRD692" s="769"/>
      <c r="QRE692" s="769"/>
      <c r="QRF692" s="769"/>
      <c r="QRG692" s="769"/>
      <c r="QRH692" s="769"/>
      <c r="QRI692" s="769"/>
      <c r="QRJ692" s="769"/>
      <c r="QRK692" s="769"/>
      <c r="QRL692" s="769"/>
      <c r="QRM692" s="769"/>
      <c r="QRN692" s="769"/>
      <c r="QRO692" s="769"/>
      <c r="QRP692" s="769"/>
      <c r="QRQ692" s="769"/>
      <c r="QRR692" s="769"/>
      <c r="QRS692" s="769"/>
      <c r="QRT692" s="769"/>
      <c r="QRU692" s="769"/>
      <c r="QRV692" s="769"/>
      <c r="QRW692" s="769"/>
      <c r="QRX692" s="769"/>
      <c r="QRY692" s="769"/>
      <c r="QRZ692" s="769"/>
      <c r="QSA692" s="769"/>
      <c r="QSB692" s="769"/>
      <c r="QSC692" s="769"/>
      <c r="QSD692" s="769"/>
      <c r="QSE692" s="769"/>
      <c r="QSF692" s="769"/>
      <c r="QSG692" s="769"/>
      <c r="QSH692" s="769"/>
      <c r="QSI692" s="769"/>
      <c r="QSJ692" s="769"/>
      <c r="QSK692" s="769"/>
      <c r="QSL692" s="769"/>
      <c r="QSM692" s="769"/>
      <c r="QSN692" s="769"/>
      <c r="QSO692" s="769"/>
      <c r="QSP692" s="769"/>
      <c r="QSQ692" s="769"/>
      <c r="QSR692" s="769"/>
      <c r="QSS692" s="769"/>
      <c r="QST692" s="769"/>
      <c r="QSU692" s="769"/>
      <c r="QSV692" s="769"/>
      <c r="QSW692" s="769"/>
      <c r="QSX692" s="769"/>
      <c r="QSY692" s="769"/>
      <c r="QSZ692" s="769"/>
      <c r="QTA692" s="769"/>
      <c r="QTB692" s="769"/>
      <c r="QTC692" s="769"/>
      <c r="QTD692" s="769"/>
      <c r="QTE692" s="769"/>
      <c r="QTF692" s="769"/>
      <c r="QTG692" s="769"/>
      <c r="QTH692" s="769"/>
      <c r="QTI692" s="769"/>
      <c r="QTJ692" s="769"/>
      <c r="QTK692" s="769"/>
      <c r="QTL692" s="769"/>
      <c r="QTM692" s="769"/>
      <c r="QTN692" s="769"/>
      <c r="QTO692" s="769"/>
      <c r="QTP692" s="769"/>
      <c r="QTQ692" s="769"/>
      <c r="QTR692" s="769"/>
      <c r="QTS692" s="769"/>
      <c r="QTT692" s="769"/>
      <c r="QTU692" s="769"/>
      <c r="QTV692" s="769"/>
      <c r="QTW692" s="769"/>
      <c r="QTX692" s="769"/>
      <c r="QTY692" s="769"/>
      <c r="QTZ692" s="769"/>
      <c r="QUA692" s="769"/>
      <c r="QUB692" s="769"/>
      <c r="QUC692" s="769"/>
      <c r="QUD692" s="769"/>
      <c r="QUE692" s="769"/>
      <c r="QUF692" s="769"/>
      <c r="QUG692" s="769"/>
      <c r="QUH692" s="769"/>
      <c r="QUI692" s="769"/>
      <c r="QUJ692" s="769"/>
      <c r="QUK692" s="769"/>
      <c r="QUL692" s="769"/>
      <c r="QUM692" s="769"/>
      <c r="QUN692" s="769"/>
      <c r="QUO692" s="769"/>
      <c r="QUP692" s="769"/>
      <c r="QUQ692" s="769"/>
      <c r="QUR692" s="769"/>
      <c r="QUS692" s="769"/>
      <c r="QUT692" s="769"/>
      <c r="QUU692" s="769"/>
      <c r="QUV692" s="769"/>
      <c r="QUW692" s="769"/>
      <c r="QUX692" s="769"/>
      <c r="QUY692" s="769"/>
      <c r="QUZ692" s="769"/>
      <c r="QVA692" s="769"/>
      <c r="QVB692" s="769"/>
      <c r="QVC692" s="769"/>
      <c r="QVD692" s="769"/>
      <c r="QVE692" s="769"/>
      <c r="QVF692" s="769"/>
      <c r="QVG692" s="769"/>
      <c r="QVH692" s="769"/>
      <c r="QVI692" s="769"/>
      <c r="QVJ692" s="769"/>
      <c r="QVK692" s="769"/>
      <c r="QVL692" s="769"/>
      <c r="QVM692" s="769"/>
      <c r="QVN692" s="769"/>
      <c r="QVO692" s="769"/>
      <c r="QVP692" s="769"/>
      <c r="QVQ692" s="769"/>
      <c r="QVR692" s="769"/>
      <c r="QVS692" s="769"/>
      <c r="QVT692" s="769"/>
      <c r="QVU692" s="769"/>
      <c r="QVV692" s="769"/>
      <c r="QVW692" s="769"/>
      <c r="QVX692" s="769"/>
      <c r="QVY692" s="769"/>
      <c r="QVZ692" s="769"/>
      <c r="QWA692" s="769"/>
      <c r="QWB692" s="769"/>
      <c r="QWC692" s="769"/>
      <c r="QWD692" s="769"/>
      <c r="QWE692" s="769"/>
      <c r="QWF692" s="769"/>
      <c r="QWG692" s="769"/>
      <c r="QWH692" s="769"/>
      <c r="QWI692" s="769"/>
      <c r="QWJ692" s="769"/>
      <c r="QWK692" s="769"/>
      <c r="QWL692" s="769"/>
      <c r="QWM692" s="769"/>
      <c r="QWN692" s="769"/>
      <c r="QWO692" s="769"/>
      <c r="QWP692" s="769"/>
      <c r="QWQ692" s="769"/>
      <c r="QWR692" s="769"/>
      <c r="QWS692" s="769"/>
      <c r="QWT692" s="769"/>
      <c r="QWU692" s="769"/>
      <c r="QWV692" s="769"/>
      <c r="QWW692" s="769"/>
      <c r="QWX692" s="769"/>
      <c r="QWY692" s="769"/>
      <c r="QWZ692" s="769"/>
      <c r="QXA692" s="769"/>
      <c r="QXB692" s="769"/>
      <c r="QXC692" s="769"/>
      <c r="QXD692" s="769"/>
      <c r="QXE692" s="769"/>
      <c r="QXF692" s="769"/>
      <c r="QXG692" s="769"/>
      <c r="QXH692" s="769"/>
      <c r="QXI692" s="769"/>
      <c r="QXJ692" s="769"/>
      <c r="QXK692" s="769"/>
      <c r="QXL692" s="769"/>
      <c r="QXM692" s="769"/>
      <c r="QXN692" s="769"/>
      <c r="QXO692" s="769"/>
      <c r="QXP692" s="769"/>
      <c r="QXQ692" s="769"/>
      <c r="QXR692" s="769"/>
      <c r="QXS692" s="769"/>
      <c r="QXT692" s="769"/>
      <c r="QXU692" s="769"/>
      <c r="QXV692" s="769"/>
      <c r="QXW692" s="769"/>
      <c r="QXX692" s="769"/>
      <c r="QXY692" s="769"/>
      <c r="QXZ692" s="769"/>
      <c r="QYA692" s="769"/>
      <c r="QYB692" s="769"/>
      <c r="QYC692" s="769"/>
      <c r="QYD692" s="769"/>
      <c r="QYE692" s="769"/>
      <c r="QYF692" s="769"/>
      <c r="QYG692" s="769"/>
      <c r="QYH692" s="769"/>
      <c r="QYI692" s="769"/>
      <c r="QYJ692" s="769"/>
      <c r="QYK692" s="769"/>
      <c r="QYL692" s="769"/>
      <c r="QYM692" s="769"/>
      <c r="QYN692" s="769"/>
      <c r="QYO692" s="769"/>
      <c r="QYP692" s="769"/>
      <c r="QYQ692" s="769"/>
      <c r="QYR692" s="769"/>
      <c r="QYS692" s="769"/>
      <c r="QYT692" s="769"/>
      <c r="QYU692" s="769"/>
      <c r="QYV692" s="769"/>
      <c r="QYW692" s="769"/>
      <c r="QYX692" s="769"/>
      <c r="QYY692" s="769"/>
      <c r="QYZ692" s="769"/>
      <c r="QZA692" s="769"/>
      <c r="QZB692" s="769"/>
      <c r="QZC692" s="769"/>
      <c r="QZD692" s="769"/>
      <c r="QZE692" s="769"/>
      <c r="QZF692" s="769"/>
      <c r="QZG692" s="769"/>
      <c r="QZH692" s="769"/>
      <c r="QZI692" s="769"/>
      <c r="QZJ692" s="769"/>
      <c r="QZK692" s="769"/>
      <c r="QZL692" s="769"/>
      <c r="QZM692" s="769"/>
      <c r="QZN692" s="769"/>
      <c r="QZO692" s="769"/>
      <c r="QZP692" s="769"/>
      <c r="QZQ692" s="769"/>
      <c r="QZR692" s="769"/>
      <c r="QZS692" s="769"/>
      <c r="QZT692" s="769"/>
      <c r="QZU692" s="769"/>
      <c r="QZV692" s="769"/>
      <c r="QZW692" s="769"/>
      <c r="QZX692" s="769"/>
      <c r="QZY692" s="769"/>
      <c r="QZZ692" s="769"/>
      <c r="RAA692" s="769"/>
      <c r="RAB692" s="769"/>
      <c r="RAC692" s="769"/>
      <c r="RAD692" s="769"/>
      <c r="RAE692" s="769"/>
      <c r="RAF692" s="769"/>
      <c r="RAG692" s="769"/>
      <c r="RAH692" s="769"/>
      <c r="RAI692" s="769"/>
      <c r="RAJ692" s="769"/>
      <c r="RAK692" s="769"/>
      <c r="RAL692" s="769"/>
      <c r="RAM692" s="769"/>
      <c r="RAN692" s="769"/>
      <c r="RAO692" s="769"/>
      <c r="RAP692" s="769"/>
      <c r="RAQ692" s="769"/>
      <c r="RAR692" s="769"/>
      <c r="RAS692" s="769"/>
      <c r="RAT692" s="769"/>
      <c r="RAU692" s="769"/>
      <c r="RAV692" s="769"/>
      <c r="RAW692" s="769"/>
      <c r="RAX692" s="769"/>
      <c r="RAY692" s="769"/>
      <c r="RAZ692" s="769"/>
      <c r="RBA692" s="769"/>
      <c r="RBB692" s="769"/>
      <c r="RBC692" s="769"/>
      <c r="RBD692" s="769"/>
      <c r="RBE692" s="769"/>
      <c r="RBF692" s="769"/>
      <c r="RBG692" s="769"/>
      <c r="RBH692" s="769"/>
      <c r="RBI692" s="769"/>
      <c r="RBJ692" s="769"/>
      <c r="RBK692" s="769"/>
      <c r="RBL692" s="769"/>
      <c r="RBM692" s="769"/>
      <c r="RBN692" s="769"/>
      <c r="RBO692" s="769"/>
      <c r="RBP692" s="769"/>
      <c r="RBQ692" s="769"/>
      <c r="RBR692" s="769"/>
      <c r="RBS692" s="769"/>
      <c r="RBT692" s="769"/>
      <c r="RBU692" s="769"/>
      <c r="RBV692" s="769"/>
      <c r="RBW692" s="769"/>
      <c r="RBX692" s="769"/>
      <c r="RBY692" s="769"/>
      <c r="RBZ692" s="769"/>
      <c r="RCA692" s="769"/>
      <c r="RCB692" s="769"/>
      <c r="RCC692" s="769"/>
      <c r="RCD692" s="769"/>
      <c r="RCE692" s="769"/>
      <c r="RCF692" s="769"/>
      <c r="RCG692" s="769"/>
      <c r="RCH692" s="769"/>
      <c r="RCI692" s="769"/>
      <c r="RCJ692" s="769"/>
      <c r="RCK692" s="769"/>
      <c r="RCL692" s="769"/>
      <c r="RCM692" s="769"/>
      <c r="RCN692" s="769"/>
      <c r="RCO692" s="769"/>
      <c r="RCP692" s="769"/>
      <c r="RCQ692" s="769"/>
      <c r="RCR692" s="769"/>
      <c r="RCS692" s="769"/>
      <c r="RCT692" s="769"/>
      <c r="RCU692" s="769"/>
      <c r="RCV692" s="769"/>
      <c r="RCW692" s="769"/>
      <c r="RCX692" s="769"/>
      <c r="RCY692" s="769"/>
      <c r="RCZ692" s="769"/>
      <c r="RDA692" s="769"/>
      <c r="RDB692" s="769"/>
      <c r="RDC692" s="769"/>
      <c r="RDD692" s="769"/>
      <c r="RDE692" s="769"/>
      <c r="RDF692" s="769"/>
      <c r="RDG692" s="769"/>
      <c r="RDH692" s="769"/>
      <c r="RDI692" s="769"/>
      <c r="RDJ692" s="769"/>
      <c r="RDK692" s="769"/>
      <c r="RDL692" s="769"/>
      <c r="RDM692" s="769"/>
      <c r="RDN692" s="769"/>
      <c r="RDO692" s="769"/>
      <c r="RDP692" s="769"/>
      <c r="RDQ692" s="769"/>
      <c r="RDR692" s="769"/>
      <c r="RDS692" s="769"/>
      <c r="RDT692" s="769"/>
      <c r="RDU692" s="769"/>
      <c r="RDV692" s="769"/>
      <c r="RDW692" s="769"/>
      <c r="RDX692" s="769"/>
      <c r="RDY692" s="769"/>
      <c r="RDZ692" s="769"/>
      <c r="REA692" s="769"/>
      <c r="REB692" s="769"/>
      <c r="REC692" s="769"/>
      <c r="RED692" s="769"/>
      <c r="REE692" s="769"/>
      <c r="REF692" s="769"/>
      <c r="REG692" s="769"/>
      <c r="REH692" s="769"/>
      <c r="REI692" s="769"/>
      <c r="REJ692" s="769"/>
      <c r="REK692" s="769"/>
      <c r="REL692" s="769"/>
      <c r="REM692" s="769"/>
      <c r="REN692" s="769"/>
      <c r="REO692" s="769"/>
      <c r="REP692" s="769"/>
      <c r="REQ692" s="769"/>
      <c r="RER692" s="769"/>
      <c r="RES692" s="769"/>
      <c r="RET692" s="769"/>
      <c r="REU692" s="769"/>
      <c r="REV692" s="769"/>
      <c r="REW692" s="769"/>
      <c r="REX692" s="769"/>
      <c r="REY692" s="769"/>
      <c r="REZ692" s="769"/>
      <c r="RFA692" s="769"/>
      <c r="RFB692" s="769"/>
      <c r="RFC692" s="769"/>
      <c r="RFD692" s="769"/>
      <c r="RFE692" s="769"/>
      <c r="RFF692" s="769"/>
      <c r="RFG692" s="769"/>
      <c r="RFH692" s="769"/>
      <c r="RFI692" s="769"/>
      <c r="RFJ692" s="769"/>
      <c r="RFK692" s="769"/>
      <c r="RFL692" s="769"/>
      <c r="RFM692" s="769"/>
      <c r="RFN692" s="769"/>
      <c r="RFO692" s="769"/>
      <c r="RFP692" s="769"/>
      <c r="RFQ692" s="769"/>
      <c r="RFR692" s="769"/>
      <c r="RFS692" s="769"/>
      <c r="RFT692" s="769"/>
      <c r="RFU692" s="769"/>
      <c r="RFV692" s="769"/>
      <c r="RFW692" s="769"/>
      <c r="RFX692" s="769"/>
      <c r="RFY692" s="769"/>
      <c r="RFZ692" s="769"/>
      <c r="RGA692" s="769"/>
      <c r="RGB692" s="769"/>
      <c r="RGC692" s="769"/>
      <c r="RGD692" s="769"/>
      <c r="RGE692" s="769"/>
      <c r="RGF692" s="769"/>
      <c r="RGG692" s="769"/>
      <c r="RGH692" s="769"/>
      <c r="RGI692" s="769"/>
      <c r="RGJ692" s="769"/>
      <c r="RGK692" s="769"/>
      <c r="RGL692" s="769"/>
      <c r="RGM692" s="769"/>
      <c r="RGN692" s="769"/>
      <c r="RGO692" s="769"/>
      <c r="RGP692" s="769"/>
      <c r="RGQ692" s="769"/>
      <c r="RGR692" s="769"/>
      <c r="RGS692" s="769"/>
      <c r="RGT692" s="769"/>
      <c r="RGU692" s="769"/>
      <c r="RGV692" s="769"/>
      <c r="RGW692" s="769"/>
      <c r="RGX692" s="769"/>
      <c r="RGY692" s="769"/>
      <c r="RGZ692" s="769"/>
      <c r="RHA692" s="769"/>
      <c r="RHB692" s="769"/>
      <c r="RHC692" s="769"/>
      <c r="RHD692" s="769"/>
      <c r="RHE692" s="769"/>
      <c r="RHF692" s="769"/>
      <c r="RHG692" s="769"/>
      <c r="RHH692" s="769"/>
      <c r="RHI692" s="769"/>
      <c r="RHJ692" s="769"/>
      <c r="RHK692" s="769"/>
      <c r="RHL692" s="769"/>
      <c r="RHM692" s="769"/>
      <c r="RHN692" s="769"/>
      <c r="RHO692" s="769"/>
      <c r="RHP692" s="769"/>
      <c r="RHQ692" s="769"/>
      <c r="RHR692" s="769"/>
      <c r="RHS692" s="769"/>
      <c r="RHT692" s="769"/>
      <c r="RHU692" s="769"/>
      <c r="RHV692" s="769"/>
      <c r="RHW692" s="769"/>
      <c r="RHX692" s="769"/>
      <c r="RHY692" s="769"/>
      <c r="RHZ692" s="769"/>
      <c r="RIA692" s="769"/>
      <c r="RIB692" s="769"/>
      <c r="RIC692" s="769"/>
      <c r="RID692" s="769"/>
      <c r="RIE692" s="769"/>
      <c r="RIF692" s="769"/>
      <c r="RIG692" s="769"/>
      <c r="RIH692" s="769"/>
      <c r="RII692" s="769"/>
      <c r="RIJ692" s="769"/>
      <c r="RIK692" s="769"/>
      <c r="RIL692" s="769"/>
      <c r="RIM692" s="769"/>
      <c r="RIN692" s="769"/>
      <c r="RIO692" s="769"/>
      <c r="RIP692" s="769"/>
      <c r="RIQ692" s="769"/>
      <c r="RIR692" s="769"/>
      <c r="RIS692" s="769"/>
      <c r="RIT692" s="769"/>
      <c r="RIU692" s="769"/>
      <c r="RIV692" s="769"/>
      <c r="RIW692" s="769"/>
      <c r="RIX692" s="769"/>
      <c r="RIY692" s="769"/>
      <c r="RIZ692" s="769"/>
      <c r="RJA692" s="769"/>
      <c r="RJB692" s="769"/>
      <c r="RJC692" s="769"/>
      <c r="RJD692" s="769"/>
      <c r="RJE692" s="769"/>
      <c r="RJF692" s="769"/>
      <c r="RJG692" s="769"/>
      <c r="RJH692" s="769"/>
      <c r="RJI692" s="769"/>
      <c r="RJJ692" s="769"/>
      <c r="RJK692" s="769"/>
      <c r="RJL692" s="769"/>
      <c r="RJM692" s="769"/>
      <c r="RJN692" s="769"/>
      <c r="RJO692" s="769"/>
      <c r="RJP692" s="769"/>
      <c r="RJQ692" s="769"/>
      <c r="RJR692" s="769"/>
      <c r="RJS692" s="769"/>
      <c r="RJT692" s="769"/>
      <c r="RJU692" s="769"/>
      <c r="RJV692" s="769"/>
      <c r="RJW692" s="769"/>
      <c r="RJX692" s="769"/>
      <c r="RJY692" s="769"/>
      <c r="RJZ692" s="769"/>
      <c r="RKA692" s="769"/>
      <c r="RKB692" s="769"/>
      <c r="RKC692" s="769"/>
      <c r="RKD692" s="769"/>
      <c r="RKE692" s="769"/>
      <c r="RKF692" s="769"/>
      <c r="RKG692" s="769"/>
      <c r="RKH692" s="769"/>
      <c r="RKI692" s="769"/>
      <c r="RKJ692" s="769"/>
      <c r="RKK692" s="769"/>
      <c r="RKL692" s="769"/>
      <c r="RKM692" s="769"/>
      <c r="RKN692" s="769"/>
      <c r="RKO692" s="769"/>
      <c r="RKP692" s="769"/>
      <c r="RKQ692" s="769"/>
      <c r="RKR692" s="769"/>
      <c r="RKS692" s="769"/>
      <c r="RKT692" s="769"/>
      <c r="RKU692" s="769"/>
      <c r="RKV692" s="769"/>
      <c r="RKW692" s="769"/>
      <c r="RKX692" s="769"/>
      <c r="RKY692" s="769"/>
      <c r="RKZ692" s="769"/>
      <c r="RLA692" s="769"/>
      <c r="RLB692" s="769"/>
      <c r="RLC692" s="769"/>
      <c r="RLD692" s="769"/>
      <c r="RLE692" s="769"/>
      <c r="RLF692" s="769"/>
      <c r="RLG692" s="769"/>
      <c r="RLH692" s="769"/>
      <c r="RLI692" s="769"/>
      <c r="RLJ692" s="769"/>
      <c r="RLK692" s="769"/>
      <c r="RLL692" s="769"/>
      <c r="RLM692" s="769"/>
      <c r="RLN692" s="769"/>
      <c r="RLO692" s="769"/>
      <c r="RLP692" s="769"/>
      <c r="RLQ692" s="769"/>
      <c r="RLR692" s="769"/>
      <c r="RLS692" s="769"/>
      <c r="RLT692" s="769"/>
      <c r="RLU692" s="769"/>
      <c r="RLV692" s="769"/>
      <c r="RLW692" s="769"/>
      <c r="RLX692" s="769"/>
      <c r="RLY692" s="769"/>
      <c r="RLZ692" s="769"/>
      <c r="RMA692" s="769"/>
      <c r="RMB692" s="769"/>
      <c r="RMC692" s="769"/>
      <c r="RMD692" s="769"/>
      <c r="RME692" s="769"/>
      <c r="RMF692" s="769"/>
      <c r="RMG692" s="769"/>
      <c r="RMH692" s="769"/>
      <c r="RMI692" s="769"/>
      <c r="RMJ692" s="769"/>
      <c r="RMK692" s="769"/>
      <c r="RML692" s="769"/>
      <c r="RMM692" s="769"/>
      <c r="RMN692" s="769"/>
      <c r="RMO692" s="769"/>
      <c r="RMP692" s="769"/>
      <c r="RMQ692" s="769"/>
      <c r="RMR692" s="769"/>
      <c r="RMS692" s="769"/>
      <c r="RMT692" s="769"/>
      <c r="RMU692" s="769"/>
      <c r="RMV692" s="769"/>
      <c r="RMW692" s="769"/>
      <c r="RMX692" s="769"/>
      <c r="RMY692" s="769"/>
      <c r="RMZ692" s="769"/>
      <c r="RNA692" s="769"/>
      <c r="RNB692" s="769"/>
      <c r="RNC692" s="769"/>
      <c r="RND692" s="769"/>
      <c r="RNE692" s="769"/>
      <c r="RNF692" s="769"/>
      <c r="RNG692" s="769"/>
      <c r="RNH692" s="769"/>
      <c r="RNI692" s="769"/>
      <c r="RNJ692" s="769"/>
      <c r="RNK692" s="769"/>
      <c r="RNL692" s="769"/>
      <c r="RNM692" s="769"/>
      <c r="RNN692" s="769"/>
      <c r="RNO692" s="769"/>
      <c r="RNP692" s="769"/>
      <c r="RNQ692" s="769"/>
      <c r="RNR692" s="769"/>
      <c r="RNS692" s="769"/>
      <c r="RNT692" s="769"/>
      <c r="RNU692" s="769"/>
      <c r="RNV692" s="769"/>
      <c r="RNW692" s="769"/>
      <c r="RNX692" s="769"/>
      <c r="RNY692" s="769"/>
      <c r="RNZ692" s="769"/>
      <c r="ROA692" s="769"/>
      <c r="ROB692" s="769"/>
      <c r="ROC692" s="769"/>
      <c r="ROD692" s="769"/>
      <c r="ROE692" s="769"/>
      <c r="ROF692" s="769"/>
      <c r="ROG692" s="769"/>
      <c r="ROH692" s="769"/>
      <c r="ROI692" s="769"/>
      <c r="ROJ692" s="769"/>
      <c r="ROK692" s="769"/>
      <c r="ROL692" s="769"/>
      <c r="ROM692" s="769"/>
      <c r="RON692" s="769"/>
      <c r="ROO692" s="769"/>
      <c r="ROP692" s="769"/>
      <c r="ROQ692" s="769"/>
      <c r="ROR692" s="769"/>
      <c r="ROS692" s="769"/>
      <c r="ROT692" s="769"/>
      <c r="ROU692" s="769"/>
      <c r="ROV692" s="769"/>
      <c r="ROW692" s="769"/>
      <c r="ROX692" s="769"/>
      <c r="ROY692" s="769"/>
      <c r="ROZ692" s="769"/>
      <c r="RPA692" s="769"/>
      <c r="RPB692" s="769"/>
      <c r="RPC692" s="769"/>
      <c r="RPD692" s="769"/>
      <c r="RPE692" s="769"/>
      <c r="RPF692" s="769"/>
      <c r="RPG692" s="769"/>
      <c r="RPH692" s="769"/>
      <c r="RPI692" s="769"/>
      <c r="RPJ692" s="769"/>
      <c r="RPK692" s="769"/>
      <c r="RPL692" s="769"/>
      <c r="RPM692" s="769"/>
      <c r="RPN692" s="769"/>
      <c r="RPO692" s="769"/>
      <c r="RPP692" s="769"/>
      <c r="RPQ692" s="769"/>
      <c r="RPR692" s="769"/>
      <c r="RPS692" s="769"/>
      <c r="RPT692" s="769"/>
      <c r="RPU692" s="769"/>
      <c r="RPV692" s="769"/>
      <c r="RPW692" s="769"/>
      <c r="RPX692" s="769"/>
      <c r="RPY692" s="769"/>
      <c r="RPZ692" s="769"/>
      <c r="RQA692" s="769"/>
      <c r="RQB692" s="769"/>
      <c r="RQC692" s="769"/>
      <c r="RQD692" s="769"/>
      <c r="RQE692" s="769"/>
      <c r="RQF692" s="769"/>
      <c r="RQG692" s="769"/>
      <c r="RQH692" s="769"/>
      <c r="RQI692" s="769"/>
      <c r="RQJ692" s="769"/>
      <c r="RQK692" s="769"/>
      <c r="RQL692" s="769"/>
      <c r="RQM692" s="769"/>
      <c r="RQN692" s="769"/>
      <c r="RQO692" s="769"/>
      <c r="RQP692" s="769"/>
      <c r="RQQ692" s="769"/>
      <c r="RQR692" s="769"/>
      <c r="RQS692" s="769"/>
      <c r="RQT692" s="769"/>
      <c r="RQU692" s="769"/>
      <c r="RQV692" s="769"/>
      <c r="RQW692" s="769"/>
      <c r="RQX692" s="769"/>
      <c r="RQY692" s="769"/>
      <c r="RQZ692" s="769"/>
      <c r="RRA692" s="769"/>
      <c r="RRB692" s="769"/>
      <c r="RRC692" s="769"/>
      <c r="RRD692" s="769"/>
      <c r="RRE692" s="769"/>
      <c r="RRF692" s="769"/>
      <c r="RRG692" s="769"/>
      <c r="RRH692" s="769"/>
      <c r="RRI692" s="769"/>
      <c r="RRJ692" s="769"/>
      <c r="RRK692" s="769"/>
      <c r="RRL692" s="769"/>
      <c r="RRM692" s="769"/>
      <c r="RRN692" s="769"/>
      <c r="RRO692" s="769"/>
      <c r="RRP692" s="769"/>
      <c r="RRQ692" s="769"/>
      <c r="RRR692" s="769"/>
      <c r="RRS692" s="769"/>
      <c r="RRT692" s="769"/>
      <c r="RRU692" s="769"/>
      <c r="RRV692" s="769"/>
      <c r="RRW692" s="769"/>
      <c r="RRX692" s="769"/>
      <c r="RRY692" s="769"/>
      <c r="RRZ692" s="769"/>
      <c r="RSA692" s="769"/>
      <c r="RSB692" s="769"/>
      <c r="RSC692" s="769"/>
      <c r="RSD692" s="769"/>
      <c r="RSE692" s="769"/>
      <c r="RSF692" s="769"/>
      <c r="RSG692" s="769"/>
      <c r="RSH692" s="769"/>
      <c r="RSI692" s="769"/>
      <c r="RSJ692" s="769"/>
      <c r="RSK692" s="769"/>
      <c r="RSL692" s="769"/>
      <c r="RSM692" s="769"/>
      <c r="RSN692" s="769"/>
      <c r="RSO692" s="769"/>
      <c r="RSP692" s="769"/>
      <c r="RSQ692" s="769"/>
      <c r="RSR692" s="769"/>
      <c r="RSS692" s="769"/>
      <c r="RST692" s="769"/>
      <c r="RSU692" s="769"/>
      <c r="RSV692" s="769"/>
      <c r="RSW692" s="769"/>
      <c r="RSX692" s="769"/>
      <c r="RSY692" s="769"/>
      <c r="RSZ692" s="769"/>
      <c r="RTA692" s="769"/>
      <c r="RTB692" s="769"/>
      <c r="RTC692" s="769"/>
      <c r="RTD692" s="769"/>
      <c r="RTE692" s="769"/>
      <c r="RTF692" s="769"/>
      <c r="RTG692" s="769"/>
      <c r="RTH692" s="769"/>
      <c r="RTI692" s="769"/>
      <c r="RTJ692" s="769"/>
      <c r="RTK692" s="769"/>
      <c r="RTL692" s="769"/>
      <c r="RTM692" s="769"/>
      <c r="RTN692" s="769"/>
      <c r="RTO692" s="769"/>
      <c r="RTP692" s="769"/>
      <c r="RTQ692" s="769"/>
      <c r="RTR692" s="769"/>
      <c r="RTS692" s="769"/>
      <c r="RTT692" s="769"/>
      <c r="RTU692" s="769"/>
      <c r="RTV692" s="769"/>
      <c r="RTW692" s="769"/>
      <c r="RTX692" s="769"/>
      <c r="RTY692" s="769"/>
      <c r="RTZ692" s="769"/>
      <c r="RUA692" s="769"/>
      <c r="RUB692" s="769"/>
      <c r="RUC692" s="769"/>
      <c r="RUD692" s="769"/>
      <c r="RUE692" s="769"/>
      <c r="RUF692" s="769"/>
      <c r="RUG692" s="769"/>
      <c r="RUH692" s="769"/>
      <c r="RUI692" s="769"/>
      <c r="RUJ692" s="769"/>
      <c r="RUK692" s="769"/>
      <c r="RUL692" s="769"/>
      <c r="RUM692" s="769"/>
      <c r="RUN692" s="769"/>
      <c r="RUO692" s="769"/>
      <c r="RUP692" s="769"/>
      <c r="RUQ692" s="769"/>
      <c r="RUR692" s="769"/>
      <c r="RUS692" s="769"/>
      <c r="RUT692" s="769"/>
      <c r="RUU692" s="769"/>
      <c r="RUV692" s="769"/>
      <c r="RUW692" s="769"/>
      <c r="RUX692" s="769"/>
      <c r="RUY692" s="769"/>
      <c r="RUZ692" s="769"/>
      <c r="RVA692" s="769"/>
      <c r="RVB692" s="769"/>
      <c r="RVC692" s="769"/>
      <c r="RVD692" s="769"/>
      <c r="RVE692" s="769"/>
      <c r="RVF692" s="769"/>
      <c r="RVG692" s="769"/>
      <c r="RVH692" s="769"/>
      <c r="RVI692" s="769"/>
      <c r="RVJ692" s="769"/>
      <c r="RVK692" s="769"/>
      <c r="RVL692" s="769"/>
      <c r="RVM692" s="769"/>
      <c r="RVN692" s="769"/>
      <c r="RVO692" s="769"/>
      <c r="RVP692" s="769"/>
      <c r="RVQ692" s="769"/>
      <c r="RVR692" s="769"/>
      <c r="RVS692" s="769"/>
      <c r="RVT692" s="769"/>
      <c r="RVU692" s="769"/>
      <c r="RVV692" s="769"/>
      <c r="RVW692" s="769"/>
      <c r="RVX692" s="769"/>
      <c r="RVY692" s="769"/>
      <c r="RVZ692" s="769"/>
      <c r="RWA692" s="769"/>
      <c r="RWB692" s="769"/>
      <c r="RWC692" s="769"/>
      <c r="RWD692" s="769"/>
      <c r="RWE692" s="769"/>
      <c r="RWF692" s="769"/>
      <c r="RWG692" s="769"/>
      <c r="RWH692" s="769"/>
      <c r="RWI692" s="769"/>
      <c r="RWJ692" s="769"/>
      <c r="RWK692" s="769"/>
      <c r="RWL692" s="769"/>
      <c r="RWM692" s="769"/>
      <c r="RWN692" s="769"/>
      <c r="RWO692" s="769"/>
      <c r="RWP692" s="769"/>
      <c r="RWQ692" s="769"/>
      <c r="RWR692" s="769"/>
      <c r="RWS692" s="769"/>
      <c r="RWT692" s="769"/>
      <c r="RWU692" s="769"/>
      <c r="RWV692" s="769"/>
      <c r="RWW692" s="769"/>
      <c r="RWX692" s="769"/>
      <c r="RWY692" s="769"/>
      <c r="RWZ692" s="769"/>
      <c r="RXA692" s="769"/>
      <c r="RXB692" s="769"/>
      <c r="RXC692" s="769"/>
      <c r="RXD692" s="769"/>
      <c r="RXE692" s="769"/>
      <c r="RXF692" s="769"/>
      <c r="RXG692" s="769"/>
      <c r="RXH692" s="769"/>
      <c r="RXI692" s="769"/>
      <c r="RXJ692" s="769"/>
      <c r="RXK692" s="769"/>
      <c r="RXL692" s="769"/>
      <c r="RXM692" s="769"/>
      <c r="RXN692" s="769"/>
      <c r="RXO692" s="769"/>
      <c r="RXP692" s="769"/>
      <c r="RXQ692" s="769"/>
      <c r="RXR692" s="769"/>
      <c r="RXS692" s="769"/>
      <c r="RXT692" s="769"/>
      <c r="RXU692" s="769"/>
      <c r="RXV692" s="769"/>
      <c r="RXW692" s="769"/>
      <c r="RXX692" s="769"/>
      <c r="RXY692" s="769"/>
      <c r="RXZ692" s="769"/>
      <c r="RYA692" s="769"/>
      <c r="RYB692" s="769"/>
      <c r="RYC692" s="769"/>
      <c r="RYD692" s="769"/>
      <c r="RYE692" s="769"/>
      <c r="RYF692" s="769"/>
      <c r="RYG692" s="769"/>
      <c r="RYH692" s="769"/>
      <c r="RYI692" s="769"/>
      <c r="RYJ692" s="769"/>
      <c r="RYK692" s="769"/>
      <c r="RYL692" s="769"/>
      <c r="RYM692" s="769"/>
      <c r="RYN692" s="769"/>
      <c r="RYO692" s="769"/>
      <c r="RYP692" s="769"/>
      <c r="RYQ692" s="769"/>
      <c r="RYR692" s="769"/>
      <c r="RYS692" s="769"/>
      <c r="RYT692" s="769"/>
      <c r="RYU692" s="769"/>
      <c r="RYV692" s="769"/>
      <c r="RYW692" s="769"/>
      <c r="RYX692" s="769"/>
      <c r="RYY692" s="769"/>
      <c r="RYZ692" s="769"/>
      <c r="RZA692" s="769"/>
      <c r="RZB692" s="769"/>
      <c r="RZC692" s="769"/>
      <c r="RZD692" s="769"/>
      <c r="RZE692" s="769"/>
      <c r="RZF692" s="769"/>
      <c r="RZG692" s="769"/>
      <c r="RZH692" s="769"/>
      <c r="RZI692" s="769"/>
      <c r="RZJ692" s="769"/>
      <c r="RZK692" s="769"/>
      <c r="RZL692" s="769"/>
      <c r="RZM692" s="769"/>
      <c r="RZN692" s="769"/>
      <c r="RZO692" s="769"/>
      <c r="RZP692" s="769"/>
      <c r="RZQ692" s="769"/>
      <c r="RZR692" s="769"/>
      <c r="RZS692" s="769"/>
      <c r="RZT692" s="769"/>
      <c r="RZU692" s="769"/>
      <c r="RZV692" s="769"/>
      <c r="RZW692" s="769"/>
      <c r="RZX692" s="769"/>
      <c r="RZY692" s="769"/>
      <c r="RZZ692" s="769"/>
      <c r="SAA692" s="769"/>
      <c r="SAB692" s="769"/>
      <c r="SAC692" s="769"/>
      <c r="SAD692" s="769"/>
      <c r="SAE692" s="769"/>
      <c r="SAF692" s="769"/>
      <c r="SAG692" s="769"/>
      <c r="SAH692" s="769"/>
      <c r="SAI692" s="769"/>
      <c r="SAJ692" s="769"/>
      <c r="SAK692" s="769"/>
      <c r="SAL692" s="769"/>
      <c r="SAM692" s="769"/>
      <c r="SAN692" s="769"/>
      <c r="SAO692" s="769"/>
      <c r="SAP692" s="769"/>
      <c r="SAQ692" s="769"/>
      <c r="SAR692" s="769"/>
      <c r="SAS692" s="769"/>
      <c r="SAT692" s="769"/>
      <c r="SAU692" s="769"/>
      <c r="SAV692" s="769"/>
      <c r="SAW692" s="769"/>
      <c r="SAX692" s="769"/>
      <c r="SAY692" s="769"/>
      <c r="SAZ692" s="769"/>
      <c r="SBA692" s="769"/>
      <c r="SBB692" s="769"/>
      <c r="SBC692" s="769"/>
      <c r="SBD692" s="769"/>
      <c r="SBE692" s="769"/>
      <c r="SBF692" s="769"/>
      <c r="SBG692" s="769"/>
      <c r="SBH692" s="769"/>
      <c r="SBI692" s="769"/>
      <c r="SBJ692" s="769"/>
      <c r="SBK692" s="769"/>
      <c r="SBL692" s="769"/>
      <c r="SBM692" s="769"/>
      <c r="SBN692" s="769"/>
      <c r="SBO692" s="769"/>
      <c r="SBP692" s="769"/>
      <c r="SBQ692" s="769"/>
      <c r="SBR692" s="769"/>
      <c r="SBS692" s="769"/>
      <c r="SBT692" s="769"/>
      <c r="SBU692" s="769"/>
      <c r="SBV692" s="769"/>
      <c r="SBW692" s="769"/>
      <c r="SBX692" s="769"/>
      <c r="SBY692" s="769"/>
      <c r="SBZ692" s="769"/>
      <c r="SCA692" s="769"/>
      <c r="SCB692" s="769"/>
      <c r="SCC692" s="769"/>
      <c r="SCD692" s="769"/>
      <c r="SCE692" s="769"/>
      <c r="SCF692" s="769"/>
      <c r="SCG692" s="769"/>
      <c r="SCH692" s="769"/>
      <c r="SCI692" s="769"/>
      <c r="SCJ692" s="769"/>
      <c r="SCK692" s="769"/>
      <c r="SCL692" s="769"/>
      <c r="SCM692" s="769"/>
      <c r="SCN692" s="769"/>
      <c r="SCO692" s="769"/>
      <c r="SCP692" s="769"/>
      <c r="SCQ692" s="769"/>
      <c r="SCR692" s="769"/>
      <c r="SCS692" s="769"/>
      <c r="SCT692" s="769"/>
      <c r="SCU692" s="769"/>
      <c r="SCV692" s="769"/>
      <c r="SCW692" s="769"/>
      <c r="SCX692" s="769"/>
      <c r="SCY692" s="769"/>
      <c r="SCZ692" s="769"/>
      <c r="SDA692" s="769"/>
      <c r="SDB692" s="769"/>
      <c r="SDC692" s="769"/>
      <c r="SDD692" s="769"/>
      <c r="SDE692" s="769"/>
      <c r="SDF692" s="769"/>
      <c r="SDG692" s="769"/>
      <c r="SDH692" s="769"/>
      <c r="SDI692" s="769"/>
      <c r="SDJ692" s="769"/>
      <c r="SDK692" s="769"/>
      <c r="SDL692" s="769"/>
      <c r="SDM692" s="769"/>
      <c r="SDN692" s="769"/>
      <c r="SDO692" s="769"/>
      <c r="SDP692" s="769"/>
      <c r="SDQ692" s="769"/>
      <c r="SDR692" s="769"/>
      <c r="SDS692" s="769"/>
      <c r="SDT692" s="769"/>
      <c r="SDU692" s="769"/>
      <c r="SDV692" s="769"/>
      <c r="SDW692" s="769"/>
      <c r="SDX692" s="769"/>
      <c r="SDY692" s="769"/>
      <c r="SDZ692" s="769"/>
      <c r="SEA692" s="769"/>
      <c r="SEB692" s="769"/>
      <c r="SEC692" s="769"/>
      <c r="SED692" s="769"/>
      <c r="SEE692" s="769"/>
      <c r="SEF692" s="769"/>
      <c r="SEG692" s="769"/>
      <c r="SEH692" s="769"/>
      <c r="SEI692" s="769"/>
      <c r="SEJ692" s="769"/>
      <c r="SEK692" s="769"/>
      <c r="SEL692" s="769"/>
      <c r="SEM692" s="769"/>
      <c r="SEN692" s="769"/>
      <c r="SEO692" s="769"/>
      <c r="SEP692" s="769"/>
      <c r="SEQ692" s="769"/>
      <c r="SER692" s="769"/>
      <c r="SES692" s="769"/>
      <c r="SET692" s="769"/>
      <c r="SEU692" s="769"/>
      <c r="SEV692" s="769"/>
      <c r="SEW692" s="769"/>
      <c r="SEX692" s="769"/>
      <c r="SEY692" s="769"/>
      <c r="SEZ692" s="769"/>
      <c r="SFA692" s="769"/>
      <c r="SFB692" s="769"/>
      <c r="SFC692" s="769"/>
      <c r="SFD692" s="769"/>
      <c r="SFE692" s="769"/>
      <c r="SFF692" s="769"/>
      <c r="SFG692" s="769"/>
      <c r="SFH692" s="769"/>
      <c r="SFI692" s="769"/>
      <c r="SFJ692" s="769"/>
      <c r="SFK692" s="769"/>
      <c r="SFL692" s="769"/>
      <c r="SFM692" s="769"/>
      <c r="SFN692" s="769"/>
      <c r="SFO692" s="769"/>
      <c r="SFP692" s="769"/>
      <c r="SFQ692" s="769"/>
      <c r="SFR692" s="769"/>
      <c r="SFS692" s="769"/>
      <c r="SFT692" s="769"/>
      <c r="SFU692" s="769"/>
      <c r="SFV692" s="769"/>
      <c r="SFW692" s="769"/>
      <c r="SFX692" s="769"/>
      <c r="SFY692" s="769"/>
      <c r="SFZ692" s="769"/>
      <c r="SGA692" s="769"/>
      <c r="SGB692" s="769"/>
      <c r="SGC692" s="769"/>
      <c r="SGD692" s="769"/>
      <c r="SGE692" s="769"/>
      <c r="SGF692" s="769"/>
      <c r="SGG692" s="769"/>
      <c r="SGH692" s="769"/>
      <c r="SGI692" s="769"/>
      <c r="SGJ692" s="769"/>
      <c r="SGK692" s="769"/>
      <c r="SGL692" s="769"/>
      <c r="SGM692" s="769"/>
      <c r="SGN692" s="769"/>
      <c r="SGO692" s="769"/>
      <c r="SGP692" s="769"/>
      <c r="SGQ692" s="769"/>
      <c r="SGR692" s="769"/>
      <c r="SGS692" s="769"/>
      <c r="SGT692" s="769"/>
      <c r="SGU692" s="769"/>
      <c r="SGV692" s="769"/>
      <c r="SGW692" s="769"/>
      <c r="SGX692" s="769"/>
      <c r="SGY692" s="769"/>
      <c r="SGZ692" s="769"/>
      <c r="SHA692" s="769"/>
      <c r="SHB692" s="769"/>
      <c r="SHC692" s="769"/>
      <c r="SHD692" s="769"/>
      <c r="SHE692" s="769"/>
      <c r="SHF692" s="769"/>
      <c r="SHG692" s="769"/>
      <c r="SHH692" s="769"/>
      <c r="SHI692" s="769"/>
      <c r="SHJ692" s="769"/>
      <c r="SHK692" s="769"/>
      <c r="SHL692" s="769"/>
      <c r="SHM692" s="769"/>
      <c r="SHN692" s="769"/>
      <c r="SHO692" s="769"/>
      <c r="SHP692" s="769"/>
      <c r="SHQ692" s="769"/>
      <c r="SHR692" s="769"/>
      <c r="SHS692" s="769"/>
      <c r="SHT692" s="769"/>
      <c r="SHU692" s="769"/>
      <c r="SHV692" s="769"/>
      <c r="SHW692" s="769"/>
      <c r="SHX692" s="769"/>
      <c r="SHY692" s="769"/>
      <c r="SHZ692" s="769"/>
      <c r="SIA692" s="769"/>
      <c r="SIB692" s="769"/>
      <c r="SIC692" s="769"/>
      <c r="SID692" s="769"/>
      <c r="SIE692" s="769"/>
      <c r="SIF692" s="769"/>
      <c r="SIG692" s="769"/>
      <c r="SIH692" s="769"/>
      <c r="SII692" s="769"/>
      <c r="SIJ692" s="769"/>
      <c r="SIK692" s="769"/>
      <c r="SIL692" s="769"/>
      <c r="SIM692" s="769"/>
      <c r="SIN692" s="769"/>
      <c r="SIO692" s="769"/>
      <c r="SIP692" s="769"/>
      <c r="SIQ692" s="769"/>
      <c r="SIR692" s="769"/>
      <c r="SIS692" s="769"/>
      <c r="SIT692" s="769"/>
      <c r="SIU692" s="769"/>
      <c r="SIV692" s="769"/>
      <c r="SIW692" s="769"/>
      <c r="SIX692" s="769"/>
      <c r="SIY692" s="769"/>
      <c r="SIZ692" s="769"/>
      <c r="SJA692" s="769"/>
      <c r="SJB692" s="769"/>
      <c r="SJC692" s="769"/>
      <c r="SJD692" s="769"/>
      <c r="SJE692" s="769"/>
      <c r="SJF692" s="769"/>
      <c r="SJG692" s="769"/>
      <c r="SJH692" s="769"/>
      <c r="SJI692" s="769"/>
      <c r="SJJ692" s="769"/>
      <c r="SJK692" s="769"/>
      <c r="SJL692" s="769"/>
      <c r="SJM692" s="769"/>
      <c r="SJN692" s="769"/>
      <c r="SJO692" s="769"/>
      <c r="SJP692" s="769"/>
      <c r="SJQ692" s="769"/>
      <c r="SJR692" s="769"/>
      <c r="SJS692" s="769"/>
      <c r="SJT692" s="769"/>
      <c r="SJU692" s="769"/>
      <c r="SJV692" s="769"/>
      <c r="SJW692" s="769"/>
      <c r="SJX692" s="769"/>
      <c r="SJY692" s="769"/>
      <c r="SJZ692" s="769"/>
      <c r="SKA692" s="769"/>
      <c r="SKB692" s="769"/>
      <c r="SKC692" s="769"/>
      <c r="SKD692" s="769"/>
      <c r="SKE692" s="769"/>
      <c r="SKF692" s="769"/>
      <c r="SKG692" s="769"/>
      <c r="SKH692" s="769"/>
      <c r="SKI692" s="769"/>
      <c r="SKJ692" s="769"/>
      <c r="SKK692" s="769"/>
      <c r="SKL692" s="769"/>
      <c r="SKM692" s="769"/>
      <c r="SKN692" s="769"/>
      <c r="SKO692" s="769"/>
      <c r="SKP692" s="769"/>
      <c r="SKQ692" s="769"/>
      <c r="SKR692" s="769"/>
      <c r="SKS692" s="769"/>
      <c r="SKT692" s="769"/>
      <c r="SKU692" s="769"/>
      <c r="SKV692" s="769"/>
      <c r="SKW692" s="769"/>
      <c r="SKX692" s="769"/>
      <c r="SKY692" s="769"/>
      <c r="SKZ692" s="769"/>
      <c r="SLA692" s="769"/>
      <c r="SLB692" s="769"/>
      <c r="SLC692" s="769"/>
      <c r="SLD692" s="769"/>
      <c r="SLE692" s="769"/>
      <c r="SLF692" s="769"/>
      <c r="SLG692" s="769"/>
      <c r="SLH692" s="769"/>
      <c r="SLI692" s="769"/>
      <c r="SLJ692" s="769"/>
      <c r="SLK692" s="769"/>
      <c r="SLL692" s="769"/>
      <c r="SLM692" s="769"/>
      <c r="SLN692" s="769"/>
      <c r="SLO692" s="769"/>
      <c r="SLP692" s="769"/>
      <c r="SLQ692" s="769"/>
      <c r="SLR692" s="769"/>
      <c r="SLS692" s="769"/>
      <c r="SLT692" s="769"/>
      <c r="SLU692" s="769"/>
      <c r="SLV692" s="769"/>
      <c r="SLW692" s="769"/>
      <c r="SLX692" s="769"/>
      <c r="SLY692" s="769"/>
      <c r="SLZ692" s="769"/>
      <c r="SMA692" s="769"/>
      <c r="SMB692" s="769"/>
      <c r="SMC692" s="769"/>
      <c r="SMD692" s="769"/>
      <c r="SME692" s="769"/>
      <c r="SMF692" s="769"/>
      <c r="SMG692" s="769"/>
      <c r="SMH692" s="769"/>
      <c r="SMI692" s="769"/>
      <c r="SMJ692" s="769"/>
      <c r="SMK692" s="769"/>
      <c r="SML692" s="769"/>
      <c r="SMM692" s="769"/>
      <c r="SMN692" s="769"/>
      <c r="SMO692" s="769"/>
      <c r="SMP692" s="769"/>
      <c r="SMQ692" s="769"/>
      <c r="SMR692" s="769"/>
      <c r="SMS692" s="769"/>
      <c r="SMT692" s="769"/>
      <c r="SMU692" s="769"/>
      <c r="SMV692" s="769"/>
      <c r="SMW692" s="769"/>
      <c r="SMX692" s="769"/>
      <c r="SMY692" s="769"/>
      <c r="SMZ692" s="769"/>
      <c r="SNA692" s="769"/>
      <c r="SNB692" s="769"/>
      <c r="SNC692" s="769"/>
      <c r="SND692" s="769"/>
      <c r="SNE692" s="769"/>
      <c r="SNF692" s="769"/>
      <c r="SNG692" s="769"/>
      <c r="SNH692" s="769"/>
      <c r="SNI692" s="769"/>
      <c r="SNJ692" s="769"/>
      <c r="SNK692" s="769"/>
      <c r="SNL692" s="769"/>
      <c r="SNM692" s="769"/>
      <c r="SNN692" s="769"/>
      <c r="SNO692" s="769"/>
      <c r="SNP692" s="769"/>
      <c r="SNQ692" s="769"/>
      <c r="SNR692" s="769"/>
      <c r="SNS692" s="769"/>
      <c r="SNT692" s="769"/>
      <c r="SNU692" s="769"/>
      <c r="SNV692" s="769"/>
      <c r="SNW692" s="769"/>
      <c r="SNX692" s="769"/>
      <c r="SNY692" s="769"/>
      <c r="SNZ692" s="769"/>
      <c r="SOA692" s="769"/>
      <c r="SOB692" s="769"/>
      <c r="SOC692" s="769"/>
      <c r="SOD692" s="769"/>
      <c r="SOE692" s="769"/>
      <c r="SOF692" s="769"/>
      <c r="SOG692" s="769"/>
      <c r="SOH692" s="769"/>
      <c r="SOI692" s="769"/>
      <c r="SOJ692" s="769"/>
      <c r="SOK692" s="769"/>
      <c r="SOL692" s="769"/>
      <c r="SOM692" s="769"/>
      <c r="SON692" s="769"/>
      <c r="SOO692" s="769"/>
      <c r="SOP692" s="769"/>
      <c r="SOQ692" s="769"/>
      <c r="SOR692" s="769"/>
      <c r="SOS692" s="769"/>
      <c r="SOT692" s="769"/>
      <c r="SOU692" s="769"/>
      <c r="SOV692" s="769"/>
      <c r="SOW692" s="769"/>
      <c r="SOX692" s="769"/>
      <c r="SOY692" s="769"/>
      <c r="SOZ692" s="769"/>
      <c r="SPA692" s="769"/>
      <c r="SPB692" s="769"/>
      <c r="SPC692" s="769"/>
      <c r="SPD692" s="769"/>
      <c r="SPE692" s="769"/>
      <c r="SPF692" s="769"/>
      <c r="SPG692" s="769"/>
      <c r="SPH692" s="769"/>
      <c r="SPI692" s="769"/>
      <c r="SPJ692" s="769"/>
      <c r="SPK692" s="769"/>
      <c r="SPL692" s="769"/>
      <c r="SPM692" s="769"/>
      <c r="SPN692" s="769"/>
      <c r="SPO692" s="769"/>
      <c r="SPP692" s="769"/>
      <c r="SPQ692" s="769"/>
      <c r="SPR692" s="769"/>
      <c r="SPS692" s="769"/>
      <c r="SPT692" s="769"/>
      <c r="SPU692" s="769"/>
      <c r="SPV692" s="769"/>
      <c r="SPW692" s="769"/>
      <c r="SPX692" s="769"/>
      <c r="SPY692" s="769"/>
      <c r="SPZ692" s="769"/>
      <c r="SQA692" s="769"/>
      <c r="SQB692" s="769"/>
      <c r="SQC692" s="769"/>
      <c r="SQD692" s="769"/>
      <c r="SQE692" s="769"/>
      <c r="SQF692" s="769"/>
      <c r="SQG692" s="769"/>
      <c r="SQH692" s="769"/>
      <c r="SQI692" s="769"/>
      <c r="SQJ692" s="769"/>
      <c r="SQK692" s="769"/>
      <c r="SQL692" s="769"/>
      <c r="SQM692" s="769"/>
      <c r="SQN692" s="769"/>
      <c r="SQO692" s="769"/>
      <c r="SQP692" s="769"/>
      <c r="SQQ692" s="769"/>
      <c r="SQR692" s="769"/>
      <c r="SQS692" s="769"/>
      <c r="SQT692" s="769"/>
      <c r="SQU692" s="769"/>
      <c r="SQV692" s="769"/>
      <c r="SQW692" s="769"/>
      <c r="SQX692" s="769"/>
      <c r="SQY692" s="769"/>
      <c r="SQZ692" s="769"/>
      <c r="SRA692" s="769"/>
      <c r="SRB692" s="769"/>
      <c r="SRC692" s="769"/>
      <c r="SRD692" s="769"/>
      <c r="SRE692" s="769"/>
      <c r="SRF692" s="769"/>
      <c r="SRG692" s="769"/>
      <c r="SRH692" s="769"/>
      <c r="SRI692" s="769"/>
      <c r="SRJ692" s="769"/>
      <c r="SRK692" s="769"/>
      <c r="SRL692" s="769"/>
      <c r="SRM692" s="769"/>
      <c r="SRN692" s="769"/>
      <c r="SRO692" s="769"/>
      <c r="SRP692" s="769"/>
      <c r="SRQ692" s="769"/>
      <c r="SRR692" s="769"/>
      <c r="SRS692" s="769"/>
      <c r="SRT692" s="769"/>
      <c r="SRU692" s="769"/>
      <c r="SRV692" s="769"/>
      <c r="SRW692" s="769"/>
      <c r="SRX692" s="769"/>
      <c r="SRY692" s="769"/>
      <c r="SRZ692" s="769"/>
      <c r="SSA692" s="769"/>
      <c r="SSB692" s="769"/>
      <c r="SSC692" s="769"/>
      <c r="SSD692" s="769"/>
      <c r="SSE692" s="769"/>
      <c r="SSF692" s="769"/>
      <c r="SSG692" s="769"/>
      <c r="SSH692" s="769"/>
      <c r="SSI692" s="769"/>
      <c r="SSJ692" s="769"/>
      <c r="SSK692" s="769"/>
      <c r="SSL692" s="769"/>
      <c r="SSM692" s="769"/>
      <c r="SSN692" s="769"/>
      <c r="SSO692" s="769"/>
      <c r="SSP692" s="769"/>
      <c r="SSQ692" s="769"/>
      <c r="SSR692" s="769"/>
      <c r="SSS692" s="769"/>
      <c r="SST692" s="769"/>
      <c r="SSU692" s="769"/>
      <c r="SSV692" s="769"/>
      <c r="SSW692" s="769"/>
      <c r="SSX692" s="769"/>
      <c r="SSY692" s="769"/>
      <c r="SSZ692" s="769"/>
      <c r="STA692" s="769"/>
      <c r="STB692" s="769"/>
      <c r="STC692" s="769"/>
      <c r="STD692" s="769"/>
      <c r="STE692" s="769"/>
      <c r="STF692" s="769"/>
      <c r="STG692" s="769"/>
      <c r="STH692" s="769"/>
      <c r="STI692" s="769"/>
      <c r="STJ692" s="769"/>
      <c r="STK692" s="769"/>
      <c r="STL692" s="769"/>
      <c r="STM692" s="769"/>
      <c r="STN692" s="769"/>
      <c r="STO692" s="769"/>
      <c r="STP692" s="769"/>
      <c r="STQ692" s="769"/>
      <c r="STR692" s="769"/>
      <c r="STS692" s="769"/>
      <c r="STT692" s="769"/>
      <c r="STU692" s="769"/>
      <c r="STV692" s="769"/>
      <c r="STW692" s="769"/>
      <c r="STX692" s="769"/>
      <c r="STY692" s="769"/>
      <c r="STZ692" s="769"/>
      <c r="SUA692" s="769"/>
      <c r="SUB692" s="769"/>
      <c r="SUC692" s="769"/>
      <c r="SUD692" s="769"/>
      <c r="SUE692" s="769"/>
      <c r="SUF692" s="769"/>
      <c r="SUG692" s="769"/>
      <c r="SUH692" s="769"/>
      <c r="SUI692" s="769"/>
      <c r="SUJ692" s="769"/>
      <c r="SUK692" s="769"/>
      <c r="SUL692" s="769"/>
      <c r="SUM692" s="769"/>
      <c r="SUN692" s="769"/>
      <c r="SUO692" s="769"/>
      <c r="SUP692" s="769"/>
      <c r="SUQ692" s="769"/>
      <c r="SUR692" s="769"/>
      <c r="SUS692" s="769"/>
      <c r="SUT692" s="769"/>
      <c r="SUU692" s="769"/>
      <c r="SUV692" s="769"/>
      <c r="SUW692" s="769"/>
      <c r="SUX692" s="769"/>
      <c r="SUY692" s="769"/>
      <c r="SUZ692" s="769"/>
      <c r="SVA692" s="769"/>
      <c r="SVB692" s="769"/>
      <c r="SVC692" s="769"/>
      <c r="SVD692" s="769"/>
      <c r="SVE692" s="769"/>
      <c r="SVF692" s="769"/>
      <c r="SVG692" s="769"/>
      <c r="SVH692" s="769"/>
      <c r="SVI692" s="769"/>
      <c r="SVJ692" s="769"/>
      <c r="SVK692" s="769"/>
      <c r="SVL692" s="769"/>
      <c r="SVM692" s="769"/>
      <c r="SVN692" s="769"/>
      <c r="SVO692" s="769"/>
      <c r="SVP692" s="769"/>
      <c r="SVQ692" s="769"/>
      <c r="SVR692" s="769"/>
      <c r="SVS692" s="769"/>
      <c r="SVT692" s="769"/>
      <c r="SVU692" s="769"/>
      <c r="SVV692" s="769"/>
      <c r="SVW692" s="769"/>
      <c r="SVX692" s="769"/>
      <c r="SVY692" s="769"/>
      <c r="SVZ692" s="769"/>
      <c r="SWA692" s="769"/>
      <c r="SWB692" s="769"/>
      <c r="SWC692" s="769"/>
      <c r="SWD692" s="769"/>
      <c r="SWE692" s="769"/>
      <c r="SWF692" s="769"/>
      <c r="SWG692" s="769"/>
      <c r="SWH692" s="769"/>
      <c r="SWI692" s="769"/>
      <c r="SWJ692" s="769"/>
      <c r="SWK692" s="769"/>
      <c r="SWL692" s="769"/>
      <c r="SWM692" s="769"/>
      <c r="SWN692" s="769"/>
      <c r="SWO692" s="769"/>
      <c r="SWP692" s="769"/>
      <c r="SWQ692" s="769"/>
      <c r="SWR692" s="769"/>
      <c r="SWS692" s="769"/>
      <c r="SWT692" s="769"/>
      <c r="SWU692" s="769"/>
      <c r="SWV692" s="769"/>
      <c r="SWW692" s="769"/>
      <c r="SWX692" s="769"/>
      <c r="SWY692" s="769"/>
      <c r="SWZ692" s="769"/>
      <c r="SXA692" s="769"/>
      <c r="SXB692" s="769"/>
      <c r="SXC692" s="769"/>
      <c r="SXD692" s="769"/>
      <c r="SXE692" s="769"/>
      <c r="SXF692" s="769"/>
      <c r="SXG692" s="769"/>
      <c r="SXH692" s="769"/>
      <c r="SXI692" s="769"/>
      <c r="SXJ692" s="769"/>
      <c r="SXK692" s="769"/>
      <c r="SXL692" s="769"/>
      <c r="SXM692" s="769"/>
      <c r="SXN692" s="769"/>
      <c r="SXO692" s="769"/>
      <c r="SXP692" s="769"/>
      <c r="SXQ692" s="769"/>
      <c r="SXR692" s="769"/>
      <c r="SXS692" s="769"/>
      <c r="SXT692" s="769"/>
      <c r="SXU692" s="769"/>
      <c r="SXV692" s="769"/>
      <c r="SXW692" s="769"/>
      <c r="SXX692" s="769"/>
      <c r="SXY692" s="769"/>
      <c r="SXZ692" s="769"/>
      <c r="SYA692" s="769"/>
      <c r="SYB692" s="769"/>
      <c r="SYC692" s="769"/>
      <c r="SYD692" s="769"/>
      <c r="SYE692" s="769"/>
      <c r="SYF692" s="769"/>
      <c r="SYG692" s="769"/>
      <c r="SYH692" s="769"/>
      <c r="SYI692" s="769"/>
      <c r="SYJ692" s="769"/>
      <c r="SYK692" s="769"/>
      <c r="SYL692" s="769"/>
      <c r="SYM692" s="769"/>
      <c r="SYN692" s="769"/>
      <c r="SYO692" s="769"/>
      <c r="SYP692" s="769"/>
      <c r="SYQ692" s="769"/>
      <c r="SYR692" s="769"/>
      <c r="SYS692" s="769"/>
      <c r="SYT692" s="769"/>
      <c r="SYU692" s="769"/>
      <c r="SYV692" s="769"/>
      <c r="SYW692" s="769"/>
      <c r="SYX692" s="769"/>
      <c r="SYY692" s="769"/>
      <c r="SYZ692" s="769"/>
      <c r="SZA692" s="769"/>
      <c r="SZB692" s="769"/>
      <c r="SZC692" s="769"/>
      <c r="SZD692" s="769"/>
      <c r="SZE692" s="769"/>
      <c r="SZF692" s="769"/>
      <c r="SZG692" s="769"/>
      <c r="SZH692" s="769"/>
      <c r="SZI692" s="769"/>
      <c r="SZJ692" s="769"/>
      <c r="SZK692" s="769"/>
      <c r="SZL692" s="769"/>
      <c r="SZM692" s="769"/>
      <c r="SZN692" s="769"/>
      <c r="SZO692" s="769"/>
      <c r="SZP692" s="769"/>
      <c r="SZQ692" s="769"/>
      <c r="SZR692" s="769"/>
      <c r="SZS692" s="769"/>
      <c r="SZT692" s="769"/>
      <c r="SZU692" s="769"/>
      <c r="SZV692" s="769"/>
      <c r="SZW692" s="769"/>
      <c r="SZX692" s="769"/>
      <c r="SZY692" s="769"/>
      <c r="SZZ692" s="769"/>
      <c r="TAA692" s="769"/>
      <c r="TAB692" s="769"/>
      <c r="TAC692" s="769"/>
      <c r="TAD692" s="769"/>
      <c r="TAE692" s="769"/>
      <c r="TAF692" s="769"/>
      <c r="TAG692" s="769"/>
      <c r="TAH692" s="769"/>
      <c r="TAI692" s="769"/>
      <c r="TAJ692" s="769"/>
      <c r="TAK692" s="769"/>
      <c r="TAL692" s="769"/>
      <c r="TAM692" s="769"/>
      <c r="TAN692" s="769"/>
      <c r="TAO692" s="769"/>
      <c r="TAP692" s="769"/>
      <c r="TAQ692" s="769"/>
      <c r="TAR692" s="769"/>
      <c r="TAS692" s="769"/>
      <c r="TAT692" s="769"/>
      <c r="TAU692" s="769"/>
      <c r="TAV692" s="769"/>
      <c r="TAW692" s="769"/>
      <c r="TAX692" s="769"/>
      <c r="TAY692" s="769"/>
      <c r="TAZ692" s="769"/>
      <c r="TBA692" s="769"/>
      <c r="TBB692" s="769"/>
      <c r="TBC692" s="769"/>
      <c r="TBD692" s="769"/>
      <c r="TBE692" s="769"/>
      <c r="TBF692" s="769"/>
      <c r="TBG692" s="769"/>
      <c r="TBH692" s="769"/>
      <c r="TBI692" s="769"/>
      <c r="TBJ692" s="769"/>
      <c r="TBK692" s="769"/>
      <c r="TBL692" s="769"/>
      <c r="TBM692" s="769"/>
      <c r="TBN692" s="769"/>
      <c r="TBO692" s="769"/>
      <c r="TBP692" s="769"/>
      <c r="TBQ692" s="769"/>
      <c r="TBR692" s="769"/>
      <c r="TBS692" s="769"/>
      <c r="TBT692" s="769"/>
      <c r="TBU692" s="769"/>
      <c r="TBV692" s="769"/>
      <c r="TBW692" s="769"/>
      <c r="TBX692" s="769"/>
      <c r="TBY692" s="769"/>
      <c r="TBZ692" s="769"/>
      <c r="TCA692" s="769"/>
      <c r="TCB692" s="769"/>
      <c r="TCC692" s="769"/>
      <c r="TCD692" s="769"/>
      <c r="TCE692" s="769"/>
      <c r="TCF692" s="769"/>
      <c r="TCG692" s="769"/>
      <c r="TCH692" s="769"/>
      <c r="TCI692" s="769"/>
      <c r="TCJ692" s="769"/>
      <c r="TCK692" s="769"/>
      <c r="TCL692" s="769"/>
      <c r="TCM692" s="769"/>
      <c r="TCN692" s="769"/>
      <c r="TCO692" s="769"/>
      <c r="TCP692" s="769"/>
      <c r="TCQ692" s="769"/>
      <c r="TCR692" s="769"/>
      <c r="TCS692" s="769"/>
      <c r="TCT692" s="769"/>
      <c r="TCU692" s="769"/>
      <c r="TCV692" s="769"/>
      <c r="TCW692" s="769"/>
      <c r="TCX692" s="769"/>
      <c r="TCY692" s="769"/>
      <c r="TCZ692" s="769"/>
      <c r="TDA692" s="769"/>
      <c r="TDB692" s="769"/>
      <c r="TDC692" s="769"/>
      <c r="TDD692" s="769"/>
      <c r="TDE692" s="769"/>
      <c r="TDF692" s="769"/>
      <c r="TDG692" s="769"/>
      <c r="TDH692" s="769"/>
      <c r="TDI692" s="769"/>
      <c r="TDJ692" s="769"/>
      <c r="TDK692" s="769"/>
      <c r="TDL692" s="769"/>
      <c r="TDM692" s="769"/>
      <c r="TDN692" s="769"/>
      <c r="TDO692" s="769"/>
      <c r="TDP692" s="769"/>
      <c r="TDQ692" s="769"/>
      <c r="TDR692" s="769"/>
      <c r="TDS692" s="769"/>
      <c r="TDT692" s="769"/>
      <c r="TDU692" s="769"/>
      <c r="TDV692" s="769"/>
      <c r="TDW692" s="769"/>
      <c r="TDX692" s="769"/>
      <c r="TDY692" s="769"/>
      <c r="TDZ692" s="769"/>
      <c r="TEA692" s="769"/>
      <c r="TEB692" s="769"/>
      <c r="TEC692" s="769"/>
      <c r="TED692" s="769"/>
      <c r="TEE692" s="769"/>
      <c r="TEF692" s="769"/>
      <c r="TEG692" s="769"/>
      <c r="TEH692" s="769"/>
      <c r="TEI692" s="769"/>
      <c r="TEJ692" s="769"/>
      <c r="TEK692" s="769"/>
      <c r="TEL692" s="769"/>
      <c r="TEM692" s="769"/>
      <c r="TEN692" s="769"/>
      <c r="TEO692" s="769"/>
      <c r="TEP692" s="769"/>
      <c r="TEQ692" s="769"/>
      <c r="TER692" s="769"/>
      <c r="TES692" s="769"/>
      <c r="TET692" s="769"/>
      <c r="TEU692" s="769"/>
      <c r="TEV692" s="769"/>
      <c r="TEW692" s="769"/>
      <c r="TEX692" s="769"/>
      <c r="TEY692" s="769"/>
      <c r="TEZ692" s="769"/>
      <c r="TFA692" s="769"/>
      <c r="TFB692" s="769"/>
      <c r="TFC692" s="769"/>
      <c r="TFD692" s="769"/>
      <c r="TFE692" s="769"/>
      <c r="TFF692" s="769"/>
      <c r="TFG692" s="769"/>
      <c r="TFH692" s="769"/>
      <c r="TFI692" s="769"/>
      <c r="TFJ692" s="769"/>
      <c r="TFK692" s="769"/>
      <c r="TFL692" s="769"/>
      <c r="TFM692" s="769"/>
      <c r="TFN692" s="769"/>
      <c r="TFO692" s="769"/>
      <c r="TFP692" s="769"/>
      <c r="TFQ692" s="769"/>
      <c r="TFR692" s="769"/>
      <c r="TFS692" s="769"/>
      <c r="TFT692" s="769"/>
      <c r="TFU692" s="769"/>
      <c r="TFV692" s="769"/>
      <c r="TFW692" s="769"/>
      <c r="TFX692" s="769"/>
      <c r="TFY692" s="769"/>
      <c r="TFZ692" s="769"/>
      <c r="TGA692" s="769"/>
      <c r="TGB692" s="769"/>
      <c r="TGC692" s="769"/>
      <c r="TGD692" s="769"/>
      <c r="TGE692" s="769"/>
      <c r="TGF692" s="769"/>
      <c r="TGG692" s="769"/>
      <c r="TGH692" s="769"/>
      <c r="TGI692" s="769"/>
      <c r="TGJ692" s="769"/>
      <c r="TGK692" s="769"/>
      <c r="TGL692" s="769"/>
      <c r="TGM692" s="769"/>
      <c r="TGN692" s="769"/>
      <c r="TGO692" s="769"/>
      <c r="TGP692" s="769"/>
      <c r="TGQ692" s="769"/>
      <c r="TGR692" s="769"/>
      <c r="TGS692" s="769"/>
      <c r="TGT692" s="769"/>
      <c r="TGU692" s="769"/>
      <c r="TGV692" s="769"/>
      <c r="TGW692" s="769"/>
      <c r="TGX692" s="769"/>
      <c r="TGY692" s="769"/>
      <c r="TGZ692" s="769"/>
      <c r="THA692" s="769"/>
      <c r="THB692" s="769"/>
      <c r="THC692" s="769"/>
      <c r="THD692" s="769"/>
      <c r="THE692" s="769"/>
      <c r="THF692" s="769"/>
      <c r="THG692" s="769"/>
      <c r="THH692" s="769"/>
      <c r="THI692" s="769"/>
      <c r="THJ692" s="769"/>
      <c r="THK692" s="769"/>
      <c r="THL692" s="769"/>
      <c r="THM692" s="769"/>
      <c r="THN692" s="769"/>
      <c r="THO692" s="769"/>
      <c r="THP692" s="769"/>
      <c r="THQ692" s="769"/>
      <c r="THR692" s="769"/>
      <c r="THS692" s="769"/>
      <c r="THT692" s="769"/>
      <c r="THU692" s="769"/>
      <c r="THV692" s="769"/>
      <c r="THW692" s="769"/>
      <c r="THX692" s="769"/>
      <c r="THY692" s="769"/>
      <c r="THZ692" s="769"/>
      <c r="TIA692" s="769"/>
      <c r="TIB692" s="769"/>
      <c r="TIC692" s="769"/>
      <c r="TID692" s="769"/>
      <c r="TIE692" s="769"/>
      <c r="TIF692" s="769"/>
      <c r="TIG692" s="769"/>
      <c r="TIH692" s="769"/>
      <c r="TII692" s="769"/>
      <c r="TIJ692" s="769"/>
      <c r="TIK692" s="769"/>
      <c r="TIL692" s="769"/>
      <c r="TIM692" s="769"/>
      <c r="TIN692" s="769"/>
      <c r="TIO692" s="769"/>
      <c r="TIP692" s="769"/>
      <c r="TIQ692" s="769"/>
      <c r="TIR692" s="769"/>
      <c r="TIS692" s="769"/>
      <c r="TIT692" s="769"/>
      <c r="TIU692" s="769"/>
      <c r="TIV692" s="769"/>
      <c r="TIW692" s="769"/>
      <c r="TIX692" s="769"/>
      <c r="TIY692" s="769"/>
      <c r="TIZ692" s="769"/>
      <c r="TJA692" s="769"/>
      <c r="TJB692" s="769"/>
      <c r="TJC692" s="769"/>
      <c r="TJD692" s="769"/>
      <c r="TJE692" s="769"/>
      <c r="TJF692" s="769"/>
      <c r="TJG692" s="769"/>
      <c r="TJH692" s="769"/>
      <c r="TJI692" s="769"/>
      <c r="TJJ692" s="769"/>
      <c r="TJK692" s="769"/>
      <c r="TJL692" s="769"/>
      <c r="TJM692" s="769"/>
      <c r="TJN692" s="769"/>
      <c r="TJO692" s="769"/>
      <c r="TJP692" s="769"/>
      <c r="TJQ692" s="769"/>
      <c r="TJR692" s="769"/>
      <c r="TJS692" s="769"/>
      <c r="TJT692" s="769"/>
      <c r="TJU692" s="769"/>
      <c r="TJV692" s="769"/>
      <c r="TJW692" s="769"/>
      <c r="TJX692" s="769"/>
      <c r="TJY692" s="769"/>
      <c r="TJZ692" s="769"/>
      <c r="TKA692" s="769"/>
      <c r="TKB692" s="769"/>
      <c r="TKC692" s="769"/>
      <c r="TKD692" s="769"/>
      <c r="TKE692" s="769"/>
      <c r="TKF692" s="769"/>
      <c r="TKG692" s="769"/>
      <c r="TKH692" s="769"/>
      <c r="TKI692" s="769"/>
      <c r="TKJ692" s="769"/>
      <c r="TKK692" s="769"/>
      <c r="TKL692" s="769"/>
      <c r="TKM692" s="769"/>
      <c r="TKN692" s="769"/>
      <c r="TKO692" s="769"/>
      <c r="TKP692" s="769"/>
      <c r="TKQ692" s="769"/>
      <c r="TKR692" s="769"/>
      <c r="TKS692" s="769"/>
      <c r="TKT692" s="769"/>
      <c r="TKU692" s="769"/>
      <c r="TKV692" s="769"/>
      <c r="TKW692" s="769"/>
      <c r="TKX692" s="769"/>
      <c r="TKY692" s="769"/>
      <c r="TKZ692" s="769"/>
      <c r="TLA692" s="769"/>
      <c r="TLB692" s="769"/>
      <c r="TLC692" s="769"/>
      <c r="TLD692" s="769"/>
      <c r="TLE692" s="769"/>
      <c r="TLF692" s="769"/>
      <c r="TLG692" s="769"/>
      <c r="TLH692" s="769"/>
      <c r="TLI692" s="769"/>
      <c r="TLJ692" s="769"/>
      <c r="TLK692" s="769"/>
      <c r="TLL692" s="769"/>
      <c r="TLM692" s="769"/>
      <c r="TLN692" s="769"/>
      <c r="TLO692" s="769"/>
      <c r="TLP692" s="769"/>
      <c r="TLQ692" s="769"/>
      <c r="TLR692" s="769"/>
      <c r="TLS692" s="769"/>
      <c r="TLT692" s="769"/>
      <c r="TLU692" s="769"/>
      <c r="TLV692" s="769"/>
      <c r="TLW692" s="769"/>
      <c r="TLX692" s="769"/>
      <c r="TLY692" s="769"/>
      <c r="TLZ692" s="769"/>
      <c r="TMA692" s="769"/>
      <c r="TMB692" s="769"/>
      <c r="TMC692" s="769"/>
      <c r="TMD692" s="769"/>
      <c r="TME692" s="769"/>
      <c r="TMF692" s="769"/>
      <c r="TMG692" s="769"/>
      <c r="TMH692" s="769"/>
      <c r="TMI692" s="769"/>
      <c r="TMJ692" s="769"/>
      <c r="TMK692" s="769"/>
      <c r="TML692" s="769"/>
      <c r="TMM692" s="769"/>
      <c r="TMN692" s="769"/>
      <c r="TMO692" s="769"/>
      <c r="TMP692" s="769"/>
      <c r="TMQ692" s="769"/>
      <c r="TMR692" s="769"/>
      <c r="TMS692" s="769"/>
      <c r="TMT692" s="769"/>
      <c r="TMU692" s="769"/>
      <c r="TMV692" s="769"/>
      <c r="TMW692" s="769"/>
      <c r="TMX692" s="769"/>
      <c r="TMY692" s="769"/>
      <c r="TMZ692" s="769"/>
      <c r="TNA692" s="769"/>
      <c r="TNB692" s="769"/>
      <c r="TNC692" s="769"/>
      <c r="TND692" s="769"/>
      <c r="TNE692" s="769"/>
      <c r="TNF692" s="769"/>
      <c r="TNG692" s="769"/>
      <c r="TNH692" s="769"/>
      <c r="TNI692" s="769"/>
      <c r="TNJ692" s="769"/>
      <c r="TNK692" s="769"/>
      <c r="TNL692" s="769"/>
      <c r="TNM692" s="769"/>
      <c r="TNN692" s="769"/>
      <c r="TNO692" s="769"/>
      <c r="TNP692" s="769"/>
      <c r="TNQ692" s="769"/>
      <c r="TNR692" s="769"/>
      <c r="TNS692" s="769"/>
      <c r="TNT692" s="769"/>
      <c r="TNU692" s="769"/>
      <c r="TNV692" s="769"/>
      <c r="TNW692" s="769"/>
      <c r="TNX692" s="769"/>
      <c r="TNY692" s="769"/>
      <c r="TNZ692" s="769"/>
      <c r="TOA692" s="769"/>
      <c r="TOB692" s="769"/>
      <c r="TOC692" s="769"/>
      <c r="TOD692" s="769"/>
      <c r="TOE692" s="769"/>
      <c r="TOF692" s="769"/>
      <c r="TOG692" s="769"/>
      <c r="TOH692" s="769"/>
      <c r="TOI692" s="769"/>
      <c r="TOJ692" s="769"/>
      <c r="TOK692" s="769"/>
      <c r="TOL692" s="769"/>
      <c r="TOM692" s="769"/>
      <c r="TON692" s="769"/>
      <c r="TOO692" s="769"/>
      <c r="TOP692" s="769"/>
      <c r="TOQ692" s="769"/>
      <c r="TOR692" s="769"/>
      <c r="TOS692" s="769"/>
      <c r="TOT692" s="769"/>
      <c r="TOU692" s="769"/>
      <c r="TOV692" s="769"/>
      <c r="TOW692" s="769"/>
      <c r="TOX692" s="769"/>
      <c r="TOY692" s="769"/>
      <c r="TOZ692" s="769"/>
      <c r="TPA692" s="769"/>
      <c r="TPB692" s="769"/>
      <c r="TPC692" s="769"/>
      <c r="TPD692" s="769"/>
      <c r="TPE692" s="769"/>
      <c r="TPF692" s="769"/>
      <c r="TPG692" s="769"/>
      <c r="TPH692" s="769"/>
      <c r="TPI692" s="769"/>
      <c r="TPJ692" s="769"/>
      <c r="TPK692" s="769"/>
      <c r="TPL692" s="769"/>
      <c r="TPM692" s="769"/>
      <c r="TPN692" s="769"/>
      <c r="TPO692" s="769"/>
      <c r="TPP692" s="769"/>
      <c r="TPQ692" s="769"/>
      <c r="TPR692" s="769"/>
      <c r="TPS692" s="769"/>
      <c r="TPT692" s="769"/>
      <c r="TPU692" s="769"/>
      <c r="TPV692" s="769"/>
      <c r="TPW692" s="769"/>
      <c r="TPX692" s="769"/>
      <c r="TPY692" s="769"/>
      <c r="TPZ692" s="769"/>
      <c r="TQA692" s="769"/>
      <c r="TQB692" s="769"/>
      <c r="TQC692" s="769"/>
      <c r="TQD692" s="769"/>
      <c r="TQE692" s="769"/>
      <c r="TQF692" s="769"/>
      <c r="TQG692" s="769"/>
      <c r="TQH692" s="769"/>
      <c r="TQI692" s="769"/>
      <c r="TQJ692" s="769"/>
      <c r="TQK692" s="769"/>
      <c r="TQL692" s="769"/>
      <c r="TQM692" s="769"/>
      <c r="TQN692" s="769"/>
      <c r="TQO692" s="769"/>
      <c r="TQP692" s="769"/>
      <c r="TQQ692" s="769"/>
      <c r="TQR692" s="769"/>
      <c r="TQS692" s="769"/>
      <c r="TQT692" s="769"/>
      <c r="TQU692" s="769"/>
      <c r="TQV692" s="769"/>
      <c r="TQW692" s="769"/>
      <c r="TQX692" s="769"/>
      <c r="TQY692" s="769"/>
      <c r="TQZ692" s="769"/>
      <c r="TRA692" s="769"/>
      <c r="TRB692" s="769"/>
      <c r="TRC692" s="769"/>
      <c r="TRD692" s="769"/>
      <c r="TRE692" s="769"/>
      <c r="TRF692" s="769"/>
      <c r="TRG692" s="769"/>
      <c r="TRH692" s="769"/>
      <c r="TRI692" s="769"/>
      <c r="TRJ692" s="769"/>
      <c r="TRK692" s="769"/>
      <c r="TRL692" s="769"/>
      <c r="TRM692" s="769"/>
      <c r="TRN692" s="769"/>
      <c r="TRO692" s="769"/>
      <c r="TRP692" s="769"/>
      <c r="TRQ692" s="769"/>
      <c r="TRR692" s="769"/>
      <c r="TRS692" s="769"/>
      <c r="TRT692" s="769"/>
      <c r="TRU692" s="769"/>
      <c r="TRV692" s="769"/>
      <c r="TRW692" s="769"/>
      <c r="TRX692" s="769"/>
      <c r="TRY692" s="769"/>
      <c r="TRZ692" s="769"/>
      <c r="TSA692" s="769"/>
      <c r="TSB692" s="769"/>
      <c r="TSC692" s="769"/>
      <c r="TSD692" s="769"/>
      <c r="TSE692" s="769"/>
      <c r="TSF692" s="769"/>
      <c r="TSG692" s="769"/>
      <c r="TSH692" s="769"/>
      <c r="TSI692" s="769"/>
      <c r="TSJ692" s="769"/>
      <c r="TSK692" s="769"/>
      <c r="TSL692" s="769"/>
      <c r="TSM692" s="769"/>
      <c r="TSN692" s="769"/>
      <c r="TSO692" s="769"/>
      <c r="TSP692" s="769"/>
      <c r="TSQ692" s="769"/>
      <c r="TSR692" s="769"/>
      <c r="TSS692" s="769"/>
      <c r="TST692" s="769"/>
      <c r="TSU692" s="769"/>
      <c r="TSV692" s="769"/>
      <c r="TSW692" s="769"/>
      <c r="TSX692" s="769"/>
      <c r="TSY692" s="769"/>
      <c r="TSZ692" s="769"/>
      <c r="TTA692" s="769"/>
      <c r="TTB692" s="769"/>
      <c r="TTC692" s="769"/>
      <c r="TTD692" s="769"/>
      <c r="TTE692" s="769"/>
      <c r="TTF692" s="769"/>
      <c r="TTG692" s="769"/>
      <c r="TTH692" s="769"/>
      <c r="TTI692" s="769"/>
      <c r="TTJ692" s="769"/>
      <c r="TTK692" s="769"/>
      <c r="TTL692" s="769"/>
      <c r="TTM692" s="769"/>
      <c r="TTN692" s="769"/>
      <c r="TTO692" s="769"/>
      <c r="TTP692" s="769"/>
      <c r="TTQ692" s="769"/>
      <c r="TTR692" s="769"/>
      <c r="TTS692" s="769"/>
      <c r="TTT692" s="769"/>
      <c r="TTU692" s="769"/>
      <c r="TTV692" s="769"/>
      <c r="TTW692" s="769"/>
      <c r="TTX692" s="769"/>
      <c r="TTY692" s="769"/>
      <c r="TTZ692" s="769"/>
      <c r="TUA692" s="769"/>
      <c r="TUB692" s="769"/>
      <c r="TUC692" s="769"/>
      <c r="TUD692" s="769"/>
      <c r="TUE692" s="769"/>
      <c r="TUF692" s="769"/>
      <c r="TUG692" s="769"/>
      <c r="TUH692" s="769"/>
      <c r="TUI692" s="769"/>
      <c r="TUJ692" s="769"/>
      <c r="TUK692" s="769"/>
      <c r="TUL692" s="769"/>
      <c r="TUM692" s="769"/>
      <c r="TUN692" s="769"/>
      <c r="TUO692" s="769"/>
      <c r="TUP692" s="769"/>
      <c r="TUQ692" s="769"/>
      <c r="TUR692" s="769"/>
      <c r="TUS692" s="769"/>
      <c r="TUT692" s="769"/>
      <c r="TUU692" s="769"/>
      <c r="TUV692" s="769"/>
      <c r="TUW692" s="769"/>
      <c r="TUX692" s="769"/>
      <c r="TUY692" s="769"/>
      <c r="TUZ692" s="769"/>
      <c r="TVA692" s="769"/>
      <c r="TVB692" s="769"/>
      <c r="TVC692" s="769"/>
      <c r="TVD692" s="769"/>
      <c r="TVE692" s="769"/>
      <c r="TVF692" s="769"/>
      <c r="TVG692" s="769"/>
      <c r="TVH692" s="769"/>
      <c r="TVI692" s="769"/>
      <c r="TVJ692" s="769"/>
      <c r="TVK692" s="769"/>
      <c r="TVL692" s="769"/>
      <c r="TVM692" s="769"/>
      <c r="TVN692" s="769"/>
      <c r="TVO692" s="769"/>
      <c r="TVP692" s="769"/>
      <c r="TVQ692" s="769"/>
      <c r="TVR692" s="769"/>
      <c r="TVS692" s="769"/>
      <c r="TVT692" s="769"/>
      <c r="TVU692" s="769"/>
      <c r="TVV692" s="769"/>
      <c r="TVW692" s="769"/>
      <c r="TVX692" s="769"/>
      <c r="TVY692" s="769"/>
      <c r="TVZ692" s="769"/>
      <c r="TWA692" s="769"/>
      <c r="TWB692" s="769"/>
      <c r="TWC692" s="769"/>
      <c r="TWD692" s="769"/>
      <c r="TWE692" s="769"/>
      <c r="TWF692" s="769"/>
      <c r="TWG692" s="769"/>
      <c r="TWH692" s="769"/>
      <c r="TWI692" s="769"/>
      <c r="TWJ692" s="769"/>
      <c r="TWK692" s="769"/>
      <c r="TWL692" s="769"/>
      <c r="TWM692" s="769"/>
      <c r="TWN692" s="769"/>
      <c r="TWO692" s="769"/>
      <c r="TWP692" s="769"/>
      <c r="TWQ692" s="769"/>
      <c r="TWR692" s="769"/>
      <c r="TWS692" s="769"/>
      <c r="TWT692" s="769"/>
      <c r="TWU692" s="769"/>
      <c r="TWV692" s="769"/>
      <c r="TWW692" s="769"/>
      <c r="TWX692" s="769"/>
      <c r="TWY692" s="769"/>
      <c r="TWZ692" s="769"/>
      <c r="TXA692" s="769"/>
      <c r="TXB692" s="769"/>
      <c r="TXC692" s="769"/>
      <c r="TXD692" s="769"/>
      <c r="TXE692" s="769"/>
      <c r="TXF692" s="769"/>
      <c r="TXG692" s="769"/>
      <c r="TXH692" s="769"/>
      <c r="TXI692" s="769"/>
      <c r="TXJ692" s="769"/>
      <c r="TXK692" s="769"/>
      <c r="TXL692" s="769"/>
      <c r="TXM692" s="769"/>
      <c r="TXN692" s="769"/>
      <c r="TXO692" s="769"/>
      <c r="TXP692" s="769"/>
      <c r="TXQ692" s="769"/>
      <c r="TXR692" s="769"/>
      <c r="TXS692" s="769"/>
      <c r="TXT692" s="769"/>
      <c r="TXU692" s="769"/>
      <c r="TXV692" s="769"/>
      <c r="TXW692" s="769"/>
      <c r="TXX692" s="769"/>
      <c r="TXY692" s="769"/>
      <c r="TXZ692" s="769"/>
      <c r="TYA692" s="769"/>
      <c r="TYB692" s="769"/>
      <c r="TYC692" s="769"/>
      <c r="TYD692" s="769"/>
      <c r="TYE692" s="769"/>
      <c r="TYF692" s="769"/>
      <c r="TYG692" s="769"/>
      <c r="TYH692" s="769"/>
      <c r="TYI692" s="769"/>
      <c r="TYJ692" s="769"/>
      <c r="TYK692" s="769"/>
      <c r="TYL692" s="769"/>
      <c r="TYM692" s="769"/>
      <c r="TYN692" s="769"/>
      <c r="TYO692" s="769"/>
      <c r="TYP692" s="769"/>
      <c r="TYQ692" s="769"/>
      <c r="TYR692" s="769"/>
      <c r="TYS692" s="769"/>
      <c r="TYT692" s="769"/>
      <c r="TYU692" s="769"/>
      <c r="TYV692" s="769"/>
      <c r="TYW692" s="769"/>
      <c r="TYX692" s="769"/>
      <c r="TYY692" s="769"/>
      <c r="TYZ692" s="769"/>
      <c r="TZA692" s="769"/>
      <c r="TZB692" s="769"/>
      <c r="TZC692" s="769"/>
      <c r="TZD692" s="769"/>
      <c r="TZE692" s="769"/>
      <c r="TZF692" s="769"/>
      <c r="TZG692" s="769"/>
      <c r="TZH692" s="769"/>
      <c r="TZI692" s="769"/>
      <c r="TZJ692" s="769"/>
      <c r="TZK692" s="769"/>
      <c r="TZL692" s="769"/>
      <c r="TZM692" s="769"/>
      <c r="TZN692" s="769"/>
      <c r="TZO692" s="769"/>
      <c r="TZP692" s="769"/>
      <c r="TZQ692" s="769"/>
      <c r="TZR692" s="769"/>
      <c r="TZS692" s="769"/>
      <c r="TZT692" s="769"/>
      <c r="TZU692" s="769"/>
      <c r="TZV692" s="769"/>
      <c r="TZW692" s="769"/>
      <c r="TZX692" s="769"/>
      <c r="TZY692" s="769"/>
      <c r="TZZ692" s="769"/>
      <c r="UAA692" s="769"/>
      <c r="UAB692" s="769"/>
      <c r="UAC692" s="769"/>
      <c r="UAD692" s="769"/>
      <c r="UAE692" s="769"/>
      <c r="UAF692" s="769"/>
      <c r="UAG692" s="769"/>
      <c r="UAH692" s="769"/>
      <c r="UAI692" s="769"/>
      <c r="UAJ692" s="769"/>
      <c r="UAK692" s="769"/>
      <c r="UAL692" s="769"/>
      <c r="UAM692" s="769"/>
      <c r="UAN692" s="769"/>
      <c r="UAO692" s="769"/>
      <c r="UAP692" s="769"/>
      <c r="UAQ692" s="769"/>
      <c r="UAR692" s="769"/>
      <c r="UAS692" s="769"/>
      <c r="UAT692" s="769"/>
      <c r="UAU692" s="769"/>
      <c r="UAV692" s="769"/>
      <c r="UAW692" s="769"/>
      <c r="UAX692" s="769"/>
      <c r="UAY692" s="769"/>
      <c r="UAZ692" s="769"/>
      <c r="UBA692" s="769"/>
      <c r="UBB692" s="769"/>
      <c r="UBC692" s="769"/>
      <c r="UBD692" s="769"/>
      <c r="UBE692" s="769"/>
      <c r="UBF692" s="769"/>
      <c r="UBG692" s="769"/>
      <c r="UBH692" s="769"/>
      <c r="UBI692" s="769"/>
      <c r="UBJ692" s="769"/>
      <c r="UBK692" s="769"/>
      <c r="UBL692" s="769"/>
      <c r="UBM692" s="769"/>
      <c r="UBN692" s="769"/>
      <c r="UBO692" s="769"/>
      <c r="UBP692" s="769"/>
      <c r="UBQ692" s="769"/>
      <c r="UBR692" s="769"/>
      <c r="UBS692" s="769"/>
      <c r="UBT692" s="769"/>
      <c r="UBU692" s="769"/>
      <c r="UBV692" s="769"/>
      <c r="UBW692" s="769"/>
      <c r="UBX692" s="769"/>
      <c r="UBY692" s="769"/>
      <c r="UBZ692" s="769"/>
      <c r="UCA692" s="769"/>
      <c r="UCB692" s="769"/>
      <c r="UCC692" s="769"/>
      <c r="UCD692" s="769"/>
      <c r="UCE692" s="769"/>
      <c r="UCF692" s="769"/>
      <c r="UCG692" s="769"/>
      <c r="UCH692" s="769"/>
      <c r="UCI692" s="769"/>
      <c r="UCJ692" s="769"/>
      <c r="UCK692" s="769"/>
      <c r="UCL692" s="769"/>
      <c r="UCM692" s="769"/>
      <c r="UCN692" s="769"/>
      <c r="UCO692" s="769"/>
      <c r="UCP692" s="769"/>
      <c r="UCQ692" s="769"/>
      <c r="UCR692" s="769"/>
      <c r="UCS692" s="769"/>
      <c r="UCT692" s="769"/>
      <c r="UCU692" s="769"/>
      <c r="UCV692" s="769"/>
      <c r="UCW692" s="769"/>
      <c r="UCX692" s="769"/>
      <c r="UCY692" s="769"/>
      <c r="UCZ692" s="769"/>
      <c r="UDA692" s="769"/>
      <c r="UDB692" s="769"/>
      <c r="UDC692" s="769"/>
      <c r="UDD692" s="769"/>
      <c r="UDE692" s="769"/>
      <c r="UDF692" s="769"/>
      <c r="UDG692" s="769"/>
      <c r="UDH692" s="769"/>
      <c r="UDI692" s="769"/>
      <c r="UDJ692" s="769"/>
      <c r="UDK692" s="769"/>
      <c r="UDL692" s="769"/>
      <c r="UDM692" s="769"/>
      <c r="UDN692" s="769"/>
      <c r="UDO692" s="769"/>
      <c r="UDP692" s="769"/>
      <c r="UDQ692" s="769"/>
      <c r="UDR692" s="769"/>
      <c r="UDS692" s="769"/>
      <c r="UDT692" s="769"/>
      <c r="UDU692" s="769"/>
      <c r="UDV692" s="769"/>
      <c r="UDW692" s="769"/>
      <c r="UDX692" s="769"/>
      <c r="UDY692" s="769"/>
      <c r="UDZ692" s="769"/>
      <c r="UEA692" s="769"/>
      <c r="UEB692" s="769"/>
      <c r="UEC692" s="769"/>
      <c r="UED692" s="769"/>
      <c r="UEE692" s="769"/>
      <c r="UEF692" s="769"/>
      <c r="UEG692" s="769"/>
      <c r="UEH692" s="769"/>
      <c r="UEI692" s="769"/>
      <c r="UEJ692" s="769"/>
      <c r="UEK692" s="769"/>
      <c r="UEL692" s="769"/>
      <c r="UEM692" s="769"/>
      <c r="UEN692" s="769"/>
      <c r="UEO692" s="769"/>
      <c r="UEP692" s="769"/>
      <c r="UEQ692" s="769"/>
      <c r="UER692" s="769"/>
      <c r="UES692" s="769"/>
      <c r="UET692" s="769"/>
      <c r="UEU692" s="769"/>
      <c r="UEV692" s="769"/>
      <c r="UEW692" s="769"/>
      <c r="UEX692" s="769"/>
      <c r="UEY692" s="769"/>
      <c r="UEZ692" s="769"/>
      <c r="UFA692" s="769"/>
      <c r="UFB692" s="769"/>
      <c r="UFC692" s="769"/>
      <c r="UFD692" s="769"/>
      <c r="UFE692" s="769"/>
      <c r="UFF692" s="769"/>
      <c r="UFG692" s="769"/>
      <c r="UFH692" s="769"/>
      <c r="UFI692" s="769"/>
      <c r="UFJ692" s="769"/>
      <c r="UFK692" s="769"/>
      <c r="UFL692" s="769"/>
      <c r="UFM692" s="769"/>
      <c r="UFN692" s="769"/>
      <c r="UFO692" s="769"/>
      <c r="UFP692" s="769"/>
      <c r="UFQ692" s="769"/>
      <c r="UFR692" s="769"/>
      <c r="UFS692" s="769"/>
      <c r="UFT692" s="769"/>
      <c r="UFU692" s="769"/>
      <c r="UFV692" s="769"/>
      <c r="UFW692" s="769"/>
      <c r="UFX692" s="769"/>
      <c r="UFY692" s="769"/>
      <c r="UFZ692" s="769"/>
      <c r="UGA692" s="769"/>
      <c r="UGB692" s="769"/>
      <c r="UGC692" s="769"/>
      <c r="UGD692" s="769"/>
      <c r="UGE692" s="769"/>
      <c r="UGF692" s="769"/>
      <c r="UGG692" s="769"/>
      <c r="UGH692" s="769"/>
      <c r="UGI692" s="769"/>
      <c r="UGJ692" s="769"/>
      <c r="UGK692" s="769"/>
      <c r="UGL692" s="769"/>
      <c r="UGM692" s="769"/>
      <c r="UGN692" s="769"/>
      <c r="UGO692" s="769"/>
      <c r="UGP692" s="769"/>
      <c r="UGQ692" s="769"/>
      <c r="UGR692" s="769"/>
      <c r="UGS692" s="769"/>
      <c r="UGT692" s="769"/>
      <c r="UGU692" s="769"/>
      <c r="UGV692" s="769"/>
      <c r="UGW692" s="769"/>
      <c r="UGX692" s="769"/>
      <c r="UGY692" s="769"/>
      <c r="UGZ692" s="769"/>
      <c r="UHA692" s="769"/>
      <c r="UHB692" s="769"/>
      <c r="UHC692" s="769"/>
      <c r="UHD692" s="769"/>
      <c r="UHE692" s="769"/>
      <c r="UHF692" s="769"/>
      <c r="UHG692" s="769"/>
      <c r="UHH692" s="769"/>
      <c r="UHI692" s="769"/>
      <c r="UHJ692" s="769"/>
      <c r="UHK692" s="769"/>
      <c r="UHL692" s="769"/>
      <c r="UHM692" s="769"/>
      <c r="UHN692" s="769"/>
      <c r="UHO692" s="769"/>
      <c r="UHP692" s="769"/>
      <c r="UHQ692" s="769"/>
      <c r="UHR692" s="769"/>
      <c r="UHS692" s="769"/>
      <c r="UHT692" s="769"/>
      <c r="UHU692" s="769"/>
      <c r="UHV692" s="769"/>
      <c r="UHW692" s="769"/>
      <c r="UHX692" s="769"/>
      <c r="UHY692" s="769"/>
      <c r="UHZ692" s="769"/>
      <c r="UIA692" s="769"/>
      <c r="UIB692" s="769"/>
      <c r="UIC692" s="769"/>
      <c r="UID692" s="769"/>
      <c r="UIE692" s="769"/>
      <c r="UIF692" s="769"/>
      <c r="UIG692" s="769"/>
      <c r="UIH692" s="769"/>
      <c r="UII692" s="769"/>
      <c r="UIJ692" s="769"/>
      <c r="UIK692" s="769"/>
      <c r="UIL692" s="769"/>
      <c r="UIM692" s="769"/>
      <c r="UIN692" s="769"/>
      <c r="UIO692" s="769"/>
      <c r="UIP692" s="769"/>
      <c r="UIQ692" s="769"/>
      <c r="UIR692" s="769"/>
      <c r="UIS692" s="769"/>
      <c r="UIT692" s="769"/>
      <c r="UIU692" s="769"/>
      <c r="UIV692" s="769"/>
      <c r="UIW692" s="769"/>
      <c r="UIX692" s="769"/>
      <c r="UIY692" s="769"/>
      <c r="UIZ692" s="769"/>
      <c r="UJA692" s="769"/>
      <c r="UJB692" s="769"/>
      <c r="UJC692" s="769"/>
      <c r="UJD692" s="769"/>
      <c r="UJE692" s="769"/>
      <c r="UJF692" s="769"/>
      <c r="UJG692" s="769"/>
      <c r="UJH692" s="769"/>
      <c r="UJI692" s="769"/>
      <c r="UJJ692" s="769"/>
      <c r="UJK692" s="769"/>
      <c r="UJL692" s="769"/>
      <c r="UJM692" s="769"/>
      <c r="UJN692" s="769"/>
      <c r="UJO692" s="769"/>
      <c r="UJP692" s="769"/>
      <c r="UJQ692" s="769"/>
      <c r="UJR692" s="769"/>
      <c r="UJS692" s="769"/>
      <c r="UJT692" s="769"/>
      <c r="UJU692" s="769"/>
      <c r="UJV692" s="769"/>
      <c r="UJW692" s="769"/>
      <c r="UJX692" s="769"/>
      <c r="UJY692" s="769"/>
      <c r="UJZ692" s="769"/>
      <c r="UKA692" s="769"/>
      <c r="UKB692" s="769"/>
      <c r="UKC692" s="769"/>
      <c r="UKD692" s="769"/>
      <c r="UKE692" s="769"/>
      <c r="UKF692" s="769"/>
      <c r="UKG692" s="769"/>
      <c r="UKH692" s="769"/>
      <c r="UKI692" s="769"/>
      <c r="UKJ692" s="769"/>
      <c r="UKK692" s="769"/>
      <c r="UKL692" s="769"/>
      <c r="UKM692" s="769"/>
      <c r="UKN692" s="769"/>
      <c r="UKO692" s="769"/>
      <c r="UKP692" s="769"/>
      <c r="UKQ692" s="769"/>
      <c r="UKR692" s="769"/>
      <c r="UKS692" s="769"/>
      <c r="UKT692" s="769"/>
      <c r="UKU692" s="769"/>
      <c r="UKV692" s="769"/>
      <c r="UKW692" s="769"/>
      <c r="UKX692" s="769"/>
      <c r="UKY692" s="769"/>
      <c r="UKZ692" s="769"/>
      <c r="ULA692" s="769"/>
      <c r="ULB692" s="769"/>
      <c r="ULC692" s="769"/>
      <c r="ULD692" s="769"/>
      <c r="ULE692" s="769"/>
      <c r="ULF692" s="769"/>
      <c r="ULG692" s="769"/>
      <c r="ULH692" s="769"/>
      <c r="ULI692" s="769"/>
      <c r="ULJ692" s="769"/>
      <c r="ULK692" s="769"/>
      <c r="ULL692" s="769"/>
      <c r="ULM692" s="769"/>
      <c r="ULN692" s="769"/>
      <c r="ULO692" s="769"/>
      <c r="ULP692" s="769"/>
      <c r="ULQ692" s="769"/>
      <c r="ULR692" s="769"/>
      <c r="ULS692" s="769"/>
      <c r="ULT692" s="769"/>
      <c r="ULU692" s="769"/>
      <c r="ULV692" s="769"/>
      <c r="ULW692" s="769"/>
      <c r="ULX692" s="769"/>
      <c r="ULY692" s="769"/>
      <c r="ULZ692" s="769"/>
      <c r="UMA692" s="769"/>
      <c r="UMB692" s="769"/>
      <c r="UMC692" s="769"/>
      <c r="UMD692" s="769"/>
      <c r="UME692" s="769"/>
      <c r="UMF692" s="769"/>
      <c r="UMG692" s="769"/>
      <c r="UMH692" s="769"/>
      <c r="UMI692" s="769"/>
      <c r="UMJ692" s="769"/>
      <c r="UMK692" s="769"/>
      <c r="UML692" s="769"/>
      <c r="UMM692" s="769"/>
      <c r="UMN692" s="769"/>
      <c r="UMO692" s="769"/>
      <c r="UMP692" s="769"/>
      <c r="UMQ692" s="769"/>
      <c r="UMR692" s="769"/>
      <c r="UMS692" s="769"/>
      <c r="UMT692" s="769"/>
      <c r="UMU692" s="769"/>
      <c r="UMV692" s="769"/>
      <c r="UMW692" s="769"/>
      <c r="UMX692" s="769"/>
      <c r="UMY692" s="769"/>
      <c r="UMZ692" s="769"/>
      <c r="UNA692" s="769"/>
      <c r="UNB692" s="769"/>
      <c r="UNC692" s="769"/>
      <c r="UND692" s="769"/>
      <c r="UNE692" s="769"/>
      <c r="UNF692" s="769"/>
      <c r="UNG692" s="769"/>
      <c r="UNH692" s="769"/>
      <c r="UNI692" s="769"/>
      <c r="UNJ692" s="769"/>
      <c r="UNK692" s="769"/>
      <c r="UNL692" s="769"/>
      <c r="UNM692" s="769"/>
      <c r="UNN692" s="769"/>
      <c r="UNO692" s="769"/>
      <c r="UNP692" s="769"/>
      <c r="UNQ692" s="769"/>
      <c r="UNR692" s="769"/>
      <c r="UNS692" s="769"/>
      <c r="UNT692" s="769"/>
      <c r="UNU692" s="769"/>
      <c r="UNV692" s="769"/>
      <c r="UNW692" s="769"/>
      <c r="UNX692" s="769"/>
      <c r="UNY692" s="769"/>
      <c r="UNZ692" s="769"/>
      <c r="UOA692" s="769"/>
      <c r="UOB692" s="769"/>
      <c r="UOC692" s="769"/>
      <c r="UOD692" s="769"/>
      <c r="UOE692" s="769"/>
      <c r="UOF692" s="769"/>
      <c r="UOG692" s="769"/>
      <c r="UOH692" s="769"/>
      <c r="UOI692" s="769"/>
      <c r="UOJ692" s="769"/>
      <c r="UOK692" s="769"/>
      <c r="UOL692" s="769"/>
      <c r="UOM692" s="769"/>
      <c r="UON692" s="769"/>
      <c r="UOO692" s="769"/>
      <c r="UOP692" s="769"/>
      <c r="UOQ692" s="769"/>
      <c r="UOR692" s="769"/>
      <c r="UOS692" s="769"/>
      <c r="UOT692" s="769"/>
      <c r="UOU692" s="769"/>
      <c r="UOV692" s="769"/>
      <c r="UOW692" s="769"/>
      <c r="UOX692" s="769"/>
      <c r="UOY692" s="769"/>
      <c r="UOZ692" s="769"/>
      <c r="UPA692" s="769"/>
      <c r="UPB692" s="769"/>
      <c r="UPC692" s="769"/>
      <c r="UPD692" s="769"/>
      <c r="UPE692" s="769"/>
      <c r="UPF692" s="769"/>
      <c r="UPG692" s="769"/>
      <c r="UPH692" s="769"/>
      <c r="UPI692" s="769"/>
      <c r="UPJ692" s="769"/>
      <c r="UPK692" s="769"/>
      <c r="UPL692" s="769"/>
      <c r="UPM692" s="769"/>
      <c r="UPN692" s="769"/>
      <c r="UPO692" s="769"/>
      <c r="UPP692" s="769"/>
      <c r="UPQ692" s="769"/>
      <c r="UPR692" s="769"/>
      <c r="UPS692" s="769"/>
      <c r="UPT692" s="769"/>
      <c r="UPU692" s="769"/>
      <c r="UPV692" s="769"/>
      <c r="UPW692" s="769"/>
      <c r="UPX692" s="769"/>
      <c r="UPY692" s="769"/>
      <c r="UPZ692" s="769"/>
      <c r="UQA692" s="769"/>
      <c r="UQB692" s="769"/>
      <c r="UQC692" s="769"/>
      <c r="UQD692" s="769"/>
      <c r="UQE692" s="769"/>
      <c r="UQF692" s="769"/>
      <c r="UQG692" s="769"/>
      <c r="UQH692" s="769"/>
      <c r="UQI692" s="769"/>
      <c r="UQJ692" s="769"/>
      <c r="UQK692" s="769"/>
      <c r="UQL692" s="769"/>
      <c r="UQM692" s="769"/>
      <c r="UQN692" s="769"/>
      <c r="UQO692" s="769"/>
      <c r="UQP692" s="769"/>
      <c r="UQQ692" s="769"/>
      <c r="UQR692" s="769"/>
      <c r="UQS692" s="769"/>
      <c r="UQT692" s="769"/>
      <c r="UQU692" s="769"/>
      <c r="UQV692" s="769"/>
      <c r="UQW692" s="769"/>
      <c r="UQX692" s="769"/>
      <c r="UQY692" s="769"/>
      <c r="UQZ692" s="769"/>
      <c r="URA692" s="769"/>
      <c r="URB692" s="769"/>
      <c r="URC692" s="769"/>
      <c r="URD692" s="769"/>
      <c r="URE692" s="769"/>
      <c r="URF692" s="769"/>
      <c r="URG692" s="769"/>
      <c r="URH692" s="769"/>
      <c r="URI692" s="769"/>
      <c r="URJ692" s="769"/>
      <c r="URK692" s="769"/>
      <c r="URL692" s="769"/>
      <c r="URM692" s="769"/>
      <c r="URN692" s="769"/>
      <c r="URO692" s="769"/>
      <c r="URP692" s="769"/>
      <c r="URQ692" s="769"/>
      <c r="URR692" s="769"/>
      <c r="URS692" s="769"/>
      <c r="URT692" s="769"/>
      <c r="URU692" s="769"/>
      <c r="URV692" s="769"/>
      <c r="URW692" s="769"/>
      <c r="URX692" s="769"/>
      <c r="URY692" s="769"/>
      <c r="URZ692" s="769"/>
      <c r="USA692" s="769"/>
      <c r="USB692" s="769"/>
      <c r="USC692" s="769"/>
      <c r="USD692" s="769"/>
      <c r="USE692" s="769"/>
      <c r="USF692" s="769"/>
      <c r="USG692" s="769"/>
      <c r="USH692" s="769"/>
      <c r="USI692" s="769"/>
      <c r="USJ692" s="769"/>
      <c r="USK692" s="769"/>
      <c r="USL692" s="769"/>
      <c r="USM692" s="769"/>
      <c r="USN692" s="769"/>
      <c r="USO692" s="769"/>
      <c r="USP692" s="769"/>
      <c r="USQ692" s="769"/>
      <c r="USR692" s="769"/>
      <c r="USS692" s="769"/>
      <c r="UST692" s="769"/>
      <c r="USU692" s="769"/>
      <c r="USV692" s="769"/>
      <c r="USW692" s="769"/>
      <c r="USX692" s="769"/>
      <c r="USY692" s="769"/>
      <c r="USZ692" s="769"/>
      <c r="UTA692" s="769"/>
      <c r="UTB692" s="769"/>
      <c r="UTC692" s="769"/>
      <c r="UTD692" s="769"/>
      <c r="UTE692" s="769"/>
      <c r="UTF692" s="769"/>
      <c r="UTG692" s="769"/>
      <c r="UTH692" s="769"/>
      <c r="UTI692" s="769"/>
      <c r="UTJ692" s="769"/>
      <c r="UTK692" s="769"/>
      <c r="UTL692" s="769"/>
      <c r="UTM692" s="769"/>
      <c r="UTN692" s="769"/>
      <c r="UTO692" s="769"/>
      <c r="UTP692" s="769"/>
      <c r="UTQ692" s="769"/>
      <c r="UTR692" s="769"/>
      <c r="UTS692" s="769"/>
      <c r="UTT692" s="769"/>
      <c r="UTU692" s="769"/>
      <c r="UTV692" s="769"/>
      <c r="UTW692" s="769"/>
      <c r="UTX692" s="769"/>
      <c r="UTY692" s="769"/>
      <c r="UTZ692" s="769"/>
      <c r="UUA692" s="769"/>
      <c r="UUB692" s="769"/>
      <c r="UUC692" s="769"/>
      <c r="UUD692" s="769"/>
      <c r="UUE692" s="769"/>
      <c r="UUF692" s="769"/>
      <c r="UUG692" s="769"/>
      <c r="UUH692" s="769"/>
      <c r="UUI692" s="769"/>
      <c r="UUJ692" s="769"/>
      <c r="UUK692" s="769"/>
      <c r="UUL692" s="769"/>
      <c r="UUM692" s="769"/>
      <c r="UUN692" s="769"/>
      <c r="UUO692" s="769"/>
      <c r="UUP692" s="769"/>
      <c r="UUQ692" s="769"/>
      <c r="UUR692" s="769"/>
      <c r="UUS692" s="769"/>
      <c r="UUT692" s="769"/>
      <c r="UUU692" s="769"/>
      <c r="UUV692" s="769"/>
      <c r="UUW692" s="769"/>
      <c r="UUX692" s="769"/>
      <c r="UUY692" s="769"/>
      <c r="UUZ692" s="769"/>
      <c r="UVA692" s="769"/>
      <c r="UVB692" s="769"/>
      <c r="UVC692" s="769"/>
      <c r="UVD692" s="769"/>
      <c r="UVE692" s="769"/>
      <c r="UVF692" s="769"/>
      <c r="UVG692" s="769"/>
      <c r="UVH692" s="769"/>
      <c r="UVI692" s="769"/>
      <c r="UVJ692" s="769"/>
      <c r="UVK692" s="769"/>
      <c r="UVL692" s="769"/>
      <c r="UVM692" s="769"/>
      <c r="UVN692" s="769"/>
      <c r="UVO692" s="769"/>
      <c r="UVP692" s="769"/>
      <c r="UVQ692" s="769"/>
      <c r="UVR692" s="769"/>
      <c r="UVS692" s="769"/>
      <c r="UVT692" s="769"/>
      <c r="UVU692" s="769"/>
      <c r="UVV692" s="769"/>
      <c r="UVW692" s="769"/>
      <c r="UVX692" s="769"/>
      <c r="UVY692" s="769"/>
      <c r="UVZ692" s="769"/>
      <c r="UWA692" s="769"/>
      <c r="UWB692" s="769"/>
      <c r="UWC692" s="769"/>
      <c r="UWD692" s="769"/>
      <c r="UWE692" s="769"/>
      <c r="UWF692" s="769"/>
      <c r="UWG692" s="769"/>
      <c r="UWH692" s="769"/>
      <c r="UWI692" s="769"/>
      <c r="UWJ692" s="769"/>
      <c r="UWK692" s="769"/>
      <c r="UWL692" s="769"/>
      <c r="UWM692" s="769"/>
      <c r="UWN692" s="769"/>
      <c r="UWO692" s="769"/>
      <c r="UWP692" s="769"/>
      <c r="UWQ692" s="769"/>
      <c r="UWR692" s="769"/>
      <c r="UWS692" s="769"/>
      <c r="UWT692" s="769"/>
      <c r="UWU692" s="769"/>
      <c r="UWV692" s="769"/>
      <c r="UWW692" s="769"/>
      <c r="UWX692" s="769"/>
      <c r="UWY692" s="769"/>
      <c r="UWZ692" s="769"/>
      <c r="UXA692" s="769"/>
      <c r="UXB692" s="769"/>
      <c r="UXC692" s="769"/>
      <c r="UXD692" s="769"/>
      <c r="UXE692" s="769"/>
      <c r="UXF692" s="769"/>
      <c r="UXG692" s="769"/>
      <c r="UXH692" s="769"/>
      <c r="UXI692" s="769"/>
      <c r="UXJ692" s="769"/>
      <c r="UXK692" s="769"/>
      <c r="UXL692" s="769"/>
      <c r="UXM692" s="769"/>
      <c r="UXN692" s="769"/>
      <c r="UXO692" s="769"/>
      <c r="UXP692" s="769"/>
      <c r="UXQ692" s="769"/>
      <c r="UXR692" s="769"/>
      <c r="UXS692" s="769"/>
      <c r="UXT692" s="769"/>
      <c r="UXU692" s="769"/>
      <c r="UXV692" s="769"/>
      <c r="UXW692" s="769"/>
      <c r="UXX692" s="769"/>
      <c r="UXY692" s="769"/>
      <c r="UXZ692" s="769"/>
      <c r="UYA692" s="769"/>
      <c r="UYB692" s="769"/>
      <c r="UYC692" s="769"/>
      <c r="UYD692" s="769"/>
      <c r="UYE692" s="769"/>
      <c r="UYF692" s="769"/>
      <c r="UYG692" s="769"/>
      <c r="UYH692" s="769"/>
      <c r="UYI692" s="769"/>
      <c r="UYJ692" s="769"/>
      <c r="UYK692" s="769"/>
      <c r="UYL692" s="769"/>
      <c r="UYM692" s="769"/>
      <c r="UYN692" s="769"/>
      <c r="UYO692" s="769"/>
      <c r="UYP692" s="769"/>
      <c r="UYQ692" s="769"/>
      <c r="UYR692" s="769"/>
      <c r="UYS692" s="769"/>
      <c r="UYT692" s="769"/>
      <c r="UYU692" s="769"/>
      <c r="UYV692" s="769"/>
      <c r="UYW692" s="769"/>
      <c r="UYX692" s="769"/>
      <c r="UYY692" s="769"/>
      <c r="UYZ692" s="769"/>
      <c r="UZA692" s="769"/>
      <c r="UZB692" s="769"/>
      <c r="UZC692" s="769"/>
      <c r="UZD692" s="769"/>
      <c r="UZE692" s="769"/>
      <c r="UZF692" s="769"/>
      <c r="UZG692" s="769"/>
      <c r="UZH692" s="769"/>
      <c r="UZI692" s="769"/>
      <c r="UZJ692" s="769"/>
      <c r="UZK692" s="769"/>
      <c r="UZL692" s="769"/>
      <c r="UZM692" s="769"/>
      <c r="UZN692" s="769"/>
      <c r="UZO692" s="769"/>
      <c r="UZP692" s="769"/>
      <c r="UZQ692" s="769"/>
      <c r="UZR692" s="769"/>
      <c r="UZS692" s="769"/>
      <c r="UZT692" s="769"/>
      <c r="UZU692" s="769"/>
      <c r="UZV692" s="769"/>
      <c r="UZW692" s="769"/>
      <c r="UZX692" s="769"/>
      <c r="UZY692" s="769"/>
      <c r="UZZ692" s="769"/>
      <c r="VAA692" s="769"/>
      <c r="VAB692" s="769"/>
      <c r="VAC692" s="769"/>
      <c r="VAD692" s="769"/>
      <c r="VAE692" s="769"/>
      <c r="VAF692" s="769"/>
      <c r="VAG692" s="769"/>
      <c r="VAH692" s="769"/>
      <c r="VAI692" s="769"/>
      <c r="VAJ692" s="769"/>
      <c r="VAK692" s="769"/>
      <c r="VAL692" s="769"/>
      <c r="VAM692" s="769"/>
      <c r="VAN692" s="769"/>
      <c r="VAO692" s="769"/>
      <c r="VAP692" s="769"/>
      <c r="VAQ692" s="769"/>
      <c r="VAR692" s="769"/>
      <c r="VAS692" s="769"/>
      <c r="VAT692" s="769"/>
      <c r="VAU692" s="769"/>
      <c r="VAV692" s="769"/>
      <c r="VAW692" s="769"/>
      <c r="VAX692" s="769"/>
      <c r="VAY692" s="769"/>
      <c r="VAZ692" s="769"/>
      <c r="VBA692" s="769"/>
      <c r="VBB692" s="769"/>
      <c r="VBC692" s="769"/>
      <c r="VBD692" s="769"/>
      <c r="VBE692" s="769"/>
      <c r="VBF692" s="769"/>
      <c r="VBG692" s="769"/>
      <c r="VBH692" s="769"/>
      <c r="VBI692" s="769"/>
      <c r="VBJ692" s="769"/>
      <c r="VBK692" s="769"/>
      <c r="VBL692" s="769"/>
      <c r="VBM692" s="769"/>
      <c r="VBN692" s="769"/>
      <c r="VBO692" s="769"/>
      <c r="VBP692" s="769"/>
      <c r="VBQ692" s="769"/>
      <c r="VBR692" s="769"/>
      <c r="VBS692" s="769"/>
      <c r="VBT692" s="769"/>
      <c r="VBU692" s="769"/>
      <c r="VBV692" s="769"/>
      <c r="VBW692" s="769"/>
      <c r="VBX692" s="769"/>
      <c r="VBY692" s="769"/>
      <c r="VBZ692" s="769"/>
      <c r="VCA692" s="769"/>
      <c r="VCB692" s="769"/>
      <c r="VCC692" s="769"/>
      <c r="VCD692" s="769"/>
      <c r="VCE692" s="769"/>
      <c r="VCF692" s="769"/>
      <c r="VCG692" s="769"/>
      <c r="VCH692" s="769"/>
      <c r="VCI692" s="769"/>
      <c r="VCJ692" s="769"/>
      <c r="VCK692" s="769"/>
      <c r="VCL692" s="769"/>
      <c r="VCM692" s="769"/>
      <c r="VCN692" s="769"/>
      <c r="VCO692" s="769"/>
      <c r="VCP692" s="769"/>
      <c r="VCQ692" s="769"/>
      <c r="VCR692" s="769"/>
      <c r="VCS692" s="769"/>
      <c r="VCT692" s="769"/>
      <c r="VCU692" s="769"/>
      <c r="VCV692" s="769"/>
      <c r="VCW692" s="769"/>
      <c r="VCX692" s="769"/>
      <c r="VCY692" s="769"/>
      <c r="VCZ692" s="769"/>
      <c r="VDA692" s="769"/>
      <c r="VDB692" s="769"/>
      <c r="VDC692" s="769"/>
      <c r="VDD692" s="769"/>
      <c r="VDE692" s="769"/>
      <c r="VDF692" s="769"/>
      <c r="VDG692" s="769"/>
      <c r="VDH692" s="769"/>
      <c r="VDI692" s="769"/>
      <c r="VDJ692" s="769"/>
      <c r="VDK692" s="769"/>
      <c r="VDL692" s="769"/>
      <c r="VDM692" s="769"/>
      <c r="VDN692" s="769"/>
      <c r="VDO692" s="769"/>
      <c r="VDP692" s="769"/>
      <c r="VDQ692" s="769"/>
      <c r="VDR692" s="769"/>
      <c r="VDS692" s="769"/>
      <c r="VDT692" s="769"/>
      <c r="VDU692" s="769"/>
      <c r="VDV692" s="769"/>
      <c r="VDW692" s="769"/>
      <c r="VDX692" s="769"/>
      <c r="VDY692" s="769"/>
      <c r="VDZ692" s="769"/>
      <c r="VEA692" s="769"/>
      <c r="VEB692" s="769"/>
      <c r="VEC692" s="769"/>
      <c r="VED692" s="769"/>
      <c r="VEE692" s="769"/>
      <c r="VEF692" s="769"/>
      <c r="VEG692" s="769"/>
      <c r="VEH692" s="769"/>
      <c r="VEI692" s="769"/>
      <c r="VEJ692" s="769"/>
      <c r="VEK692" s="769"/>
      <c r="VEL692" s="769"/>
      <c r="VEM692" s="769"/>
      <c r="VEN692" s="769"/>
      <c r="VEO692" s="769"/>
      <c r="VEP692" s="769"/>
      <c r="VEQ692" s="769"/>
      <c r="VER692" s="769"/>
      <c r="VES692" s="769"/>
      <c r="VET692" s="769"/>
      <c r="VEU692" s="769"/>
      <c r="VEV692" s="769"/>
      <c r="VEW692" s="769"/>
      <c r="VEX692" s="769"/>
      <c r="VEY692" s="769"/>
      <c r="VEZ692" s="769"/>
      <c r="VFA692" s="769"/>
      <c r="VFB692" s="769"/>
      <c r="VFC692" s="769"/>
      <c r="VFD692" s="769"/>
      <c r="VFE692" s="769"/>
      <c r="VFF692" s="769"/>
      <c r="VFG692" s="769"/>
      <c r="VFH692" s="769"/>
      <c r="VFI692" s="769"/>
      <c r="VFJ692" s="769"/>
      <c r="VFK692" s="769"/>
      <c r="VFL692" s="769"/>
      <c r="VFM692" s="769"/>
      <c r="VFN692" s="769"/>
      <c r="VFO692" s="769"/>
      <c r="VFP692" s="769"/>
      <c r="VFQ692" s="769"/>
      <c r="VFR692" s="769"/>
      <c r="VFS692" s="769"/>
      <c r="VFT692" s="769"/>
      <c r="VFU692" s="769"/>
      <c r="VFV692" s="769"/>
      <c r="VFW692" s="769"/>
      <c r="VFX692" s="769"/>
      <c r="VFY692" s="769"/>
      <c r="VFZ692" s="769"/>
      <c r="VGA692" s="769"/>
      <c r="VGB692" s="769"/>
      <c r="VGC692" s="769"/>
      <c r="VGD692" s="769"/>
      <c r="VGE692" s="769"/>
      <c r="VGF692" s="769"/>
      <c r="VGG692" s="769"/>
      <c r="VGH692" s="769"/>
      <c r="VGI692" s="769"/>
      <c r="VGJ692" s="769"/>
      <c r="VGK692" s="769"/>
      <c r="VGL692" s="769"/>
      <c r="VGM692" s="769"/>
      <c r="VGN692" s="769"/>
      <c r="VGO692" s="769"/>
      <c r="VGP692" s="769"/>
      <c r="VGQ692" s="769"/>
      <c r="VGR692" s="769"/>
      <c r="VGS692" s="769"/>
      <c r="VGT692" s="769"/>
      <c r="VGU692" s="769"/>
      <c r="VGV692" s="769"/>
      <c r="VGW692" s="769"/>
      <c r="VGX692" s="769"/>
      <c r="VGY692" s="769"/>
      <c r="VGZ692" s="769"/>
      <c r="VHA692" s="769"/>
      <c r="VHB692" s="769"/>
      <c r="VHC692" s="769"/>
      <c r="VHD692" s="769"/>
      <c r="VHE692" s="769"/>
      <c r="VHF692" s="769"/>
      <c r="VHG692" s="769"/>
      <c r="VHH692" s="769"/>
      <c r="VHI692" s="769"/>
      <c r="VHJ692" s="769"/>
      <c r="VHK692" s="769"/>
      <c r="VHL692" s="769"/>
      <c r="VHM692" s="769"/>
      <c r="VHN692" s="769"/>
      <c r="VHO692" s="769"/>
      <c r="VHP692" s="769"/>
      <c r="VHQ692" s="769"/>
      <c r="VHR692" s="769"/>
      <c r="VHS692" s="769"/>
      <c r="VHT692" s="769"/>
      <c r="VHU692" s="769"/>
      <c r="VHV692" s="769"/>
      <c r="VHW692" s="769"/>
      <c r="VHX692" s="769"/>
      <c r="VHY692" s="769"/>
      <c r="VHZ692" s="769"/>
      <c r="VIA692" s="769"/>
      <c r="VIB692" s="769"/>
      <c r="VIC692" s="769"/>
      <c r="VID692" s="769"/>
      <c r="VIE692" s="769"/>
      <c r="VIF692" s="769"/>
      <c r="VIG692" s="769"/>
      <c r="VIH692" s="769"/>
      <c r="VII692" s="769"/>
      <c r="VIJ692" s="769"/>
      <c r="VIK692" s="769"/>
      <c r="VIL692" s="769"/>
      <c r="VIM692" s="769"/>
      <c r="VIN692" s="769"/>
      <c r="VIO692" s="769"/>
      <c r="VIP692" s="769"/>
      <c r="VIQ692" s="769"/>
      <c r="VIR692" s="769"/>
      <c r="VIS692" s="769"/>
      <c r="VIT692" s="769"/>
      <c r="VIU692" s="769"/>
      <c r="VIV692" s="769"/>
      <c r="VIW692" s="769"/>
      <c r="VIX692" s="769"/>
      <c r="VIY692" s="769"/>
      <c r="VIZ692" s="769"/>
      <c r="VJA692" s="769"/>
      <c r="VJB692" s="769"/>
      <c r="VJC692" s="769"/>
      <c r="VJD692" s="769"/>
      <c r="VJE692" s="769"/>
      <c r="VJF692" s="769"/>
      <c r="VJG692" s="769"/>
      <c r="VJH692" s="769"/>
      <c r="VJI692" s="769"/>
      <c r="VJJ692" s="769"/>
      <c r="VJK692" s="769"/>
      <c r="VJL692" s="769"/>
      <c r="VJM692" s="769"/>
      <c r="VJN692" s="769"/>
      <c r="VJO692" s="769"/>
      <c r="VJP692" s="769"/>
      <c r="VJQ692" s="769"/>
      <c r="VJR692" s="769"/>
      <c r="VJS692" s="769"/>
      <c r="VJT692" s="769"/>
      <c r="VJU692" s="769"/>
      <c r="VJV692" s="769"/>
      <c r="VJW692" s="769"/>
      <c r="VJX692" s="769"/>
      <c r="VJY692" s="769"/>
      <c r="VJZ692" s="769"/>
      <c r="VKA692" s="769"/>
      <c r="VKB692" s="769"/>
      <c r="VKC692" s="769"/>
      <c r="VKD692" s="769"/>
      <c r="VKE692" s="769"/>
      <c r="VKF692" s="769"/>
      <c r="VKG692" s="769"/>
      <c r="VKH692" s="769"/>
      <c r="VKI692" s="769"/>
      <c r="VKJ692" s="769"/>
      <c r="VKK692" s="769"/>
      <c r="VKL692" s="769"/>
      <c r="VKM692" s="769"/>
      <c r="VKN692" s="769"/>
      <c r="VKO692" s="769"/>
      <c r="VKP692" s="769"/>
      <c r="VKQ692" s="769"/>
      <c r="VKR692" s="769"/>
      <c r="VKS692" s="769"/>
      <c r="VKT692" s="769"/>
      <c r="VKU692" s="769"/>
      <c r="VKV692" s="769"/>
      <c r="VKW692" s="769"/>
      <c r="VKX692" s="769"/>
      <c r="VKY692" s="769"/>
      <c r="VKZ692" s="769"/>
      <c r="VLA692" s="769"/>
      <c r="VLB692" s="769"/>
      <c r="VLC692" s="769"/>
      <c r="VLD692" s="769"/>
      <c r="VLE692" s="769"/>
      <c r="VLF692" s="769"/>
      <c r="VLG692" s="769"/>
      <c r="VLH692" s="769"/>
      <c r="VLI692" s="769"/>
      <c r="VLJ692" s="769"/>
      <c r="VLK692" s="769"/>
      <c r="VLL692" s="769"/>
      <c r="VLM692" s="769"/>
      <c r="VLN692" s="769"/>
      <c r="VLO692" s="769"/>
      <c r="VLP692" s="769"/>
      <c r="VLQ692" s="769"/>
      <c r="VLR692" s="769"/>
      <c r="VLS692" s="769"/>
      <c r="VLT692" s="769"/>
      <c r="VLU692" s="769"/>
      <c r="VLV692" s="769"/>
      <c r="VLW692" s="769"/>
      <c r="VLX692" s="769"/>
      <c r="VLY692" s="769"/>
      <c r="VLZ692" s="769"/>
      <c r="VMA692" s="769"/>
      <c r="VMB692" s="769"/>
      <c r="VMC692" s="769"/>
      <c r="VMD692" s="769"/>
      <c r="VME692" s="769"/>
      <c r="VMF692" s="769"/>
      <c r="VMG692" s="769"/>
      <c r="VMH692" s="769"/>
      <c r="VMI692" s="769"/>
      <c r="VMJ692" s="769"/>
      <c r="VMK692" s="769"/>
      <c r="VML692" s="769"/>
      <c r="VMM692" s="769"/>
      <c r="VMN692" s="769"/>
      <c r="VMO692" s="769"/>
      <c r="VMP692" s="769"/>
      <c r="VMQ692" s="769"/>
      <c r="VMR692" s="769"/>
      <c r="VMS692" s="769"/>
      <c r="VMT692" s="769"/>
      <c r="VMU692" s="769"/>
      <c r="VMV692" s="769"/>
      <c r="VMW692" s="769"/>
      <c r="VMX692" s="769"/>
      <c r="VMY692" s="769"/>
      <c r="VMZ692" s="769"/>
      <c r="VNA692" s="769"/>
      <c r="VNB692" s="769"/>
      <c r="VNC692" s="769"/>
      <c r="VND692" s="769"/>
      <c r="VNE692" s="769"/>
      <c r="VNF692" s="769"/>
      <c r="VNG692" s="769"/>
      <c r="VNH692" s="769"/>
      <c r="VNI692" s="769"/>
      <c r="VNJ692" s="769"/>
      <c r="VNK692" s="769"/>
      <c r="VNL692" s="769"/>
      <c r="VNM692" s="769"/>
      <c r="VNN692" s="769"/>
      <c r="VNO692" s="769"/>
      <c r="VNP692" s="769"/>
      <c r="VNQ692" s="769"/>
      <c r="VNR692" s="769"/>
      <c r="VNS692" s="769"/>
      <c r="VNT692" s="769"/>
      <c r="VNU692" s="769"/>
      <c r="VNV692" s="769"/>
      <c r="VNW692" s="769"/>
      <c r="VNX692" s="769"/>
      <c r="VNY692" s="769"/>
      <c r="VNZ692" s="769"/>
      <c r="VOA692" s="769"/>
      <c r="VOB692" s="769"/>
      <c r="VOC692" s="769"/>
      <c r="VOD692" s="769"/>
      <c r="VOE692" s="769"/>
      <c r="VOF692" s="769"/>
      <c r="VOG692" s="769"/>
      <c r="VOH692" s="769"/>
      <c r="VOI692" s="769"/>
      <c r="VOJ692" s="769"/>
      <c r="VOK692" s="769"/>
      <c r="VOL692" s="769"/>
      <c r="VOM692" s="769"/>
      <c r="VON692" s="769"/>
      <c r="VOO692" s="769"/>
      <c r="VOP692" s="769"/>
      <c r="VOQ692" s="769"/>
      <c r="VOR692" s="769"/>
      <c r="VOS692" s="769"/>
      <c r="VOT692" s="769"/>
      <c r="VOU692" s="769"/>
      <c r="VOV692" s="769"/>
      <c r="VOW692" s="769"/>
      <c r="VOX692" s="769"/>
      <c r="VOY692" s="769"/>
      <c r="VOZ692" s="769"/>
      <c r="VPA692" s="769"/>
      <c r="VPB692" s="769"/>
      <c r="VPC692" s="769"/>
      <c r="VPD692" s="769"/>
      <c r="VPE692" s="769"/>
      <c r="VPF692" s="769"/>
      <c r="VPG692" s="769"/>
      <c r="VPH692" s="769"/>
      <c r="VPI692" s="769"/>
      <c r="VPJ692" s="769"/>
      <c r="VPK692" s="769"/>
      <c r="VPL692" s="769"/>
      <c r="VPM692" s="769"/>
      <c r="VPN692" s="769"/>
      <c r="VPO692" s="769"/>
      <c r="VPP692" s="769"/>
      <c r="VPQ692" s="769"/>
      <c r="VPR692" s="769"/>
      <c r="VPS692" s="769"/>
      <c r="VPT692" s="769"/>
      <c r="VPU692" s="769"/>
      <c r="VPV692" s="769"/>
      <c r="VPW692" s="769"/>
      <c r="VPX692" s="769"/>
      <c r="VPY692" s="769"/>
      <c r="VPZ692" s="769"/>
      <c r="VQA692" s="769"/>
      <c r="VQB692" s="769"/>
      <c r="VQC692" s="769"/>
      <c r="VQD692" s="769"/>
      <c r="VQE692" s="769"/>
      <c r="VQF692" s="769"/>
      <c r="VQG692" s="769"/>
      <c r="VQH692" s="769"/>
      <c r="VQI692" s="769"/>
      <c r="VQJ692" s="769"/>
      <c r="VQK692" s="769"/>
      <c r="VQL692" s="769"/>
      <c r="VQM692" s="769"/>
      <c r="VQN692" s="769"/>
      <c r="VQO692" s="769"/>
      <c r="VQP692" s="769"/>
      <c r="VQQ692" s="769"/>
      <c r="VQR692" s="769"/>
      <c r="VQS692" s="769"/>
      <c r="VQT692" s="769"/>
      <c r="VQU692" s="769"/>
      <c r="VQV692" s="769"/>
      <c r="VQW692" s="769"/>
      <c r="VQX692" s="769"/>
      <c r="VQY692" s="769"/>
      <c r="VQZ692" s="769"/>
      <c r="VRA692" s="769"/>
      <c r="VRB692" s="769"/>
      <c r="VRC692" s="769"/>
      <c r="VRD692" s="769"/>
      <c r="VRE692" s="769"/>
      <c r="VRF692" s="769"/>
      <c r="VRG692" s="769"/>
      <c r="VRH692" s="769"/>
      <c r="VRI692" s="769"/>
      <c r="VRJ692" s="769"/>
      <c r="VRK692" s="769"/>
      <c r="VRL692" s="769"/>
      <c r="VRM692" s="769"/>
      <c r="VRN692" s="769"/>
      <c r="VRO692" s="769"/>
      <c r="VRP692" s="769"/>
      <c r="VRQ692" s="769"/>
      <c r="VRR692" s="769"/>
      <c r="VRS692" s="769"/>
      <c r="VRT692" s="769"/>
      <c r="VRU692" s="769"/>
      <c r="VRV692" s="769"/>
      <c r="VRW692" s="769"/>
      <c r="VRX692" s="769"/>
      <c r="VRY692" s="769"/>
      <c r="VRZ692" s="769"/>
      <c r="VSA692" s="769"/>
      <c r="VSB692" s="769"/>
      <c r="VSC692" s="769"/>
      <c r="VSD692" s="769"/>
      <c r="VSE692" s="769"/>
      <c r="VSF692" s="769"/>
      <c r="VSG692" s="769"/>
      <c r="VSH692" s="769"/>
      <c r="VSI692" s="769"/>
      <c r="VSJ692" s="769"/>
      <c r="VSK692" s="769"/>
      <c r="VSL692" s="769"/>
      <c r="VSM692" s="769"/>
      <c r="VSN692" s="769"/>
      <c r="VSO692" s="769"/>
      <c r="VSP692" s="769"/>
      <c r="VSQ692" s="769"/>
      <c r="VSR692" s="769"/>
      <c r="VSS692" s="769"/>
      <c r="VST692" s="769"/>
      <c r="VSU692" s="769"/>
      <c r="VSV692" s="769"/>
      <c r="VSW692" s="769"/>
      <c r="VSX692" s="769"/>
      <c r="VSY692" s="769"/>
      <c r="VSZ692" s="769"/>
      <c r="VTA692" s="769"/>
      <c r="VTB692" s="769"/>
      <c r="VTC692" s="769"/>
      <c r="VTD692" s="769"/>
      <c r="VTE692" s="769"/>
      <c r="VTF692" s="769"/>
      <c r="VTG692" s="769"/>
      <c r="VTH692" s="769"/>
      <c r="VTI692" s="769"/>
      <c r="VTJ692" s="769"/>
      <c r="VTK692" s="769"/>
      <c r="VTL692" s="769"/>
      <c r="VTM692" s="769"/>
      <c r="VTN692" s="769"/>
      <c r="VTO692" s="769"/>
      <c r="VTP692" s="769"/>
      <c r="VTQ692" s="769"/>
      <c r="VTR692" s="769"/>
      <c r="VTS692" s="769"/>
      <c r="VTT692" s="769"/>
      <c r="VTU692" s="769"/>
      <c r="VTV692" s="769"/>
      <c r="VTW692" s="769"/>
      <c r="VTX692" s="769"/>
      <c r="VTY692" s="769"/>
      <c r="VTZ692" s="769"/>
      <c r="VUA692" s="769"/>
      <c r="VUB692" s="769"/>
      <c r="VUC692" s="769"/>
      <c r="VUD692" s="769"/>
      <c r="VUE692" s="769"/>
      <c r="VUF692" s="769"/>
      <c r="VUG692" s="769"/>
      <c r="VUH692" s="769"/>
      <c r="VUI692" s="769"/>
      <c r="VUJ692" s="769"/>
      <c r="VUK692" s="769"/>
      <c r="VUL692" s="769"/>
      <c r="VUM692" s="769"/>
      <c r="VUN692" s="769"/>
      <c r="VUO692" s="769"/>
      <c r="VUP692" s="769"/>
      <c r="VUQ692" s="769"/>
      <c r="VUR692" s="769"/>
      <c r="VUS692" s="769"/>
      <c r="VUT692" s="769"/>
      <c r="VUU692" s="769"/>
      <c r="VUV692" s="769"/>
      <c r="VUW692" s="769"/>
      <c r="VUX692" s="769"/>
      <c r="VUY692" s="769"/>
      <c r="VUZ692" s="769"/>
      <c r="VVA692" s="769"/>
      <c r="VVB692" s="769"/>
      <c r="VVC692" s="769"/>
      <c r="VVD692" s="769"/>
      <c r="VVE692" s="769"/>
      <c r="VVF692" s="769"/>
      <c r="VVG692" s="769"/>
      <c r="VVH692" s="769"/>
      <c r="VVI692" s="769"/>
      <c r="VVJ692" s="769"/>
      <c r="VVK692" s="769"/>
      <c r="VVL692" s="769"/>
      <c r="VVM692" s="769"/>
      <c r="VVN692" s="769"/>
      <c r="VVO692" s="769"/>
      <c r="VVP692" s="769"/>
      <c r="VVQ692" s="769"/>
      <c r="VVR692" s="769"/>
      <c r="VVS692" s="769"/>
      <c r="VVT692" s="769"/>
      <c r="VVU692" s="769"/>
      <c r="VVV692" s="769"/>
      <c r="VVW692" s="769"/>
      <c r="VVX692" s="769"/>
      <c r="VVY692" s="769"/>
      <c r="VVZ692" s="769"/>
      <c r="VWA692" s="769"/>
      <c r="VWB692" s="769"/>
      <c r="VWC692" s="769"/>
      <c r="VWD692" s="769"/>
      <c r="VWE692" s="769"/>
      <c r="VWF692" s="769"/>
      <c r="VWG692" s="769"/>
      <c r="VWH692" s="769"/>
      <c r="VWI692" s="769"/>
      <c r="VWJ692" s="769"/>
      <c r="VWK692" s="769"/>
      <c r="VWL692" s="769"/>
      <c r="VWM692" s="769"/>
      <c r="VWN692" s="769"/>
      <c r="VWO692" s="769"/>
      <c r="VWP692" s="769"/>
      <c r="VWQ692" s="769"/>
      <c r="VWR692" s="769"/>
      <c r="VWS692" s="769"/>
      <c r="VWT692" s="769"/>
      <c r="VWU692" s="769"/>
      <c r="VWV692" s="769"/>
      <c r="VWW692" s="769"/>
      <c r="VWX692" s="769"/>
      <c r="VWY692" s="769"/>
      <c r="VWZ692" s="769"/>
      <c r="VXA692" s="769"/>
      <c r="VXB692" s="769"/>
      <c r="VXC692" s="769"/>
      <c r="VXD692" s="769"/>
      <c r="VXE692" s="769"/>
      <c r="VXF692" s="769"/>
      <c r="VXG692" s="769"/>
      <c r="VXH692" s="769"/>
      <c r="VXI692" s="769"/>
      <c r="VXJ692" s="769"/>
      <c r="VXK692" s="769"/>
      <c r="VXL692" s="769"/>
      <c r="VXM692" s="769"/>
      <c r="VXN692" s="769"/>
      <c r="VXO692" s="769"/>
      <c r="VXP692" s="769"/>
      <c r="VXQ692" s="769"/>
      <c r="VXR692" s="769"/>
      <c r="VXS692" s="769"/>
      <c r="VXT692" s="769"/>
      <c r="VXU692" s="769"/>
      <c r="VXV692" s="769"/>
      <c r="VXW692" s="769"/>
      <c r="VXX692" s="769"/>
      <c r="VXY692" s="769"/>
      <c r="VXZ692" s="769"/>
      <c r="VYA692" s="769"/>
      <c r="VYB692" s="769"/>
      <c r="VYC692" s="769"/>
      <c r="VYD692" s="769"/>
      <c r="VYE692" s="769"/>
      <c r="VYF692" s="769"/>
      <c r="VYG692" s="769"/>
      <c r="VYH692" s="769"/>
      <c r="VYI692" s="769"/>
      <c r="VYJ692" s="769"/>
      <c r="VYK692" s="769"/>
      <c r="VYL692" s="769"/>
      <c r="VYM692" s="769"/>
      <c r="VYN692" s="769"/>
      <c r="VYO692" s="769"/>
      <c r="VYP692" s="769"/>
      <c r="VYQ692" s="769"/>
      <c r="VYR692" s="769"/>
      <c r="VYS692" s="769"/>
      <c r="VYT692" s="769"/>
      <c r="VYU692" s="769"/>
      <c r="VYV692" s="769"/>
      <c r="VYW692" s="769"/>
      <c r="VYX692" s="769"/>
      <c r="VYY692" s="769"/>
      <c r="VYZ692" s="769"/>
      <c r="VZA692" s="769"/>
      <c r="VZB692" s="769"/>
      <c r="VZC692" s="769"/>
      <c r="VZD692" s="769"/>
      <c r="VZE692" s="769"/>
      <c r="VZF692" s="769"/>
      <c r="VZG692" s="769"/>
      <c r="VZH692" s="769"/>
      <c r="VZI692" s="769"/>
      <c r="VZJ692" s="769"/>
      <c r="VZK692" s="769"/>
      <c r="VZL692" s="769"/>
      <c r="VZM692" s="769"/>
      <c r="VZN692" s="769"/>
      <c r="VZO692" s="769"/>
      <c r="VZP692" s="769"/>
      <c r="VZQ692" s="769"/>
      <c r="VZR692" s="769"/>
      <c r="VZS692" s="769"/>
      <c r="VZT692" s="769"/>
      <c r="VZU692" s="769"/>
      <c r="VZV692" s="769"/>
      <c r="VZW692" s="769"/>
      <c r="VZX692" s="769"/>
      <c r="VZY692" s="769"/>
      <c r="VZZ692" s="769"/>
      <c r="WAA692" s="769"/>
      <c r="WAB692" s="769"/>
      <c r="WAC692" s="769"/>
      <c r="WAD692" s="769"/>
      <c r="WAE692" s="769"/>
      <c r="WAF692" s="769"/>
      <c r="WAG692" s="769"/>
      <c r="WAH692" s="769"/>
      <c r="WAI692" s="769"/>
      <c r="WAJ692" s="769"/>
      <c r="WAK692" s="769"/>
      <c r="WAL692" s="769"/>
      <c r="WAM692" s="769"/>
      <c r="WAN692" s="769"/>
      <c r="WAO692" s="769"/>
      <c r="WAP692" s="769"/>
      <c r="WAQ692" s="769"/>
      <c r="WAR692" s="769"/>
      <c r="WAS692" s="769"/>
      <c r="WAT692" s="769"/>
      <c r="WAU692" s="769"/>
      <c r="WAV692" s="769"/>
      <c r="WAW692" s="769"/>
      <c r="WAX692" s="769"/>
      <c r="WAY692" s="769"/>
      <c r="WAZ692" s="769"/>
      <c r="WBA692" s="769"/>
      <c r="WBB692" s="769"/>
      <c r="WBC692" s="769"/>
      <c r="WBD692" s="769"/>
      <c r="WBE692" s="769"/>
      <c r="WBF692" s="769"/>
      <c r="WBG692" s="769"/>
      <c r="WBH692" s="769"/>
      <c r="WBI692" s="769"/>
      <c r="WBJ692" s="769"/>
      <c r="WBK692" s="769"/>
      <c r="WBL692" s="769"/>
      <c r="WBM692" s="769"/>
      <c r="WBN692" s="769"/>
      <c r="WBO692" s="769"/>
      <c r="WBP692" s="769"/>
      <c r="WBQ692" s="769"/>
      <c r="WBR692" s="769"/>
      <c r="WBS692" s="769"/>
      <c r="WBT692" s="769"/>
      <c r="WBU692" s="769"/>
      <c r="WBV692" s="769"/>
      <c r="WBW692" s="769"/>
      <c r="WBX692" s="769"/>
      <c r="WBY692" s="769"/>
      <c r="WBZ692" s="769"/>
      <c r="WCA692" s="769"/>
      <c r="WCB692" s="769"/>
      <c r="WCC692" s="769"/>
      <c r="WCD692" s="769"/>
      <c r="WCE692" s="769"/>
      <c r="WCF692" s="769"/>
      <c r="WCG692" s="769"/>
      <c r="WCH692" s="769"/>
      <c r="WCI692" s="769"/>
      <c r="WCJ692" s="769"/>
      <c r="WCK692" s="769"/>
      <c r="WCL692" s="769"/>
      <c r="WCM692" s="769"/>
      <c r="WCN692" s="769"/>
      <c r="WCO692" s="769"/>
      <c r="WCP692" s="769"/>
      <c r="WCQ692" s="769"/>
      <c r="WCR692" s="769"/>
      <c r="WCS692" s="769"/>
      <c r="WCT692" s="769"/>
      <c r="WCU692" s="769"/>
      <c r="WCV692" s="769"/>
      <c r="WCW692" s="769"/>
      <c r="WCX692" s="769"/>
      <c r="WCY692" s="769"/>
      <c r="WCZ692" s="769"/>
      <c r="WDA692" s="769"/>
      <c r="WDB692" s="769"/>
      <c r="WDC692" s="769"/>
      <c r="WDD692" s="769"/>
      <c r="WDE692" s="769"/>
      <c r="WDF692" s="769"/>
      <c r="WDG692" s="769"/>
      <c r="WDH692" s="769"/>
      <c r="WDI692" s="769"/>
      <c r="WDJ692" s="769"/>
      <c r="WDK692" s="769"/>
      <c r="WDL692" s="769"/>
      <c r="WDM692" s="769"/>
      <c r="WDN692" s="769"/>
      <c r="WDO692" s="769"/>
      <c r="WDP692" s="769"/>
      <c r="WDQ692" s="769"/>
      <c r="WDR692" s="769"/>
      <c r="WDS692" s="769"/>
      <c r="WDT692" s="769"/>
      <c r="WDU692" s="769"/>
      <c r="WDV692" s="769"/>
      <c r="WDW692" s="769"/>
      <c r="WDX692" s="769"/>
      <c r="WDY692" s="769"/>
      <c r="WDZ692" s="769"/>
      <c r="WEA692" s="769"/>
      <c r="WEB692" s="769"/>
      <c r="WEC692" s="769"/>
      <c r="WED692" s="769"/>
      <c r="WEE692" s="769"/>
      <c r="WEF692" s="769"/>
      <c r="WEG692" s="769"/>
      <c r="WEH692" s="769"/>
      <c r="WEI692" s="769"/>
      <c r="WEJ692" s="769"/>
      <c r="WEK692" s="769"/>
      <c r="WEL692" s="769"/>
      <c r="WEM692" s="769"/>
      <c r="WEN692" s="769"/>
      <c r="WEO692" s="769"/>
      <c r="WEP692" s="769"/>
      <c r="WEQ692" s="769"/>
      <c r="WER692" s="769"/>
      <c r="WES692" s="769"/>
      <c r="WET692" s="769"/>
      <c r="WEU692" s="769"/>
      <c r="WEV692" s="769"/>
      <c r="WEW692" s="769"/>
      <c r="WEX692" s="769"/>
      <c r="WEY692" s="769"/>
      <c r="WEZ692" s="769"/>
      <c r="WFA692" s="769"/>
      <c r="WFB692" s="769"/>
      <c r="WFC692" s="769"/>
      <c r="WFD692" s="769"/>
      <c r="WFE692" s="769"/>
      <c r="WFF692" s="769"/>
      <c r="WFG692" s="769"/>
      <c r="WFH692" s="769"/>
      <c r="WFI692" s="769"/>
      <c r="WFJ692" s="769"/>
      <c r="WFK692" s="769"/>
      <c r="WFL692" s="769"/>
      <c r="WFM692" s="769"/>
      <c r="WFN692" s="769"/>
      <c r="WFO692" s="769"/>
      <c r="WFP692" s="769"/>
      <c r="WFQ692" s="769"/>
      <c r="WFR692" s="769"/>
      <c r="WFS692" s="769"/>
      <c r="WFT692" s="769"/>
      <c r="WFU692" s="769"/>
      <c r="WFV692" s="769"/>
      <c r="WFW692" s="769"/>
      <c r="WFX692" s="769"/>
      <c r="WFY692" s="769"/>
      <c r="WFZ692" s="769"/>
      <c r="WGA692" s="769"/>
      <c r="WGB692" s="769"/>
      <c r="WGC692" s="769"/>
      <c r="WGD692" s="769"/>
      <c r="WGE692" s="769"/>
      <c r="WGF692" s="769"/>
      <c r="WGG692" s="769"/>
      <c r="WGH692" s="769"/>
      <c r="WGI692" s="769"/>
      <c r="WGJ692" s="769"/>
      <c r="WGK692" s="769"/>
      <c r="WGL692" s="769"/>
      <c r="WGM692" s="769"/>
      <c r="WGN692" s="769"/>
      <c r="WGO692" s="769"/>
      <c r="WGP692" s="769"/>
      <c r="WGQ692" s="769"/>
      <c r="WGR692" s="769"/>
      <c r="WGS692" s="769"/>
      <c r="WGT692" s="769"/>
      <c r="WGU692" s="769"/>
      <c r="WGV692" s="769"/>
      <c r="WGW692" s="769"/>
      <c r="WGX692" s="769"/>
      <c r="WGY692" s="769"/>
      <c r="WGZ692" s="769"/>
      <c r="WHA692" s="769"/>
      <c r="WHB692" s="769"/>
      <c r="WHC692" s="769"/>
      <c r="WHD692" s="769"/>
      <c r="WHE692" s="769"/>
      <c r="WHF692" s="769"/>
      <c r="WHG692" s="769"/>
      <c r="WHH692" s="769"/>
      <c r="WHI692" s="769"/>
      <c r="WHJ692" s="769"/>
      <c r="WHK692" s="769"/>
      <c r="WHL692" s="769"/>
      <c r="WHM692" s="769"/>
      <c r="WHN692" s="769"/>
      <c r="WHO692" s="769"/>
      <c r="WHP692" s="769"/>
      <c r="WHQ692" s="769"/>
      <c r="WHR692" s="769"/>
      <c r="WHS692" s="769"/>
      <c r="WHT692" s="769"/>
      <c r="WHU692" s="769"/>
      <c r="WHV692" s="769"/>
      <c r="WHW692" s="769"/>
      <c r="WHX692" s="769"/>
      <c r="WHY692" s="769"/>
      <c r="WHZ692" s="769"/>
      <c r="WIA692" s="769"/>
      <c r="WIB692" s="769"/>
      <c r="WIC692" s="769"/>
      <c r="WID692" s="769"/>
      <c r="WIE692" s="769"/>
      <c r="WIF692" s="769"/>
      <c r="WIG692" s="769"/>
      <c r="WIH692" s="769"/>
      <c r="WII692" s="769"/>
      <c r="WIJ692" s="769"/>
      <c r="WIK692" s="769"/>
      <c r="WIL692" s="769"/>
      <c r="WIM692" s="769"/>
      <c r="WIN692" s="769"/>
      <c r="WIO692" s="769"/>
      <c r="WIP692" s="769"/>
      <c r="WIQ692" s="769"/>
      <c r="WIR692" s="769"/>
      <c r="WIS692" s="769"/>
      <c r="WIT692" s="769"/>
      <c r="WIU692" s="769"/>
      <c r="WIV692" s="769"/>
      <c r="WIW692" s="769"/>
      <c r="WIX692" s="769"/>
      <c r="WIY692" s="769"/>
      <c r="WIZ692" s="769"/>
      <c r="WJA692" s="769"/>
      <c r="WJB692" s="769"/>
      <c r="WJC692" s="769"/>
      <c r="WJD692" s="769"/>
      <c r="WJE692" s="769"/>
      <c r="WJF692" s="769"/>
      <c r="WJG692" s="769"/>
      <c r="WJH692" s="769"/>
      <c r="WJI692" s="769"/>
      <c r="WJJ692" s="769"/>
      <c r="WJK692" s="769"/>
      <c r="WJL692" s="769"/>
      <c r="WJM692" s="769"/>
      <c r="WJN692" s="769"/>
      <c r="WJO692" s="769"/>
      <c r="WJP692" s="769"/>
      <c r="WJQ692" s="769"/>
      <c r="WJR692" s="769"/>
      <c r="WJS692" s="769"/>
      <c r="WJT692" s="769"/>
      <c r="WJU692" s="769"/>
      <c r="WJV692" s="769"/>
      <c r="WJW692" s="769"/>
      <c r="WJX692" s="769"/>
      <c r="WJY692" s="769"/>
      <c r="WJZ692" s="769"/>
      <c r="WKA692" s="769"/>
      <c r="WKB692" s="769"/>
      <c r="WKC692" s="769"/>
      <c r="WKD692" s="769"/>
      <c r="WKE692" s="769"/>
      <c r="WKF692" s="769"/>
      <c r="WKG692" s="769"/>
      <c r="WKH692" s="769"/>
      <c r="WKI692" s="769"/>
      <c r="WKJ692" s="769"/>
      <c r="WKK692" s="769"/>
      <c r="WKL692" s="769"/>
      <c r="WKM692" s="769"/>
      <c r="WKN692" s="769"/>
      <c r="WKO692" s="769"/>
      <c r="WKP692" s="769"/>
      <c r="WKQ692" s="769"/>
      <c r="WKR692" s="769"/>
      <c r="WKS692" s="769"/>
      <c r="WKT692" s="769"/>
      <c r="WKU692" s="769"/>
      <c r="WKV692" s="769"/>
      <c r="WKW692" s="769"/>
      <c r="WKX692" s="769"/>
      <c r="WKY692" s="769"/>
      <c r="WKZ692" s="769"/>
      <c r="WLA692" s="769"/>
      <c r="WLB692" s="769"/>
      <c r="WLC692" s="769"/>
      <c r="WLD692" s="769"/>
      <c r="WLE692" s="769"/>
      <c r="WLF692" s="769"/>
      <c r="WLG692" s="769"/>
      <c r="WLH692" s="769"/>
      <c r="WLI692" s="769"/>
      <c r="WLJ692" s="769"/>
      <c r="WLK692" s="769"/>
      <c r="WLL692" s="769"/>
      <c r="WLM692" s="769"/>
      <c r="WLN692" s="769"/>
      <c r="WLO692" s="769"/>
      <c r="WLP692" s="769"/>
      <c r="WLQ692" s="769"/>
      <c r="WLR692" s="769"/>
      <c r="WLS692" s="769"/>
      <c r="WLT692" s="769"/>
      <c r="WLU692" s="769"/>
      <c r="WLV692" s="769"/>
      <c r="WLW692" s="769"/>
      <c r="WLX692" s="769"/>
      <c r="WLY692" s="769"/>
      <c r="WLZ692" s="769"/>
      <c r="WMA692" s="769"/>
      <c r="WMB692" s="769"/>
      <c r="WMC692" s="769"/>
      <c r="WMD692" s="769"/>
      <c r="WME692" s="769"/>
      <c r="WMF692" s="769"/>
      <c r="WMG692" s="769"/>
      <c r="WMH692" s="769"/>
      <c r="WMI692" s="769"/>
      <c r="WMJ692" s="769"/>
      <c r="WMK692" s="769"/>
      <c r="WML692" s="769"/>
      <c r="WMM692" s="769"/>
      <c r="WMN692" s="769"/>
      <c r="WMO692" s="769"/>
      <c r="WMP692" s="769"/>
      <c r="WMQ692" s="769"/>
      <c r="WMR692" s="769"/>
      <c r="WMS692" s="769"/>
      <c r="WMT692" s="769"/>
      <c r="WMU692" s="769"/>
      <c r="WMV692" s="769"/>
      <c r="WMW692" s="769"/>
      <c r="WMX692" s="769"/>
      <c r="WMY692" s="769"/>
      <c r="WMZ692" s="769"/>
      <c r="WNA692" s="769"/>
      <c r="WNB692" s="769"/>
      <c r="WNC692" s="769"/>
      <c r="WND692" s="769"/>
      <c r="WNE692" s="769"/>
      <c r="WNF692" s="769"/>
      <c r="WNG692" s="769"/>
      <c r="WNH692" s="769"/>
      <c r="WNI692" s="769"/>
      <c r="WNJ692" s="769"/>
      <c r="WNK692" s="769"/>
      <c r="WNL692" s="769"/>
      <c r="WNM692" s="769"/>
      <c r="WNN692" s="769"/>
      <c r="WNO692" s="769"/>
      <c r="WNP692" s="769"/>
      <c r="WNQ692" s="769"/>
      <c r="WNR692" s="769"/>
      <c r="WNS692" s="769"/>
      <c r="WNT692" s="769"/>
      <c r="WNU692" s="769"/>
      <c r="WNV692" s="769"/>
      <c r="WNW692" s="769"/>
      <c r="WNX692" s="769"/>
      <c r="WNY692" s="769"/>
      <c r="WNZ692" s="769"/>
      <c r="WOA692" s="769"/>
      <c r="WOB692" s="769"/>
      <c r="WOC692" s="769"/>
      <c r="WOD692" s="769"/>
      <c r="WOE692" s="769"/>
      <c r="WOF692" s="769"/>
      <c r="WOG692" s="769"/>
      <c r="WOH692" s="769"/>
      <c r="WOI692" s="769"/>
      <c r="WOJ692" s="769"/>
      <c r="WOK692" s="769"/>
      <c r="WOL692" s="769"/>
      <c r="WOM692" s="769"/>
      <c r="WON692" s="769"/>
      <c r="WOO692" s="769"/>
      <c r="WOP692" s="769"/>
      <c r="WOQ692" s="769"/>
      <c r="WOR692" s="769"/>
      <c r="WOS692" s="769"/>
      <c r="WOT692" s="769"/>
      <c r="WOU692" s="769"/>
      <c r="WOV692" s="769"/>
      <c r="WOW692" s="769"/>
      <c r="WOX692" s="769"/>
      <c r="WOY692" s="769"/>
      <c r="WOZ692" s="769"/>
      <c r="WPA692" s="769"/>
      <c r="WPB692" s="769"/>
      <c r="WPC692" s="769"/>
      <c r="WPD692" s="769"/>
      <c r="WPE692" s="769"/>
      <c r="WPF692" s="769"/>
      <c r="WPG692" s="769"/>
      <c r="WPH692" s="769"/>
      <c r="WPI692" s="769"/>
      <c r="WPJ692" s="769"/>
      <c r="WPK692" s="769"/>
      <c r="WPL692" s="769"/>
      <c r="WPM692" s="769"/>
      <c r="WPN692" s="769"/>
      <c r="WPO692" s="769"/>
      <c r="WPP692" s="769"/>
      <c r="WPQ692" s="769"/>
      <c r="WPR692" s="769"/>
      <c r="WPS692" s="769"/>
      <c r="WPT692" s="769"/>
      <c r="WPU692" s="769"/>
      <c r="WPV692" s="769"/>
      <c r="WPW692" s="769"/>
      <c r="WPX692" s="769"/>
      <c r="WPY692" s="769"/>
      <c r="WPZ692" s="769"/>
      <c r="WQA692" s="769"/>
      <c r="WQB692" s="769"/>
      <c r="WQC692" s="769"/>
      <c r="WQD692" s="769"/>
      <c r="WQE692" s="769"/>
      <c r="WQF692" s="769"/>
      <c r="WQG692" s="769"/>
      <c r="WQH692" s="769"/>
      <c r="WQI692" s="769"/>
      <c r="WQJ692" s="769"/>
      <c r="WQK692" s="769"/>
      <c r="WQL692" s="769"/>
      <c r="WQM692" s="769"/>
      <c r="WQN692" s="769"/>
      <c r="WQO692" s="769"/>
      <c r="WQP692" s="769"/>
      <c r="WQQ692" s="769"/>
      <c r="WQR692" s="769"/>
      <c r="WQS692" s="769"/>
      <c r="WQT692" s="769"/>
      <c r="WQU692" s="769"/>
      <c r="WQV692" s="769"/>
      <c r="WQW692" s="769"/>
      <c r="WQX692" s="769"/>
      <c r="WQY692" s="769"/>
      <c r="WQZ692" s="769"/>
      <c r="WRA692" s="769"/>
      <c r="WRB692" s="769"/>
      <c r="WRC692" s="769"/>
      <c r="WRD692" s="769"/>
      <c r="WRE692" s="769"/>
      <c r="WRF692" s="769"/>
      <c r="WRG692" s="769"/>
      <c r="WRH692" s="769"/>
      <c r="WRI692" s="769"/>
      <c r="WRJ692" s="769"/>
      <c r="WRK692" s="769"/>
      <c r="WRL692" s="769"/>
      <c r="WRM692" s="769"/>
      <c r="WRN692" s="769"/>
      <c r="WRO692" s="769"/>
      <c r="WRP692" s="769"/>
      <c r="WRQ692" s="769"/>
      <c r="WRR692" s="769"/>
      <c r="WRS692" s="769"/>
      <c r="WRT692" s="769"/>
      <c r="WRU692" s="769"/>
      <c r="WRV692" s="769"/>
      <c r="WRW692" s="769"/>
      <c r="WRX692" s="769"/>
      <c r="WRY692" s="769"/>
      <c r="WRZ692" s="769"/>
      <c r="WSA692" s="769"/>
      <c r="WSB692" s="769"/>
      <c r="WSC692" s="769"/>
      <c r="WSD692" s="769"/>
      <c r="WSE692" s="769"/>
      <c r="WSF692" s="769"/>
      <c r="WSG692" s="769"/>
      <c r="WSH692" s="769"/>
      <c r="WSI692" s="769"/>
      <c r="WSJ692" s="769"/>
      <c r="WSK692" s="769"/>
      <c r="WSL692" s="769"/>
      <c r="WSM692" s="769"/>
      <c r="WSN692" s="769"/>
      <c r="WSO692" s="769"/>
      <c r="WSP692" s="769"/>
      <c r="WSQ692" s="769"/>
      <c r="WSR692" s="769"/>
      <c r="WSS692" s="769"/>
      <c r="WST692" s="769"/>
      <c r="WSU692" s="769"/>
      <c r="WSV692" s="769"/>
      <c r="WSW692" s="769"/>
      <c r="WSX692" s="769"/>
      <c r="WSY692" s="769"/>
      <c r="WSZ692" s="769"/>
      <c r="WTA692" s="769"/>
      <c r="WTB692" s="769"/>
      <c r="WTC692" s="769"/>
      <c r="WTD692" s="769"/>
      <c r="WTE692" s="769"/>
      <c r="WTF692" s="769"/>
      <c r="WTG692" s="769"/>
      <c r="WTH692" s="769"/>
      <c r="WTI692" s="769"/>
      <c r="WTJ692" s="769"/>
      <c r="WTK692" s="769"/>
      <c r="WTL692" s="769"/>
      <c r="WTM692" s="769"/>
      <c r="WTN692" s="769"/>
      <c r="WTO692" s="769"/>
      <c r="WTP692" s="769"/>
      <c r="WTQ692" s="769"/>
      <c r="WTR692" s="769"/>
      <c r="WTS692" s="769"/>
      <c r="WTT692" s="769"/>
      <c r="WTU692" s="769"/>
      <c r="WTV692" s="769"/>
      <c r="WTW692" s="769"/>
      <c r="WTX692" s="769"/>
      <c r="WTY692" s="769"/>
      <c r="WTZ692" s="769"/>
      <c r="WUA692" s="769"/>
      <c r="WUB692" s="769"/>
      <c r="WUC692" s="769"/>
      <c r="WUD692" s="769"/>
      <c r="WUE692" s="769"/>
      <c r="WUF692" s="769"/>
      <c r="WUG692" s="769"/>
      <c r="WUH692" s="769"/>
      <c r="WUI692" s="769"/>
      <c r="WUJ692" s="769"/>
      <c r="WUK692" s="769"/>
      <c r="WUL692" s="769"/>
      <c r="WUM692" s="769"/>
      <c r="WUN692" s="769"/>
      <c r="WUO692" s="769"/>
      <c r="WUP692" s="769"/>
      <c r="WUQ692" s="769"/>
      <c r="WUR692" s="769"/>
      <c r="WUS692" s="769"/>
      <c r="WUT692" s="769"/>
      <c r="WUU692" s="769"/>
      <c r="WUV692" s="769"/>
      <c r="WUW692" s="769"/>
      <c r="WUX692" s="769"/>
      <c r="WUY692" s="769"/>
      <c r="WUZ692" s="769"/>
      <c r="WVA692" s="769"/>
      <c r="WVB692" s="769"/>
      <c r="WVC692" s="769"/>
      <c r="WVD692" s="769"/>
      <c r="WVE692" s="769"/>
      <c r="WVF692" s="769"/>
      <c r="WVG692" s="769"/>
      <c r="WVH692" s="769"/>
      <c r="WVI692" s="769"/>
      <c r="WVJ692" s="769"/>
      <c r="WVK692" s="769"/>
      <c r="WVL692" s="769"/>
      <c r="WVM692" s="769"/>
      <c r="WVN692" s="769"/>
      <c r="WVO692" s="769"/>
      <c r="WVP692" s="769"/>
      <c r="WVQ692" s="769"/>
      <c r="WVR692" s="769"/>
      <c r="WVS692" s="769"/>
      <c r="WVT692" s="769"/>
      <c r="WVU692" s="769"/>
      <c r="WVV692" s="769"/>
      <c r="WVW692" s="769"/>
      <c r="WVX692" s="769"/>
      <c r="WVY692" s="769"/>
      <c r="WVZ692" s="769"/>
      <c r="WWA692" s="769"/>
      <c r="WWB692" s="769"/>
      <c r="WWC692" s="769"/>
      <c r="WWD692" s="769"/>
      <c r="WWE692" s="769"/>
      <c r="WWF692" s="769"/>
      <c r="WWG692" s="769"/>
      <c r="WWH692" s="769"/>
      <c r="WWI692" s="769"/>
      <c r="WWJ692" s="769"/>
      <c r="WWK692" s="769"/>
      <c r="WWL692" s="769"/>
      <c r="WWM692" s="769"/>
      <c r="WWN692" s="769"/>
      <c r="WWO692" s="769"/>
      <c r="WWP692" s="769"/>
      <c r="WWQ692" s="769"/>
      <c r="WWR692" s="769"/>
      <c r="WWS692" s="769"/>
      <c r="WWT692" s="769"/>
      <c r="WWU692" s="769"/>
      <c r="WWV692" s="769"/>
      <c r="WWW692" s="769"/>
      <c r="WWX692" s="769"/>
      <c r="WWY692" s="769"/>
      <c r="WWZ692" s="769"/>
      <c r="WXA692" s="769"/>
      <c r="WXB692" s="769"/>
      <c r="WXC692" s="769"/>
      <c r="WXD692" s="769"/>
      <c r="WXE692" s="769"/>
      <c r="WXF692" s="769"/>
      <c r="WXG692" s="769"/>
      <c r="WXH692" s="769"/>
      <c r="WXI692" s="769"/>
      <c r="WXJ692" s="769"/>
      <c r="WXK692" s="769"/>
      <c r="WXL692" s="769"/>
      <c r="WXM692" s="769"/>
      <c r="WXN692" s="769"/>
      <c r="WXO692" s="769"/>
      <c r="WXP692" s="769"/>
      <c r="WXQ692" s="769"/>
      <c r="WXR692" s="769"/>
      <c r="WXS692" s="769"/>
      <c r="WXT692" s="769"/>
      <c r="WXU692" s="769"/>
      <c r="WXV692" s="769"/>
      <c r="WXW692" s="769"/>
      <c r="WXX692" s="769"/>
      <c r="WXY692" s="769"/>
      <c r="WXZ692" s="769"/>
      <c r="WYA692" s="769"/>
      <c r="WYB692" s="769"/>
      <c r="WYC692" s="769"/>
      <c r="WYD692" s="769"/>
      <c r="WYE692" s="769"/>
      <c r="WYF692" s="769"/>
      <c r="WYG692" s="769"/>
      <c r="WYH692" s="769"/>
      <c r="WYI692" s="769"/>
      <c r="WYJ692" s="769"/>
      <c r="WYK692" s="769"/>
      <c r="WYL692" s="769"/>
      <c r="WYM692" s="769"/>
      <c r="WYN692" s="769"/>
      <c r="WYO692" s="769"/>
      <c r="WYP692" s="769"/>
      <c r="WYQ692" s="769"/>
      <c r="WYR692" s="769"/>
      <c r="WYS692" s="769"/>
      <c r="WYT692" s="769"/>
      <c r="WYU692" s="769"/>
      <c r="WYV692" s="769"/>
      <c r="WYW692" s="769"/>
      <c r="WYX692" s="769"/>
      <c r="WYY692" s="769"/>
      <c r="WYZ692" s="769"/>
      <c r="WZA692" s="769"/>
      <c r="WZB692" s="769"/>
      <c r="WZC692" s="769"/>
      <c r="WZD692" s="769"/>
      <c r="WZE692" s="769"/>
      <c r="WZF692" s="769"/>
      <c r="WZG692" s="769"/>
      <c r="WZH692" s="769"/>
      <c r="WZI692" s="769"/>
      <c r="WZJ692" s="769"/>
      <c r="WZK692" s="769"/>
      <c r="WZL692" s="769"/>
      <c r="WZM692" s="769"/>
      <c r="WZN692" s="769"/>
      <c r="WZO692" s="769"/>
      <c r="WZP692" s="769"/>
      <c r="WZQ692" s="769"/>
      <c r="WZR692" s="769"/>
      <c r="WZS692" s="769"/>
      <c r="WZT692" s="769"/>
      <c r="WZU692" s="769"/>
      <c r="WZV692" s="769"/>
      <c r="WZW692" s="769"/>
      <c r="WZX692" s="769"/>
      <c r="WZY692" s="769"/>
      <c r="WZZ692" s="769"/>
      <c r="XAA692" s="769"/>
      <c r="XAB692" s="769"/>
      <c r="XAC692" s="769"/>
      <c r="XAD692" s="769"/>
      <c r="XAE692" s="769"/>
      <c r="XAF692" s="769"/>
      <c r="XAG692" s="769"/>
      <c r="XAH692" s="769"/>
      <c r="XAI692" s="769"/>
      <c r="XAJ692" s="769"/>
      <c r="XAK692" s="769"/>
      <c r="XAL692" s="769"/>
      <c r="XAM692" s="769"/>
      <c r="XAN692" s="769"/>
      <c r="XAO692" s="769"/>
      <c r="XAP692" s="769"/>
      <c r="XAQ692" s="769"/>
      <c r="XAR692" s="769"/>
      <c r="XAS692" s="769"/>
      <c r="XAT692" s="769"/>
      <c r="XAU692" s="769"/>
      <c r="XAV692" s="769"/>
      <c r="XAW692" s="769"/>
      <c r="XAX692" s="769"/>
      <c r="XAY692" s="769"/>
      <c r="XAZ692" s="769"/>
      <c r="XBA692" s="769"/>
      <c r="XBB692" s="769"/>
      <c r="XBC692" s="769"/>
      <c r="XBD692" s="769"/>
      <c r="XBE692" s="769"/>
      <c r="XBF692" s="769"/>
      <c r="XBG692" s="769"/>
      <c r="XBH692" s="769"/>
      <c r="XBI692" s="769"/>
      <c r="XBJ692" s="769"/>
      <c r="XBK692" s="769"/>
      <c r="XBL692" s="769"/>
      <c r="XBM692" s="769"/>
      <c r="XBN692" s="769"/>
      <c r="XBO692" s="769"/>
      <c r="XBP692" s="769"/>
      <c r="XBQ692" s="769"/>
      <c r="XBR692" s="769"/>
      <c r="XBS692" s="769"/>
      <c r="XBT692" s="769"/>
      <c r="XBU692" s="769"/>
      <c r="XBV692" s="769"/>
      <c r="XBW692" s="769"/>
      <c r="XBX692" s="769"/>
      <c r="XBY692" s="769"/>
      <c r="XBZ692" s="769"/>
      <c r="XCA692" s="769"/>
      <c r="XCB692" s="769"/>
      <c r="XCC692" s="769"/>
      <c r="XCD692" s="769"/>
      <c r="XCE692" s="769"/>
      <c r="XCF692" s="769"/>
      <c r="XCG692" s="769"/>
      <c r="XCH692" s="769"/>
      <c r="XCI692" s="769"/>
      <c r="XCJ692" s="769"/>
      <c r="XCK692" s="769"/>
      <c r="XCL692" s="769"/>
      <c r="XCM692" s="769"/>
      <c r="XCN692" s="769"/>
      <c r="XCO692" s="769"/>
      <c r="XCP692" s="769"/>
      <c r="XCQ692" s="769"/>
      <c r="XCR692" s="769"/>
      <c r="XCS692" s="769"/>
      <c r="XCT692" s="769"/>
      <c r="XCU692" s="769"/>
      <c r="XCV692" s="769"/>
      <c r="XCW692" s="769"/>
      <c r="XCX692" s="769"/>
      <c r="XCY692" s="769"/>
      <c r="XCZ692" s="769"/>
      <c r="XDA692" s="769"/>
      <c r="XDB692" s="769"/>
      <c r="XDC692" s="769"/>
      <c r="XDD692" s="769"/>
      <c r="XDE692" s="769"/>
      <c r="XDF692" s="769"/>
      <c r="XDG692" s="769"/>
      <c r="XDH692" s="769"/>
      <c r="XDI692" s="769"/>
      <c r="XDJ692" s="769"/>
      <c r="XDK692" s="769"/>
      <c r="XDL692" s="769"/>
      <c r="XDM692" s="769"/>
      <c r="XDN692" s="769"/>
      <c r="XDO692" s="769"/>
      <c r="XDP692" s="769"/>
      <c r="XDQ692" s="769"/>
      <c r="XDR692" s="769"/>
      <c r="XDS692" s="769"/>
      <c r="XDT692" s="769"/>
      <c r="XDU692" s="769"/>
      <c r="XDV692" s="769"/>
      <c r="XDW692" s="769"/>
      <c r="XDX692" s="769"/>
      <c r="XDY692" s="769"/>
      <c r="XDZ692" s="769"/>
      <c r="XEA692" s="769"/>
      <c r="XEB692" s="769"/>
      <c r="XEC692" s="769"/>
      <c r="XED692" s="769"/>
      <c r="XEE692" s="769"/>
      <c r="XEF692" s="769"/>
      <c r="XEG692" s="769"/>
      <c r="XEH692" s="769"/>
      <c r="XEI692" s="769"/>
      <c r="XEJ692" s="769"/>
      <c r="XEK692" s="769"/>
      <c r="XEL692" s="769"/>
      <c r="XEM692" s="769"/>
      <c r="XEN692" s="769"/>
      <c r="XEO692" s="769"/>
      <c r="XEP692" s="769"/>
      <c r="XEQ692" s="769"/>
      <c r="XER692" s="769"/>
      <c r="XES692" s="769"/>
      <c r="XET692" s="769"/>
      <c r="XEU692" s="769"/>
      <c r="XEV692" s="769"/>
      <c r="XEW692" s="769"/>
      <c r="XEX692" s="769"/>
      <c r="XEY692" s="769"/>
      <c r="XEZ692" s="769"/>
      <c r="XFA692" s="769"/>
      <c r="XFB692" s="769"/>
      <c r="XFC692" s="769"/>
    </row>
    <row r="693" spans="1:16383" s="703" customFormat="1" ht="15.6" customHeight="1">
      <c r="A693" s="583" t="s">
        <v>24</v>
      </c>
      <c r="B693" s="834">
        <v>690</v>
      </c>
      <c r="C693" s="583" t="s">
        <v>4134</v>
      </c>
      <c r="D693" s="583" t="s">
        <v>102</v>
      </c>
      <c r="E693" s="592">
        <v>46139</v>
      </c>
      <c r="F693" s="583" t="s">
        <v>439</v>
      </c>
      <c r="G693" s="583">
        <v>12</v>
      </c>
      <c r="H693" s="583" t="s">
        <v>3056</v>
      </c>
      <c r="I693" s="583" t="s">
        <v>47</v>
      </c>
      <c r="J693" s="583"/>
      <c r="K693" s="583"/>
      <c r="L693" s="583"/>
      <c r="M693" s="583"/>
      <c r="N693" s="583"/>
      <c r="O693" s="562" t="s">
        <v>4135</v>
      </c>
      <c r="P693" s="593"/>
      <c r="Q693" s="593"/>
      <c r="R693" s="593"/>
      <c r="S693" s="583"/>
      <c r="T693" s="583"/>
      <c r="U693" s="583"/>
      <c r="V693" s="583"/>
      <c r="W693" s="583"/>
      <c r="X693" s="533"/>
      <c r="Y693" s="533"/>
      <c r="Z693" s="533"/>
      <c r="AA693" s="533"/>
      <c r="AB693" s="533"/>
      <c r="AC693" s="533"/>
      <c r="AD693" s="533"/>
      <c r="AE693" s="533"/>
      <c r="AF693" s="533"/>
      <c r="AG693" s="533"/>
      <c r="AH693" s="533"/>
      <c r="AI693" s="584"/>
      <c r="AJ693" s="584"/>
      <c r="AK693" s="584"/>
      <c r="AL693" s="584"/>
      <c r="AM693" s="533"/>
      <c r="AN693" s="533"/>
      <c r="AO693" s="533"/>
      <c r="AP693" s="594"/>
      <c r="AQ693" s="594"/>
      <c r="AR693" s="594"/>
      <c r="AS693" s="701"/>
      <c r="AT693" s="701"/>
      <c r="AU693" s="702"/>
      <c r="AV693" s="702"/>
      <c r="AW693" s="702"/>
      <c r="AX693" s="702"/>
    </row>
    <row r="694" spans="1:16383" s="729" customFormat="1" ht="15.6" customHeight="1">
      <c r="A694" s="215" t="s">
        <v>24</v>
      </c>
      <c r="B694" s="834">
        <v>691</v>
      </c>
      <c r="C694" s="215" t="s">
        <v>4136</v>
      </c>
      <c r="D694" s="215" t="s">
        <v>50</v>
      </c>
      <c r="E694" s="619">
        <v>46139</v>
      </c>
      <c r="F694" s="215" t="s">
        <v>199</v>
      </c>
      <c r="G694" s="215">
        <v>22</v>
      </c>
      <c r="H694" s="215" t="s">
        <v>3056</v>
      </c>
      <c r="I694" s="215" t="s">
        <v>47</v>
      </c>
      <c r="J694" s="215"/>
      <c r="K694" s="215"/>
      <c r="L694" s="215"/>
      <c r="M694" s="215"/>
      <c r="N694" s="215"/>
      <c r="O694" s="215" t="s">
        <v>2050</v>
      </c>
      <c r="P694" s="103"/>
      <c r="Q694" s="103"/>
      <c r="R694" s="103"/>
      <c r="S694" s="215"/>
      <c r="T694" s="215"/>
      <c r="U694" s="215"/>
      <c r="V694" s="215"/>
      <c r="W694" s="215"/>
      <c r="X694" s="91" t="s">
        <v>32</v>
      </c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110"/>
      <c r="AJ694" s="110"/>
      <c r="AK694" s="110"/>
      <c r="AL694" s="110"/>
      <c r="AM694" s="91"/>
      <c r="AN694" s="91"/>
      <c r="AO694" s="91"/>
      <c r="AP694" s="726"/>
      <c r="AQ694" s="726"/>
      <c r="AR694" s="726"/>
      <c r="AS694" s="727"/>
      <c r="AT694" s="727"/>
      <c r="AU694" s="728"/>
      <c r="AV694" s="728"/>
      <c r="AW694" s="728"/>
      <c r="AX694" s="728"/>
      <c r="BB694" s="729">
        <f t="shared" si="31"/>
        <v>1</v>
      </c>
    </row>
    <row r="695" spans="1:16383" s="729" customFormat="1" ht="15.6" customHeight="1">
      <c r="A695" s="215" t="s">
        <v>24</v>
      </c>
      <c r="B695" s="834">
        <v>692</v>
      </c>
      <c r="C695" s="215" t="s">
        <v>4137</v>
      </c>
      <c r="D695" s="215" t="s">
        <v>34</v>
      </c>
      <c r="E695" s="619">
        <v>46139</v>
      </c>
      <c r="F695" s="215" t="s">
        <v>4138</v>
      </c>
      <c r="G695" s="215">
        <v>8</v>
      </c>
      <c r="H695" s="215" t="s">
        <v>1077</v>
      </c>
      <c r="I695" s="215" t="s">
        <v>1138</v>
      </c>
      <c r="J695" s="215"/>
      <c r="K695" s="215"/>
      <c r="L695" s="215" t="s">
        <v>4139</v>
      </c>
      <c r="M695" s="215"/>
      <c r="N695" s="215"/>
      <c r="O695" s="215" t="s">
        <v>3743</v>
      </c>
      <c r="P695" s="103"/>
      <c r="Q695" s="103"/>
      <c r="R695" s="103"/>
      <c r="S695" s="215"/>
      <c r="T695" s="215"/>
      <c r="U695" s="215"/>
      <c r="V695" s="215"/>
      <c r="W695" s="215"/>
      <c r="X695" s="91" t="s">
        <v>32</v>
      </c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110"/>
      <c r="AJ695" s="110"/>
      <c r="AK695" s="110"/>
      <c r="AL695" s="110"/>
      <c r="AM695" s="91"/>
      <c r="AN695" s="91"/>
      <c r="AO695" s="91"/>
      <c r="AP695" s="726"/>
      <c r="AQ695" s="726"/>
      <c r="AR695" s="726"/>
      <c r="AS695" s="727"/>
      <c r="AT695" s="727"/>
      <c r="AU695" s="728"/>
      <c r="AV695" s="728"/>
      <c r="AW695" s="728"/>
      <c r="AX695" s="728"/>
      <c r="BB695" s="729">
        <f t="shared" si="31"/>
        <v>1</v>
      </c>
    </row>
    <row r="696" spans="1:16383" s="763" customFormat="1" ht="15.6" customHeight="1">
      <c r="A696" s="752" t="s">
        <v>24</v>
      </c>
      <c r="B696" s="912">
        <v>693</v>
      </c>
      <c r="C696" s="912" t="s">
        <v>4011</v>
      </c>
      <c r="D696" s="912" t="s">
        <v>43</v>
      </c>
      <c r="E696" s="916">
        <v>46139</v>
      </c>
      <c r="F696" s="912" t="s">
        <v>1626</v>
      </c>
      <c r="G696" s="912">
        <v>14</v>
      </c>
      <c r="H696" s="912" t="s">
        <v>1077</v>
      </c>
      <c r="I696" s="912" t="s">
        <v>1138</v>
      </c>
      <c r="J696" s="912"/>
      <c r="K696" s="764" t="s">
        <v>3063</v>
      </c>
      <c r="L696" s="912" t="s">
        <v>4012</v>
      </c>
      <c r="M696" s="752" t="s">
        <v>4013</v>
      </c>
      <c r="N696" s="752" t="s">
        <v>4013</v>
      </c>
      <c r="O696" s="917" t="s">
        <v>3743</v>
      </c>
      <c r="P696" s="917"/>
      <c r="Q696" s="917"/>
      <c r="R696" s="917"/>
      <c r="S696" s="757"/>
      <c r="T696" s="912"/>
      <c r="U696" s="912"/>
      <c r="V696" s="912"/>
      <c r="W696" s="912"/>
      <c r="X696" s="758" t="s">
        <v>32</v>
      </c>
      <c r="Y696" s="759"/>
      <c r="Z696" s="759"/>
      <c r="AA696" s="759"/>
      <c r="AB696" s="759"/>
      <c r="AC696" s="759"/>
      <c r="AD696" s="759"/>
      <c r="AE696" s="759"/>
      <c r="AF696" s="759"/>
      <c r="AG696" s="759"/>
      <c r="AH696" s="759"/>
      <c r="AI696" s="760"/>
      <c r="AJ696" s="760"/>
      <c r="AK696" s="760"/>
      <c r="AL696" s="760"/>
      <c r="AM696" s="759"/>
      <c r="AN696" s="759"/>
      <c r="AO696" s="918"/>
      <c r="AP696" s="920"/>
      <c r="AQ696" s="920"/>
      <c r="AR696" s="920"/>
      <c r="AS696" s="761"/>
      <c r="AT696" s="761"/>
      <c r="AU696" s="762"/>
      <c r="AV696" s="762"/>
      <c r="AW696" s="762"/>
      <c r="AX696" s="762"/>
      <c r="BB696" s="763">
        <f t="shared" ref="BB696" si="39">IF(E696&gt;1,1,"")</f>
        <v>1</v>
      </c>
    </row>
    <row r="697" spans="1:16383" s="72" customFormat="1" ht="15.6" customHeight="1">
      <c r="A697" s="834" t="s">
        <v>24</v>
      </c>
      <c r="B697" s="834">
        <v>694</v>
      </c>
      <c r="C697" s="834" t="s">
        <v>4140</v>
      </c>
      <c r="D697" s="834" t="s">
        <v>879</v>
      </c>
      <c r="E697" s="852">
        <v>46139</v>
      </c>
      <c r="F697" s="834" t="s">
        <v>737</v>
      </c>
      <c r="G697" s="834">
        <v>12</v>
      </c>
      <c r="H697" s="834" t="s">
        <v>3056</v>
      </c>
      <c r="I697" s="834" t="s">
        <v>47</v>
      </c>
      <c r="J697" s="834"/>
      <c r="K697" s="136"/>
      <c r="L697" s="834" t="s">
        <v>4123</v>
      </c>
      <c r="M697" s="834"/>
      <c r="N697" s="834"/>
      <c r="O697" s="136" t="s">
        <v>2083</v>
      </c>
      <c r="P697" s="848"/>
      <c r="Q697" s="848"/>
      <c r="R697" s="848"/>
      <c r="S697" s="89"/>
      <c r="T697" s="834"/>
      <c r="U697" s="834"/>
      <c r="V697" s="834"/>
      <c r="W697" s="834"/>
      <c r="X697" s="91" t="s">
        <v>32</v>
      </c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108"/>
      <c r="AJ697" s="108"/>
      <c r="AK697" s="108"/>
      <c r="AL697" s="108"/>
      <c r="AM697" s="80"/>
      <c r="AN697" s="80"/>
      <c r="AO697" s="840"/>
      <c r="AP697" s="851"/>
      <c r="AQ697" s="851"/>
      <c r="AR697" s="851"/>
      <c r="AS697" s="540"/>
      <c r="AT697" s="540"/>
      <c r="AU697" s="541"/>
      <c r="AV697" s="541"/>
      <c r="AW697" s="541"/>
      <c r="AX697" s="541"/>
      <c r="BB697" s="72">
        <f t="shared" si="31"/>
        <v>1</v>
      </c>
    </row>
    <row r="698" spans="1:16383" s="537" customFormat="1" ht="15.6" customHeight="1">
      <c r="A698" s="521" t="s">
        <v>24</v>
      </c>
      <c r="B698" s="834">
        <v>695</v>
      </c>
      <c r="C698" s="537" t="s">
        <v>4141</v>
      </c>
      <c r="D698" s="751" t="s">
        <v>3741</v>
      </c>
      <c r="E698" s="887">
        <v>46139</v>
      </c>
      <c r="F698" s="751" t="s">
        <v>202</v>
      </c>
      <c r="G698" s="537">
        <v>20</v>
      </c>
      <c r="H698" s="751" t="s">
        <v>3056</v>
      </c>
      <c r="I698" s="751" t="s">
        <v>47</v>
      </c>
      <c r="J698" s="521"/>
      <c r="K698" s="751"/>
      <c r="L698" s="751" t="s">
        <v>4142</v>
      </c>
      <c r="M698" s="751"/>
      <c r="O698" s="888" t="s">
        <v>4143</v>
      </c>
      <c r="P698" s="888"/>
      <c r="Q698" s="888"/>
      <c r="R698" s="529"/>
      <c r="S698" s="751"/>
      <c r="T698" s="751"/>
      <c r="U698" s="751"/>
      <c r="V698" s="751"/>
      <c r="W698" s="533" t="s">
        <v>32</v>
      </c>
      <c r="X698" s="522"/>
      <c r="Y698" s="522"/>
      <c r="Z698" s="522"/>
      <c r="AA698" s="522"/>
      <c r="AB698" s="522"/>
      <c r="AC698" s="522"/>
      <c r="AD698" s="522"/>
      <c r="AE698" s="522"/>
      <c r="AF698" s="522"/>
      <c r="AG698" s="522"/>
      <c r="AH698" s="523"/>
      <c r="AI698" s="523"/>
      <c r="AJ698" s="523"/>
      <c r="AK698" s="523"/>
      <c r="AL698" s="522"/>
      <c r="AM698" s="522"/>
      <c r="AN698" s="889"/>
      <c r="AO698" s="890"/>
      <c r="AP698" s="890"/>
      <c r="AQ698" s="890"/>
      <c r="AR698" s="525"/>
      <c r="AS698" s="525"/>
      <c r="AT698" s="526"/>
      <c r="AU698" s="526"/>
      <c r="AV698" s="526"/>
      <c r="AW698" s="526"/>
      <c r="AX698" s="524"/>
      <c r="AY698" s="524"/>
      <c r="AZ698" s="524"/>
      <c r="BA698" s="524">
        <v>1</v>
      </c>
      <c r="BB698" s="524"/>
      <c r="BC698" s="524"/>
      <c r="BD698" s="524"/>
      <c r="BE698" s="524"/>
      <c r="BF698" s="524"/>
      <c r="BG698" s="524"/>
      <c r="BH698" s="524"/>
      <c r="BI698" s="524"/>
      <c r="BJ698" s="524"/>
      <c r="BK698" s="524"/>
      <c r="BL698" s="524"/>
      <c r="BM698" s="524"/>
      <c r="BN698" s="524"/>
      <c r="BO698" s="524"/>
      <c r="BP698" s="524"/>
      <c r="BQ698" s="524"/>
      <c r="BR698" s="524"/>
      <c r="BS698" s="524"/>
      <c r="BT698" s="524"/>
      <c r="BU698" s="524"/>
      <c r="BV698" s="524"/>
      <c r="BW698" s="524"/>
      <c r="BX698" s="524"/>
      <c r="BY698" s="524"/>
      <c r="BZ698" s="524"/>
      <c r="CA698" s="524"/>
      <c r="CB698" s="524"/>
      <c r="CC698" s="524"/>
      <c r="CD698" s="524"/>
      <c r="CE698" s="524"/>
      <c r="CF698" s="524"/>
      <c r="CG698" s="524"/>
      <c r="CH698" s="524"/>
      <c r="CI698" s="524"/>
      <c r="CJ698" s="524"/>
      <c r="CK698" s="524"/>
      <c r="CL698" s="524"/>
      <c r="CM698" s="524"/>
      <c r="CN698" s="524"/>
      <c r="CO698" s="524"/>
      <c r="CP698" s="524"/>
      <c r="CQ698" s="524"/>
      <c r="CR698" s="524"/>
      <c r="CS698" s="524"/>
      <c r="CT698" s="524"/>
      <c r="CU698" s="524"/>
      <c r="CV698" s="524"/>
      <c r="CW698" s="524"/>
      <c r="CX698" s="524"/>
      <c r="CY698" s="524"/>
      <c r="CZ698" s="524"/>
      <c r="DA698" s="524"/>
      <c r="DB698" s="524"/>
      <c r="DC698" s="524"/>
      <c r="DD698" s="524"/>
      <c r="DE698" s="524"/>
      <c r="DF698" s="524"/>
      <c r="DG698" s="524"/>
      <c r="DH698" s="524"/>
      <c r="DI698" s="524"/>
      <c r="DJ698" s="524"/>
      <c r="DK698" s="524"/>
      <c r="DL698" s="524"/>
      <c r="DM698" s="524"/>
      <c r="DN698" s="524"/>
      <c r="DO698" s="524"/>
      <c r="DP698" s="524"/>
      <c r="DQ698" s="524"/>
      <c r="DR698" s="524"/>
      <c r="DS698" s="524"/>
      <c r="DT698" s="524"/>
      <c r="DU698" s="524"/>
      <c r="DV698" s="524"/>
      <c r="DW698" s="524"/>
      <c r="DX698" s="524"/>
      <c r="DY698" s="524"/>
      <c r="DZ698" s="524"/>
      <c r="EA698" s="524"/>
      <c r="EB698" s="524"/>
      <c r="EC698" s="524"/>
      <c r="ED698" s="524"/>
      <c r="EE698" s="524"/>
      <c r="EF698" s="524"/>
      <c r="EG698" s="524"/>
      <c r="EH698" s="524"/>
      <c r="EI698" s="524"/>
      <c r="EJ698" s="524"/>
      <c r="EK698" s="524"/>
      <c r="EL698" s="524"/>
      <c r="EM698" s="524"/>
      <c r="EN698" s="524"/>
      <c r="EO698" s="524"/>
      <c r="EP698" s="524"/>
      <c r="EQ698" s="524"/>
      <c r="ER698" s="524"/>
      <c r="ES698" s="524"/>
      <c r="ET698" s="524"/>
      <c r="EU698" s="524"/>
      <c r="EV698" s="524"/>
      <c r="EW698" s="524"/>
      <c r="EX698" s="524"/>
      <c r="EY698" s="524"/>
      <c r="EZ698" s="524"/>
      <c r="FA698" s="524"/>
      <c r="FB698" s="524"/>
      <c r="FC698" s="524"/>
      <c r="FD698" s="524"/>
      <c r="FE698" s="524"/>
      <c r="FF698" s="524"/>
      <c r="FG698" s="524"/>
      <c r="FH698" s="524"/>
      <c r="FI698" s="524"/>
      <c r="FJ698" s="524"/>
      <c r="FK698" s="524"/>
      <c r="FL698" s="524"/>
      <c r="FM698" s="524"/>
      <c r="FN698" s="524"/>
      <c r="FO698" s="524"/>
      <c r="FP698" s="524"/>
      <c r="FQ698" s="524"/>
      <c r="FR698" s="524"/>
      <c r="FS698" s="524"/>
      <c r="FT698" s="524"/>
      <c r="FU698" s="524"/>
      <c r="FV698" s="524"/>
      <c r="FW698" s="524"/>
      <c r="FX698" s="524"/>
      <c r="FY698" s="524"/>
      <c r="FZ698" s="524"/>
      <c r="GA698" s="524"/>
      <c r="GB698" s="524"/>
      <c r="GC698" s="524"/>
      <c r="GD698" s="524"/>
      <c r="GE698" s="524"/>
      <c r="GF698" s="524"/>
      <c r="GG698" s="524"/>
      <c r="GH698" s="524"/>
      <c r="GI698" s="524"/>
      <c r="GJ698" s="524"/>
      <c r="GK698" s="524"/>
      <c r="GL698" s="524"/>
      <c r="GM698" s="524"/>
      <c r="GN698" s="524"/>
      <c r="GO698" s="524"/>
      <c r="GP698" s="524"/>
      <c r="GQ698" s="524"/>
      <c r="GR698" s="524"/>
      <c r="GS698" s="524"/>
      <c r="GT698" s="524"/>
      <c r="GU698" s="524"/>
      <c r="GV698" s="524"/>
      <c r="GW698" s="524"/>
      <c r="GX698" s="524"/>
      <c r="GY698" s="524"/>
      <c r="GZ698" s="524"/>
      <c r="HA698" s="524"/>
      <c r="HB698" s="524"/>
      <c r="HC698" s="524"/>
      <c r="HD698" s="524"/>
      <c r="HE698" s="524"/>
      <c r="HF698" s="524"/>
      <c r="HG698" s="524"/>
      <c r="HH698" s="524"/>
      <c r="HI698" s="524"/>
      <c r="HJ698" s="524"/>
      <c r="HK698" s="524"/>
      <c r="HL698" s="524"/>
      <c r="HM698" s="524"/>
      <c r="HN698" s="524"/>
      <c r="HO698" s="524"/>
      <c r="HP698" s="524"/>
      <c r="HQ698" s="524"/>
      <c r="HR698" s="524"/>
      <c r="HS698" s="524"/>
      <c r="HT698" s="524"/>
      <c r="HU698" s="524"/>
      <c r="HV698" s="524"/>
      <c r="HW698" s="524"/>
      <c r="HX698" s="524"/>
      <c r="HY698" s="524"/>
      <c r="HZ698" s="524"/>
      <c r="IA698" s="524"/>
      <c r="IB698" s="524"/>
      <c r="IC698" s="524"/>
      <c r="ID698" s="524"/>
      <c r="IE698" s="524"/>
      <c r="IF698" s="524"/>
      <c r="IG698" s="524"/>
      <c r="IH698" s="524"/>
      <c r="II698" s="524"/>
      <c r="IJ698" s="524"/>
      <c r="IK698" s="524"/>
      <c r="IL698" s="524"/>
      <c r="IM698" s="524"/>
      <c r="IN698" s="524"/>
      <c r="IO698" s="524"/>
      <c r="IP698" s="524"/>
      <c r="IQ698" s="524"/>
      <c r="IR698" s="524"/>
      <c r="IS698" s="524"/>
      <c r="IT698" s="524"/>
      <c r="IU698" s="524"/>
      <c r="IV698" s="524"/>
      <c r="IW698" s="524"/>
      <c r="IX698" s="524"/>
      <c r="IY698" s="524"/>
      <c r="IZ698" s="524"/>
      <c r="JA698" s="524"/>
      <c r="JB698" s="524"/>
      <c r="JC698" s="524"/>
      <c r="JD698" s="524"/>
      <c r="JE698" s="524"/>
      <c r="JF698" s="524"/>
      <c r="JG698" s="524"/>
      <c r="JH698" s="524"/>
      <c r="JI698" s="524"/>
      <c r="JJ698" s="524"/>
      <c r="JK698" s="524"/>
      <c r="JL698" s="524"/>
      <c r="JM698" s="524"/>
      <c r="JN698" s="524"/>
      <c r="JO698" s="524"/>
      <c r="JP698" s="524"/>
      <c r="JQ698" s="524"/>
      <c r="JR698" s="524"/>
      <c r="JS698" s="524"/>
      <c r="JT698" s="524"/>
      <c r="JU698" s="524"/>
      <c r="JV698" s="524"/>
      <c r="JW698" s="524"/>
      <c r="JX698" s="524"/>
      <c r="JY698" s="524"/>
      <c r="JZ698" s="524"/>
      <c r="KA698" s="524"/>
      <c r="KB698" s="524"/>
      <c r="KC698" s="524"/>
      <c r="KD698" s="524"/>
      <c r="KE698" s="524"/>
      <c r="KF698" s="524"/>
      <c r="KG698" s="524"/>
      <c r="KH698" s="524"/>
      <c r="KI698" s="524"/>
      <c r="KJ698" s="524"/>
      <c r="KK698" s="524"/>
      <c r="KL698" s="524"/>
      <c r="KM698" s="524"/>
      <c r="KN698" s="524"/>
      <c r="KO698" s="524"/>
      <c r="KP698" s="524"/>
      <c r="KQ698" s="524"/>
      <c r="KR698" s="524"/>
      <c r="KS698" s="524"/>
      <c r="KT698" s="524"/>
      <c r="KU698" s="524"/>
      <c r="KV698" s="524"/>
      <c r="KW698" s="524"/>
      <c r="KX698" s="524"/>
      <c r="KY698" s="524"/>
      <c r="KZ698" s="524"/>
      <c r="LA698" s="524"/>
      <c r="LB698" s="524"/>
      <c r="LC698" s="524"/>
      <c r="LD698" s="524"/>
      <c r="LE698" s="524"/>
      <c r="LF698" s="524"/>
      <c r="LG698" s="524"/>
      <c r="LH698" s="524"/>
      <c r="LI698" s="524"/>
      <c r="LJ698" s="524"/>
      <c r="LK698" s="524"/>
      <c r="LL698" s="524"/>
      <c r="LM698" s="524"/>
      <c r="LN698" s="524"/>
      <c r="LO698" s="524"/>
      <c r="LP698" s="524"/>
      <c r="LQ698" s="524"/>
      <c r="LR698" s="524"/>
      <c r="LS698" s="524"/>
      <c r="LT698" s="524"/>
      <c r="LU698" s="524"/>
      <c r="LV698" s="524"/>
      <c r="LW698" s="524"/>
      <c r="LX698" s="524"/>
      <c r="LY698" s="524"/>
      <c r="LZ698" s="524"/>
      <c r="MA698" s="524"/>
      <c r="MB698" s="524"/>
      <c r="MC698" s="524"/>
      <c r="MD698" s="524"/>
      <c r="ME698" s="524"/>
      <c r="MF698" s="524"/>
      <c r="MG698" s="524"/>
      <c r="MH698" s="524"/>
      <c r="MI698" s="524"/>
      <c r="MJ698" s="524"/>
      <c r="MK698" s="524"/>
      <c r="ML698" s="524"/>
      <c r="MM698" s="524"/>
      <c r="MN698" s="524"/>
      <c r="MO698" s="524"/>
      <c r="MP698" s="524"/>
      <c r="MQ698" s="524"/>
      <c r="MR698" s="524"/>
      <c r="MS698" s="524"/>
      <c r="MT698" s="524"/>
      <c r="MU698" s="524"/>
      <c r="MV698" s="524"/>
      <c r="MW698" s="524"/>
      <c r="MX698" s="524"/>
      <c r="MY698" s="524"/>
      <c r="MZ698" s="524"/>
      <c r="NA698" s="524"/>
      <c r="NB698" s="524"/>
      <c r="NC698" s="524"/>
      <c r="ND698" s="524"/>
      <c r="NE698" s="524"/>
      <c r="NF698" s="524"/>
      <c r="NG698" s="524"/>
      <c r="NH698" s="524"/>
      <c r="NI698" s="524"/>
      <c r="NJ698" s="524"/>
      <c r="NK698" s="524"/>
      <c r="NL698" s="524"/>
      <c r="NM698" s="524"/>
      <c r="NN698" s="524"/>
      <c r="NO698" s="524"/>
      <c r="NP698" s="524"/>
      <c r="NQ698" s="524"/>
      <c r="NR698" s="524"/>
      <c r="NS698" s="524"/>
      <c r="NT698" s="524"/>
      <c r="NU698" s="524"/>
      <c r="NV698" s="524"/>
      <c r="NW698" s="524"/>
      <c r="NX698" s="524"/>
      <c r="NY698" s="524"/>
      <c r="NZ698" s="524"/>
      <c r="OA698" s="524"/>
      <c r="OB698" s="524"/>
      <c r="OC698" s="524"/>
      <c r="OD698" s="524"/>
      <c r="OE698" s="524"/>
      <c r="OF698" s="524"/>
      <c r="OG698" s="524"/>
      <c r="OH698" s="524"/>
      <c r="OI698" s="524"/>
      <c r="OJ698" s="524"/>
      <c r="OK698" s="524"/>
      <c r="OL698" s="524"/>
      <c r="OM698" s="524"/>
      <c r="ON698" s="524"/>
      <c r="OO698" s="524"/>
      <c r="OP698" s="524"/>
      <c r="OQ698" s="524"/>
      <c r="OR698" s="524"/>
      <c r="OS698" s="524"/>
      <c r="OT698" s="524"/>
      <c r="OU698" s="524"/>
      <c r="OV698" s="524"/>
      <c r="OW698" s="524"/>
      <c r="OX698" s="524"/>
      <c r="OY698" s="524"/>
      <c r="OZ698" s="524"/>
      <c r="PA698" s="524"/>
      <c r="PB698" s="524"/>
      <c r="PC698" s="524"/>
      <c r="PD698" s="524"/>
      <c r="PE698" s="524"/>
      <c r="PF698" s="524"/>
      <c r="PG698" s="524"/>
      <c r="PH698" s="524"/>
      <c r="PI698" s="524"/>
      <c r="PJ698" s="524"/>
      <c r="PK698" s="524"/>
      <c r="PL698" s="524"/>
      <c r="PM698" s="524"/>
      <c r="PN698" s="524"/>
      <c r="PO698" s="524"/>
      <c r="PP698" s="524"/>
      <c r="PQ698" s="524"/>
      <c r="PR698" s="524"/>
      <c r="PS698" s="524"/>
      <c r="PT698" s="524"/>
      <c r="PU698" s="524"/>
      <c r="PV698" s="524"/>
      <c r="PW698" s="524"/>
      <c r="PX698" s="524"/>
      <c r="PY698" s="524"/>
      <c r="PZ698" s="524"/>
      <c r="QA698" s="524"/>
      <c r="QB698" s="524"/>
      <c r="QC698" s="524"/>
      <c r="QD698" s="524"/>
      <c r="QE698" s="524"/>
      <c r="QF698" s="524"/>
      <c r="QG698" s="524"/>
      <c r="QH698" s="524"/>
      <c r="QI698" s="524"/>
      <c r="QJ698" s="524"/>
      <c r="QK698" s="524"/>
      <c r="QL698" s="524"/>
      <c r="QM698" s="524"/>
      <c r="QN698" s="524"/>
      <c r="QO698" s="524"/>
      <c r="QP698" s="524"/>
      <c r="QQ698" s="524"/>
      <c r="QR698" s="524"/>
      <c r="QS698" s="524"/>
      <c r="QT698" s="524"/>
      <c r="QU698" s="524"/>
      <c r="QV698" s="524"/>
      <c r="QW698" s="524"/>
      <c r="QX698" s="524"/>
      <c r="QY698" s="524"/>
      <c r="QZ698" s="524"/>
      <c r="RA698" s="524"/>
      <c r="RB698" s="524"/>
      <c r="RC698" s="524"/>
      <c r="RD698" s="524"/>
      <c r="RE698" s="524"/>
      <c r="RF698" s="524"/>
      <c r="RG698" s="524"/>
      <c r="RH698" s="524"/>
      <c r="RI698" s="524"/>
      <c r="RJ698" s="524"/>
      <c r="RK698" s="524"/>
      <c r="RL698" s="524"/>
      <c r="RM698" s="524"/>
      <c r="RN698" s="524"/>
      <c r="RO698" s="524"/>
      <c r="RP698" s="524"/>
      <c r="RQ698" s="524"/>
      <c r="RR698" s="524"/>
      <c r="RS698" s="524"/>
      <c r="RT698" s="524"/>
      <c r="RU698" s="524"/>
      <c r="RV698" s="524"/>
      <c r="RW698" s="524"/>
      <c r="RX698" s="524"/>
      <c r="RY698" s="524"/>
      <c r="RZ698" s="524"/>
      <c r="SA698" s="524"/>
      <c r="SB698" s="524"/>
      <c r="SC698" s="524"/>
      <c r="SD698" s="524"/>
      <c r="SE698" s="524"/>
      <c r="SF698" s="524"/>
      <c r="SG698" s="524"/>
      <c r="SH698" s="524"/>
      <c r="SI698" s="524"/>
      <c r="SJ698" s="524"/>
      <c r="SK698" s="524"/>
      <c r="SL698" s="524"/>
      <c r="SM698" s="524"/>
      <c r="SN698" s="524"/>
      <c r="SO698" s="524"/>
      <c r="SP698" s="524"/>
      <c r="SQ698" s="524"/>
      <c r="SR698" s="524"/>
      <c r="SS698" s="524"/>
      <c r="ST698" s="524"/>
      <c r="SU698" s="524"/>
      <c r="SV698" s="524"/>
      <c r="SW698" s="524"/>
      <c r="SX698" s="524"/>
      <c r="SY698" s="524"/>
      <c r="SZ698" s="524"/>
      <c r="TA698" s="524"/>
      <c r="TB698" s="524"/>
      <c r="TC698" s="524"/>
      <c r="TD698" s="524"/>
      <c r="TE698" s="524"/>
      <c r="TF698" s="524"/>
      <c r="TG698" s="524"/>
      <c r="TH698" s="524"/>
      <c r="TI698" s="524"/>
      <c r="TJ698" s="524"/>
      <c r="TK698" s="524"/>
      <c r="TL698" s="524"/>
      <c r="TM698" s="524"/>
      <c r="TN698" s="524"/>
      <c r="TO698" s="524"/>
      <c r="TP698" s="524"/>
      <c r="TQ698" s="524"/>
      <c r="TR698" s="524"/>
      <c r="TS698" s="524"/>
      <c r="TT698" s="524"/>
      <c r="TU698" s="524"/>
      <c r="TV698" s="524"/>
      <c r="TW698" s="524"/>
      <c r="TX698" s="524"/>
      <c r="TY698" s="524"/>
      <c r="TZ698" s="524"/>
      <c r="UA698" s="524"/>
      <c r="UB698" s="524"/>
      <c r="UC698" s="524"/>
      <c r="UD698" s="524"/>
      <c r="UE698" s="524"/>
      <c r="UF698" s="524"/>
      <c r="UG698" s="524"/>
      <c r="UH698" s="524"/>
      <c r="UI698" s="524"/>
      <c r="UJ698" s="524"/>
      <c r="UK698" s="524"/>
      <c r="UL698" s="524"/>
      <c r="UM698" s="524"/>
      <c r="UN698" s="524"/>
      <c r="UO698" s="524"/>
      <c r="UP698" s="524"/>
      <c r="UQ698" s="524"/>
      <c r="UR698" s="524"/>
      <c r="US698" s="524"/>
      <c r="UT698" s="524"/>
      <c r="UU698" s="524"/>
      <c r="UV698" s="524"/>
      <c r="UW698" s="524"/>
      <c r="UX698" s="524"/>
      <c r="UY698" s="524"/>
      <c r="UZ698" s="524"/>
      <c r="VA698" s="524"/>
      <c r="VB698" s="524"/>
      <c r="VC698" s="524"/>
      <c r="VD698" s="524"/>
      <c r="VE698" s="524"/>
      <c r="VF698" s="524"/>
      <c r="VG698" s="524"/>
      <c r="VH698" s="524"/>
      <c r="VI698" s="524"/>
      <c r="VJ698" s="524"/>
      <c r="VK698" s="524"/>
      <c r="VL698" s="524"/>
      <c r="VM698" s="524"/>
      <c r="VN698" s="524"/>
      <c r="VO698" s="524"/>
      <c r="VP698" s="524"/>
      <c r="VQ698" s="524"/>
      <c r="VR698" s="524"/>
      <c r="VS698" s="524"/>
      <c r="VT698" s="524"/>
      <c r="VU698" s="524"/>
      <c r="VV698" s="524"/>
      <c r="VW698" s="524"/>
      <c r="VX698" s="524"/>
      <c r="VY698" s="524"/>
      <c r="VZ698" s="524"/>
      <c r="WA698" s="524"/>
      <c r="WB698" s="524"/>
      <c r="WC698" s="524"/>
      <c r="WD698" s="524"/>
      <c r="WE698" s="524"/>
      <c r="WF698" s="524"/>
      <c r="WG698" s="524"/>
      <c r="WH698" s="524"/>
      <c r="WI698" s="524"/>
      <c r="WJ698" s="524"/>
      <c r="WK698" s="524"/>
      <c r="WL698" s="524"/>
      <c r="WM698" s="524"/>
      <c r="WN698" s="524"/>
      <c r="WO698" s="524"/>
      <c r="WP698" s="524"/>
      <c r="WQ698" s="524"/>
      <c r="WR698" s="524"/>
      <c r="WS698" s="524"/>
      <c r="WT698" s="524"/>
      <c r="WU698" s="524"/>
      <c r="WV698" s="524"/>
      <c r="WW698" s="524"/>
      <c r="WX698" s="524"/>
      <c r="WY698" s="524"/>
      <c r="WZ698" s="524"/>
      <c r="XA698" s="524"/>
      <c r="XB698" s="524"/>
      <c r="XC698" s="524"/>
      <c r="XD698" s="524"/>
      <c r="XE698" s="524"/>
      <c r="XF698" s="524"/>
      <c r="XG698" s="524"/>
      <c r="XH698" s="524"/>
      <c r="XI698" s="524"/>
      <c r="XJ698" s="524"/>
      <c r="XK698" s="524"/>
      <c r="XL698" s="524"/>
      <c r="XM698" s="524"/>
      <c r="XN698" s="524"/>
      <c r="XO698" s="524"/>
      <c r="XP698" s="524"/>
      <c r="XQ698" s="524"/>
      <c r="XR698" s="524"/>
      <c r="XS698" s="524"/>
      <c r="XT698" s="524"/>
      <c r="XU698" s="524"/>
      <c r="XV698" s="524"/>
      <c r="XW698" s="524"/>
      <c r="XX698" s="524"/>
      <c r="XY698" s="524"/>
      <c r="XZ698" s="524"/>
      <c r="YA698" s="524"/>
      <c r="YB698" s="524"/>
      <c r="YC698" s="524"/>
      <c r="YD698" s="524"/>
      <c r="YE698" s="524"/>
      <c r="YF698" s="524"/>
      <c r="YG698" s="524"/>
      <c r="YH698" s="524"/>
      <c r="YI698" s="524"/>
      <c r="YJ698" s="524"/>
      <c r="YK698" s="524"/>
      <c r="YL698" s="524"/>
      <c r="YM698" s="524"/>
      <c r="YN698" s="524"/>
      <c r="YO698" s="524"/>
      <c r="YP698" s="524"/>
      <c r="YQ698" s="524"/>
      <c r="YR698" s="524"/>
      <c r="YS698" s="524"/>
      <c r="YT698" s="524"/>
      <c r="YU698" s="524"/>
      <c r="YV698" s="524"/>
      <c r="YW698" s="524"/>
      <c r="YX698" s="524"/>
      <c r="YY698" s="524"/>
      <c r="YZ698" s="524"/>
      <c r="ZA698" s="524"/>
      <c r="ZB698" s="524"/>
      <c r="ZC698" s="524"/>
      <c r="ZD698" s="524"/>
      <c r="ZE698" s="524"/>
      <c r="ZF698" s="524"/>
      <c r="ZG698" s="524"/>
      <c r="ZH698" s="524"/>
      <c r="ZI698" s="524"/>
      <c r="ZJ698" s="524"/>
      <c r="ZK698" s="524"/>
      <c r="ZL698" s="524"/>
      <c r="ZM698" s="524"/>
      <c r="ZN698" s="524"/>
      <c r="ZO698" s="524"/>
      <c r="ZP698" s="524"/>
      <c r="ZQ698" s="524"/>
      <c r="ZR698" s="524"/>
      <c r="ZS698" s="524"/>
      <c r="ZT698" s="524"/>
      <c r="ZU698" s="524"/>
      <c r="ZV698" s="524"/>
      <c r="ZW698" s="524"/>
      <c r="ZX698" s="524"/>
      <c r="ZY698" s="524"/>
      <c r="ZZ698" s="524"/>
      <c r="AAA698" s="524"/>
      <c r="AAB698" s="524"/>
      <c r="AAC698" s="524"/>
      <c r="AAD698" s="524"/>
      <c r="AAE698" s="524"/>
      <c r="AAF698" s="524"/>
      <c r="AAG698" s="524"/>
      <c r="AAH698" s="524"/>
      <c r="AAI698" s="524"/>
      <c r="AAJ698" s="524"/>
      <c r="AAK698" s="524"/>
      <c r="AAL698" s="524"/>
      <c r="AAM698" s="524"/>
      <c r="AAN698" s="524"/>
      <c r="AAO698" s="524"/>
      <c r="AAP698" s="524"/>
      <c r="AAQ698" s="524"/>
      <c r="AAR698" s="524"/>
      <c r="AAS698" s="524"/>
      <c r="AAT698" s="524"/>
      <c r="AAU698" s="524"/>
      <c r="AAV698" s="524"/>
      <c r="AAW698" s="524"/>
      <c r="AAX698" s="524"/>
      <c r="AAY698" s="524"/>
      <c r="AAZ698" s="524"/>
      <c r="ABA698" s="524"/>
      <c r="ABB698" s="524"/>
      <c r="ABC698" s="524"/>
      <c r="ABD698" s="524"/>
      <c r="ABE698" s="524"/>
      <c r="ABF698" s="524"/>
      <c r="ABG698" s="524"/>
      <c r="ABH698" s="524"/>
      <c r="ABI698" s="524"/>
      <c r="ABJ698" s="524"/>
      <c r="ABK698" s="524"/>
      <c r="ABL698" s="524"/>
      <c r="ABM698" s="524"/>
      <c r="ABN698" s="524"/>
      <c r="ABO698" s="524"/>
      <c r="ABP698" s="524"/>
      <c r="ABQ698" s="524"/>
      <c r="ABR698" s="524"/>
      <c r="ABS698" s="524"/>
      <c r="ABT698" s="524"/>
      <c r="ABU698" s="524"/>
      <c r="ABV698" s="524"/>
      <c r="ABW698" s="524"/>
      <c r="ABX698" s="524"/>
      <c r="ABY698" s="524"/>
      <c r="ABZ698" s="524"/>
      <c r="ACA698" s="524"/>
      <c r="ACB698" s="524"/>
      <c r="ACC698" s="524"/>
      <c r="ACD698" s="524"/>
      <c r="ACE698" s="524"/>
      <c r="ACF698" s="524"/>
      <c r="ACG698" s="524"/>
      <c r="ACH698" s="524"/>
      <c r="ACI698" s="524"/>
      <c r="ACJ698" s="524"/>
      <c r="ACK698" s="524"/>
      <c r="ACL698" s="524"/>
      <c r="ACM698" s="524"/>
      <c r="ACN698" s="524"/>
      <c r="ACO698" s="524"/>
      <c r="ACP698" s="524"/>
      <c r="ACQ698" s="524"/>
      <c r="ACR698" s="524"/>
      <c r="ACS698" s="524"/>
      <c r="ACT698" s="524"/>
      <c r="ACU698" s="524"/>
      <c r="ACV698" s="524"/>
      <c r="ACW698" s="524"/>
      <c r="ACX698" s="524"/>
      <c r="ACY698" s="524"/>
      <c r="ACZ698" s="524"/>
      <c r="ADA698" s="524"/>
      <c r="ADB698" s="524"/>
      <c r="ADC698" s="524"/>
      <c r="ADD698" s="524"/>
      <c r="ADE698" s="524"/>
      <c r="ADF698" s="524"/>
      <c r="ADG698" s="524"/>
      <c r="ADH698" s="524"/>
      <c r="ADI698" s="524"/>
      <c r="ADJ698" s="524"/>
      <c r="ADK698" s="524"/>
      <c r="ADL698" s="524"/>
      <c r="ADM698" s="524"/>
      <c r="ADN698" s="524"/>
      <c r="ADO698" s="524"/>
      <c r="ADP698" s="524"/>
      <c r="ADQ698" s="524"/>
      <c r="ADR698" s="524"/>
      <c r="ADS698" s="524"/>
      <c r="ADT698" s="524"/>
      <c r="ADU698" s="524"/>
      <c r="ADV698" s="524"/>
      <c r="ADW698" s="524"/>
      <c r="ADX698" s="524"/>
      <c r="ADY698" s="524"/>
      <c r="ADZ698" s="524"/>
      <c r="AEA698" s="524"/>
      <c r="AEB698" s="524"/>
      <c r="AEC698" s="524"/>
      <c r="AED698" s="524"/>
      <c r="AEE698" s="524"/>
      <c r="AEF698" s="524"/>
      <c r="AEG698" s="524"/>
      <c r="AEH698" s="524"/>
      <c r="AEI698" s="524"/>
      <c r="AEJ698" s="524"/>
      <c r="AEK698" s="524"/>
      <c r="AEL698" s="524"/>
      <c r="AEM698" s="524"/>
      <c r="AEN698" s="524"/>
      <c r="AEO698" s="524"/>
      <c r="AEP698" s="524"/>
      <c r="AEQ698" s="524"/>
      <c r="AER698" s="524"/>
      <c r="AES698" s="524"/>
      <c r="AET698" s="524"/>
      <c r="AEU698" s="524"/>
      <c r="AEV698" s="524"/>
      <c r="AEW698" s="524"/>
      <c r="AEX698" s="524"/>
      <c r="AEY698" s="524"/>
      <c r="AEZ698" s="524"/>
      <c r="AFA698" s="524"/>
      <c r="AFB698" s="524"/>
      <c r="AFC698" s="524"/>
      <c r="AFD698" s="524"/>
      <c r="AFE698" s="524"/>
      <c r="AFF698" s="524"/>
      <c r="AFG698" s="524"/>
      <c r="AFH698" s="524"/>
      <c r="AFI698" s="524"/>
      <c r="AFJ698" s="524"/>
      <c r="AFK698" s="524"/>
      <c r="AFL698" s="524"/>
      <c r="AFM698" s="524"/>
      <c r="AFN698" s="524"/>
      <c r="AFO698" s="524"/>
      <c r="AFP698" s="524"/>
      <c r="AFQ698" s="524"/>
      <c r="AFR698" s="524"/>
      <c r="AFS698" s="524"/>
      <c r="AFT698" s="524"/>
      <c r="AFU698" s="524"/>
      <c r="AFV698" s="524"/>
      <c r="AFW698" s="524"/>
      <c r="AFX698" s="524"/>
      <c r="AFY698" s="524"/>
      <c r="AFZ698" s="524"/>
      <c r="AGA698" s="524"/>
      <c r="AGB698" s="524"/>
      <c r="AGC698" s="524"/>
      <c r="AGD698" s="524"/>
      <c r="AGE698" s="524"/>
      <c r="AGF698" s="524"/>
      <c r="AGG698" s="524"/>
      <c r="AGH698" s="524"/>
      <c r="AGI698" s="524"/>
      <c r="AGJ698" s="524"/>
      <c r="AGK698" s="524"/>
      <c r="AGL698" s="524"/>
      <c r="AGM698" s="524"/>
      <c r="AGN698" s="524"/>
      <c r="AGO698" s="524"/>
      <c r="AGP698" s="524"/>
      <c r="AGQ698" s="524"/>
      <c r="AGR698" s="524"/>
      <c r="AGS698" s="524"/>
      <c r="AGT698" s="524"/>
      <c r="AGU698" s="524"/>
      <c r="AGV698" s="524"/>
      <c r="AGW698" s="524"/>
      <c r="AGX698" s="524"/>
      <c r="AGY698" s="524"/>
      <c r="AGZ698" s="524"/>
      <c r="AHA698" s="524"/>
      <c r="AHB698" s="524"/>
      <c r="AHC698" s="524"/>
      <c r="AHD698" s="524"/>
      <c r="AHE698" s="524"/>
      <c r="AHF698" s="524"/>
      <c r="AHG698" s="524"/>
      <c r="AHH698" s="524"/>
      <c r="AHI698" s="524"/>
      <c r="AHJ698" s="524"/>
      <c r="AHK698" s="524"/>
      <c r="AHL698" s="524"/>
      <c r="AHM698" s="524"/>
      <c r="AHN698" s="524"/>
      <c r="AHO698" s="524"/>
      <c r="AHP698" s="524"/>
      <c r="AHQ698" s="524"/>
      <c r="AHR698" s="524"/>
      <c r="AHS698" s="524"/>
      <c r="AHT698" s="524"/>
      <c r="AHU698" s="524"/>
      <c r="AHV698" s="524"/>
      <c r="AHW698" s="524"/>
      <c r="AHX698" s="524"/>
      <c r="AHY698" s="524"/>
      <c r="AHZ698" s="524"/>
      <c r="AIA698" s="524"/>
      <c r="AIB698" s="524"/>
      <c r="AIC698" s="524"/>
      <c r="AID698" s="524"/>
      <c r="AIE698" s="524"/>
      <c r="AIF698" s="524"/>
      <c r="AIG698" s="524"/>
      <c r="AIH698" s="524"/>
      <c r="AII698" s="524"/>
      <c r="AIJ698" s="524"/>
      <c r="AIK698" s="524"/>
      <c r="AIL698" s="524"/>
      <c r="AIM698" s="524"/>
      <c r="AIN698" s="524"/>
      <c r="AIO698" s="524"/>
      <c r="AIP698" s="524"/>
      <c r="AIQ698" s="524"/>
      <c r="AIR698" s="524"/>
      <c r="AIS698" s="524"/>
      <c r="AIT698" s="524"/>
      <c r="AIU698" s="524"/>
      <c r="AIV698" s="524"/>
      <c r="AIW698" s="524"/>
      <c r="AIX698" s="524"/>
      <c r="AIY698" s="524"/>
      <c r="AIZ698" s="524"/>
      <c r="AJA698" s="524"/>
      <c r="AJB698" s="524"/>
      <c r="AJC698" s="524"/>
      <c r="AJD698" s="524"/>
      <c r="AJE698" s="524"/>
      <c r="AJF698" s="524"/>
      <c r="AJG698" s="524"/>
      <c r="AJH698" s="524"/>
      <c r="AJI698" s="524"/>
      <c r="AJJ698" s="524"/>
      <c r="AJK698" s="524"/>
      <c r="AJL698" s="524"/>
      <c r="AJM698" s="524"/>
      <c r="AJN698" s="524"/>
      <c r="AJO698" s="524"/>
      <c r="AJP698" s="524"/>
      <c r="AJQ698" s="524"/>
      <c r="AJR698" s="524"/>
      <c r="AJS698" s="524"/>
      <c r="AJT698" s="524"/>
      <c r="AJU698" s="524"/>
      <c r="AJV698" s="524"/>
      <c r="AJW698" s="524"/>
      <c r="AJX698" s="524"/>
      <c r="AJY698" s="524"/>
      <c r="AJZ698" s="524"/>
      <c r="AKA698" s="524"/>
      <c r="AKB698" s="524"/>
      <c r="AKC698" s="524"/>
      <c r="AKD698" s="524"/>
      <c r="AKE698" s="524"/>
      <c r="AKF698" s="524"/>
      <c r="AKG698" s="524"/>
      <c r="AKH698" s="524"/>
      <c r="AKI698" s="524"/>
      <c r="AKJ698" s="524"/>
      <c r="AKK698" s="524"/>
      <c r="AKL698" s="524"/>
      <c r="AKM698" s="524"/>
      <c r="AKN698" s="524"/>
      <c r="AKO698" s="524"/>
      <c r="AKP698" s="524"/>
      <c r="AKQ698" s="524"/>
      <c r="AKR698" s="524"/>
      <c r="AKS698" s="524"/>
      <c r="AKT698" s="524"/>
      <c r="AKU698" s="524"/>
      <c r="AKV698" s="524"/>
      <c r="AKW698" s="524"/>
      <c r="AKX698" s="524"/>
      <c r="AKY698" s="524"/>
      <c r="AKZ698" s="524"/>
      <c r="ALA698" s="524"/>
      <c r="ALB698" s="524"/>
      <c r="ALC698" s="524"/>
      <c r="ALD698" s="524"/>
      <c r="ALE698" s="524"/>
      <c r="ALF698" s="524"/>
      <c r="ALG698" s="524"/>
      <c r="ALH698" s="524"/>
      <c r="ALI698" s="524"/>
      <c r="ALJ698" s="524"/>
      <c r="ALK698" s="524"/>
      <c r="ALL698" s="524"/>
      <c r="ALM698" s="524"/>
      <c r="ALN698" s="524"/>
      <c r="ALO698" s="524"/>
      <c r="ALP698" s="524"/>
      <c r="ALQ698" s="524"/>
      <c r="ALR698" s="524"/>
      <c r="ALS698" s="524"/>
      <c r="ALT698" s="524"/>
      <c r="ALU698" s="524"/>
      <c r="ALV698" s="524"/>
      <c r="ALW698" s="524"/>
      <c r="ALX698" s="524"/>
      <c r="ALY698" s="524"/>
      <c r="ALZ698" s="524"/>
      <c r="AMA698" s="524"/>
      <c r="AMB698" s="524"/>
      <c r="AMC698" s="524"/>
      <c r="AMD698" s="524"/>
      <c r="AME698" s="524"/>
      <c r="AMF698" s="524"/>
      <c r="AMG698" s="524"/>
      <c r="AMH698" s="524"/>
      <c r="AMI698" s="524"/>
      <c r="AMJ698" s="524"/>
      <c r="AMK698" s="524"/>
      <c r="AML698" s="524"/>
      <c r="AMM698" s="524"/>
      <c r="AMN698" s="524"/>
      <c r="AMO698" s="524"/>
      <c r="AMP698" s="524"/>
      <c r="AMQ698" s="524"/>
      <c r="AMR698" s="524"/>
      <c r="AMS698" s="524"/>
      <c r="AMT698" s="524"/>
      <c r="AMU698" s="524"/>
      <c r="AMV698" s="524"/>
      <c r="AMW698" s="524"/>
      <c r="AMX698" s="524"/>
      <c r="AMY698" s="524"/>
      <c r="AMZ698" s="524"/>
      <c r="ANA698" s="524"/>
      <c r="ANB698" s="524"/>
      <c r="ANC698" s="524"/>
      <c r="AND698" s="524"/>
      <c r="ANE698" s="524"/>
      <c r="ANF698" s="524"/>
      <c r="ANG698" s="524"/>
      <c r="ANH698" s="524"/>
      <c r="ANI698" s="524"/>
      <c r="ANJ698" s="524"/>
      <c r="ANK698" s="524"/>
      <c r="ANL698" s="524"/>
      <c r="ANM698" s="524"/>
      <c r="ANN698" s="524"/>
      <c r="ANO698" s="524"/>
      <c r="ANP698" s="524"/>
      <c r="ANQ698" s="524"/>
      <c r="ANR698" s="524"/>
      <c r="ANS698" s="524"/>
      <c r="ANT698" s="524"/>
      <c r="ANU698" s="524"/>
      <c r="ANV698" s="524"/>
      <c r="ANW698" s="524"/>
      <c r="ANX698" s="524"/>
      <c r="ANY698" s="524"/>
      <c r="ANZ698" s="524"/>
      <c r="AOA698" s="524"/>
      <c r="AOB698" s="524"/>
      <c r="AOC698" s="524"/>
      <c r="AOD698" s="524"/>
      <c r="AOE698" s="524"/>
      <c r="AOF698" s="524"/>
      <c r="AOG698" s="524"/>
      <c r="AOH698" s="524"/>
      <c r="AOI698" s="524"/>
      <c r="AOJ698" s="524"/>
      <c r="AOK698" s="524"/>
      <c r="AOL698" s="524"/>
      <c r="AOM698" s="524"/>
      <c r="AON698" s="524"/>
      <c r="AOO698" s="524"/>
      <c r="AOP698" s="524"/>
      <c r="AOQ698" s="524"/>
      <c r="AOR698" s="524"/>
      <c r="AOS698" s="524"/>
      <c r="AOT698" s="524"/>
      <c r="AOU698" s="524"/>
      <c r="AOV698" s="524"/>
      <c r="AOW698" s="524"/>
      <c r="AOX698" s="524"/>
      <c r="AOY698" s="524"/>
      <c r="AOZ698" s="524"/>
      <c r="APA698" s="524"/>
      <c r="APB698" s="524"/>
      <c r="APC698" s="524"/>
      <c r="APD698" s="524"/>
      <c r="APE698" s="524"/>
      <c r="APF698" s="524"/>
      <c r="APG698" s="524"/>
      <c r="APH698" s="524"/>
      <c r="API698" s="524"/>
      <c r="APJ698" s="524"/>
      <c r="APK698" s="524"/>
      <c r="APL698" s="524"/>
      <c r="APM698" s="524"/>
      <c r="APN698" s="524"/>
      <c r="APO698" s="524"/>
      <c r="APP698" s="524"/>
      <c r="APQ698" s="524"/>
      <c r="APR698" s="524"/>
      <c r="APS698" s="524"/>
      <c r="APT698" s="524"/>
      <c r="APU698" s="524"/>
      <c r="APV698" s="524"/>
      <c r="APW698" s="524"/>
      <c r="APX698" s="524"/>
      <c r="APY698" s="524"/>
      <c r="APZ698" s="524"/>
      <c r="AQA698" s="524"/>
      <c r="AQB698" s="524"/>
      <c r="AQC698" s="524"/>
      <c r="AQD698" s="524"/>
      <c r="AQE698" s="524"/>
      <c r="AQF698" s="524"/>
      <c r="AQG698" s="524"/>
      <c r="AQH698" s="524"/>
      <c r="AQI698" s="524"/>
      <c r="AQJ698" s="524"/>
      <c r="AQK698" s="524"/>
      <c r="AQL698" s="524"/>
      <c r="AQM698" s="524"/>
      <c r="AQN698" s="524"/>
      <c r="AQO698" s="524"/>
      <c r="AQP698" s="524"/>
      <c r="AQQ698" s="524"/>
      <c r="AQR698" s="524"/>
      <c r="AQS698" s="524"/>
      <c r="AQT698" s="524"/>
      <c r="AQU698" s="524"/>
      <c r="AQV698" s="524"/>
      <c r="AQW698" s="524"/>
      <c r="AQX698" s="524"/>
      <c r="AQY698" s="524"/>
      <c r="AQZ698" s="524"/>
      <c r="ARA698" s="524"/>
      <c r="ARB698" s="524"/>
      <c r="ARC698" s="524"/>
      <c r="ARD698" s="524"/>
      <c r="ARE698" s="524"/>
      <c r="ARF698" s="524"/>
      <c r="ARG698" s="524"/>
      <c r="ARH698" s="524"/>
      <c r="ARI698" s="524"/>
      <c r="ARJ698" s="524"/>
      <c r="ARK698" s="524"/>
      <c r="ARL698" s="524"/>
      <c r="ARM698" s="524"/>
      <c r="ARN698" s="524"/>
      <c r="ARO698" s="524"/>
      <c r="ARP698" s="524"/>
      <c r="ARQ698" s="524"/>
      <c r="ARR698" s="524"/>
      <c r="ARS698" s="524"/>
      <c r="ART698" s="524"/>
      <c r="ARU698" s="524"/>
      <c r="ARV698" s="524"/>
      <c r="ARW698" s="524"/>
      <c r="ARX698" s="524"/>
      <c r="ARY698" s="524"/>
      <c r="ARZ698" s="524"/>
      <c r="ASA698" s="524"/>
      <c r="ASB698" s="524"/>
      <c r="ASC698" s="524"/>
      <c r="ASD698" s="524"/>
      <c r="ASE698" s="524"/>
      <c r="ASF698" s="524"/>
      <c r="ASG698" s="524"/>
      <c r="ASH698" s="524"/>
      <c r="ASI698" s="524"/>
      <c r="ASJ698" s="524"/>
      <c r="ASK698" s="524"/>
      <c r="ASL698" s="524"/>
      <c r="ASM698" s="524"/>
      <c r="ASN698" s="524"/>
      <c r="ASO698" s="524"/>
      <c r="ASP698" s="524"/>
      <c r="ASQ698" s="524"/>
      <c r="ASR698" s="524"/>
      <c r="ASS698" s="524"/>
      <c r="AST698" s="524"/>
      <c r="ASU698" s="524"/>
      <c r="ASV698" s="524"/>
      <c r="ASW698" s="524"/>
      <c r="ASX698" s="524"/>
      <c r="ASY698" s="524"/>
      <c r="ASZ698" s="524"/>
      <c r="ATA698" s="524"/>
      <c r="ATB698" s="524"/>
      <c r="ATC698" s="524"/>
      <c r="ATD698" s="524"/>
      <c r="ATE698" s="524"/>
      <c r="ATF698" s="524"/>
      <c r="ATG698" s="524"/>
      <c r="ATH698" s="524"/>
      <c r="ATI698" s="524"/>
      <c r="ATJ698" s="524"/>
      <c r="ATK698" s="524"/>
      <c r="ATL698" s="524"/>
      <c r="ATM698" s="524"/>
      <c r="ATN698" s="524"/>
      <c r="ATO698" s="524"/>
      <c r="ATP698" s="524"/>
      <c r="ATQ698" s="524"/>
      <c r="ATR698" s="524"/>
      <c r="ATS698" s="524"/>
      <c r="ATT698" s="524"/>
      <c r="ATU698" s="524"/>
      <c r="ATV698" s="524"/>
      <c r="ATW698" s="524"/>
      <c r="ATX698" s="524"/>
      <c r="ATY698" s="524"/>
      <c r="ATZ698" s="524"/>
      <c r="AUA698" s="524"/>
      <c r="AUB698" s="524"/>
      <c r="AUC698" s="524"/>
      <c r="AUD698" s="524"/>
      <c r="AUE698" s="524"/>
      <c r="AUF698" s="524"/>
      <c r="AUG698" s="524"/>
      <c r="AUH698" s="524"/>
      <c r="AUI698" s="524"/>
      <c r="AUJ698" s="524"/>
      <c r="AUK698" s="524"/>
      <c r="AUL698" s="524"/>
      <c r="AUM698" s="524"/>
      <c r="AUN698" s="524"/>
      <c r="AUO698" s="524"/>
      <c r="AUP698" s="524"/>
      <c r="AUQ698" s="524"/>
      <c r="AUR698" s="524"/>
      <c r="AUS698" s="524"/>
      <c r="AUT698" s="524"/>
      <c r="AUU698" s="524"/>
      <c r="AUV698" s="524"/>
      <c r="AUW698" s="524"/>
      <c r="AUX698" s="524"/>
      <c r="AUY698" s="524"/>
      <c r="AUZ698" s="524"/>
      <c r="AVA698" s="524"/>
      <c r="AVB698" s="524"/>
      <c r="AVC698" s="524"/>
      <c r="AVD698" s="524"/>
      <c r="AVE698" s="524"/>
      <c r="AVF698" s="524"/>
      <c r="AVG698" s="524"/>
      <c r="AVH698" s="524"/>
      <c r="AVI698" s="524"/>
      <c r="AVJ698" s="524"/>
      <c r="AVK698" s="524"/>
      <c r="AVL698" s="524"/>
      <c r="AVM698" s="524"/>
      <c r="AVN698" s="524"/>
      <c r="AVO698" s="524"/>
      <c r="AVP698" s="524"/>
      <c r="AVQ698" s="524"/>
      <c r="AVR698" s="524"/>
      <c r="AVS698" s="524"/>
      <c r="AVT698" s="524"/>
      <c r="AVU698" s="524"/>
      <c r="AVV698" s="524"/>
      <c r="AVW698" s="524"/>
      <c r="AVX698" s="524"/>
      <c r="AVY698" s="524"/>
      <c r="AVZ698" s="524"/>
      <c r="AWA698" s="524"/>
      <c r="AWB698" s="524"/>
      <c r="AWC698" s="524"/>
      <c r="AWD698" s="524"/>
      <c r="AWE698" s="524"/>
      <c r="AWF698" s="524"/>
      <c r="AWG698" s="524"/>
      <c r="AWH698" s="524"/>
      <c r="AWI698" s="524"/>
      <c r="AWJ698" s="524"/>
      <c r="AWK698" s="524"/>
      <c r="AWL698" s="524"/>
      <c r="AWM698" s="524"/>
      <c r="AWN698" s="524"/>
      <c r="AWO698" s="524"/>
      <c r="AWP698" s="524"/>
      <c r="AWQ698" s="524"/>
      <c r="AWR698" s="524"/>
      <c r="AWS698" s="524"/>
      <c r="AWT698" s="524"/>
      <c r="AWU698" s="524"/>
      <c r="AWV698" s="524"/>
      <c r="AWW698" s="524"/>
      <c r="AWX698" s="524"/>
      <c r="AWY698" s="524"/>
      <c r="AWZ698" s="524"/>
      <c r="AXA698" s="524"/>
      <c r="AXB698" s="524"/>
      <c r="AXC698" s="524"/>
      <c r="AXD698" s="524"/>
      <c r="AXE698" s="524"/>
      <c r="AXF698" s="524"/>
      <c r="AXG698" s="524"/>
      <c r="AXH698" s="524"/>
      <c r="AXI698" s="524"/>
      <c r="AXJ698" s="524"/>
      <c r="AXK698" s="524"/>
      <c r="AXL698" s="524"/>
      <c r="AXM698" s="524"/>
      <c r="AXN698" s="524"/>
      <c r="AXO698" s="524"/>
      <c r="AXP698" s="524"/>
      <c r="AXQ698" s="524"/>
      <c r="AXR698" s="524"/>
      <c r="AXS698" s="524"/>
      <c r="AXT698" s="524"/>
      <c r="AXU698" s="524"/>
      <c r="AXV698" s="524"/>
      <c r="AXW698" s="524"/>
      <c r="AXX698" s="524"/>
      <c r="AXY698" s="524"/>
      <c r="AXZ698" s="524"/>
      <c r="AYA698" s="524"/>
      <c r="AYB698" s="524"/>
      <c r="AYC698" s="524"/>
      <c r="AYD698" s="524"/>
      <c r="AYE698" s="524"/>
      <c r="AYF698" s="524"/>
      <c r="AYG698" s="524"/>
      <c r="AYH698" s="524"/>
      <c r="AYI698" s="524"/>
      <c r="AYJ698" s="524"/>
      <c r="AYK698" s="524"/>
      <c r="AYL698" s="524"/>
      <c r="AYM698" s="524"/>
      <c r="AYN698" s="524"/>
      <c r="AYO698" s="524"/>
      <c r="AYP698" s="524"/>
      <c r="AYQ698" s="524"/>
      <c r="AYR698" s="524"/>
      <c r="AYS698" s="524"/>
      <c r="AYT698" s="524"/>
      <c r="AYU698" s="524"/>
      <c r="AYV698" s="524"/>
      <c r="AYW698" s="524"/>
      <c r="AYX698" s="524"/>
      <c r="AYY698" s="524"/>
      <c r="AYZ698" s="524"/>
      <c r="AZA698" s="524"/>
      <c r="AZB698" s="524"/>
      <c r="AZC698" s="524"/>
      <c r="AZD698" s="524"/>
      <c r="AZE698" s="524"/>
      <c r="AZF698" s="524"/>
      <c r="AZG698" s="524"/>
      <c r="AZH698" s="524"/>
      <c r="AZI698" s="524"/>
      <c r="AZJ698" s="524"/>
      <c r="AZK698" s="524"/>
      <c r="AZL698" s="524"/>
      <c r="AZM698" s="524"/>
      <c r="AZN698" s="524"/>
      <c r="AZO698" s="524"/>
      <c r="AZP698" s="524"/>
      <c r="AZQ698" s="524"/>
      <c r="AZR698" s="524"/>
      <c r="AZS698" s="524"/>
      <c r="AZT698" s="524"/>
      <c r="AZU698" s="524"/>
      <c r="AZV698" s="524"/>
      <c r="AZW698" s="524"/>
      <c r="AZX698" s="524"/>
      <c r="AZY698" s="524"/>
      <c r="AZZ698" s="524"/>
      <c r="BAA698" s="524"/>
      <c r="BAB698" s="524"/>
      <c r="BAC698" s="524"/>
      <c r="BAD698" s="524"/>
      <c r="BAE698" s="524"/>
      <c r="BAF698" s="524"/>
      <c r="BAG698" s="524"/>
      <c r="BAH698" s="524"/>
      <c r="BAI698" s="524"/>
      <c r="BAJ698" s="524"/>
      <c r="BAK698" s="524"/>
      <c r="BAL698" s="524"/>
      <c r="BAM698" s="524"/>
      <c r="BAN698" s="524"/>
      <c r="BAO698" s="524"/>
      <c r="BAP698" s="524"/>
      <c r="BAQ698" s="524"/>
      <c r="BAR698" s="524"/>
      <c r="BAS698" s="524"/>
      <c r="BAT698" s="524"/>
      <c r="BAU698" s="524"/>
      <c r="BAV698" s="524"/>
      <c r="BAW698" s="524"/>
      <c r="BAX698" s="524"/>
      <c r="BAY698" s="524"/>
      <c r="BAZ698" s="524"/>
      <c r="BBA698" s="524"/>
      <c r="BBB698" s="524"/>
      <c r="BBC698" s="524"/>
      <c r="BBD698" s="524"/>
      <c r="BBE698" s="524"/>
      <c r="BBF698" s="524"/>
      <c r="BBG698" s="524"/>
      <c r="BBH698" s="524"/>
      <c r="BBI698" s="524"/>
      <c r="BBJ698" s="524"/>
      <c r="BBK698" s="524"/>
      <c r="BBL698" s="524"/>
      <c r="BBM698" s="524"/>
      <c r="BBN698" s="524"/>
      <c r="BBO698" s="524"/>
      <c r="BBP698" s="524"/>
      <c r="BBQ698" s="524"/>
      <c r="BBR698" s="524"/>
      <c r="BBS698" s="524"/>
      <c r="BBT698" s="524"/>
      <c r="BBU698" s="524"/>
      <c r="BBV698" s="524"/>
      <c r="BBW698" s="524"/>
      <c r="BBX698" s="524"/>
      <c r="BBY698" s="524"/>
      <c r="BBZ698" s="524"/>
      <c r="BCA698" s="524"/>
      <c r="BCB698" s="524"/>
      <c r="BCC698" s="524"/>
      <c r="BCD698" s="524"/>
      <c r="BCE698" s="524"/>
      <c r="BCF698" s="524"/>
      <c r="BCG698" s="524"/>
      <c r="BCH698" s="524"/>
      <c r="BCI698" s="524"/>
      <c r="BCJ698" s="524"/>
      <c r="BCK698" s="524"/>
      <c r="BCL698" s="524"/>
      <c r="BCM698" s="524"/>
      <c r="BCN698" s="524"/>
      <c r="BCO698" s="524"/>
      <c r="BCP698" s="524"/>
      <c r="BCQ698" s="524"/>
      <c r="BCR698" s="524"/>
      <c r="BCS698" s="524"/>
      <c r="BCT698" s="524"/>
      <c r="BCU698" s="524"/>
      <c r="BCV698" s="524"/>
      <c r="BCW698" s="524"/>
      <c r="BCX698" s="524"/>
      <c r="BCY698" s="524"/>
      <c r="BCZ698" s="524"/>
      <c r="BDA698" s="524"/>
      <c r="BDB698" s="524"/>
      <c r="BDC698" s="524"/>
      <c r="BDD698" s="524"/>
      <c r="BDE698" s="524"/>
      <c r="BDF698" s="524"/>
      <c r="BDG698" s="524"/>
      <c r="BDH698" s="524"/>
      <c r="BDI698" s="524"/>
      <c r="BDJ698" s="524"/>
      <c r="BDK698" s="524"/>
      <c r="BDL698" s="524"/>
      <c r="BDM698" s="524"/>
      <c r="BDN698" s="524"/>
      <c r="BDO698" s="524"/>
      <c r="BDP698" s="524"/>
      <c r="BDQ698" s="524"/>
      <c r="BDR698" s="524"/>
      <c r="BDS698" s="524"/>
      <c r="BDT698" s="524"/>
      <c r="BDU698" s="524"/>
      <c r="BDV698" s="524"/>
      <c r="BDW698" s="524"/>
      <c r="BDX698" s="524"/>
      <c r="BDY698" s="524"/>
      <c r="BDZ698" s="524"/>
      <c r="BEA698" s="524"/>
      <c r="BEB698" s="524"/>
      <c r="BEC698" s="524"/>
      <c r="BED698" s="524"/>
      <c r="BEE698" s="524"/>
      <c r="BEF698" s="524"/>
      <c r="BEG698" s="524"/>
      <c r="BEH698" s="524"/>
      <c r="BEI698" s="524"/>
      <c r="BEJ698" s="524"/>
      <c r="BEK698" s="524"/>
      <c r="BEL698" s="524"/>
      <c r="BEM698" s="524"/>
      <c r="BEN698" s="524"/>
      <c r="BEO698" s="524"/>
      <c r="BEP698" s="524"/>
      <c r="BEQ698" s="524"/>
      <c r="BER698" s="524"/>
      <c r="BES698" s="524"/>
      <c r="BET698" s="524"/>
      <c r="BEU698" s="524"/>
      <c r="BEV698" s="524"/>
      <c r="BEW698" s="524"/>
      <c r="BEX698" s="524"/>
      <c r="BEY698" s="524"/>
      <c r="BEZ698" s="524"/>
      <c r="BFA698" s="524"/>
      <c r="BFB698" s="524"/>
      <c r="BFC698" s="524"/>
      <c r="BFD698" s="524"/>
      <c r="BFE698" s="524"/>
      <c r="BFF698" s="524"/>
      <c r="BFG698" s="524"/>
      <c r="BFH698" s="524"/>
      <c r="BFI698" s="524"/>
      <c r="BFJ698" s="524"/>
      <c r="BFK698" s="524"/>
      <c r="BFL698" s="524"/>
      <c r="BFM698" s="524"/>
      <c r="BFN698" s="524"/>
      <c r="BFO698" s="524"/>
      <c r="BFP698" s="524"/>
      <c r="BFQ698" s="524"/>
      <c r="BFR698" s="524"/>
      <c r="BFS698" s="524"/>
      <c r="BFT698" s="524"/>
      <c r="BFU698" s="524"/>
      <c r="BFV698" s="524"/>
      <c r="BFW698" s="524"/>
      <c r="BFX698" s="524"/>
      <c r="BFY698" s="524"/>
      <c r="BFZ698" s="524"/>
      <c r="BGA698" s="524"/>
      <c r="BGB698" s="524"/>
      <c r="BGC698" s="524"/>
      <c r="BGD698" s="524"/>
      <c r="BGE698" s="524"/>
      <c r="BGF698" s="524"/>
      <c r="BGG698" s="524"/>
      <c r="BGH698" s="524"/>
      <c r="BGI698" s="524"/>
      <c r="BGJ698" s="524"/>
      <c r="BGK698" s="524"/>
      <c r="BGL698" s="524"/>
      <c r="BGM698" s="524"/>
      <c r="BGN698" s="524"/>
      <c r="BGO698" s="524"/>
      <c r="BGP698" s="524"/>
      <c r="BGQ698" s="524"/>
      <c r="BGR698" s="524"/>
      <c r="BGS698" s="524"/>
      <c r="BGT698" s="524"/>
      <c r="BGU698" s="524"/>
      <c r="BGV698" s="524"/>
      <c r="BGW698" s="524"/>
      <c r="BGX698" s="524"/>
      <c r="BGY698" s="524"/>
      <c r="BGZ698" s="524"/>
      <c r="BHA698" s="524"/>
      <c r="BHB698" s="524"/>
      <c r="BHC698" s="524"/>
      <c r="BHD698" s="524"/>
      <c r="BHE698" s="524"/>
      <c r="BHF698" s="524"/>
      <c r="BHG698" s="524"/>
      <c r="BHH698" s="524"/>
      <c r="BHI698" s="524"/>
      <c r="BHJ698" s="524"/>
      <c r="BHK698" s="524"/>
      <c r="BHL698" s="524"/>
      <c r="BHM698" s="524"/>
      <c r="BHN698" s="524"/>
      <c r="BHO698" s="524"/>
      <c r="BHP698" s="524"/>
      <c r="BHQ698" s="524"/>
      <c r="BHR698" s="524"/>
      <c r="BHS698" s="524"/>
      <c r="BHT698" s="524"/>
      <c r="BHU698" s="524"/>
      <c r="BHV698" s="524"/>
      <c r="BHW698" s="524"/>
      <c r="BHX698" s="524"/>
      <c r="BHY698" s="524"/>
      <c r="BHZ698" s="524"/>
      <c r="BIA698" s="524"/>
      <c r="BIB698" s="524"/>
      <c r="BIC698" s="524"/>
      <c r="BID698" s="524"/>
      <c r="BIE698" s="524"/>
      <c r="BIF698" s="524"/>
      <c r="BIG698" s="524"/>
      <c r="BIH698" s="524"/>
      <c r="BII698" s="524"/>
      <c r="BIJ698" s="524"/>
      <c r="BIK698" s="524"/>
      <c r="BIL698" s="524"/>
      <c r="BIM698" s="524"/>
      <c r="BIN698" s="524"/>
      <c r="BIO698" s="524"/>
      <c r="BIP698" s="524"/>
      <c r="BIQ698" s="524"/>
      <c r="BIR698" s="524"/>
      <c r="BIS698" s="524"/>
      <c r="BIT698" s="524"/>
      <c r="BIU698" s="524"/>
      <c r="BIV698" s="524"/>
      <c r="BIW698" s="524"/>
      <c r="BIX698" s="524"/>
      <c r="BIY698" s="524"/>
      <c r="BIZ698" s="524"/>
      <c r="BJA698" s="524"/>
      <c r="BJB698" s="524"/>
      <c r="BJC698" s="524"/>
      <c r="BJD698" s="524"/>
      <c r="BJE698" s="524"/>
      <c r="BJF698" s="524"/>
      <c r="BJG698" s="524"/>
      <c r="BJH698" s="524"/>
      <c r="BJI698" s="524"/>
      <c r="BJJ698" s="524"/>
      <c r="BJK698" s="524"/>
      <c r="BJL698" s="524"/>
      <c r="BJM698" s="524"/>
      <c r="BJN698" s="524"/>
      <c r="BJO698" s="524"/>
      <c r="BJP698" s="524"/>
      <c r="BJQ698" s="524"/>
      <c r="BJR698" s="524"/>
      <c r="BJS698" s="524"/>
      <c r="BJT698" s="524"/>
      <c r="BJU698" s="524"/>
      <c r="BJV698" s="524"/>
      <c r="BJW698" s="524"/>
      <c r="BJX698" s="524"/>
      <c r="BJY698" s="524"/>
      <c r="BJZ698" s="524"/>
      <c r="BKA698" s="524"/>
      <c r="BKB698" s="524"/>
      <c r="BKC698" s="524"/>
      <c r="BKD698" s="524"/>
      <c r="BKE698" s="524"/>
      <c r="BKF698" s="524"/>
      <c r="BKG698" s="524"/>
      <c r="BKH698" s="524"/>
      <c r="BKI698" s="524"/>
      <c r="BKJ698" s="524"/>
      <c r="BKK698" s="524"/>
      <c r="BKL698" s="524"/>
      <c r="BKM698" s="524"/>
      <c r="BKN698" s="524"/>
      <c r="BKO698" s="524"/>
      <c r="BKP698" s="524"/>
      <c r="BKQ698" s="524"/>
      <c r="BKR698" s="524"/>
      <c r="BKS698" s="524"/>
      <c r="BKT698" s="524"/>
      <c r="BKU698" s="524"/>
      <c r="BKV698" s="524"/>
      <c r="BKW698" s="524"/>
      <c r="BKX698" s="524"/>
      <c r="BKY698" s="524"/>
      <c r="BKZ698" s="524"/>
      <c r="BLA698" s="524"/>
      <c r="BLB698" s="524"/>
      <c r="BLC698" s="524"/>
      <c r="BLD698" s="524"/>
      <c r="BLE698" s="524"/>
      <c r="BLF698" s="524"/>
      <c r="BLG698" s="524"/>
      <c r="BLH698" s="524"/>
      <c r="BLI698" s="524"/>
      <c r="BLJ698" s="524"/>
      <c r="BLK698" s="524"/>
      <c r="BLL698" s="524"/>
      <c r="BLM698" s="524"/>
      <c r="BLN698" s="524"/>
      <c r="BLO698" s="524"/>
      <c r="BLP698" s="524"/>
      <c r="BLQ698" s="524"/>
      <c r="BLR698" s="524"/>
      <c r="BLS698" s="524"/>
      <c r="BLT698" s="524"/>
      <c r="BLU698" s="524"/>
      <c r="BLV698" s="524"/>
      <c r="BLW698" s="524"/>
      <c r="BLX698" s="524"/>
      <c r="BLY698" s="524"/>
      <c r="BLZ698" s="524"/>
      <c r="BMA698" s="524"/>
      <c r="BMB698" s="524"/>
      <c r="BMC698" s="524"/>
      <c r="BMD698" s="524"/>
      <c r="BME698" s="524"/>
      <c r="BMF698" s="524"/>
      <c r="BMG698" s="524"/>
      <c r="BMH698" s="524"/>
      <c r="BMI698" s="524"/>
      <c r="BMJ698" s="524"/>
      <c r="BMK698" s="524"/>
      <c r="BML698" s="524"/>
      <c r="BMM698" s="524"/>
      <c r="BMN698" s="524"/>
      <c r="BMO698" s="524"/>
      <c r="BMP698" s="524"/>
      <c r="BMQ698" s="524"/>
      <c r="BMR698" s="524"/>
      <c r="BMS698" s="524"/>
      <c r="BMT698" s="524"/>
      <c r="BMU698" s="524"/>
      <c r="BMV698" s="524"/>
      <c r="BMW698" s="524"/>
      <c r="BMX698" s="524"/>
      <c r="BMY698" s="524"/>
      <c r="BMZ698" s="524"/>
      <c r="BNA698" s="524"/>
      <c r="BNB698" s="524"/>
      <c r="BNC698" s="524"/>
      <c r="BND698" s="524"/>
      <c r="BNE698" s="524"/>
      <c r="BNF698" s="524"/>
      <c r="BNG698" s="524"/>
      <c r="BNH698" s="524"/>
      <c r="BNI698" s="524"/>
      <c r="BNJ698" s="524"/>
      <c r="BNK698" s="524"/>
      <c r="BNL698" s="524"/>
      <c r="BNM698" s="524"/>
      <c r="BNN698" s="524"/>
      <c r="BNO698" s="524"/>
      <c r="BNP698" s="524"/>
      <c r="BNQ698" s="524"/>
      <c r="BNR698" s="524"/>
      <c r="BNS698" s="524"/>
      <c r="BNT698" s="524"/>
      <c r="BNU698" s="524"/>
      <c r="BNV698" s="524"/>
      <c r="BNW698" s="524"/>
      <c r="BNX698" s="524"/>
      <c r="BNY698" s="524"/>
      <c r="BNZ698" s="524"/>
      <c r="BOA698" s="524"/>
      <c r="BOB698" s="524"/>
      <c r="BOC698" s="524"/>
      <c r="BOD698" s="524"/>
      <c r="BOE698" s="524"/>
      <c r="BOF698" s="524"/>
      <c r="BOG698" s="524"/>
      <c r="BOH698" s="524"/>
      <c r="BOI698" s="524"/>
      <c r="BOJ698" s="524"/>
      <c r="BOK698" s="524"/>
      <c r="BOL698" s="524"/>
      <c r="BOM698" s="524"/>
      <c r="BON698" s="524"/>
      <c r="BOO698" s="524"/>
      <c r="BOP698" s="524"/>
      <c r="BOQ698" s="524"/>
      <c r="BOR698" s="524"/>
      <c r="BOS698" s="524"/>
      <c r="BOT698" s="524"/>
      <c r="BOU698" s="524"/>
      <c r="BOV698" s="524"/>
      <c r="BOW698" s="524"/>
      <c r="BOX698" s="524"/>
      <c r="BOY698" s="524"/>
      <c r="BOZ698" s="524"/>
      <c r="BPA698" s="524"/>
      <c r="BPB698" s="524"/>
      <c r="BPC698" s="524"/>
      <c r="BPD698" s="524"/>
      <c r="BPE698" s="524"/>
      <c r="BPF698" s="524"/>
      <c r="BPG698" s="524"/>
      <c r="BPH698" s="524"/>
      <c r="BPI698" s="524"/>
      <c r="BPJ698" s="524"/>
      <c r="BPK698" s="524"/>
      <c r="BPL698" s="524"/>
      <c r="BPM698" s="524"/>
      <c r="BPN698" s="524"/>
      <c r="BPO698" s="524"/>
      <c r="BPP698" s="524"/>
      <c r="BPQ698" s="524"/>
      <c r="BPR698" s="524"/>
      <c r="BPS698" s="524"/>
      <c r="BPT698" s="524"/>
      <c r="BPU698" s="524"/>
      <c r="BPV698" s="524"/>
      <c r="BPW698" s="524"/>
      <c r="BPX698" s="524"/>
      <c r="BPY698" s="524"/>
      <c r="BPZ698" s="524"/>
      <c r="BQA698" s="524"/>
      <c r="BQB698" s="524"/>
      <c r="BQC698" s="524"/>
      <c r="BQD698" s="524"/>
      <c r="BQE698" s="524"/>
      <c r="BQF698" s="524"/>
      <c r="BQG698" s="524"/>
      <c r="BQH698" s="524"/>
      <c r="BQI698" s="524"/>
      <c r="BQJ698" s="524"/>
      <c r="BQK698" s="524"/>
      <c r="BQL698" s="524"/>
      <c r="BQM698" s="524"/>
      <c r="BQN698" s="524"/>
      <c r="BQO698" s="524"/>
      <c r="BQP698" s="524"/>
      <c r="BQQ698" s="524"/>
      <c r="BQR698" s="524"/>
      <c r="BQS698" s="524"/>
      <c r="BQT698" s="524"/>
      <c r="BQU698" s="524"/>
      <c r="BQV698" s="524"/>
      <c r="BQW698" s="524"/>
      <c r="BQX698" s="524"/>
      <c r="BQY698" s="524"/>
      <c r="BQZ698" s="524"/>
      <c r="BRA698" s="524"/>
      <c r="BRB698" s="524"/>
      <c r="BRC698" s="524"/>
      <c r="BRD698" s="524"/>
      <c r="BRE698" s="524"/>
      <c r="BRF698" s="524"/>
      <c r="BRG698" s="524"/>
      <c r="BRH698" s="524"/>
      <c r="BRI698" s="524"/>
      <c r="BRJ698" s="524"/>
      <c r="BRK698" s="524"/>
      <c r="BRL698" s="524"/>
      <c r="BRM698" s="524"/>
      <c r="BRN698" s="524"/>
      <c r="BRO698" s="524"/>
      <c r="BRP698" s="524"/>
      <c r="BRQ698" s="524"/>
      <c r="BRR698" s="524"/>
      <c r="BRS698" s="524"/>
      <c r="BRT698" s="524"/>
      <c r="BRU698" s="524"/>
      <c r="BRV698" s="524"/>
      <c r="BRW698" s="524"/>
      <c r="BRX698" s="524"/>
      <c r="BRY698" s="524"/>
      <c r="BRZ698" s="524"/>
      <c r="BSA698" s="524"/>
      <c r="BSB698" s="524"/>
      <c r="BSC698" s="524"/>
      <c r="BSD698" s="524"/>
      <c r="BSE698" s="524"/>
      <c r="BSF698" s="524"/>
      <c r="BSG698" s="524"/>
      <c r="BSH698" s="524"/>
      <c r="BSI698" s="524"/>
      <c r="BSJ698" s="524"/>
      <c r="BSK698" s="524"/>
      <c r="BSL698" s="524"/>
      <c r="BSM698" s="524"/>
      <c r="BSN698" s="524"/>
      <c r="BSO698" s="524"/>
      <c r="BSP698" s="524"/>
      <c r="BSQ698" s="524"/>
      <c r="BSR698" s="524"/>
      <c r="BSS698" s="524"/>
      <c r="BST698" s="524"/>
      <c r="BSU698" s="524"/>
      <c r="BSV698" s="524"/>
      <c r="BSW698" s="524"/>
      <c r="BSX698" s="524"/>
      <c r="BSY698" s="524"/>
      <c r="BSZ698" s="524"/>
      <c r="BTA698" s="524"/>
      <c r="BTB698" s="524"/>
      <c r="BTC698" s="524"/>
      <c r="BTD698" s="524"/>
      <c r="BTE698" s="524"/>
      <c r="BTF698" s="524"/>
      <c r="BTG698" s="524"/>
      <c r="BTH698" s="524"/>
      <c r="BTI698" s="524"/>
      <c r="BTJ698" s="524"/>
      <c r="BTK698" s="524"/>
      <c r="BTL698" s="524"/>
      <c r="BTM698" s="524"/>
      <c r="BTN698" s="524"/>
      <c r="BTO698" s="524"/>
      <c r="BTP698" s="524"/>
      <c r="BTQ698" s="524"/>
      <c r="BTR698" s="524"/>
      <c r="BTS698" s="524"/>
      <c r="BTT698" s="524"/>
      <c r="BTU698" s="524"/>
      <c r="BTV698" s="524"/>
      <c r="BTW698" s="524"/>
      <c r="BTX698" s="524"/>
      <c r="BTY698" s="524"/>
      <c r="BTZ698" s="524"/>
      <c r="BUA698" s="524"/>
      <c r="BUB698" s="524"/>
      <c r="BUC698" s="524"/>
      <c r="BUD698" s="524"/>
      <c r="BUE698" s="524"/>
      <c r="BUF698" s="524"/>
      <c r="BUG698" s="524"/>
      <c r="BUH698" s="524"/>
      <c r="BUI698" s="524"/>
      <c r="BUJ698" s="524"/>
      <c r="BUK698" s="524"/>
      <c r="BUL698" s="524"/>
      <c r="BUM698" s="524"/>
      <c r="BUN698" s="524"/>
      <c r="BUO698" s="524"/>
      <c r="BUP698" s="524"/>
      <c r="BUQ698" s="524"/>
      <c r="BUR698" s="524"/>
      <c r="BUS698" s="524"/>
      <c r="BUT698" s="524"/>
      <c r="BUU698" s="524"/>
      <c r="BUV698" s="524"/>
      <c r="BUW698" s="524"/>
      <c r="BUX698" s="524"/>
      <c r="BUY698" s="524"/>
      <c r="BUZ698" s="524"/>
      <c r="BVA698" s="524"/>
      <c r="BVB698" s="524"/>
      <c r="BVC698" s="524"/>
      <c r="BVD698" s="524"/>
      <c r="BVE698" s="524"/>
      <c r="BVF698" s="524"/>
      <c r="BVG698" s="524"/>
      <c r="BVH698" s="524"/>
      <c r="BVI698" s="524"/>
      <c r="BVJ698" s="524"/>
      <c r="BVK698" s="524"/>
      <c r="BVL698" s="524"/>
      <c r="BVM698" s="524"/>
      <c r="BVN698" s="524"/>
      <c r="BVO698" s="524"/>
      <c r="BVP698" s="524"/>
      <c r="BVQ698" s="524"/>
      <c r="BVR698" s="524"/>
      <c r="BVS698" s="524"/>
      <c r="BVT698" s="524"/>
      <c r="BVU698" s="524"/>
      <c r="BVV698" s="524"/>
      <c r="BVW698" s="524"/>
      <c r="BVX698" s="524"/>
      <c r="BVY698" s="524"/>
      <c r="BVZ698" s="524"/>
      <c r="BWA698" s="524"/>
      <c r="BWB698" s="524"/>
      <c r="BWC698" s="524"/>
      <c r="BWD698" s="524"/>
      <c r="BWE698" s="524"/>
      <c r="BWF698" s="524"/>
      <c r="BWG698" s="524"/>
      <c r="BWH698" s="524"/>
      <c r="BWI698" s="524"/>
      <c r="BWJ698" s="524"/>
      <c r="BWK698" s="524"/>
      <c r="BWL698" s="524"/>
      <c r="BWM698" s="524"/>
      <c r="BWN698" s="524"/>
      <c r="BWO698" s="524"/>
      <c r="BWP698" s="524"/>
      <c r="BWQ698" s="524"/>
      <c r="BWR698" s="524"/>
      <c r="BWS698" s="524"/>
      <c r="BWT698" s="524"/>
      <c r="BWU698" s="524"/>
      <c r="BWV698" s="524"/>
      <c r="BWW698" s="524"/>
      <c r="BWX698" s="524"/>
      <c r="BWY698" s="524"/>
      <c r="BWZ698" s="524"/>
      <c r="BXA698" s="524"/>
      <c r="BXB698" s="524"/>
      <c r="BXC698" s="524"/>
      <c r="BXD698" s="524"/>
      <c r="BXE698" s="524"/>
      <c r="BXF698" s="524"/>
      <c r="BXG698" s="524"/>
      <c r="BXH698" s="524"/>
      <c r="BXI698" s="524"/>
      <c r="BXJ698" s="524"/>
      <c r="BXK698" s="524"/>
      <c r="BXL698" s="524"/>
      <c r="BXM698" s="524"/>
      <c r="BXN698" s="524"/>
      <c r="BXO698" s="524"/>
      <c r="BXP698" s="524"/>
      <c r="BXQ698" s="524"/>
      <c r="BXR698" s="524"/>
      <c r="BXS698" s="524"/>
      <c r="BXT698" s="524"/>
      <c r="BXU698" s="524"/>
      <c r="BXV698" s="524"/>
      <c r="BXW698" s="524"/>
      <c r="BXX698" s="524"/>
      <c r="BXY698" s="524"/>
      <c r="BXZ698" s="524"/>
      <c r="BYA698" s="524"/>
      <c r="BYB698" s="524"/>
      <c r="BYC698" s="524"/>
      <c r="BYD698" s="524"/>
      <c r="BYE698" s="524"/>
      <c r="BYF698" s="524"/>
      <c r="BYG698" s="524"/>
      <c r="BYH698" s="524"/>
      <c r="BYI698" s="524"/>
      <c r="BYJ698" s="524"/>
      <c r="BYK698" s="524"/>
      <c r="BYL698" s="524"/>
      <c r="BYM698" s="524"/>
      <c r="BYN698" s="524"/>
      <c r="BYO698" s="524"/>
      <c r="BYP698" s="524"/>
      <c r="BYQ698" s="524"/>
      <c r="BYR698" s="524"/>
      <c r="BYS698" s="524"/>
      <c r="BYT698" s="524"/>
      <c r="BYU698" s="524"/>
      <c r="BYV698" s="524"/>
      <c r="BYW698" s="524"/>
      <c r="BYX698" s="524"/>
      <c r="BYY698" s="524"/>
      <c r="BYZ698" s="524"/>
      <c r="BZA698" s="524"/>
      <c r="BZB698" s="524"/>
      <c r="BZC698" s="524"/>
      <c r="BZD698" s="524"/>
      <c r="BZE698" s="524"/>
      <c r="BZF698" s="524"/>
      <c r="BZG698" s="524"/>
      <c r="BZH698" s="524"/>
      <c r="BZI698" s="524"/>
      <c r="BZJ698" s="524"/>
      <c r="BZK698" s="524"/>
      <c r="BZL698" s="524"/>
      <c r="BZM698" s="524"/>
      <c r="BZN698" s="524"/>
      <c r="BZO698" s="524"/>
      <c r="BZP698" s="524"/>
      <c r="BZQ698" s="524"/>
      <c r="BZR698" s="524"/>
      <c r="BZS698" s="524"/>
      <c r="BZT698" s="524"/>
      <c r="BZU698" s="524"/>
      <c r="BZV698" s="524"/>
      <c r="BZW698" s="524"/>
      <c r="BZX698" s="524"/>
      <c r="BZY698" s="524"/>
      <c r="BZZ698" s="524"/>
      <c r="CAA698" s="524"/>
      <c r="CAB698" s="524"/>
      <c r="CAC698" s="524"/>
      <c r="CAD698" s="524"/>
      <c r="CAE698" s="524"/>
      <c r="CAF698" s="524"/>
      <c r="CAG698" s="524"/>
      <c r="CAH698" s="524"/>
      <c r="CAI698" s="524"/>
      <c r="CAJ698" s="524"/>
      <c r="CAK698" s="524"/>
      <c r="CAL698" s="524"/>
      <c r="CAM698" s="524"/>
      <c r="CAN698" s="524"/>
      <c r="CAO698" s="524"/>
      <c r="CAP698" s="524"/>
      <c r="CAQ698" s="524"/>
      <c r="CAR698" s="524"/>
      <c r="CAS698" s="524"/>
      <c r="CAT698" s="524"/>
      <c r="CAU698" s="524"/>
      <c r="CAV698" s="524"/>
      <c r="CAW698" s="524"/>
      <c r="CAX698" s="524"/>
      <c r="CAY698" s="524"/>
      <c r="CAZ698" s="524"/>
      <c r="CBA698" s="524"/>
      <c r="CBB698" s="524"/>
      <c r="CBC698" s="524"/>
      <c r="CBD698" s="524"/>
      <c r="CBE698" s="524"/>
      <c r="CBF698" s="524"/>
      <c r="CBG698" s="524"/>
      <c r="CBH698" s="524"/>
      <c r="CBI698" s="524"/>
      <c r="CBJ698" s="524"/>
      <c r="CBK698" s="524"/>
      <c r="CBL698" s="524"/>
      <c r="CBM698" s="524"/>
      <c r="CBN698" s="524"/>
      <c r="CBO698" s="524"/>
      <c r="CBP698" s="524"/>
      <c r="CBQ698" s="524"/>
      <c r="CBR698" s="524"/>
      <c r="CBS698" s="524"/>
      <c r="CBT698" s="524"/>
      <c r="CBU698" s="524"/>
      <c r="CBV698" s="524"/>
      <c r="CBW698" s="524"/>
      <c r="CBX698" s="524"/>
      <c r="CBY698" s="524"/>
      <c r="CBZ698" s="524"/>
      <c r="CCA698" s="524"/>
      <c r="CCB698" s="524"/>
      <c r="CCC698" s="524"/>
      <c r="CCD698" s="524"/>
      <c r="CCE698" s="524"/>
      <c r="CCF698" s="524"/>
      <c r="CCG698" s="524"/>
      <c r="CCH698" s="524"/>
      <c r="CCI698" s="524"/>
      <c r="CCJ698" s="524"/>
      <c r="CCK698" s="524"/>
      <c r="CCL698" s="524"/>
      <c r="CCM698" s="524"/>
      <c r="CCN698" s="524"/>
      <c r="CCO698" s="524"/>
      <c r="CCP698" s="524"/>
      <c r="CCQ698" s="524"/>
      <c r="CCR698" s="524"/>
      <c r="CCS698" s="524"/>
      <c r="CCT698" s="524"/>
      <c r="CCU698" s="524"/>
      <c r="CCV698" s="524"/>
      <c r="CCW698" s="524"/>
      <c r="CCX698" s="524"/>
      <c r="CCY698" s="524"/>
      <c r="CCZ698" s="524"/>
      <c r="CDA698" s="524"/>
      <c r="CDB698" s="524"/>
      <c r="CDC698" s="524"/>
      <c r="CDD698" s="524"/>
      <c r="CDE698" s="524"/>
      <c r="CDF698" s="524"/>
      <c r="CDG698" s="524"/>
      <c r="CDH698" s="524"/>
      <c r="CDI698" s="524"/>
      <c r="CDJ698" s="524"/>
      <c r="CDK698" s="524"/>
      <c r="CDL698" s="524"/>
      <c r="CDM698" s="524"/>
      <c r="CDN698" s="524"/>
      <c r="CDO698" s="524"/>
      <c r="CDP698" s="524"/>
      <c r="CDQ698" s="524"/>
      <c r="CDR698" s="524"/>
      <c r="CDS698" s="524"/>
      <c r="CDT698" s="524"/>
      <c r="CDU698" s="524"/>
      <c r="CDV698" s="524"/>
      <c r="CDW698" s="524"/>
      <c r="CDX698" s="524"/>
      <c r="CDY698" s="524"/>
      <c r="CDZ698" s="524"/>
      <c r="CEA698" s="524"/>
      <c r="CEB698" s="524"/>
      <c r="CEC698" s="524"/>
      <c r="CED698" s="524"/>
      <c r="CEE698" s="524"/>
      <c r="CEF698" s="524"/>
      <c r="CEG698" s="524"/>
      <c r="CEH698" s="524"/>
      <c r="CEI698" s="524"/>
      <c r="CEJ698" s="524"/>
      <c r="CEK698" s="524"/>
      <c r="CEL698" s="524"/>
      <c r="CEM698" s="524"/>
      <c r="CEN698" s="524"/>
      <c r="CEO698" s="524"/>
      <c r="CEP698" s="524"/>
      <c r="CEQ698" s="524"/>
      <c r="CER698" s="524"/>
      <c r="CES698" s="524"/>
      <c r="CET698" s="524"/>
      <c r="CEU698" s="524"/>
      <c r="CEV698" s="524"/>
      <c r="CEW698" s="524"/>
      <c r="CEX698" s="524"/>
      <c r="CEY698" s="524"/>
      <c r="CEZ698" s="524"/>
      <c r="CFA698" s="524"/>
      <c r="CFB698" s="524"/>
      <c r="CFC698" s="524"/>
      <c r="CFD698" s="524"/>
      <c r="CFE698" s="524"/>
      <c r="CFF698" s="524"/>
      <c r="CFG698" s="524"/>
      <c r="CFH698" s="524"/>
      <c r="CFI698" s="524"/>
      <c r="CFJ698" s="524"/>
      <c r="CFK698" s="524"/>
      <c r="CFL698" s="524"/>
      <c r="CFM698" s="524"/>
      <c r="CFN698" s="524"/>
      <c r="CFO698" s="524"/>
      <c r="CFP698" s="524"/>
      <c r="CFQ698" s="524"/>
      <c r="CFR698" s="524"/>
      <c r="CFS698" s="524"/>
      <c r="CFT698" s="524"/>
      <c r="CFU698" s="524"/>
      <c r="CFV698" s="524"/>
      <c r="CFW698" s="524"/>
      <c r="CFX698" s="524"/>
      <c r="CFY698" s="524"/>
      <c r="CFZ698" s="524"/>
      <c r="CGA698" s="524"/>
      <c r="CGB698" s="524"/>
      <c r="CGC698" s="524"/>
      <c r="CGD698" s="524"/>
      <c r="CGE698" s="524"/>
      <c r="CGF698" s="524"/>
      <c r="CGG698" s="524"/>
      <c r="CGH698" s="524"/>
      <c r="CGI698" s="524"/>
      <c r="CGJ698" s="524"/>
      <c r="CGK698" s="524"/>
      <c r="CGL698" s="524"/>
      <c r="CGM698" s="524"/>
      <c r="CGN698" s="524"/>
      <c r="CGO698" s="524"/>
      <c r="CGP698" s="524"/>
      <c r="CGQ698" s="524"/>
      <c r="CGR698" s="524"/>
      <c r="CGS698" s="524"/>
      <c r="CGT698" s="524"/>
      <c r="CGU698" s="524"/>
      <c r="CGV698" s="524"/>
      <c r="CGW698" s="524"/>
      <c r="CGX698" s="524"/>
      <c r="CGY698" s="524"/>
      <c r="CGZ698" s="524"/>
      <c r="CHA698" s="524"/>
      <c r="CHB698" s="524"/>
      <c r="CHC698" s="524"/>
      <c r="CHD698" s="524"/>
      <c r="CHE698" s="524"/>
      <c r="CHF698" s="524"/>
      <c r="CHG698" s="524"/>
      <c r="CHH698" s="524"/>
      <c r="CHI698" s="524"/>
      <c r="CHJ698" s="524"/>
      <c r="CHK698" s="524"/>
      <c r="CHL698" s="524"/>
      <c r="CHM698" s="524"/>
      <c r="CHN698" s="524"/>
      <c r="CHO698" s="524"/>
      <c r="CHP698" s="524"/>
      <c r="CHQ698" s="524"/>
      <c r="CHR698" s="524"/>
      <c r="CHS698" s="524"/>
      <c r="CHT698" s="524"/>
      <c r="CHU698" s="524"/>
      <c r="CHV698" s="524"/>
      <c r="CHW698" s="524"/>
      <c r="CHX698" s="524"/>
      <c r="CHY698" s="524"/>
      <c r="CHZ698" s="524"/>
      <c r="CIA698" s="524"/>
      <c r="CIB698" s="524"/>
      <c r="CIC698" s="524"/>
      <c r="CID698" s="524"/>
      <c r="CIE698" s="524"/>
      <c r="CIF698" s="524"/>
      <c r="CIG698" s="524"/>
      <c r="CIH698" s="524"/>
      <c r="CII698" s="524"/>
      <c r="CIJ698" s="524"/>
      <c r="CIK698" s="524"/>
      <c r="CIL698" s="524"/>
      <c r="CIM698" s="524"/>
      <c r="CIN698" s="524"/>
      <c r="CIO698" s="524"/>
      <c r="CIP698" s="524"/>
      <c r="CIQ698" s="524"/>
      <c r="CIR698" s="524"/>
      <c r="CIS698" s="524"/>
      <c r="CIT698" s="524"/>
      <c r="CIU698" s="524"/>
      <c r="CIV698" s="524"/>
      <c r="CIW698" s="524"/>
      <c r="CIX698" s="524"/>
      <c r="CIY698" s="524"/>
      <c r="CIZ698" s="524"/>
      <c r="CJA698" s="524"/>
      <c r="CJB698" s="524"/>
      <c r="CJC698" s="524"/>
      <c r="CJD698" s="524"/>
      <c r="CJE698" s="524"/>
      <c r="CJF698" s="524"/>
      <c r="CJG698" s="524"/>
      <c r="CJH698" s="524"/>
      <c r="CJI698" s="524"/>
      <c r="CJJ698" s="524"/>
      <c r="CJK698" s="524"/>
      <c r="CJL698" s="524"/>
      <c r="CJM698" s="524"/>
      <c r="CJN698" s="524"/>
      <c r="CJO698" s="524"/>
      <c r="CJP698" s="524"/>
      <c r="CJQ698" s="524"/>
      <c r="CJR698" s="524"/>
      <c r="CJS698" s="524"/>
      <c r="CJT698" s="524"/>
      <c r="CJU698" s="524"/>
      <c r="CJV698" s="524"/>
      <c r="CJW698" s="524"/>
      <c r="CJX698" s="524"/>
      <c r="CJY698" s="524"/>
      <c r="CJZ698" s="524"/>
      <c r="CKA698" s="524"/>
      <c r="CKB698" s="524"/>
      <c r="CKC698" s="524"/>
      <c r="CKD698" s="524"/>
      <c r="CKE698" s="524"/>
      <c r="CKF698" s="524"/>
      <c r="CKG698" s="524"/>
      <c r="CKH698" s="524"/>
      <c r="CKI698" s="524"/>
      <c r="CKJ698" s="524"/>
      <c r="CKK698" s="524"/>
      <c r="CKL698" s="524"/>
      <c r="CKM698" s="524"/>
      <c r="CKN698" s="524"/>
      <c r="CKO698" s="524"/>
      <c r="CKP698" s="524"/>
      <c r="CKQ698" s="524"/>
      <c r="CKR698" s="524"/>
      <c r="CKS698" s="524"/>
      <c r="CKT698" s="524"/>
      <c r="CKU698" s="524"/>
      <c r="CKV698" s="524"/>
      <c r="CKW698" s="524"/>
      <c r="CKX698" s="524"/>
      <c r="CKY698" s="524"/>
      <c r="CKZ698" s="524"/>
      <c r="CLA698" s="524"/>
      <c r="CLB698" s="524"/>
      <c r="CLC698" s="524"/>
      <c r="CLD698" s="524"/>
      <c r="CLE698" s="524"/>
      <c r="CLF698" s="524"/>
      <c r="CLG698" s="524"/>
      <c r="CLH698" s="524"/>
      <c r="CLI698" s="524"/>
      <c r="CLJ698" s="524"/>
      <c r="CLK698" s="524"/>
      <c r="CLL698" s="524"/>
      <c r="CLM698" s="524"/>
      <c r="CLN698" s="524"/>
      <c r="CLO698" s="524"/>
      <c r="CLP698" s="524"/>
      <c r="CLQ698" s="524"/>
      <c r="CLR698" s="524"/>
      <c r="CLS698" s="524"/>
      <c r="CLT698" s="524"/>
      <c r="CLU698" s="524"/>
      <c r="CLV698" s="524"/>
      <c r="CLW698" s="524"/>
      <c r="CLX698" s="524"/>
      <c r="CLY698" s="524"/>
      <c r="CLZ698" s="524"/>
      <c r="CMA698" s="524"/>
      <c r="CMB698" s="524"/>
      <c r="CMC698" s="524"/>
      <c r="CMD698" s="524"/>
      <c r="CME698" s="524"/>
      <c r="CMF698" s="524"/>
      <c r="CMG698" s="524"/>
      <c r="CMH698" s="524"/>
      <c r="CMI698" s="524"/>
      <c r="CMJ698" s="524"/>
      <c r="CMK698" s="524"/>
      <c r="CML698" s="524"/>
      <c r="CMM698" s="524"/>
      <c r="CMN698" s="524"/>
      <c r="CMO698" s="524"/>
      <c r="CMP698" s="524"/>
      <c r="CMQ698" s="524"/>
      <c r="CMR698" s="524"/>
      <c r="CMS698" s="524"/>
      <c r="CMT698" s="524"/>
      <c r="CMU698" s="524"/>
      <c r="CMV698" s="524"/>
      <c r="CMW698" s="524"/>
      <c r="CMX698" s="524"/>
      <c r="CMY698" s="524"/>
      <c r="CMZ698" s="524"/>
      <c r="CNA698" s="524"/>
      <c r="CNB698" s="524"/>
      <c r="CNC698" s="524"/>
      <c r="CND698" s="524"/>
      <c r="CNE698" s="524"/>
      <c r="CNF698" s="524"/>
      <c r="CNG698" s="524"/>
      <c r="CNH698" s="524"/>
      <c r="CNI698" s="524"/>
      <c r="CNJ698" s="524"/>
      <c r="CNK698" s="524"/>
      <c r="CNL698" s="524"/>
      <c r="CNM698" s="524"/>
      <c r="CNN698" s="524"/>
      <c r="CNO698" s="524"/>
      <c r="CNP698" s="524"/>
      <c r="CNQ698" s="524"/>
      <c r="CNR698" s="524"/>
      <c r="CNS698" s="524"/>
      <c r="CNT698" s="524"/>
      <c r="CNU698" s="524"/>
      <c r="CNV698" s="524"/>
      <c r="CNW698" s="524"/>
      <c r="CNX698" s="524"/>
      <c r="CNY698" s="524"/>
      <c r="CNZ698" s="524"/>
      <c r="COA698" s="524"/>
      <c r="COB698" s="524"/>
      <c r="COC698" s="524"/>
      <c r="COD698" s="524"/>
      <c r="COE698" s="524"/>
      <c r="COF698" s="524"/>
      <c r="COG698" s="524"/>
      <c r="COH698" s="524"/>
      <c r="COI698" s="524"/>
      <c r="COJ698" s="524"/>
      <c r="COK698" s="524"/>
      <c r="COL698" s="524"/>
      <c r="COM698" s="524"/>
      <c r="CON698" s="524"/>
      <c r="COO698" s="524"/>
      <c r="COP698" s="524"/>
      <c r="COQ698" s="524"/>
      <c r="COR698" s="524"/>
      <c r="COS698" s="524"/>
      <c r="COT698" s="524"/>
      <c r="COU698" s="524"/>
      <c r="COV698" s="524"/>
      <c r="COW698" s="524"/>
      <c r="COX698" s="524"/>
      <c r="COY698" s="524"/>
      <c r="COZ698" s="524"/>
      <c r="CPA698" s="524"/>
      <c r="CPB698" s="524"/>
      <c r="CPC698" s="524"/>
      <c r="CPD698" s="524"/>
      <c r="CPE698" s="524"/>
      <c r="CPF698" s="524"/>
      <c r="CPG698" s="524"/>
      <c r="CPH698" s="524"/>
      <c r="CPI698" s="524"/>
      <c r="CPJ698" s="524"/>
      <c r="CPK698" s="524"/>
      <c r="CPL698" s="524"/>
      <c r="CPM698" s="524"/>
      <c r="CPN698" s="524"/>
      <c r="CPO698" s="524"/>
      <c r="CPP698" s="524"/>
      <c r="CPQ698" s="524"/>
      <c r="CPR698" s="524"/>
      <c r="CPS698" s="524"/>
      <c r="CPT698" s="524"/>
      <c r="CPU698" s="524"/>
      <c r="CPV698" s="524"/>
      <c r="CPW698" s="524"/>
      <c r="CPX698" s="524"/>
      <c r="CPY698" s="524"/>
      <c r="CPZ698" s="524"/>
      <c r="CQA698" s="524"/>
      <c r="CQB698" s="524"/>
      <c r="CQC698" s="524"/>
      <c r="CQD698" s="524"/>
      <c r="CQE698" s="524"/>
      <c r="CQF698" s="524"/>
      <c r="CQG698" s="524"/>
      <c r="CQH698" s="524"/>
      <c r="CQI698" s="524"/>
      <c r="CQJ698" s="524"/>
      <c r="CQK698" s="524"/>
      <c r="CQL698" s="524"/>
      <c r="CQM698" s="524"/>
      <c r="CQN698" s="524"/>
      <c r="CQO698" s="524"/>
      <c r="CQP698" s="524"/>
      <c r="CQQ698" s="524"/>
      <c r="CQR698" s="524"/>
      <c r="CQS698" s="524"/>
      <c r="CQT698" s="524"/>
      <c r="CQU698" s="524"/>
      <c r="CQV698" s="524"/>
      <c r="CQW698" s="524"/>
      <c r="CQX698" s="524"/>
      <c r="CQY698" s="524"/>
      <c r="CQZ698" s="524"/>
      <c r="CRA698" s="524"/>
      <c r="CRB698" s="524"/>
      <c r="CRC698" s="524"/>
      <c r="CRD698" s="524"/>
      <c r="CRE698" s="524"/>
      <c r="CRF698" s="524"/>
      <c r="CRG698" s="524"/>
      <c r="CRH698" s="524"/>
      <c r="CRI698" s="524"/>
      <c r="CRJ698" s="524"/>
      <c r="CRK698" s="524"/>
      <c r="CRL698" s="524"/>
      <c r="CRM698" s="524"/>
      <c r="CRN698" s="524"/>
      <c r="CRO698" s="524"/>
      <c r="CRP698" s="524"/>
      <c r="CRQ698" s="524"/>
      <c r="CRR698" s="524"/>
      <c r="CRS698" s="524"/>
      <c r="CRT698" s="524"/>
      <c r="CRU698" s="524"/>
      <c r="CRV698" s="524"/>
      <c r="CRW698" s="524"/>
      <c r="CRX698" s="524"/>
      <c r="CRY698" s="524"/>
      <c r="CRZ698" s="524"/>
      <c r="CSA698" s="524"/>
      <c r="CSB698" s="524"/>
      <c r="CSC698" s="524"/>
      <c r="CSD698" s="524"/>
      <c r="CSE698" s="524"/>
      <c r="CSF698" s="524"/>
      <c r="CSG698" s="524"/>
      <c r="CSH698" s="524"/>
      <c r="CSI698" s="524"/>
      <c r="CSJ698" s="524"/>
      <c r="CSK698" s="524"/>
      <c r="CSL698" s="524"/>
      <c r="CSM698" s="524"/>
      <c r="CSN698" s="524"/>
      <c r="CSO698" s="524"/>
      <c r="CSP698" s="524"/>
      <c r="CSQ698" s="524"/>
      <c r="CSR698" s="524"/>
      <c r="CSS698" s="524"/>
      <c r="CST698" s="524"/>
      <c r="CSU698" s="524"/>
      <c r="CSV698" s="524"/>
      <c r="CSW698" s="524"/>
      <c r="CSX698" s="524"/>
      <c r="CSY698" s="524"/>
      <c r="CSZ698" s="524"/>
      <c r="CTA698" s="524"/>
      <c r="CTB698" s="524"/>
      <c r="CTC698" s="524"/>
      <c r="CTD698" s="524"/>
      <c r="CTE698" s="524"/>
      <c r="CTF698" s="524"/>
      <c r="CTG698" s="524"/>
      <c r="CTH698" s="524"/>
      <c r="CTI698" s="524"/>
      <c r="CTJ698" s="524"/>
      <c r="CTK698" s="524"/>
      <c r="CTL698" s="524"/>
      <c r="CTM698" s="524"/>
      <c r="CTN698" s="524"/>
      <c r="CTO698" s="524"/>
      <c r="CTP698" s="524"/>
      <c r="CTQ698" s="524"/>
      <c r="CTR698" s="524"/>
      <c r="CTS698" s="524"/>
      <c r="CTT698" s="524"/>
      <c r="CTU698" s="524"/>
      <c r="CTV698" s="524"/>
      <c r="CTW698" s="524"/>
      <c r="CTX698" s="524"/>
      <c r="CTY698" s="524"/>
      <c r="CTZ698" s="524"/>
      <c r="CUA698" s="524"/>
      <c r="CUB698" s="524"/>
      <c r="CUC698" s="524"/>
      <c r="CUD698" s="524"/>
      <c r="CUE698" s="524"/>
      <c r="CUF698" s="524"/>
      <c r="CUG698" s="524"/>
      <c r="CUH698" s="524"/>
      <c r="CUI698" s="524"/>
      <c r="CUJ698" s="524"/>
      <c r="CUK698" s="524"/>
      <c r="CUL698" s="524"/>
      <c r="CUM698" s="524"/>
      <c r="CUN698" s="524"/>
      <c r="CUO698" s="524"/>
      <c r="CUP698" s="524"/>
      <c r="CUQ698" s="524"/>
      <c r="CUR698" s="524"/>
      <c r="CUS698" s="524"/>
      <c r="CUT698" s="524"/>
      <c r="CUU698" s="524"/>
      <c r="CUV698" s="524"/>
      <c r="CUW698" s="524"/>
      <c r="CUX698" s="524"/>
      <c r="CUY698" s="524"/>
      <c r="CUZ698" s="524"/>
      <c r="CVA698" s="524"/>
      <c r="CVB698" s="524"/>
      <c r="CVC698" s="524"/>
      <c r="CVD698" s="524"/>
      <c r="CVE698" s="524"/>
      <c r="CVF698" s="524"/>
      <c r="CVG698" s="524"/>
      <c r="CVH698" s="524"/>
      <c r="CVI698" s="524"/>
      <c r="CVJ698" s="524"/>
      <c r="CVK698" s="524"/>
      <c r="CVL698" s="524"/>
      <c r="CVM698" s="524"/>
      <c r="CVN698" s="524"/>
      <c r="CVO698" s="524"/>
      <c r="CVP698" s="524"/>
      <c r="CVQ698" s="524"/>
      <c r="CVR698" s="524"/>
      <c r="CVS698" s="524"/>
      <c r="CVT698" s="524"/>
      <c r="CVU698" s="524"/>
      <c r="CVV698" s="524"/>
      <c r="CVW698" s="524"/>
      <c r="CVX698" s="524"/>
      <c r="CVY698" s="524"/>
      <c r="CVZ698" s="524"/>
      <c r="CWA698" s="524"/>
      <c r="CWB698" s="524"/>
      <c r="CWC698" s="524"/>
      <c r="CWD698" s="524"/>
      <c r="CWE698" s="524"/>
      <c r="CWF698" s="524"/>
      <c r="CWG698" s="524"/>
      <c r="CWH698" s="524"/>
      <c r="CWI698" s="524"/>
      <c r="CWJ698" s="524"/>
      <c r="CWK698" s="524"/>
      <c r="CWL698" s="524"/>
      <c r="CWM698" s="524"/>
      <c r="CWN698" s="524"/>
      <c r="CWO698" s="524"/>
      <c r="CWP698" s="524"/>
      <c r="CWQ698" s="524"/>
      <c r="CWR698" s="524"/>
      <c r="CWS698" s="524"/>
      <c r="CWT698" s="524"/>
      <c r="CWU698" s="524"/>
      <c r="CWV698" s="524"/>
      <c r="CWW698" s="524"/>
      <c r="CWX698" s="524"/>
      <c r="CWY698" s="524"/>
      <c r="CWZ698" s="524"/>
      <c r="CXA698" s="524"/>
      <c r="CXB698" s="524"/>
      <c r="CXC698" s="524"/>
      <c r="CXD698" s="524"/>
      <c r="CXE698" s="524"/>
      <c r="CXF698" s="524"/>
      <c r="CXG698" s="524"/>
      <c r="CXH698" s="524"/>
      <c r="CXI698" s="524"/>
      <c r="CXJ698" s="524"/>
      <c r="CXK698" s="524"/>
      <c r="CXL698" s="524"/>
      <c r="CXM698" s="524"/>
      <c r="CXN698" s="524"/>
      <c r="CXO698" s="524"/>
      <c r="CXP698" s="524"/>
      <c r="CXQ698" s="524"/>
      <c r="CXR698" s="524"/>
      <c r="CXS698" s="524"/>
      <c r="CXT698" s="524"/>
      <c r="CXU698" s="524"/>
      <c r="CXV698" s="524"/>
      <c r="CXW698" s="524"/>
      <c r="CXX698" s="524"/>
      <c r="CXY698" s="524"/>
      <c r="CXZ698" s="524"/>
      <c r="CYA698" s="524"/>
      <c r="CYB698" s="524"/>
      <c r="CYC698" s="524"/>
      <c r="CYD698" s="524"/>
      <c r="CYE698" s="524"/>
      <c r="CYF698" s="524"/>
      <c r="CYG698" s="524"/>
      <c r="CYH698" s="524"/>
      <c r="CYI698" s="524"/>
      <c r="CYJ698" s="524"/>
      <c r="CYK698" s="524"/>
      <c r="CYL698" s="524"/>
      <c r="CYM698" s="524"/>
      <c r="CYN698" s="524"/>
      <c r="CYO698" s="524"/>
      <c r="CYP698" s="524"/>
      <c r="CYQ698" s="524"/>
      <c r="CYR698" s="524"/>
      <c r="CYS698" s="524"/>
      <c r="CYT698" s="524"/>
      <c r="CYU698" s="524"/>
      <c r="CYV698" s="524"/>
      <c r="CYW698" s="524"/>
      <c r="CYX698" s="524"/>
      <c r="CYY698" s="524"/>
      <c r="CYZ698" s="524"/>
      <c r="CZA698" s="524"/>
      <c r="CZB698" s="524"/>
      <c r="CZC698" s="524"/>
      <c r="CZD698" s="524"/>
      <c r="CZE698" s="524"/>
      <c r="CZF698" s="524"/>
      <c r="CZG698" s="524"/>
      <c r="CZH698" s="524"/>
      <c r="CZI698" s="524"/>
      <c r="CZJ698" s="524"/>
      <c r="CZK698" s="524"/>
      <c r="CZL698" s="524"/>
      <c r="CZM698" s="524"/>
      <c r="CZN698" s="524"/>
      <c r="CZO698" s="524"/>
      <c r="CZP698" s="524"/>
      <c r="CZQ698" s="524"/>
      <c r="CZR698" s="524"/>
      <c r="CZS698" s="524"/>
      <c r="CZT698" s="524"/>
      <c r="CZU698" s="524"/>
      <c r="CZV698" s="524"/>
      <c r="CZW698" s="524"/>
      <c r="CZX698" s="524"/>
      <c r="CZY698" s="524"/>
      <c r="CZZ698" s="524"/>
      <c r="DAA698" s="524"/>
      <c r="DAB698" s="524"/>
      <c r="DAC698" s="524"/>
      <c r="DAD698" s="524"/>
      <c r="DAE698" s="524"/>
      <c r="DAF698" s="524"/>
      <c r="DAG698" s="524"/>
      <c r="DAH698" s="524"/>
      <c r="DAI698" s="524"/>
      <c r="DAJ698" s="524"/>
      <c r="DAK698" s="524"/>
      <c r="DAL698" s="524"/>
      <c r="DAM698" s="524"/>
      <c r="DAN698" s="524"/>
      <c r="DAO698" s="524"/>
      <c r="DAP698" s="524"/>
      <c r="DAQ698" s="524"/>
      <c r="DAR698" s="524"/>
      <c r="DAS698" s="524"/>
      <c r="DAT698" s="524"/>
      <c r="DAU698" s="524"/>
      <c r="DAV698" s="524"/>
      <c r="DAW698" s="524"/>
      <c r="DAX698" s="524"/>
      <c r="DAY698" s="524"/>
      <c r="DAZ698" s="524"/>
      <c r="DBA698" s="524"/>
      <c r="DBB698" s="524"/>
      <c r="DBC698" s="524"/>
      <c r="DBD698" s="524"/>
      <c r="DBE698" s="524"/>
      <c r="DBF698" s="524"/>
      <c r="DBG698" s="524"/>
      <c r="DBH698" s="524"/>
      <c r="DBI698" s="524"/>
      <c r="DBJ698" s="524"/>
      <c r="DBK698" s="524"/>
      <c r="DBL698" s="524"/>
      <c r="DBM698" s="524"/>
      <c r="DBN698" s="524"/>
      <c r="DBO698" s="524"/>
      <c r="DBP698" s="524"/>
      <c r="DBQ698" s="524"/>
      <c r="DBR698" s="524"/>
      <c r="DBS698" s="524"/>
      <c r="DBT698" s="524"/>
      <c r="DBU698" s="524"/>
      <c r="DBV698" s="524"/>
      <c r="DBW698" s="524"/>
      <c r="DBX698" s="524"/>
      <c r="DBY698" s="524"/>
      <c r="DBZ698" s="524"/>
      <c r="DCA698" s="524"/>
      <c r="DCB698" s="524"/>
      <c r="DCC698" s="524"/>
      <c r="DCD698" s="524"/>
      <c r="DCE698" s="524"/>
      <c r="DCF698" s="524"/>
      <c r="DCG698" s="524"/>
      <c r="DCH698" s="524"/>
      <c r="DCI698" s="524"/>
      <c r="DCJ698" s="524"/>
      <c r="DCK698" s="524"/>
      <c r="DCL698" s="524"/>
      <c r="DCM698" s="524"/>
      <c r="DCN698" s="524"/>
      <c r="DCO698" s="524"/>
      <c r="DCP698" s="524"/>
      <c r="DCQ698" s="524"/>
      <c r="DCR698" s="524"/>
      <c r="DCS698" s="524"/>
      <c r="DCT698" s="524"/>
      <c r="DCU698" s="524"/>
      <c r="DCV698" s="524"/>
      <c r="DCW698" s="524"/>
      <c r="DCX698" s="524"/>
      <c r="DCY698" s="524"/>
      <c r="DCZ698" s="524"/>
      <c r="DDA698" s="524"/>
      <c r="DDB698" s="524"/>
      <c r="DDC698" s="524"/>
      <c r="DDD698" s="524"/>
      <c r="DDE698" s="524"/>
      <c r="DDF698" s="524"/>
      <c r="DDG698" s="524"/>
      <c r="DDH698" s="524"/>
      <c r="DDI698" s="524"/>
      <c r="DDJ698" s="524"/>
      <c r="DDK698" s="524"/>
      <c r="DDL698" s="524"/>
      <c r="DDM698" s="524"/>
      <c r="DDN698" s="524"/>
      <c r="DDO698" s="524"/>
      <c r="DDP698" s="524"/>
      <c r="DDQ698" s="524"/>
      <c r="DDR698" s="524"/>
      <c r="DDS698" s="524"/>
      <c r="DDT698" s="524"/>
      <c r="DDU698" s="524"/>
      <c r="DDV698" s="524"/>
      <c r="DDW698" s="524"/>
      <c r="DDX698" s="524"/>
      <c r="DDY698" s="524"/>
      <c r="DDZ698" s="524"/>
      <c r="DEA698" s="524"/>
      <c r="DEB698" s="524"/>
      <c r="DEC698" s="524"/>
      <c r="DED698" s="524"/>
      <c r="DEE698" s="524"/>
      <c r="DEF698" s="524"/>
      <c r="DEG698" s="524"/>
      <c r="DEH698" s="524"/>
      <c r="DEI698" s="524"/>
      <c r="DEJ698" s="524"/>
      <c r="DEK698" s="524"/>
      <c r="DEL698" s="524"/>
      <c r="DEM698" s="524"/>
      <c r="DEN698" s="524"/>
      <c r="DEO698" s="524"/>
      <c r="DEP698" s="524"/>
      <c r="DEQ698" s="524"/>
      <c r="DER698" s="524"/>
      <c r="DES698" s="524"/>
      <c r="DET698" s="524"/>
      <c r="DEU698" s="524"/>
      <c r="DEV698" s="524"/>
      <c r="DEW698" s="524"/>
      <c r="DEX698" s="524"/>
      <c r="DEY698" s="524"/>
      <c r="DEZ698" s="524"/>
      <c r="DFA698" s="524"/>
      <c r="DFB698" s="524"/>
      <c r="DFC698" s="524"/>
      <c r="DFD698" s="524"/>
      <c r="DFE698" s="524"/>
      <c r="DFF698" s="524"/>
      <c r="DFG698" s="524"/>
      <c r="DFH698" s="524"/>
      <c r="DFI698" s="524"/>
      <c r="DFJ698" s="524"/>
      <c r="DFK698" s="524"/>
      <c r="DFL698" s="524"/>
      <c r="DFM698" s="524"/>
      <c r="DFN698" s="524"/>
      <c r="DFO698" s="524"/>
      <c r="DFP698" s="524"/>
      <c r="DFQ698" s="524"/>
      <c r="DFR698" s="524"/>
      <c r="DFS698" s="524"/>
      <c r="DFT698" s="524"/>
      <c r="DFU698" s="524"/>
      <c r="DFV698" s="524"/>
      <c r="DFW698" s="524"/>
      <c r="DFX698" s="524"/>
      <c r="DFY698" s="524"/>
      <c r="DFZ698" s="524"/>
      <c r="DGA698" s="524"/>
      <c r="DGB698" s="524"/>
      <c r="DGC698" s="524"/>
      <c r="DGD698" s="524"/>
      <c r="DGE698" s="524"/>
      <c r="DGF698" s="524"/>
      <c r="DGG698" s="524"/>
      <c r="DGH698" s="524"/>
      <c r="DGI698" s="524"/>
      <c r="DGJ698" s="524"/>
      <c r="DGK698" s="524"/>
      <c r="DGL698" s="524"/>
      <c r="DGM698" s="524"/>
      <c r="DGN698" s="524"/>
      <c r="DGO698" s="524"/>
      <c r="DGP698" s="524"/>
      <c r="DGQ698" s="524"/>
      <c r="DGR698" s="524"/>
      <c r="DGS698" s="524"/>
      <c r="DGT698" s="524"/>
      <c r="DGU698" s="524"/>
      <c r="DGV698" s="524"/>
      <c r="DGW698" s="524"/>
      <c r="DGX698" s="524"/>
      <c r="DGY698" s="524"/>
      <c r="DGZ698" s="524"/>
      <c r="DHA698" s="524"/>
      <c r="DHB698" s="524"/>
      <c r="DHC698" s="524"/>
      <c r="DHD698" s="524"/>
      <c r="DHE698" s="524"/>
      <c r="DHF698" s="524"/>
      <c r="DHG698" s="524"/>
      <c r="DHH698" s="524"/>
      <c r="DHI698" s="524"/>
      <c r="DHJ698" s="524"/>
      <c r="DHK698" s="524"/>
      <c r="DHL698" s="524"/>
      <c r="DHM698" s="524"/>
      <c r="DHN698" s="524"/>
      <c r="DHO698" s="524"/>
      <c r="DHP698" s="524"/>
      <c r="DHQ698" s="524"/>
      <c r="DHR698" s="524"/>
      <c r="DHS698" s="524"/>
      <c r="DHT698" s="524"/>
      <c r="DHU698" s="524"/>
      <c r="DHV698" s="524"/>
      <c r="DHW698" s="524"/>
      <c r="DHX698" s="524"/>
      <c r="DHY698" s="524"/>
      <c r="DHZ698" s="524"/>
      <c r="DIA698" s="524"/>
      <c r="DIB698" s="524"/>
      <c r="DIC698" s="524"/>
      <c r="DID698" s="524"/>
      <c r="DIE698" s="524"/>
      <c r="DIF698" s="524"/>
      <c r="DIG698" s="524"/>
      <c r="DIH698" s="524"/>
      <c r="DII698" s="524"/>
      <c r="DIJ698" s="524"/>
      <c r="DIK698" s="524"/>
      <c r="DIL698" s="524"/>
      <c r="DIM698" s="524"/>
      <c r="DIN698" s="524"/>
      <c r="DIO698" s="524"/>
      <c r="DIP698" s="524"/>
      <c r="DIQ698" s="524"/>
      <c r="DIR698" s="524"/>
      <c r="DIS698" s="524"/>
      <c r="DIT698" s="524"/>
      <c r="DIU698" s="524"/>
      <c r="DIV698" s="524"/>
      <c r="DIW698" s="524"/>
      <c r="DIX698" s="524"/>
      <c r="DIY698" s="524"/>
      <c r="DIZ698" s="524"/>
      <c r="DJA698" s="524"/>
      <c r="DJB698" s="524"/>
      <c r="DJC698" s="524"/>
      <c r="DJD698" s="524"/>
      <c r="DJE698" s="524"/>
      <c r="DJF698" s="524"/>
      <c r="DJG698" s="524"/>
      <c r="DJH698" s="524"/>
      <c r="DJI698" s="524"/>
      <c r="DJJ698" s="524"/>
      <c r="DJK698" s="524"/>
      <c r="DJL698" s="524"/>
      <c r="DJM698" s="524"/>
      <c r="DJN698" s="524"/>
      <c r="DJO698" s="524"/>
      <c r="DJP698" s="524"/>
      <c r="DJQ698" s="524"/>
      <c r="DJR698" s="524"/>
      <c r="DJS698" s="524"/>
      <c r="DJT698" s="524"/>
      <c r="DJU698" s="524"/>
      <c r="DJV698" s="524"/>
      <c r="DJW698" s="524"/>
      <c r="DJX698" s="524"/>
      <c r="DJY698" s="524"/>
      <c r="DJZ698" s="524"/>
      <c r="DKA698" s="524"/>
      <c r="DKB698" s="524"/>
      <c r="DKC698" s="524"/>
      <c r="DKD698" s="524"/>
      <c r="DKE698" s="524"/>
      <c r="DKF698" s="524"/>
      <c r="DKG698" s="524"/>
      <c r="DKH698" s="524"/>
      <c r="DKI698" s="524"/>
      <c r="DKJ698" s="524"/>
      <c r="DKK698" s="524"/>
      <c r="DKL698" s="524"/>
      <c r="DKM698" s="524"/>
      <c r="DKN698" s="524"/>
      <c r="DKO698" s="524"/>
      <c r="DKP698" s="524"/>
      <c r="DKQ698" s="524"/>
      <c r="DKR698" s="524"/>
      <c r="DKS698" s="524"/>
      <c r="DKT698" s="524"/>
      <c r="DKU698" s="524"/>
      <c r="DKV698" s="524"/>
      <c r="DKW698" s="524"/>
      <c r="DKX698" s="524"/>
      <c r="DKY698" s="524"/>
      <c r="DKZ698" s="524"/>
      <c r="DLA698" s="524"/>
      <c r="DLB698" s="524"/>
      <c r="DLC698" s="524"/>
      <c r="DLD698" s="524"/>
      <c r="DLE698" s="524"/>
      <c r="DLF698" s="524"/>
      <c r="DLG698" s="524"/>
      <c r="DLH698" s="524"/>
      <c r="DLI698" s="524"/>
      <c r="DLJ698" s="524"/>
      <c r="DLK698" s="524"/>
      <c r="DLL698" s="524"/>
      <c r="DLM698" s="524"/>
      <c r="DLN698" s="524"/>
      <c r="DLO698" s="524"/>
      <c r="DLP698" s="524"/>
      <c r="DLQ698" s="524"/>
      <c r="DLR698" s="524"/>
      <c r="DLS698" s="524"/>
      <c r="DLT698" s="524"/>
      <c r="DLU698" s="524"/>
      <c r="DLV698" s="524"/>
      <c r="DLW698" s="524"/>
      <c r="DLX698" s="524"/>
      <c r="DLY698" s="524"/>
      <c r="DLZ698" s="524"/>
      <c r="DMA698" s="524"/>
      <c r="DMB698" s="524"/>
      <c r="DMC698" s="524"/>
      <c r="DMD698" s="524"/>
      <c r="DME698" s="524"/>
      <c r="DMF698" s="524"/>
      <c r="DMG698" s="524"/>
      <c r="DMH698" s="524"/>
      <c r="DMI698" s="524"/>
      <c r="DMJ698" s="524"/>
      <c r="DMK698" s="524"/>
      <c r="DML698" s="524"/>
      <c r="DMM698" s="524"/>
      <c r="DMN698" s="524"/>
      <c r="DMO698" s="524"/>
      <c r="DMP698" s="524"/>
      <c r="DMQ698" s="524"/>
      <c r="DMR698" s="524"/>
      <c r="DMS698" s="524"/>
      <c r="DMT698" s="524"/>
      <c r="DMU698" s="524"/>
      <c r="DMV698" s="524"/>
      <c r="DMW698" s="524"/>
      <c r="DMX698" s="524"/>
      <c r="DMY698" s="524"/>
      <c r="DMZ698" s="524"/>
      <c r="DNA698" s="524"/>
      <c r="DNB698" s="524"/>
      <c r="DNC698" s="524"/>
      <c r="DND698" s="524"/>
      <c r="DNE698" s="524"/>
      <c r="DNF698" s="524"/>
      <c r="DNG698" s="524"/>
      <c r="DNH698" s="524"/>
      <c r="DNI698" s="524"/>
      <c r="DNJ698" s="524"/>
      <c r="DNK698" s="524"/>
      <c r="DNL698" s="524"/>
      <c r="DNM698" s="524"/>
      <c r="DNN698" s="524"/>
      <c r="DNO698" s="524"/>
      <c r="DNP698" s="524"/>
      <c r="DNQ698" s="524"/>
      <c r="DNR698" s="524"/>
      <c r="DNS698" s="524"/>
      <c r="DNT698" s="524"/>
      <c r="DNU698" s="524"/>
      <c r="DNV698" s="524"/>
      <c r="DNW698" s="524"/>
      <c r="DNX698" s="524"/>
      <c r="DNY698" s="524"/>
      <c r="DNZ698" s="524"/>
      <c r="DOA698" s="524"/>
      <c r="DOB698" s="524"/>
      <c r="DOC698" s="524"/>
      <c r="DOD698" s="524"/>
      <c r="DOE698" s="524"/>
      <c r="DOF698" s="524"/>
      <c r="DOG698" s="524"/>
      <c r="DOH698" s="524"/>
      <c r="DOI698" s="524"/>
      <c r="DOJ698" s="524"/>
      <c r="DOK698" s="524"/>
      <c r="DOL698" s="524"/>
      <c r="DOM698" s="524"/>
      <c r="DON698" s="524"/>
      <c r="DOO698" s="524"/>
      <c r="DOP698" s="524"/>
      <c r="DOQ698" s="524"/>
      <c r="DOR698" s="524"/>
      <c r="DOS698" s="524"/>
      <c r="DOT698" s="524"/>
      <c r="DOU698" s="524"/>
      <c r="DOV698" s="524"/>
      <c r="DOW698" s="524"/>
      <c r="DOX698" s="524"/>
      <c r="DOY698" s="524"/>
      <c r="DOZ698" s="524"/>
      <c r="DPA698" s="524"/>
      <c r="DPB698" s="524"/>
      <c r="DPC698" s="524"/>
      <c r="DPD698" s="524"/>
      <c r="DPE698" s="524"/>
      <c r="DPF698" s="524"/>
      <c r="DPG698" s="524"/>
      <c r="DPH698" s="524"/>
      <c r="DPI698" s="524"/>
      <c r="DPJ698" s="524"/>
      <c r="DPK698" s="524"/>
      <c r="DPL698" s="524"/>
      <c r="DPM698" s="524"/>
      <c r="DPN698" s="524"/>
      <c r="DPO698" s="524"/>
      <c r="DPP698" s="524"/>
      <c r="DPQ698" s="524"/>
      <c r="DPR698" s="524"/>
      <c r="DPS698" s="524"/>
      <c r="DPT698" s="524"/>
      <c r="DPU698" s="524"/>
      <c r="DPV698" s="524"/>
      <c r="DPW698" s="524"/>
      <c r="DPX698" s="524"/>
      <c r="DPY698" s="524"/>
      <c r="DPZ698" s="524"/>
      <c r="DQA698" s="524"/>
      <c r="DQB698" s="524"/>
      <c r="DQC698" s="524"/>
      <c r="DQD698" s="524"/>
      <c r="DQE698" s="524"/>
      <c r="DQF698" s="524"/>
      <c r="DQG698" s="524"/>
      <c r="DQH698" s="524"/>
      <c r="DQI698" s="524"/>
      <c r="DQJ698" s="524"/>
      <c r="DQK698" s="524"/>
      <c r="DQL698" s="524"/>
      <c r="DQM698" s="524"/>
      <c r="DQN698" s="524"/>
      <c r="DQO698" s="524"/>
      <c r="DQP698" s="524"/>
      <c r="DQQ698" s="524"/>
      <c r="DQR698" s="524"/>
      <c r="DQS698" s="524"/>
      <c r="DQT698" s="524"/>
      <c r="DQU698" s="524"/>
      <c r="DQV698" s="524"/>
      <c r="DQW698" s="524"/>
      <c r="DQX698" s="524"/>
      <c r="DQY698" s="524"/>
      <c r="DQZ698" s="524"/>
      <c r="DRA698" s="524"/>
      <c r="DRB698" s="524"/>
      <c r="DRC698" s="524"/>
      <c r="DRD698" s="524"/>
      <c r="DRE698" s="524"/>
      <c r="DRF698" s="524"/>
      <c r="DRG698" s="524"/>
      <c r="DRH698" s="524"/>
      <c r="DRI698" s="524"/>
      <c r="DRJ698" s="524"/>
      <c r="DRK698" s="524"/>
      <c r="DRL698" s="524"/>
      <c r="DRM698" s="524"/>
      <c r="DRN698" s="524"/>
      <c r="DRO698" s="524"/>
      <c r="DRP698" s="524"/>
      <c r="DRQ698" s="524"/>
      <c r="DRR698" s="524"/>
      <c r="DRS698" s="524"/>
      <c r="DRT698" s="524"/>
      <c r="DRU698" s="524"/>
      <c r="DRV698" s="524"/>
      <c r="DRW698" s="524"/>
      <c r="DRX698" s="524"/>
      <c r="DRY698" s="524"/>
      <c r="DRZ698" s="524"/>
      <c r="DSA698" s="524"/>
      <c r="DSB698" s="524"/>
      <c r="DSC698" s="524"/>
      <c r="DSD698" s="524"/>
      <c r="DSE698" s="524"/>
      <c r="DSF698" s="524"/>
      <c r="DSG698" s="524"/>
      <c r="DSH698" s="524"/>
      <c r="DSI698" s="524"/>
      <c r="DSJ698" s="524"/>
      <c r="DSK698" s="524"/>
      <c r="DSL698" s="524"/>
      <c r="DSM698" s="524"/>
      <c r="DSN698" s="524"/>
      <c r="DSO698" s="524"/>
      <c r="DSP698" s="524"/>
      <c r="DSQ698" s="524"/>
      <c r="DSR698" s="524"/>
      <c r="DSS698" s="524"/>
      <c r="DST698" s="524"/>
      <c r="DSU698" s="524"/>
      <c r="DSV698" s="524"/>
      <c r="DSW698" s="524"/>
      <c r="DSX698" s="524"/>
      <c r="DSY698" s="524"/>
      <c r="DSZ698" s="524"/>
      <c r="DTA698" s="524"/>
      <c r="DTB698" s="524"/>
      <c r="DTC698" s="524"/>
      <c r="DTD698" s="524"/>
      <c r="DTE698" s="524"/>
      <c r="DTF698" s="524"/>
      <c r="DTG698" s="524"/>
      <c r="DTH698" s="524"/>
      <c r="DTI698" s="524"/>
      <c r="DTJ698" s="524"/>
      <c r="DTK698" s="524"/>
      <c r="DTL698" s="524"/>
      <c r="DTM698" s="524"/>
      <c r="DTN698" s="524"/>
      <c r="DTO698" s="524"/>
      <c r="DTP698" s="524"/>
      <c r="DTQ698" s="524"/>
      <c r="DTR698" s="524"/>
      <c r="DTS698" s="524"/>
      <c r="DTT698" s="524"/>
      <c r="DTU698" s="524"/>
      <c r="DTV698" s="524"/>
      <c r="DTW698" s="524"/>
      <c r="DTX698" s="524"/>
      <c r="DTY698" s="524"/>
      <c r="DTZ698" s="524"/>
      <c r="DUA698" s="524"/>
      <c r="DUB698" s="524"/>
      <c r="DUC698" s="524"/>
      <c r="DUD698" s="524"/>
      <c r="DUE698" s="524"/>
      <c r="DUF698" s="524"/>
      <c r="DUG698" s="524"/>
      <c r="DUH698" s="524"/>
      <c r="DUI698" s="524"/>
      <c r="DUJ698" s="524"/>
      <c r="DUK698" s="524"/>
      <c r="DUL698" s="524"/>
      <c r="DUM698" s="524"/>
      <c r="DUN698" s="524"/>
      <c r="DUO698" s="524"/>
      <c r="DUP698" s="524"/>
      <c r="DUQ698" s="524"/>
      <c r="DUR698" s="524"/>
      <c r="DUS698" s="524"/>
      <c r="DUT698" s="524"/>
      <c r="DUU698" s="524"/>
      <c r="DUV698" s="524"/>
      <c r="DUW698" s="524"/>
      <c r="DUX698" s="524"/>
      <c r="DUY698" s="524"/>
      <c r="DUZ698" s="524"/>
      <c r="DVA698" s="524"/>
      <c r="DVB698" s="524"/>
      <c r="DVC698" s="524"/>
      <c r="DVD698" s="524"/>
      <c r="DVE698" s="524"/>
      <c r="DVF698" s="524"/>
      <c r="DVG698" s="524"/>
      <c r="DVH698" s="524"/>
      <c r="DVI698" s="524"/>
      <c r="DVJ698" s="524"/>
      <c r="DVK698" s="524"/>
      <c r="DVL698" s="524"/>
      <c r="DVM698" s="524"/>
      <c r="DVN698" s="524"/>
      <c r="DVO698" s="524"/>
      <c r="DVP698" s="524"/>
      <c r="DVQ698" s="524"/>
      <c r="DVR698" s="524"/>
      <c r="DVS698" s="524"/>
      <c r="DVT698" s="524"/>
      <c r="DVU698" s="524"/>
      <c r="DVV698" s="524"/>
      <c r="DVW698" s="524"/>
      <c r="DVX698" s="524"/>
      <c r="DVY698" s="524"/>
      <c r="DVZ698" s="524"/>
      <c r="DWA698" s="524"/>
      <c r="DWB698" s="524"/>
      <c r="DWC698" s="524"/>
      <c r="DWD698" s="524"/>
      <c r="DWE698" s="524"/>
      <c r="DWF698" s="524"/>
      <c r="DWG698" s="524"/>
      <c r="DWH698" s="524"/>
      <c r="DWI698" s="524"/>
      <c r="DWJ698" s="524"/>
      <c r="DWK698" s="524"/>
      <c r="DWL698" s="524"/>
      <c r="DWM698" s="524"/>
      <c r="DWN698" s="524"/>
      <c r="DWO698" s="524"/>
      <c r="DWP698" s="524"/>
      <c r="DWQ698" s="524"/>
      <c r="DWR698" s="524"/>
      <c r="DWS698" s="524"/>
      <c r="DWT698" s="524"/>
      <c r="DWU698" s="524"/>
      <c r="DWV698" s="524"/>
      <c r="DWW698" s="524"/>
      <c r="DWX698" s="524"/>
      <c r="DWY698" s="524"/>
      <c r="DWZ698" s="524"/>
      <c r="DXA698" s="524"/>
      <c r="DXB698" s="524"/>
      <c r="DXC698" s="524"/>
      <c r="DXD698" s="524"/>
      <c r="DXE698" s="524"/>
      <c r="DXF698" s="524"/>
      <c r="DXG698" s="524"/>
      <c r="DXH698" s="524"/>
      <c r="DXI698" s="524"/>
      <c r="DXJ698" s="524"/>
      <c r="DXK698" s="524"/>
      <c r="DXL698" s="524"/>
      <c r="DXM698" s="524"/>
      <c r="DXN698" s="524"/>
      <c r="DXO698" s="524"/>
      <c r="DXP698" s="524"/>
      <c r="DXQ698" s="524"/>
      <c r="DXR698" s="524"/>
      <c r="DXS698" s="524"/>
      <c r="DXT698" s="524"/>
      <c r="DXU698" s="524"/>
      <c r="DXV698" s="524"/>
      <c r="DXW698" s="524"/>
      <c r="DXX698" s="524"/>
      <c r="DXY698" s="524"/>
      <c r="DXZ698" s="524"/>
      <c r="DYA698" s="524"/>
      <c r="DYB698" s="524"/>
      <c r="DYC698" s="524"/>
      <c r="DYD698" s="524"/>
      <c r="DYE698" s="524"/>
      <c r="DYF698" s="524"/>
      <c r="DYG698" s="524"/>
      <c r="DYH698" s="524"/>
      <c r="DYI698" s="524"/>
      <c r="DYJ698" s="524"/>
      <c r="DYK698" s="524"/>
      <c r="DYL698" s="524"/>
      <c r="DYM698" s="524"/>
      <c r="DYN698" s="524"/>
      <c r="DYO698" s="524"/>
      <c r="DYP698" s="524"/>
      <c r="DYQ698" s="524"/>
      <c r="DYR698" s="524"/>
      <c r="DYS698" s="524"/>
      <c r="DYT698" s="524"/>
      <c r="DYU698" s="524"/>
      <c r="DYV698" s="524"/>
      <c r="DYW698" s="524"/>
      <c r="DYX698" s="524"/>
      <c r="DYY698" s="524"/>
      <c r="DYZ698" s="524"/>
      <c r="DZA698" s="524"/>
      <c r="DZB698" s="524"/>
      <c r="DZC698" s="524"/>
      <c r="DZD698" s="524"/>
      <c r="DZE698" s="524"/>
      <c r="DZF698" s="524"/>
      <c r="DZG698" s="524"/>
      <c r="DZH698" s="524"/>
      <c r="DZI698" s="524"/>
      <c r="DZJ698" s="524"/>
      <c r="DZK698" s="524"/>
      <c r="DZL698" s="524"/>
      <c r="DZM698" s="524"/>
      <c r="DZN698" s="524"/>
      <c r="DZO698" s="524"/>
      <c r="DZP698" s="524"/>
      <c r="DZQ698" s="524"/>
      <c r="DZR698" s="524"/>
      <c r="DZS698" s="524"/>
      <c r="DZT698" s="524"/>
      <c r="DZU698" s="524"/>
      <c r="DZV698" s="524"/>
      <c r="DZW698" s="524"/>
      <c r="DZX698" s="524"/>
      <c r="DZY698" s="524"/>
      <c r="DZZ698" s="524"/>
      <c r="EAA698" s="524"/>
      <c r="EAB698" s="524"/>
      <c r="EAC698" s="524"/>
      <c r="EAD698" s="524"/>
      <c r="EAE698" s="524"/>
      <c r="EAF698" s="524"/>
      <c r="EAG698" s="524"/>
      <c r="EAH698" s="524"/>
      <c r="EAI698" s="524"/>
      <c r="EAJ698" s="524"/>
      <c r="EAK698" s="524"/>
      <c r="EAL698" s="524"/>
      <c r="EAM698" s="524"/>
      <c r="EAN698" s="524"/>
      <c r="EAO698" s="524"/>
      <c r="EAP698" s="524"/>
      <c r="EAQ698" s="524"/>
      <c r="EAR698" s="524"/>
      <c r="EAS698" s="524"/>
      <c r="EAT698" s="524"/>
      <c r="EAU698" s="524"/>
      <c r="EAV698" s="524"/>
      <c r="EAW698" s="524"/>
      <c r="EAX698" s="524"/>
      <c r="EAY698" s="524"/>
      <c r="EAZ698" s="524"/>
      <c r="EBA698" s="524"/>
      <c r="EBB698" s="524"/>
      <c r="EBC698" s="524"/>
      <c r="EBD698" s="524"/>
      <c r="EBE698" s="524"/>
      <c r="EBF698" s="524"/>
      <c r="EBG698" s="524"/>
      <c r="EBH698" s="524"/>
      <c r="EBI698" s="524"/>
      <c r="EBJ698" s="524"/>
      <c r="EBK698" s="524"/>
      <c r="EBL698" s="524"/>
      <c r="EBM698" s="524"/>
      <c r="EBN698" s="524"/>
      <c r="EBO698" s="524"/>
      <c r="EBP698" s="524"/>
      <c r="EBQ698" s="524"/>
      <c r="EBR698" s="524"/>
      <c r="EBS698" s="524"/>
      <c r="EBT698" s="524"/>
      <c r="EBU698" s="524"/>
      <c r="EBV698" s="524"/>
      <c r="EBW698" s="524"/>
      <c r="EBX698" s="524"/>
      <c r="EBY698" s="524"/>
      <c r="EBZ698" s="524"/>
      <c r="ECA698" s="524"/>
      <c r="ECB698" s="524"/>
      <c r="ECC698" s="524"/>
      <c r="ECD698" s="524"/>
      <c r="ECE698" s="524"/>
      <c r="ECF698" s="524"/>
      <c r="ECG698" s="524"/>
      <c r="ECH698" s="524"/>
      <c r="ECI698" s="524"/>
      <c r="ECJ698" s="524"/>
      <c r="ECK698" s="524"/>
      <c r="ECL698" s="524"/>
      <c r="ECM698" s="524"/>
      <c r="ECN698" s="524"/>
      <c r="ECO698" s="524"/>
      <c r="ECP698" s="524"/>
      <c r="ECQ698" s="524"/>
      <c r="ECR698" s="524"/>
      <c r="ECS698" s="524"/>
      <c r="ECT698" s="524"/>
      <c r="ECU698" s="524"/>
      <c r="ECV698" s="524"/>
      <c r="ECW698" s="524"/>
      <c r="ECX698" s="524"/>
      <c r="ECY698" s="524"/>
      <c r="ECZ698" s="524"/>
      <c r="EDA698" s="524"/>
      <c r="EDB698" s="524"/>
      <c r="EDC698" s="524"/>
      <c r="EDD698" s="524"/>
      <c r="EDE698" s="524"/>
      <c r="EDF698" s="524"/>
      <c r="EDG698" s="524"/>
      <c r="EDH698" s="524"/>
      <c r="EDI698" s="524"/>
      <c r="EDJ698" s="524"/>
      <c r="EDK698" s="524"/>
      <c r="EDL698" s="524"/>
      <c r="EDM698" s="524"/>
      <c r="EDN698" s="524"/>
      <c r="EDO698" s="524"/>
      <c r="EDP698" s="524"/>
      <c r="EDQ698" s="524"/>
      <c r="EDR698" s="524"/>
      <c r="EDS698" s="524"/>
      <c r="EDT698" s="524"/>
      <c r="EDU698" s="524"/>
      <c r="EDV698" s="524"/>
      <c r="EDW698" s="524"/>
      <c r="EDX698" s="524"/>
      <c r="EDY698" s="524"/>
      <c r="EDZ698" s="524"/>
      <c r="EEA698" s="524"/>
      <c r="EEB698" s="524"/>
      <c r="EEC698" s="524"/>
      <c r="EED698" s="524"/>
      <c r="EEE698" s="524"/>
      <c r="EEF698" s="524"/>
      <c r="EEG698" s="524"/>
      <c r="EEH698" s="524"/>
      <c r="EEI698" s="524"/>
      <c r="EEJ698" s="524"/>
      <c r="EEK698" s="524"/>
      <c r="EEL698" s="524"/>
      <c r="EEM698" s="524"/>
      <c r="EEN698" s="524"/>
      <c r="EEO698" s="524"/>
      <c r="EEP698" s="524"/>
      <c r="EEQ698" s="524"/>
      <c r="EER698" s="524"/>
      <c r="EES698" s="524"/>
      <c r="EET698" s="524"/>
      <c r="EEU698" s="524"/>
      <c r="EEV698" s="524"/>
      <c r="EEW698" s="524"/>
      <c r="EEX698" s="524"/>
      <c r="EEY698" s="524"/>
      <c r="EEZ698" s="524"/>
      <c r="EFA698" s="524"/>
      <c r="EFB698" s="524"/>
      <c r="EFC698" s="524"/>
      <c r="EFD698" s="524"/>
      <c r="EFE698" s="524"/>
      <c r="EFF698" s="524"/>
      <c r="EFG698" s="524"/>
      <c r="EFH698" s="524"/>
      <c r="EFI698" s="524"/>
      <c r="EFJ698" s="524"/>
      <c r="EFK698" s="524"/>
      <c r="EFL698" s="524"/>
      <c r="EFM698" s="524"/>
      <c r="EFN698" s="524"/>
      <c r="EFO698" s="524"/>
      <c r="EFP698" s="524"/>
      <c r="EFQ698" s="524"/>
      <c r="EFR698" s="524"/>
      <c r="EFS698" s="524"/>
      <c r="EFT698" s="524"/>
      <c r="EFU698" s="524"/>
      <c r="EFV698" s="524"/>
      <c r="EFW698" s="524"/>
      <c r="EFX698" s="524"/>
      <c r="EFY698" s="524"/>
      <c r="EFZ698" s="524"/>
      <c r="EGA698" s="524"/>
      <c r="EGB698" s="524"/>
      <c r="EGC698" s="524"/>
      <c r="EGD698" s="524"/>
      <c r="EGE698" s="524"/>
      <c r="EGF698" s="524"/>
      <c r="EGG698" s="524"/>
      <c r="EGH698" s="524"/>
      <c r="EGI698" s="524"/>
      <c r="EGJ698" s="524"/>
      <c r="EGK698" s="524"/>
      <c r="EGL698" s="524"/>
      <c r="EGM698" s="524"/>
      <c r="EGN698" s="524"/>
      <c r="EGO698" s="524"/>
      <c r="EGP698" s="524"/>
      <c r="EGQ698" s="524"/>
      <c r="EGR698" s="524"/>
      <c r="EGS698" s="524"/>
      <c r="EGT698" s="524"/>
      <c r="EGU698" s="524"/>
      <c r="EGV698" s="524"/>
      <c r="EGW698" s="524"/>
      <c r="EGX698" s="524"/>
      <c r="EGY698" s="524"/>
      <c r="EGZ698" s="524"/>
      <c r="EHA698" s="524"/>
      <c r="EHB698" s="524"/>
      <c r="EHC698" s="524"/>
      <c r="EHD698" s="524"/>
      <c r="EHE698" s="524"/>
      <c r="EHF698" s="524"/>
      <c r="EHG698" s="524"/>
      <c r="EHH698" s="524"/>
      <c r="EHI698" s="524"/>
      <c r="EHJ698" s="524"/>
      <c r="EHK698" s="524"/>
      <c r="EHL698" s="524"/>
      <c r="EHM698" s="524"/>
      <c r="EHN698" s="524"/>
      <c r="EHO698" s="524"/>
      <c r="EHP698" s="524"/>
      <c r="EHQ698" s="524"/>
      <c r="EHR698" s="524"/>
      <c r="EHS698" s="524"/>
      <c r="EHT698" s="524"/>
      <c r="EHU698" s="524"/>
      <c r="EHV698" s="524"/>
      <c r="EHW698" s="524"/>
      <c r="EHX698" s="524"/>
      <c r="EHY698" s="524"/>
      <c r="EHZ698" s="524"/>
      <c r="EIA698" s="524"/>
      <c r="EIB698" s="524"/>
      <c r="EIC698" s="524"/>
      <c r="EID698" s="524"/>
      <c r="EIE698" s="524"/>
      <c r="EIF698" s="524"/>
      <c r="EIG698" s="524"/>
      <c r="EIH698" s="524"/>
      <c r="EII698" s="524"/>
      <c r="EIJ698" s="524"/>
      <c r="EIK698" s="524"/>
      <c r="EIL698" s="524"/>
      <c r="EIM698" s="524"/>
      <c r="EIN698" s="524"/>
      <c r="EIO698" s="524"/>
      <c r="EIP698" s="524"/>
      <c r="EIQ698" s="524"/>
      <c r="EIR698" s="524"/>
      <c r="EIS698" s="524"/>
      <c r="EIT698" s="524"/>
      <c r="EIU698" s="524"/>
      <c r="EIV698" s="524"/>
      <c r="EIW698" s="524"/>
      <c r="EIX698" s="524"/>
      <c r="EIY698" s="524"/>
      <c r="EIZ698" s="524"/>
      <c r="EJA698" s="524"/>
      <c r="EJB698" s="524"/>
      <c r="EJC698" s="524"/>
      <c r="EJD698" s="524"/>
      <c r="EJE698" s="524"/>
      <c r="EJF698" s="524"/>
      <c r="EJG698" s="524"/>
      <c r="EJH698" s="524"/>
      <c r="EJI698" s="524"/>
      <c r="EJJ698" s="524"/>
      <c r="EJK698" s="524"/>
      <c r="EJL698" s="524"/>
      <c r="EJM698" s="524"/>
      <c r="EJN698" s="524"/>
      <c r="EJO698" s="524"/>
      <c r="EJP698" s="524"/>
      <c r="EJQ698" s="524"/>
      <c r="EJR698" s="524"/>
      <c r="EJS698" s="524"/>
      <c r="EJT698" s="524"/>
      <c r="EJU698" s="524"/>
      <c r="EJV698" s="524"/>
      <c r="EJW698" s="524"/>
      <c r="EJX698" s="524"/>
      <c r="EJY698" s="524"/>
      <c r="EJZ698" s="524"/>
      <c r="EKA698" s="524"/>
      <c r="EKB698" s="524"/>
      <c r="EKC698" s="524"/>
      <c r="EKD698" s="524"/>
      <c r="EKE698" s="524"/>
      <c r="EKF698" s="524"/>
      <c r="EKG698" s="524"/>
      <c r="EKH698" s="524"/>
      <c r="EKI698" s="524"/>
      <c r="EKJ698" s="524"/>
      <c r="EKK698" s="524"/>
      <c r="EKL698" s="524"/>
      <c r="EKM698" s="524"/>
      <c r="EKN698" s="524"/>
      <c r="EKO698" s="524"/>
      <c r="EKP698" s="524"/>
      <c r="EKQ698" s="524"/>
      <c r="EKR698" s="524"/>
      <c r="EKS698" s="524"/>
      <c r="EKT698" s="524"/>
      <c r="EKU698" s="524"/>
      <c r="EKV698" s="524"/>
      <c r="EKW698" s="524"/>
      <c r="EKX698" s="524"/>
      <c r="EKY698" s="524"/>
      <c r="EKZ698" s="524"/>
      <c r="ELA698" s="524"/>
      <c r="ELB698" s="524"/>
      <c r="ELC698" s="524"/>
      <c r="ELD698" s="524"/>
      <c r="ELE698" s="524"/>
      <c r="ELF698" s="524"/>
      <c r="ELG698" s="524"/>
      <c r="ELH698" s="524"/>
      <c r="ELI698" s="524"/>
      <c r="ELJ698" s="524"/>
      <c r="ELK698" s="524"/>
      <c r="ELL698" s="524"/>
      <c r="ELM698" s="524"/>
      <c r="ELN698" s="524"/>
      <c r="ELO698" s="524"/>
      <c r="ELP698" s="524"/>
      <c r="ELQ698" s="524"/>
      <c r="ELR698" s="524"/>
      <c r="ELS698" s="524"/>
      <c r="ELT698" s="524"/>
      <c r="ELU698" s="524"/>
      <c r="ELV698" s="524"/>
      <c r="ELW698" s="524"/>
      <c r="ELX698" s="524"/>
      <c r="ELY698" s="524"/>
      <c r="ELZ698" s="524"/>
      <c r="EMA698" s="524"/>
      <c r="EMB698" s="524"/>
      <c r="EMC698" s="524"/>
      <c r="EMD698" s="524"/>
      <c r="EME698" s="524"/>
      <c r="EMF698" s="524"/>
      <c r="EMG698" s="524"/>
      <c r="EMH698" s="524"/>
      <c r="EMI698" s="524"/>
      <c r="EMJ698" s="524"/>
      <c r="EMK698" s="524"/>
      <c r="EML698" s="524"/>
      <c r="EMM698" s="524"/>
      <c r="EMN698" s="524"/>
      <c r="EMO698" s="524"/>
      <c r="EMP698" s="524"/>
      <c r="EMQ698" s="524"/>
      <c r="EMR698" s="524"/>
      <c r="EMS698" s="524"/>
      <c r="EMT698" s="524"/>
      <c r="EMU698" s="524"/>
      <c r="EMV698" s="524"/>
      <c r="EMW698" s="524"/>
      <c r="EMX698" s="524"/>
      <c r="EMY698" s="524"/>
      <c r="EMZ698" s="524"/>
      <c r="ENA698" s="524"/>
      <c r="ENB698" s="524"/>
      <c r="ENC698" s="524"/>
      <c r="END698" s="524"/>
      <c r="ENE698" s="524"/>
      <c r="ENF698" s="524"/>
      <c r="ENG698" s="524"/>
      <c r="ENH698" s="524"/>
      <c r="ENI698" s="524"/>
      <c r="ENJ698" s="524"/>
      <c r="ENK698" s="524"/>
      <c r="ENL698" s="524"/>
      <c r="ENM698" s="524"/>
      <c r="ENN698" s="524"/>
      <c r="ENO698" s="524"/>
      <c r="ENP698" s="524"/>
      <c r="ENQ698" s="524"/>
      <c r="ENR698" s="524"/>
      <c r="ENS698" s="524"/>
      <c r="ENT698" s="524"/>
      <c r="ENU698" s="524"/>
      <c r="ENV698" s="524"/>
      <c r="ENW698" s="524"/>
      <c r="ENX698" s="524"/>
      <c r="ENY698" s="524"/>
      <c r="ENZ698" s="524"/>
      <c r="EOA698" s="524"/>
      <c r="EOB698" s="524"/>
      <c r="EOC698" s="524"/>
      <c r="EOD698" s="524"/>
      <c r="EOE698" s="524"/>
      <c r="EOF698" s="524"/>
      <c r="EOG698" s="524"/>
      <c r="EOH698" s="524"/>
      <c r="EOI698" s="524"/>
      <c r="EOJ698" s="524"/>
      <c r="EOK698" s="524"/>
      <c r="EOL698" s="524"/>
      <c r="EOM698" s="524"/>
      <c r="EON698" s="524"/>
      <c r="EOO698" s="524"/>
      <c r="EOP698" s="524"/>
      <c r="EOQ698" s="524"/>
      <c r="EOR698" s="524"/>
      <c r="EOS698" s="524"/>
      <c r="EOT698" s="524"/>
      <c r="EOU698" s="524"/>
      <c r="EOV698" s="524"/>
      <c r="EOW698" s="524"/>
      <c r="EOX698" s="524"/>
      <c r="EOY698" s="524"/>
      <c r="EOZ698" s="524"/>
      <c r="EPA698" s="524"/>
      <c r="EPB698" s="524"/>
      <c r="EPC698" s="524"/>
      <c r="EPD698" s="524"/>
      <c r="EPE698" s="524"/>
      <c r="EPF698" s="524"/>
      <c r="EPG698" s="524"/>
      <c r="EPH698" s="524"/>
      <c r="EPI698" s="524"/>
      <c r="EPJ698" s="524"/>
      <c r="EPK698" s="524"/>
      <c r="EPL698" s="524"/>
      <c r="EPM698" s="524"/>
      <c r="EPN698" s="524"/>
      <c r="EPO698" s="524"/>
      <c r="EPP698" s="524"/>
      <c r="EPQ698" s="524"/>
      <c r="EPR698" s="524"/>
      <c r="EPS698" s="524"/>
      <c r="EPT698" s="524"/>
      <c r="EPU698" s="524"/>
      <c r="EPV698" s="524"/>
      <c r="EPW698" s="524"/>
      <c r="EPX698" s="524"/>
      <c r="EPY698" s="524"/>
      <c r="EPZ698" s="524"/>
      <c r="EQA698" s="524"/>
      <c r="EQB698" s="524"/>
      <c r="EQC698" s="524"/>
      <c r="EQD698" s="524"/>
      <c r="EQE698" s="524"/>
      <c r="EQF698" s="524"/>
      <c r="EQG698" s="524"/>
      <c r="EQH698" s="524"/>
      <c r="EQI698" s="524"/>
      <c r="EQJ698" s="524"/>
      <c r="EQK698" s="524"/>
      <c r="EQL698" s="524"/>
      <c r="EQM698" s="524"/>
      <c r="EQN698" s="524"/>
      <c r="EQO698" s="524"/>
      <c r="EQP698" s="524"/>
      <c r="EQQ698" s="524"/>
      <c r="EQR698" s="524"/>
      <c r="EQS698" s="524"/>
      <c r="EQT698" s="524"/>
      <c r="EQU698" s="524"/>
      <c r="EQV698" s="524"/>
      <c r="EQW698" s="524"/>
      <c r="EQX698" s="524"/>
      <c r="EQY698" s="524"/>
      <c r="EQZ698" s="524"/>
      <c r="ERA698" s="524"/>
      <c r="ERB698" s="524"/>
      <c r="ERC698" s="524"/>
      <c r="ERD698" s="524"/>
      <c r="ERE698" s="524"/>
      <c r="ERF698" s="524"/>
      <c r="ERG698" s="524"/>
      <c r="ERH698" s="524"/>
      <c r="ERI698" s="524"/>
      <c r="ERJ698" s="524"/>
      <c r="ERK698" s="524"/>
      <c r="ERL698" s="524"/>
      <c r="ERM698" s="524"/>
      <c r="ERN698" s="524"/>
      <c r="ERO698" s="524"/>
      <c r="ERP698" s="524"/>
      <c r="ERQ698" s="524"/>
      <c r="ERR698" s="524"/>
      <c r="ERS698" s="524"/>
      <c r="ERT698" s="524"/>
      <c r="ERU698" s="524"/>
      <c r="ERV698" s="524"/>
      <c r="ERW698" s="524"/>
      <c r="ERX698" s="524"/>
      <c r="ERY698" s="524"/>
      <c r="ERZ698" s="524"/>
      <c r="ESA698" s="524"/>
      <c r="ESB698" s="524"/>
      <c r="ESC698" s="524"/>
      <c r="ESD698" s="524"/>
      <c r="ESE698" s="524"/>
      <c r="ESF698" s="524"/>
      <c r="ESG698" s="524"/>
      <c r="ESH698" s="524"/>
      <c r="ESI698" s="524"/>
      <c r="ESJ698" s="524"/>
      <c r="ESK698" s="524"/>
      <c r="ESL698" s="524"/>
      <c r="ESM698" s="524"/>
      <c r="ESN698" s="524"/>
      <c r="ESO698" s="524"/>
      <c r="ESP698" s="524"/>
      <c r="ESQ698" s="524"/>
      <c r="ESR698" s="524"/>
      <c r="ESS698" s="524"/>
      <c r="EST698" s="524"/>
      <c r="ESU698" s="524"/>
      <c r="ESV698" s="524"/>
      <c r="ESW698" s="524"/>
      <c r="ESX698" s="524"/>
      <c r="ESY698" s="524"/>
      <c r="ESZ698" s="524"/>
      <c r="ETA698" s="524"/>
      <c r="ETB698" s="524"/>
      <c r="ETC698" s="524"/>
      <c r="ETD698" s="524"/>
      <c r="ETE698" s="524"/>
      <c r="ETF698" s="524"/>
      <c r="ETG698" s="524"/>
      <c r="ETH698" s="524"/>
      <c r="ETI698" s="524"/>
      <c r="ETJ698" s="524"/>
      <c r="ETK698" s="524"/>
      <c r="ETL698" s="524"/>
      <c r="ETM698" s="524"/>
      <c r="ETN698" s="524"/>
      <c r="ETO698" s="524"/>
      <c r="ETP698" s="524"/>
      <c r="ETQ698" s="524"/>
      <c r="ETR698" s="524"/>
      <c r="ETS698" s="524"/>
      <c r="ETT698" s="524"/>
      <c r="ETU698" s="524"/>
      <c r="ETV698" s="524"/>
      <c r="ETW698" s="524"/>
      <c r="ETX698" s="524"/>
      <c r="ETY698" s="524"/>
      <c r="ETZ698" s="524"/>
      <c r="EUA698" s="524"/>
      <c r="EUB698" s="524"/>
      <c r="EUC698" s="524"/>
      <c r="EUD698" s="524"/>
      <c r="EUE698" s="524"/>
      <c r="EUF698" s="524"/>
      <c r="EUG698" s="524"/>
      <c r="EUH698" s="524"/>
      <c r="EUI698" s="524"/>
      <c r="EUJ698" s="524"/>
      <c r="EUK698" s="524"/>
      <c r="EUL698" s="524"/>
      <c r="EUM698" s="524"/>
      <c r="EUN698" s="524"/>
      <c r="EUO698" s="524"/>
      <c r="EUP698" s="524"/>
      <c r="EUQ698" s="524"/>
      <c r="EUR698" s="524"/>
      <c r="EUS698" s="524"/>
      <c r="EUT698" s="524"/>
      <c r="EUU698" s="524"/>
      <c r="EUV698" s="524"/>
      <c r="EUW698" s="524"/>
      <c r="EUX698" s="524"/>
      <c r="EUY698" s="524"/>
      <c r="EUZ698" s="524"/>
      <c r="EVA698" s="524"/>
      <c r="EVB698" s="524"/>
      <c r="EVC698" s="524"/>
      <c r="EVD698" s="524"/>
      <c r="EVE698" s="524"/>
      <c r="EVF698" s="524"/>
      <c r="EVG698" s="524"/>
      <c r="EVH698" s="524"/>
      <c r="EVI698" s="524"/>
      <c r="EVJ698" s="524"/>
      <c r="EVK698" s="524"/>
      <c r="EVL698" s="524"/>
      <c r="EVM698" s="524"/>
      <c r="EVN698" s="524"/>
      <c r="EVO698" s="524"/>
      <c r="EVP698" s="524"/>
      <c r="EVQ698" s="524"/>
      <c r="EVR698" s="524"/>
      <c r="EVS698" s="524"/>
      <c r="EVT698" s="524"/>
      <c r="EVU698" s="524"/>
      <c r="EVV698" s="524"/>
      <c r="EVW698" s="524"/>
      <c r="EVX698" s="524"/>
      <c r="EVY698" s="524"/>
      <c r="EVZ698" s="524"/>
      <c r="EWA698" s="524"/>
      <c r="EWB698" s="524"/>
      <c r="EWC698" s="524"/>
      <c r="EWD698" s="524"/>
      <c r="EWE698" s="524"/>
      <c r="EWF698" s="524"/>
      <c r="EWG698" s="524"/>
      <c r="EWH698" s="524"/>
      <c r="EWI698" s="524"/>
      <c r="EWJ698" s="524"/>
      <c r="EWK698" s="524"/>
      <c r="EWL698" s="524"/>
      <c r="EWM698" s="524"/>
      <c r="EWN698" s="524"/>
      <c r="EWO698" s="524"/>
      <c r="EWP698" s="524"/>
      <c r="EWQ698" s="524"/>
      <c r="EWR698" s="524"/>
      <c r="EWS698" s="524"/>
      <c r="EWT698" s="524"/>
      <c r="EWU698" s="524"/>
      <c r="EWV698" s="524"/>
      <c r="EWW698" s="524"/>
      <c r="EWX698" s="524"/>
      <c r="EWY698" s="524"/>
      <c r="EWZ698" s="524"/>
      <c r="EXA698" s="524"/>
      <c r="EXB698" s="524"/>
      <c r="EXC698" s="524"/>
      <c r="EXD698" s="524"/>
      <c r="EXE698" s="524"/>
      <c r="EXF698" s="524"/>
      <c r="EXG698" s="524"/>
      <c r="EXH698" s="524"/>
      <c r="EXI698" s="524"/>
      <c r="EXJ698" s="524"/>
      <c r="EXK698" s="524"/>
      <c r="EXL698" s="524"/>
      <c r="EXM698" s="524"/>
      <c r="EXN698" s="524"/>
      <c r="EXO698" s="524"/>
      <c r="EXP698" s="524"/>
      <c r="EXQ698" s="524"/>
      <c r="EXR698" s="524"/>
      <c r="EXS698" s="524"/>
      <c r="EXT698" s="524"/>
      <c r="EXU698" s="524"/>
      <c r="EXV698" s="524"/>
      <c r="EXW698" s="524"/>
      <c r="EXX698" s="524"/>
      <c r="EXY698" s="524"/>
      <c r="EXZ698" s="524"/>
      <c r="EYA698" s="524"/>
      <c r="EYB698" s="524"/>
      <c r="EYC698" s="524"/>
      <c r="EYD698" s="524"/>
      <c r="EYE698" s="524"/>
      <c r="EYF698" s="524"/>
      <c r="EYG698" s="524"/>
      <c r="EYH698" s="524"/>
      <c r="EYI698" s="524"/>
      <c r="EYJ698" s="524"/>
      <c r="EYK698" s="524"/>
      <c r="EYL698" s="524"/>
      <c r="EYM698" s="524"/>
      <c r="EYN698" s="524"/>
      <c r="EYO698" s="524"/>
      <c r="EYP698" s="524"/>
      <c r="EYQ698" s="524"/>
      <c r="EYR698" s="524"/>
      <c r="EYS698" s="524"/>
      <c r="EYT698" s="524"/>
      <c r="EYU698" s="524"/>
      <c r="EYV698" s="524"/>
      <c r="EYW698" s="524"/>
      <c r="EYX698" s="524"/>
      <c r="EYY698" s="524"/>
      <c r="EYZ698" s="524"/>
      <c r="EZA698" s="524"/>
      <c r="EZB698" s="524"/>
      <c r="EZC698" s="524"/>
      <c r="EZD698" s="524"/>
      <c r="EZE698" s="524"/>
      <c r="EZF698" s="524"/>
      <c r="EZG698" s="524"/>
      <c r="EZH698" s="524"/>
      <c r="EZI698" s="524"/>
      <c r="EZJ698" s="524"/>
      <c r="EZK698" s="524"/>
      <c r="EZL698" s="524"/>
      <c r="EZM698" s="524"/>
      <c r="EZN698" s="524"/>
      <c r="EZO698" s="524"/>
      <c r="EZP698" s="524"/>
      <c r="EZQ698" s="524"/>
      <c r="EZR698" s="524"/>
      <c r="EZS698" s="524"/>
      <c r="EZT698" s="524"/>
      <c r="EZU698" s="524"/>
      <c r="EZV698" s="524"/>
      <c r="EZW698" s="524"/>
      <c r="EZX698" s="524"/>
      <c r="EZY698" s="524"/>
      <c r="EZZ698" s="524"/>
      <c r="FAA698" s="524"/>
      <c r="FAB698" s="524"/>
      <c r="FAC698" s="524"/>
      <c r="FAD698" s="524"/>
      <c r="FAE698" s="524"/>
      <c r="FAF698" s="524"/>
      <c r="FAG698" s="524"/>
      <c r="FAH698" s="524"/>
      <c r="FAI698" s="524"/>
      <c r="FAJ698" s="524"/>
      <c r="FAK698" s="524"/>
      <c r="FAL698" s="524"/>
      <c r="FAM698" s="524"/>
      <c r="FAN698" s="524"/>
      <c r="FAO698" s="524"/>
      <c r="FAP698" s="524"/>
      <c r="FAQ698" s="524"/>
      <c r="FAR698" s="524"/>
      <c r="FAS698" s="524"/>
      <c r="FAT698" s="524"/>
      <c r="FAU698" s="524"/>
      <c r="FAV698" s="524"/>
      <c r="FAW698" s="524"/>
      <c r="FAX698" s="524"/>
      <c r="FAY698" s="524"/>
      <c r="FAZ698" s="524"/>
      <c r="FBA698" s="524"/>
      <c r="FBB698" s="524"/>
      <c r="FBC698" s="524"/>
      <c r="FBD698" s="524"/>
      <c r="FBE698" s="524"/>
      <c r="FBF698" s="524"/>
      <c r="FBG698" s="524"/>
      <c r="FBH698" s="524"/>
      <c r="FBI698" s="524"/>
      <c r="FBJ698" s="524"/>
      <c r="FBK698" s="524"/>
      <c r="FBL698" s="524"/>
      <c r="FBM698" s="524"/>
      <c r="FBN698" s="524"/>
      <c r="FBO698" s="524"/>
      <c r="FBP698" s="524"/>
      <c r="FBQ698" s="524"/>
      <c r="FBR698" s="524"/>
      <c r="FBS698" s="524"/>
      <c r="FBT698" s="524"/>
      <c r="FBU698" s="524"/>
      <c r="FBV698" s="524"/>
      <c r="FBW698" s="524"/>
      <c r="FBX698" s="524"/>
      <c r="FBY698" s="524"/>
      <c r="FBZ698" s="524"/>
      <c r="FCA698" s="524"/>
      <c r="FCB698" s="524"/>
      <c r="FCC698" s="524"/>
      <c r="FCD698" s="524"/>
      <c r="FCE698" s="524"/>
      <c r="FCF698" s="524"/>
      <c r="FCG698" s="524"/>
      <c r="FCH698" s="524"/>
      <c r="FCI698" s="524"/>
      <c r="FCJ698" s="524"/>
      <c r="FCK698" s="524"/>
      <c r="FCL698" s="524"/>
      <c r="FCM698" s="524"/>
      <c r="FCN698" s="524"/>
      <c r="FCO698" s="524"/>
      <c r="FCP698" s="524"/>
      <c r="FCQ698" s="524"/>
      <c r="FCR698" s="524"/>
      <c r="FCS698" s="524"/>
      <c r="FCT698" s="524"/>
      <c r="FCU698" s="524"/>
      <c r="FCV698" s="524"/>
      <c r="FCW698" s="524"/>
      <c r="FCX698" s="524"/>
      <c r="FCY698" s="524"/>
      <c r="FCZ698" s="524"/>
      <c r="FDA698" s="524"/>
      <c r="FDB698" s="524"/>
      <c r="FDC698" s="524"/>
      <c r="FDD698" s="524"/>
      <c r="FDE698" s="524"/>
      <c r="FDF698" s="524"/>
      <c r="FDG698" s="524"/>
      <c r="FDH698" s="524"/>
      <c r="FDI698" s="524"/>
      <c r="FDJ698" s="524"/>
      <c r="FDK698" s="524"/>
      <c r="FDL698" s="524"/>
      <c r="FDM698" s="524"/>
      <c r="FDN698" s="524"/>
      <c r="FDO698" s="524"/>
      <c r="FDP698" s="524"/>
      <c r="FDQ698" s="524"/>
      <c r="FDR698" s="524"/>
      <c r="FDS698" s="524"/>
      <c r="FDT698" s="524"/>
      <c r="FDU698" s="524"/>
      <c r="FDV698" s="524"/>
      <c r="FDW698" s="524"/>
      <c r="FDX698" s="524"/>
      <c r="FDY698" s="524"/>
      <c r="FDZ698" s="524"/>
      <c r="FEA698" s="524"/>
      <c r="FEB698" s="524"/>
      <c r="FEC698" s="524"/>
      <c r="FED698" s="524"/>
      <c r="FEE698" s="524"/>
      <c r="FEF698" s="524"/>
      <c r="FEG698" s="524"/>
      <c r="FEH698" s="524"/>
      <c r="FEI698" s="524"/>
      <c r="FEJ698" s="524"/>
      <c r="FEK698" s="524"/>
      <c r="FEL698" s="524"/>
      <c r="FEM698" s="524"/>
      <c r="FEN698" s="524"/>
      <c r="FEO698" s="524"/>
      <c r="FEP698" s="524"/>
      <c r="FEQ698" s="524"/>
      <c r="FER698" s="524"/>
      <c r="FES698" s="524"/>
      <c r="FET698" s="524"/>
      <c r="FEU698" s="524"/>
      <c r="FEV698" s="524"/>
      <c r="FEW698" s="524"/>
      <c r="FEX698" s="524"/>
      <c r="FEY698" s="524"/>
      <c r="FEZ698" s="524"/>
      <c r="FFA698" s="524"/>
      <c r="FFB698" s="524"/>
      <c r="FFC698" s="524"/>
      <c r="FFD698" s="524"/>
      <c r="FFE698" s="524"/>
      <c r="FFF698" s="524"/>
      <c r="FFG698" s="524"/>
      <c r="FFH698" s="524"/>
      <c r="FFI698" s="524"/>
      <c r="FFJ698" s="524"/>
      <c r="FFK698" s="524"/>
      <c r="FFL698" s="524"/>
      <c r="FFM698" s="524"/>
      <c r="FFN698" s="524"/>
      <c r="FFO698" s="524"/>
      <c r="FFP698" s="524"/>
      <c r="FFQ698" s="524"/>
      <c r="FFR698" s="524"/>
      <c r="FFS698" s="524"/>
      <c r="FFT698" s="524"/>
      <c r="FFU698" s="524"/>
      <c r="FFV698" s="524"/>
      <c r="FFW698" s="524"/>
      <c r="FFX698" s="524"/>
      <c r="FFY698" s="524"/>
      <c r="FFZ698" s="524"/>
      <c r="FGA698" s="524"/>
      <c r="FGB698" s="524"/>
      <c r="FGC698" s="524"/>
      <c r="FGD698" s="524"/>
      <c r="FGE698" s="524"/>
      <c r="FGF698" s="524"/>
      <c r="FGG698" s="524"/>
      <c r="FGH698" s="524"/>
      <c r="FGI698" s="524"/>
      <c r="FGJ698" s="524"/>
      <c r="FGK698" s="524"/>
      <c r="FGL698" s="524"/>
      <c r="FGM698" s="524"/>
      <c r="FGN698" s="524"/>
      <c r="FGO698" s="524"/>
      <c r="FGP698" s="524"/>
      <c r="FGQ698" s="524"/>
      <c r="FGR698" s="524"/>
      <c r="FGS698" s="524"/>
      <c r="FGT698" s="524"/>
      <c r="FGU698" s="524"/>
      <c r="FGV698" s="524"/>
      <c r="FGW698" s="524"/>
      <c r="FGX698" s="524"/>
      <c r="FGY698" s="524"/>
      <c r="FGZ698" s="524"/>
      <c r="FHA698" s="524"/>
      <c r="FHB698" s="524"/>
      <c r="FHC698" s="524"/>
      <c r="FHD698" s="524"/>
      <c r="FHE698" s="524"/>
      <c r="FHF698" s="524"/>
      <c r="FHG698" s="524"/>
      <c r="FHH698" s="524"/>
      <c r="FHI698" s="524"/>
      <c r="FHJ698" s="524"/>
      <c r="FHK698" s="524"/>
      <c r="FHL698" s="524"/>
      <c r="FHM698" s="524"/>
      <c r="FHN698" s="524"/>
      <c r="FHO698" s="524"/>
      <c r="FHP698" s="524"/>
      <c r="FHQ698" s="524"/>
      <c r="FHR698" s="524"/>
      <c r="FHS698" s="524"/>
      <c r="FHT698" s="524"/>
      <c r="FHU698" s="524"/>
      <c r="FHV698" s="524"/>
      <c r="FHW698" s="524"/>
      <c r="FHX698" s="524"/>
      <c r="FHY698" s="524"/>
      <c r="FHZ698" s="524"/>
      <c r="FIA698" s="524"/>
      <c r="FIB698" s="524"/>
      <c r="FIC698" s="524"/>
      <c r="FID698" s="524"/>
      <c r="FIE698" s="524"/>
      <c r="FIF698" s="524"/>
      <c r="FIG698" s="524"/>
      <c r="FIH698" s="524"/>
      <c r="FII698" s="524"/>
      <c r="FIJ698" s="524"/>
      <c r="FIK698" s="524"/>
      <c r="FIL698" s="524"/>
      <c r="FIM698" s="524"/>
      <c r="FIN698" s="524"/>
      <c r="FIO698" s="524"/>
      <c r="FIP698" s="524"/>
      <c r="FIQ698" s="524"/>
      <c r="FIR698" s="524"/>
      <c r="FIS698" s="524"/>
      <c r="FIT698" s="524"/>
      <c r="FIU698" s="524"/>
      <c r="FIV698" s="524"/>
      <c r="FIW698" s="524"/>
      <c r="FIX698" s="524"/>
      <c r="FIY698" s="524"/>
      <c r="FIZ698" s="524"/>
      <c r="FJA698" s="524"/>
      <c r="FJB698" s="524"/>
      <c r="FJC698" s="524"/>
      <c r="FJD698" s="524"/>
      <c r="FJE698" s="524"/>
      <c r="FJF698" s="524"/>
      <c r="FJG698" s="524"/>
      <c r="FJH698" s="524"/>
      <c r="FJI698" s="524"/>
      <c r="FJJ698" s="524"/>
      <c r="FJK698" s="524"/>
      <c r="FJL698" s="524"/>
      <c r="FJM698" s="524"/>
      <c r="FJN698" s="524"/>
      <c r="FJO698" s="524"/>
      <c r="FJP698" s="524"/>
      <c r="FJQ698" s="524"/>
      <c r="FJR698" s="524"/>
      <c r="FJS698" s="524"/>
      <c r="FJT698" s="524"/>
      <c r="FJU698" s="524"/>
      <c r="FJV698" s="524"/>
      <c r="FJW698" s="524"/>
      <c r="FJX698" s="524"/>
      <c r="FJY698" s="524"/>
      <c r="FJZ698" s="524"/>
      <c r="FKA698" s="524"/>
      <c r="FKB698" s="524"/>
      <c r="FKC698" s="524"/>
      <c r="FKD698" s="524"/>
      <c r="FKE698" s="524"/>
      <c r="FKF698" s="524"/>
      <c r="FKG698" s="524"/>
      <c r="FKH698" s="524"/>
      <c r="FKI698" s="524"/>
      <c r="FKJ698" s="524"/>
      <c r="FKK698" s="524"/>
      <c r="FKL698" s="524"/>
      <c r="FKM698" s="524"/>
      <c r="FKN698" s="524"/>
      <c r="FKO698" s="524"/>
      <c r="FKP698" s="524"/>
      <c r="FKQ698" s="524"/>
      <c r="FKR698" s="524"/>
      <c r="FKS698" s="524"/>
      <c r="FKT698" s="524"/>
      <c r="FKU698" s="524"/>
      <c r="FKV698" s="524"/>
      <c r="FKW698" s="524"/>
      <c r="FKX698" s="524"/>
      <c r="FKY698" s="524"/>
      <c r="FKZ698" s="524"/>
      <c r="FLA698" s="524"/>
      <c r="FLB698" s="524"/>
      <c r="FLC698" s="524"/>
      <c r="FLD698" s="524"/>
      <c r="FLE698" s="524"/>
      <c r="FLF698" s="524"/>
      <c r="FLG698" s="524"/>
      <c r="FLH698" s="524"/>
      <c r="FLI698" s="524"/>
      <c r="FLJ698" s="524"/>
      <c r="FLK698" s="524"/>
      <c r="FLL698" s="524"/>
      <c r="FLM698" s="524"/>
      <c r="FLN698" s="524"/>
      <c r="FLO698" s="524"/>
      <c r="FLP698" s="524"/>
      <c r="FLQ698" s="524"/>
      <c r="FLR698" s="524"/>
      <c r="FLS698" s="524"/>
      <c r="FLT698" s="524"/>
      <c r="FLU698" s="524"/>
      <c r="FLV698" s="524"/>
      <c r="FLW698" s="524"/>
      <c r="FLX698" s="524"/>
      <c r="FLY698" s="524"/>
      <c r="FLZ698" s="524"/>
      <c r="FMA698" s="524"/>
      <c r="FMB698" s="524"/>
      <c r="FMC698" s="524"/>
      <c r="FMD698" s="524"/>
      <c r="FME698" s="524"/>
      <c r="FMF698" s="524"/>
      <c r="FMG698" s="524"/>
      <c r="FMH698" s="524"/>
      <c r="FMI698" s="524"/>
      <c r="FMJ698" s="524"/>
      <c r="FMK698" s="524"/>
      <c r="FML698" s="524"/>
      <c r="FMM698" s="524"/>
      <c r="FMN698" s="524"/>
      <c r="FMO698" s="524"/>
      <c r="FMP698" s="524"/>
      <c r="FMQ698" s="524"/>
      <c r="FMR698" s="524"/>
      <c r="FMS698" s="524"/>
      <c r="FMT698" s="524"/>
      <c r="FMU698" s="524"/>
      <c r="FMV698" s="524"/>
      <c r="FMW698" s="524"/>
      <c r="FMX698" s="524"/>
      <c r="FMY698" s="524"/>
      <c r="FMZ698" s="524"/>
      <c r="FNA698" s="524"/>
      <c r="FNB698" s="524"/>
      <c r="FNC698" s="524"/>
      <c r="FND698" s="524"/>
      <c r="FNE698" s="524"/>
      <c r="FNF698" s="524"/>
      <c r="FNG698" s="524"/>
      <c r="FNH698" s="524"/>
      <c r="FNI698" s="524"/>
      <c r="FNJ698" s="524"/>
      <c r="FNK698" s="524"/>
      <c r="FNL698" s="524"/>
      <c r="FNM698" s="524"/>
      <c r="FNN698" s="524"/>
      <c r="FNO698" s="524"/>
      <c r="FNP698" s="524"/>
      <c r="FNQ698" s="524"/>
      <c r="FNR698" s="524"/>
      <c r="FNS698" s="524"/>
      <c r="FNT698" s="524"/>
      <c r="FNU698" s="524"/>
      <c r="FNV698" s="524"/>
      <c r="FNW698" s="524"/>
      <c r="FNX698" s="524"/>
      <c r="FNY698" s="524"/>
      <c r="FNZ698" s="524"/>
      <c r="FOA698" s="524"/>
      <c r="FOB698" s="524"/>
      <c r="FOC698" s="524"/>
      <c r="FOD698" s="524"/>
      <c r="FOE698" s="524"/>
      <c r="FOF698" s="524"/>
      <c r="FOG698" s="524"/>
      <c r="FOH698" s="524"/>
      <c r="FOI698" s="524"/>
      <c r="FOJ698" s="524"/>
      <c r="FOK698" s="524"/>
      <c r="FOL698" s="524"/>
      <c r="FOM698" s="524"/>
      <c r="FON698" s="524"/>
      <c r="FOO698" s="524"/>
      <c r="FOP698" s="524"/>
      <c r="FOQ698" s="524"/>
      <c r="FOR698" s="524"/>
      <c r="FOS698" s="524"/>
      <c r="FOT698" s="524"/>
      <c r="FOU698" s="524"/>
      <c r="FOV698" s="524"/>
      <c r="FOW698" s="524"/>
      <c r="FOX698" s="524"/>
      <c r="FOY698" s="524"/>
      <c r="FOZ698" s="524"/>
      <c r="FPA698" s="524"/>
      <c r="FPB698" s="524"/>
      <c r="FPC698" s="524"/>
      <c r="FPD698" s="524"/>
      <c r="FPE698" s="524"/>
      <c r="FPF698" s="524"/>
      <c r="FPG698" s="524"/>
      <c r="FPH698" s="524"/>
      <c r="FPI698" s="524"/>
      <c r="FPJ698" s="524"/>
      <c r="FPK698" s="524"/>
      <c r="FPL698" s="524"/>
      <c r="FPM698" s="524"/>
      <c r="FPN698" s="524"/>
      <c r="FPO698" s="524"/>
      <c r="FPP698" s="524"/>
      <c r="FPQ698" s="524"/>
      <c r="FPR698" s="524"/>
      <c r="FPS698" s="524"/>
      <c r="FPT698" s="524"/>
      <c r="FPU698" s="524"/>
      <c r="FPV698" s="524"/>
      <c r="FPW698" s="524"/>
      <c r="FPX698" s="524"/>
      <c r="FPY698" s="524"/>
      <c r="FPZ698" s="524"/>
      <c r="FQA698" s="524"/>
      <c r="FQB698" s="524"/>
      <c r="FQC698" s="524"/>
      <c r="FQD698" s="524"/>
      <c r="FQE698" s="524"/>
      <c r="FQF698" s="524"/>
      <c r="FQG698" s="524"/>
      <c r="FQH698" s="524"/>
      <c r="FQI698" s="524"/>
      <c r="FQJ698" s="524"/>
      <c r="FQK698" s="524"/>
      <c r="FQL698" s="524"/>
      <c r="FQM698" s="524"/>
      <c r="FQN698" s="524"/>
      <c r="FQO698" s="524"/>
      <c r="FQP698" s="524"/>
      <c r="FQQ698" s="524"/>
      <c r="FQR698" s="524"/>
      <c r="FQS698" s="524"/>
      <c r="FQT698" s="524"/>
      <c r="FQU698" s="524"/>
      <c r="FQV698" s="524"/>
      <c r="FQW698" s="524"/>
      <c r="FQX698" s="524"/>
      <c r="FQY698" s="524"/>
      <c r="FQZ698" s="524"/>
      <c r="FRA698" s="524"/>
      <c r="FRB698" s="524"/>
      <c r="FRC698" s="524"/>
      <c r="FRD698" s="524"/>
      <c r="FRE698" s="524"/>
      <c r="FRF698" s="524"/>
      <c r="FRG698" s="524"/>
      <c r="FRH698" s="524"/>
      <c r="FRI698" s="524"/>
      <c r="FRJ698" s="524"/>
      <c r="FRK698" s="524"/>
      <c r="FRL698" s="524"/>
      <c r="FRM698" s="524"/>
      <c r="FRN698" s="524"/>
      <c r="FRO698" s="524"/>
      <c r="FRP698" s="524"/>
      <c r="FRQ698" s="524"/>
      <c r="FRR698" s="524"/>
      <c r="FRS698" s="524"/>
      <c r="FRT698" s="524"/>
      <c r="FRU698" s="524"/>
      <c r="FRV698" s="524"/>
      <c r="FRW698" s="524"/>
      <c r="FRX698" s="524"/>
      <c r="FRY698" s="524"/>
      <c r="FRZ698" s="524"/>
      <c r="FSA698" s="524"/>
      <c r="FSB698" s="524"/>
      <c r="FSC698" s="524"/>
      <c r="FSD698" s="524"/>
      <c r="FSE698" s="524"/>
      <c r="FSF698" s="524"/>
      <c r="FSG698" s="524"/>
      <c r="FSH698" s="524"/>
      <c r="FSI698" s="524"/>
      <c r="FSJ698" s="524"/>
      <c r="FSK698" s="524"/>
      <c r="FSL698" s="524"/>
      <c r="FSM698" s="524"/>
      <c r="FSN698" s="524"/>
      <c r="FSO698" s="524"/>
      <c r="FSP698" s="524"/>
      <c r="FSQ698" s="524"/>
      <c r="FSR698" s="524"/>
      <c r="FSS698" s="524"/>
      <c r="FST698" s="524"/>
      <c r="FSU698" s="524"/>
      <c r="FSV698" s="524"/>
      <c r="FSW698" s="524"/>
      <c r="FSX698" s="524"/>
      <c r="FSY698" s="524"/>
      <c r="FSZ698" s="524"/>
      <c r="FTA698" s="524"/>
      <c r="FTB698" s="524"/>
      <c r="FTC698" s="524"/>
      <c r="FTD698" s="524"/>
      <c r="FTE698" s="524"/>
      <c r="FTF698" s="524"/>
      <c r="FTG698" s="524"/>
      <c r="FTH698" s="524"/>
      <c r="FTI698" s="524"/>
      <c r="FTJ698" s="524"/>
      <c r="FTK698" s="524"/>
      <c r="FTL698" s="524"/>
      <c r="FTM698" s="524"/>
      <c r="FTN698" s="524"/>
      <c r="FTO698" s="524"/>
      <c r="FTP698" s="524"/>
      <c r="FTQ698" s="524"/>
      <c r="FTR698" s="524"/>
      <c r="FTS698" s="524"/>
      <c r="FTT698" s="524"/>
      <c r="FTU698" s="524"/>
      <c r="FTV698" s="524"/>
      <c r="FTW698" s="524"/>
      <c r="FTX698" s="524"/>
      <c r="FTY698" s="524"/>
      <c r="FTZ698" s="524"/>
      <c r="FUA698" s="524"/>
      <c r="FUB698" s="524"/>
      <c r="FUC698" s="524"/>
      <c r="FUD698" s="524"/>
      <c r="FUE698" s="524"/>
      <c r="FUF698" s="524"/>
      <c r="FUG698" s="524"/>
      <c r="FUH698" s="524"/>
      <c r="FUI698" s="524"/>
      <c r="FUJ698" s="524"/>
      <c r="FUK698" s="524"/>
      <c r="FUL698" s="524"/>
      <c r="FUM698" s="524"/>
      <c r="FUN698" s="524"/>
      <c r="FUO698" s="524"/>
      <c r="FUP698" s="524"/>
      <c r="FUQ698" s="524"/>
      <c r="FUR698" s="524"/>
      <c r="FUS698" s="524"/>
      <c r="FUT698" s="524"/>
      <c r="FUU698" s="524"/>
      <c r="FUV698" s="524"/>
      <c r="FUW698" s="524"/>
      <c r="FUX698" s="524"/>
      <c r="FUY698" s="524"/>
      <c r="FUZ698" s="524"/>
      <c r="FVA698" s="524"/>
      <c r="FVB698" s="524"/>
      <c r="FVC698" s="524"/>
      <c r="FVD698" s="524"/>
      <c r="FVE698" s="524"/>
      <c r="FVF698" s="524"/>
      <c r="FVG698" s="524"/>
      <c r="FVH698" s="524"/>
      <c r="FVI698" s="524"/>
      <c r="FVJ698" s="524"/>
      <c r="FVK698" s="524"/>
      <c r="FVL698" s="524"/>
      <c r="FVM698" s="524"/>
      <c r="FVN698" s="524"/>
      <c r="FVO698" s="524"/>
      <c r="FVP698" s="524"/>
      <c r="FVQ698" s="524"/>
      <c r="FVR698" s="524"/>
      <c r="FVS698" s="524"/>
      <c r="FVT698" s="524"/>
      <c r="FVU698" s="524"/>
      <c r="FVV698" s="524"/>
      <c r="FVW698" s="524"/>
      <c r="FVX698" s="524"/>
      <c r="FVY698" s="524"/>
      <c r="FVZ698" s="524"/>
      <c r="FWA698" s="524"/>
      <c r="FWB698" s="524"/>
      <c r="FWC698" s="524"/>
      <c r="FWD698" s="524"/>
      <c r="FWE698" s="524"/>
      <c r="FWF698" s="524"/>
      <c r="FWG698" s="524"/>
      <c r="FWH698" s="524"/>
      <c r="FWI698" s="524"/>
      <c r="FWJ698" s="524"/>
      <c r="FWK698" s="524"/>
      <c r="FWL698" s="524"/>
      <c r="FWM698" s="524"/>
      <c r="FWN698" s="524"/>
      <c r="FWO698" s="524"/>
      <c r="FWP698" s="524"/>
      <c r="FWQ698" s="524"/>
      <c r="FWR698" s="524"/>
      <c r="FWS698" s="524"/>
      <c r="FWT698" s="524"/>
      <c r="FWU698" s="524"/>
      <c r="FWV698" s="524"/>
      <c r="FWW698" s="524"/>
      <c r="FWX698" s="524"/>
      <c r="FWY698" s="524"/>
      <c r="FWZ698" s="524"/>
      <c r="FXA698" s="524"/>
      <c r="FXB698" s="524"/>
      <c r="FXC698" s="524"/>
      <c r="FXD698" s="524"/>
      <c r="FXE698" s="524"/>
      <c r="FXF698" s="524"/>
      <c r="FXG698" s="524"/>
      <c r="FXH698" s="524"/>
      <c r="FXI698" s="524"/>
      <c r="FXJ698" s="524"/>
      <c r="FXK698" s="524"/>
      <c r="FXL698" s="524"/>
      <c r="FXM698" s="524"/>
      <c r="FXN698" s="524"/>
      <c r="FXO698" s="524"/>
      <c r="FXP698" s="524"/>
      <c r="FXQ698" s="524"/>
      <c r="FXR698" s="524"/>
      <c r="FXS698" s="524"/>
      <c r="FXT698" s="524"/>
      <c r="FXU698" s="524"/>
      <c r="FXV698" s="524"/>
      <c r="FXW698" s="524"/>
      <c r="FXX698" s="524"/>
      <c r="FXY698" s="524"/>
      <c r="FXZ698" s="524"/>
      <c r="FYA698" s="524"/>
      <c r="FYB698" s="524"/>
      <c r="FYC698" s="524"/>
      <c r="FYD698" s="524"/>
      <c r="FYE698" s="524"/>
      <c r="FYF698" s="524"/>
      <c r="FYG698" s="524"/>
      <c r="FYH698" s="524"/>
      <c r="FYI698" s="524"/>
      <c r="FYJ698" s="524"/>
      <c r="FYK698" s="524"/>
      <c r="FYL698" s="524"/>
      <c r="FYM698" s="524"/>
      <c r="FYN698" s="524"/>
      <c r="FYO698" s="524"/>
      <c r="FYP698" s="524"/>
      <c r="FYQ698" s="524"/>
      <c r="FYR698" s="524"/>
      <c r="FYS698" s="524"/>
      <c r="FYT698" s="524"/>
      <c r="FYU698" s="524"/>
      <c r="FYV698" s="524"/>
      <c r="FYW698" s="524"/>
      <c r="FYX698" s="524"/>
      <c r="FYY698" s="524"/>
      <c r="FYZ698" s="524"/>
      <c r="FZA698" s="524"/>
      <c r="FZB698" s="524"/>
      <c r="FZC698" s="524"/>
      <c r="FZD698" s="524"/>
      <c r="FZE698" s="524"/>
      <c r="FZF698" s="524"/>
      <c r="FZG698" s="524"/>
      <c r="FZH698" s="524"/>
      <c r="FZI698" s="524"/>
      <c r="FZJ698" s="524"/>
      <c r="FZK698" s="524"/>
      <c r="FZL698" s="524"/>
      <c r="FZM698" s="524"/>
      <c r="FZN698" s="524"/>
      <c r="FZO698" s="524"/>
      <c r="FZP698" s="524"/>
      <c r="FZQ698" s="524"/>
      <c r="FZR698" s="524"/>
      <c r="FZS698" s="524"/>
      <c r="FZT698" s="524"/>
      <c r="FZU698" s="524"/>
      <c r="FZV698" s="524"/>
      <c r="FZW698" s="524"/>
      <c r="FZX698" s="524"/>
      <c r="FZY698" s="524"/>
      <c r="FZZ698" s="524"/>
      <c r="GAA698" s="524"/>
      <c r="GAB698" s="524"/>
      <c r="GAC698" s="524"/>
      <c r="GAD698" s="524"/>
      <c r="GAE698" s="524"/>
      <c r="GAF698" s="524"/>
      <c r="GAG698" s="524"/>
      <c r="GAH698" s="524"/>
      <c r="GAI698" s="524"/>
      <c r="GAJ698" s="524"/>
      <c r="GAK698" s="524"/>
      <c r="GAL698" s="524"/>
      <c r="GAM698" s="524"/>
      <c r="GAN698" s="524"/>
      <c r="GAO698" s="524"/>
      <c r="GAP698" s="524"/>
      <c r="GAQ698" s="524"/>
      <c r="GAR698" s="524"/>
      <c r="GAS698" s="524"/>
      <c r="GAT698" s="524"/>
      <c r="GAU698" s="524"/>
      <c r="GAV698" s="524"/>
      <c r="GAW698" s="524"/>
      <c r="GAX698" s="524"/>
      <c r="GAY698" s="524"/>
      <c r="GAZ698" s="524"/>
      <c r="GBA698" s="524"/>
      <c r="GBB698" s="524"/>
      <c r="GBC698" s="524"/>
      <c r="GBD698" s="524"/>
      <c r="GBE698" s="524"/>
      <c r="GBF698" s="524"/>
      <c r="GBG698" s="524"/>
      <c r="GBH698" s="524"/>
      <c r="GBI698" s="524"/>
      <c r="GBJ698" s="524"/>
      <c r="GBK698" s="524"/>
      <c r="GBL698" s="524"/>
      <c r="GBM698" s="524"/>
      <c r="GBN698" s="524"/>
      <c r="GBO698" s="524"/>
      <c r="GBP698" s="524"/>
      <c r="GBQ698" s="524"/>
      <c r="GBR698" s="524"/>
      <c r="GBS698" s="524"/>
      <c r="GBT698" s="524"/>
      <c r="GBU698" s="524"/>
      <c r="GBV698" s="524"/>
      <c r="GBW698" s="524"/>
      <c r="GBX698" s="524"/>
      <c r="GBY698" s="524"/>
      <c r="GBZ698" s="524"/>
      <c r="GCA698" s="524"/>
      <c r="GCB698" s="524"/>
      <c r="GCC698" s="524"/>
      <c r="GCD698" s="524"/>
      <c r="GCE698" s="524"/>
      <c r="GCF698" s="524"/>
      <c r="GCG698" s="524"/>
      <c r="GCH698" s="524"/>
      <c r="GCI698" s="524"/>
      <c r="GCJ698" s="524"/>
      <c r="GCK698" s="524"/>
      <c r="GCL698" s="524"/>
      <c r="GCM698" s="524"/>
      <c r="GCN698" s="524"/>
      <c r="GCO698" s="524"/>
      <c r="GCP698" s="524"/>
      <c r="GCQ698" s="524"/>
      <c r="GCR698" s="524"/>
      <c r="GCS698" s="524"/>
      <c r="GCT698" s="524"/>
      <c r="GCU698" s="524"/>
      <c r="GCV698" s="524"/>
      <c r="GCW698" s="524"/>
      <c r="GCX698" s="524"/>
      <c r="GCY698" s="524"/>
      <c r="GCZ698" s="524"/>
      <c r="GDA698" s="524"/>
      <c r="GDB698" s="524"/>
      <c r="GDC698" s="524"/>
      <c r="GDD698" s="524"/>
      <c r="GDE698" s="524"/>
      <c r="GDF698" s="524"/>
      <c r="GDG698" s="524"/>
      <c r="GDH698" s="524"/>
      <c r="GDI698" s="524"/>
      <c r="GDJ698" s="524"/>
      <c r="GDK698" s="524"/>
      <c r="GDL698" s="524"/>
      <c r="GDM698" s="524"/>
      <c r="GDN698" s="524"/>
      <c r="GDO698" s="524"/>
      <c r="GDP698" s="524"/>
      <c r="GDQ698" s="524"/>
      <c r="GDR698" s="524"/>
      <c r="GDS698" s="524"/>
      <c r="GDT698" s="524"/>
      <c r="GDU698" s="524"/>
      <c r="GDV698" s="524"/>
      <c r="GDW698" s="524"/>
      <c r="GDX698" s="524"/>
      <c r="GDY698" s="524"/>
      <c r="GDZ698" s="524"/>
      <c r="GEA698" s="524"/>
      <c r="GEB698" s="524"/>
      <c r="GEC698" s="524"/>
      <c r="GED698" s="524"/>
      <c r="GEE698" s="524"/>
      <c r="GEF698" s="524"/>
      <c r="GEG698" s="524"/>
      <c r="GEH698" s="524"/>
      <c r="GEI698" s="524"/>
      <c r="GEJ698" s="524"/>
      <c r="GEK698" s="524"/>
      <c r="GEL698" s="524"/>
      <c r="GEM698" s="524"/>
      <c r="GEN698" s="524"/>
      <c r="GEO698" s="524"/>
      <c r="GEP698" s="524"/>
      <c r="GEQ698" s="524"/>
      <c r="GER698" s="524"/>
      <c r="GES698" s="524"/>
      <c r="GET698" s="524"/>
      <c r="GEU698" s="524"/>
      <c r="GEV698" s="524"/>
      <c r="GEW698" s="524"/>
      <c r="GEX698" s="524"/>
      <c r="GEY698" s="524"/>
      <c r="GEZ698" s="524"/>
      <c r="GFA698" s="524"/>
      <c r="GFB698" s="524"/>
      <c r="GFC698" s="524"/>
      <c r="GFD698" s="524"/>
      <c r="GFE698" s="524"/>
      <c r="GFF698" s="524"/>
      <c r="GFG698" s="524"/>
      <c r="GFH698" s="524"/>
      <c r="GFI698" s="524"/>
      <c r="GFJ698" s="524"/>
      <c r="GFK698" s="524"/>
      <c r="GFL698" s="524"/>
      <c r="GFM698" s="524"/>
      <c r="GFN698" s="524"/>
      <c r="GFO698" s="524"/>
      <c r="GFP698" s="524"/>
      <c r="GFQ698" s="524"/>
      <c r="GFR698" s="524"/>
      <c r="GFS698" s="524"/>
      <c r="GFT698" s="524"/>
      <c r="GFU698" s="524"/>
      <c r="GFV698" s="524"/>
      <c r="GFW698" s="524"/>
      <c r="GFX698" s="524"/>
      <c r="GFY698" s="524"/>
      <c r="GFZ698" s="524"/>
      <c r="GGA698" s="524"/>
      <c r="GGB698" s="524"/>
      <c r="GGC698" s="524"/>
      <c r="GGD698" s="524"/>
      <c r="GGE698" s="524"/>
      <c r="GGF698" s="524"/>
      <c r="GGG698" s="524"/>
      <c r="GGH698" s="524"/>
      <c r="GGI698" s="524"/>
      <c r="GGJ698" s="524"/>
      <c r="GGK698" s="524"/>
      <c r="GGL698" s="524"/>
      <c r="GGM698" s="524"/>
      <c r="GGN698" s="524"/>
      <c r="GGO698" s="524"/>
      <c r="GGP698" s="524"/>
      <c r="GGQ698" s="524"/>
      <c r="GGR698" s="524"/>
      <c r="GGS698" s="524"/>
      <c r="GGT698" s="524"/>
      <c r="GGU698" s="524"/>
      <c r="GGV698" s="524"/>
      <c r="GGW698" s="524"/>
      <c r="GGX698" s="524"/>
      <c r="GGY698" s="524"/>
      <c r="GGZ698" s="524"/>
      <c r="GHA698" s="524"/>
      <c r="GHB698" s="524"/>
      <c r="GHC698" s="524"/>
      <c r="GHD698" s="524"/>
      <c r="GHE698" s="524"/>
      <c r="GHF698" s="524"/>
      <c r="GHG698" s="524"/>
      <c r="GHH698" s="524"/>
      <c r="GHI698" s="524"/>
      <c r="GHJ698" s="524"/>
      <c r="GHK698" s="524"/>
      <c r="GHL698" s="524"/>
      <c r="GHM698" s="524"/>
      <c r="GHN698" s="524"/>
      <c r="GHO698" s="524"/>
      <c r="GHP698" s="524"/>
      <c r="GHQ698" s="524"/>
      <c r="GHR698" s="524"/>
      <c r="GHS698" s="524"/>
      <c r="GHT698" s="524"/>
      <c r="GHU698" s="524"/>
      <c r="GHV698" s="524"/>
      <c r="GHW698" s="524"/>
      <c r="GHX698" s="524"/>
      <c r="GHY698" s="524"/>
      <c r="GHZ698" s="524"/>
      <c r="GIA698" s="524"/>
      <c r="GIB698" s="524"/>
      <c r="GIC698" s="524"/>
      <c r="GID698" s="524"/>
      <c r="GIE698" s="524"/>
      <c r="GIF698" s="524"/>
      <c r="GIG698" s="524"/>
      <c r="GIH698" s="524"/>
      <c r="GII698" s="524"/>
      <c r="GIJ698" s="524"/>
      <c r="GIK698" s="524"/>
      <c r="GIL698" s="524"/>
      <c r="GIM698" s="524"/>
      <c r="GIN698" s="524"/>
      <c r="GIO698" s="524"/>
      <c r="GIP698" s="524"/>
      <c r="GIQ698" s="524"/>
      <c r="GIR698" s="524"/>
      <c r="GIS698" s="524"/>
      <c r="GIT698" s="524"/>
      <c r="GIU698" s="524"/>
      <c r="GIV698" s="524"/>
      <c r="GIW698" s="524"/>
      <c r="GIX698" s="524"/>
      <c r="GIY698" s="524"/>
      <c r="GIZ698" s="524"/>
      <c r="GJA698" s="524"/>
      <c r="GJB698" s="524"/>
      <c r="GJC698" s="524"/>
      <c r="GJD698" s="524"/>
      <c r="GJE698" s="524"/>
      <c r="GJF698" s="524"/>
      <c r="GJG698" s="524"/>
      <c r="GJH698" s="524"/>
      <c r="GJI698" s="524"/>
      <c r="GJJ698" s="524"/>
      <c r="GJK698" s="524"/>
      <c r="GJL698" s="524"/>
      <c r="GJM698" s="524"/>
      <c r="GJN698" s="524"/>
      <c r="GJO698" s="524"/>
      <c r="GJP698" s="524"/>
      <c r="GJQ698" s="524"/>
      <c r="GJR698" s="524"/>
      <c r="GJS698" s="524"/>
      <c r="GJT698" s="524"/>
      <c r="GJU698" s="524"/>
      <c r="GJV698" s="524"/>
      <c r="GJW698" s="524"/>
      <c r="GJX698" s="524"/>
      <c r="GJY698" s="524"/>
      <c r="GJZ698" s="524"/>
      <c r="GKA698" s="524"/>
      <c r="GKB698" s="524"/>
      <c r="GKC698" s="524"/>
      <c r="GKD698" s="524"/>
      <c r="GKE698" s="524"/>
      <c r="GKF698" s="524"/>
      <c r="GKG698" s="524"/>
      <c r="GKH698" s="524"/>
      <c r="GKI698" s="524"/>
      <c r="GKJ698" s="524"/>
      <c r="GKK698" s="524"/>
      <c r="GKL698" s="524"/>
      <c r="GKM698" s="524"/>
      <c r="GKN698" s="524"/>
      <c r="GKO698" s="524"/>
      <c r="GKP698" s="524"/>
      <c r="GKQ698" s="524"/>
      <c r="GKR698" s="524"/>
      <c r="GKS698" s="524"/>
      <c r="GKT698" s="524"/>
      <c r="GKU698" s="524"/>
      <c r="GKV698" s="524"/>
      <c r="GKW698" s="524"/>
      <c r="GKX698" s="524"/>
      <c r="GKY698" s="524"/>
      <c r="GKZ698" s="524"/>
      <c r="GLA698" s="524"/>
      <c r="GLB698" s="524"/>
      <c r="GLC698" s="524"/>
      <c r="GLD698" s="524"/>
      <c r="GLE698" s="524"/>
      <c r="GLF698" s="524"/>
      <c r="GLG698" s="524"/>
      <c r="GLH698" s="524"/>
      <c r="GLI698" s="524"/>
      <c r="GLJ698" s="524"/>
      <c r="GLK698" s="524"/>
      <c r="GLL698" s="524"/>
      <c r="GLM698" s="524"/>
      <c r="GLN698" s="524"/>
      <c r="GLO698" s="524"/>
      <c r="GLP698" s="524"/>
      <c r="GLQ698" s="524"/>
      <c r="GLR698" s="524"/>
      <c r="GLS698" s="524"/>
      <c r="GLT698" s="524"/>
      <c r="GLU698" s="524"/>
      <c r="GLV698" s="524"/>
      <c r="GLW698" s="524"/>
      <c r="GLX698" s="524"/>
      <c r="GLY698" s="524"/>
      <c r="GLZ698" s="524"/>
      <c r="GMA698" s="524"/>
      <c r="GMB698" s="524"/>
      <c r="GMC698" s="524"/>
      <c r="GMD698" s="524"/>
      <c r="GME698" s="524"/>
      <c r="GMF698" s="524"/>
      <c r="GMG698" s="524"/>
      <c r="GMH698" s="524"/>
      <c r="GMI698" s="524"/>
      <c r="GMJ698" s="524"/>
      <c r="GMK698" s="524"/>
      <c r="GML698" s="524"/>
      <c r="GMM698" s="524"/>
      <c r="GMN698" s="524"/>
      <c r="GMO698" s="524"/>
      <c r="GMP698" s="524"/>
      <c r="GMQ698" s="524"/>
      <c r="GMR698" s="524"/>
      <c r="GMS698" s="524"/>
      <c r="GMT698" s="524"/>
      <c r="GMU698" s="524"/>
      <c r="GMV698" s="524"/>
      <c r="GMW698" s="524"/>
      <c r="GMX698" s="524"/>
      <c r="GMY698" s="524"/>
      <c r="GMZ698" s="524"/>
      <c r="GNA698" s="524"/>
      <c r="GNB698" s="524"/>
      <c r="GNC698" s="524"/>
      <c r="GND698" s="524"/>
      <c r="GNE698" s="524"/>
      <c r="GNF698" s="524"/>
      <c r="GNG698" s="524"/>
      <c r="GNH698" s="524"/>
      <c r="GNI698" s="524"/>
      <c r="GNJ698" s="524"/>
      <c r="GNK698" s="524"/>
      <c r="GNL698" s="524"/>
      <c r="GNM698" s="524"/>
      <c r="GNN698" s="524"/>
      <c r="GNO698" s="524"/>
      <c r="GNP698" s="524"/>
      <c r="GNQ698" s="524"/>
      <c r="GNR698" s="524"/>
      <c r="GNS698" s="524"/>
      <c r="GNT698" s="524"/>
      <c r="GNU698" s="524"/>
      <c r="GNV698" s="524"/>
      <c r="GNW698" s="524"/>
      <c r="GNX698" s="524"/>
      <c r="GNY698" s="524"/>
      <c r="GNZ698" s="524"/>
      <c r="GOA698" s="524"/>
      <c r="GOB698" s="524"/>
      <c r="GOC698" s="524"/>
      <c r="GOD698" s="524"/>
      <c r="GOE698" s="524"/>
      <c r="GOF698" s="524"/>
      <c r="GOG698" s="524"/>
      <c r="GOH698" s="524"/>
      <c r="GOI698" s="524"/>
      <c r="GOJ698" s="524"/>
      <c r="GOK698" s="524"/>
      <c r="GOL698" s="524"/>
      <c r="GOM698" s="524"/>
      <c r="GON698" s="524"/>
      <c r="GOO698" s="524"/>
      <c r="GOP698" s="524"/>
      <c r="GOQ698" s="524"/>
      <c r="GOR698" s="524"/>
      <c r="GOS698" s="524"/>
      <c r="GOT698" s="524"/>
      <c r="GOU698" s="524"/>
      <c r="GOV698" s="524"/>
      <c r="GOW698" s="524"/>
      <c r="GOX698" s="524"/>
      <c r="GOY698" s="524"/>
      <c r="GOZ698" s="524"/>
      <c r="GPA698" s="524"/>
      <c r="GPB698" s="524"/>
      <c r="GPC698" s="524"/>
      <c r="GPD698" s="524"/>
      <c r="GPE698" s="524"/>
      <c r="GPF698" s="524"/>
      <c r="GPG698" s="524"/>
      <c r="GPH698" s="524"/>
      <c r="GPI698" s="524"/>
      <c r="GPJ698" s="524"/>
      <c r="GPK698" s="524"/>
      <c r="GPL698" s="524"/>
      <c r="GPM698" s="524"/>
      <c r="GPN698" s="524"/>
      <c r="GPO698" s="524"/>
      <c r="GPP698" s="524"/>
      <c r="GPQ698" s="524"/>
      <c r="GPR698" s="524"/>
      <c r="GPS698" s="524"/>
      <c r="GPT698" s="524"/>
      <c r="GPU698" s="524"/>
      <c r="GPV698" s="524"/>
      <c r="GPW698" s="524"/>
      <c r="GPX698" s="524"/>
      <c r="GPY698" s="524"/>
      <c r="GPZ698" s="524"/>
      <c r="GQA698" s="524"/>
      <c r="GQB698" s="524"/>
      <c r="GQC698" s="524"/>
      <c r="GQD698" s="524"/>
      <c r="GQE698" s="524"/>
      <c r="GQF698" s="524"/>
      <c r="GQG698" s="524"/>
      <c r="GQH698" s="524"/>
      <c r="GQI698" s="524"/>
      <c r="GQJ698" s="524"/>
      <c r="GQK698" s="524"/>
      <c r="GQL698" s="524"/>
      <c r="GQM698" s="524"/>
      <c r="GQN698" s="524"/>
      <c r="GQO698" s="524"/>
      <c r="GQP698" s="524"/>
      <c r="GQQ698" s="524"/>
      <c r="GQR698" s="524"/>
      <c r="GQS698" s="524"/>
      <c r="GQT698" s="524"/>
      <c r="GQU698" s="524"/>
      <c r="GQV698" s="524"/>
      <c r="GQW698" s="524"/>
      <c r="GQX698" s="524"/>
      <c r="GQY698" s="524"/>
      <c r="GQZ698" s="524"/>
      <c r="GRA698" s="524"/>
      <c r="GRB698" s="524"/>
      <c r="GRC698" s="524"/>
      <c r="GRD698" s="524"/>
      <c r="GRE698" s="524"/>
      <c r="GRF698" s="524"/>
      <c r="GRG698" s="524"/>
      <c r="GRH698" s="524"/>
      <c r="GRI698" s="524"/>
      <c r="GRJ698" s="524"/>
      <c r="GRK698" s="524"/>
      <c r="GRL698" s="524"/>
      <c r="GRM698" s="524"/>
      <c r="GRN698" s="524"/>
      <c r="GRO698" s="524"/>
      <c r="GRP698" s="524"/>
      <c r="GRQ698" s="524"/>
      <c r="GRR698" s="524"/>
      <c r="GRS698" s="524"/>
      <c r="GRT698" s="524"/>
      <c r="GRU698" s="524"/>
      <c r="GRV698" s="524"/>
      <c r="GRW698" s="524"/>
      <c r="GRX698" s="524"/>
      <c r="GRY698" s="524"/>
      <c r="GRZ698" s="524"/>
      <c r="GSA698" s="524"/>
      <c r="GSB698" s="524"/>
      <c r="GSC698" s="524"/>
      <c r="GSD698" s="524"/>
      <c r="GSE698" s="524"/>
      <c r="GSF698" s="524"/>
      <c r="GSG698" s="524"/>
      <c r="GSH698" s="524"/>
      <c r="GSI698" s="524"/>
      <c r="GSJ698" s="524"/>
      <c r="GSK698" s="524"/>
      <c r="GSL698" s="524"/>
      <c r="GSM698" s="524"/>
      <c r="GSN698" s="524"/>
      <c r="GSO698" s="524"/>
      <c r="GSP698" s="524"/>
      <c r="GSQ698" s="524"/>
      <c r="GSR698" s="524"/>
      <c r="GSS698" s="524"/>
      <c r="GST698" s="524"/>
      <c r="GSU698" s="524"/>
      <c r="GSV698" s="524"/>
      <c r="GSW698" s="524"/>
      <c r="GSX698" s="524"/>
      <c r="GSY698" s="524"/>
      <c r="GSZ698" s="524"/>
      <c r="GTA698" s="524"/>
      <c r="GTB698" s="524"/>
      <c r="GTC698" s="524"/>
      <c r="GTD698" s="524"/>
      <c r="GTE698" s="524"/>
      <c r="GTF698" s="524"/>
      <c r="GTG698" s="524"/>
      <c r="GTH698" s="524"/>
      <c r="GTI698" s="524"/>
      <c r="GTJ698" s="524"/>
      <c r="GTK698" s="524"/>
      <c r="GTL698" s="524"/>
      <c r="GTM698" s="524"/>
      <c r="GTN698" s="524"/>
      <c r="GTO698" s="524"/>
      <c r="GTP698" s="524"/>
      <c r="GTQ698" s="524"/>
      <c r="GTR698" s="524"/>
      <c r="GTS698" s="524"/>
      <c r="GTT698" s="524"/>
      <c r="GTU698" s="524"/>
      <c r="GTV698" s="524"/>
      <c r="GTW698" s="524"/>
      <c r="GTX698" s="524"/>
      <c r="GTY698" s="524"/>
      <c r="GTZ698" s="524"/>
      <c r="GUA698" s="524"/>
      <c r="GUB698" s="524"/>
      <c r="GUC698" s="524"/>
      <c r="GUD698" s="524"/>
      <c r="GUE698" s="524"/>
      <c r="GUF698" s="524"/>
      <c r="GUG698" s="524"/>
      <c r="GUH698" s="524"/>
      <c r="GUI698" s="524"/>
      <c r="GUJ698" s="524"/>
      <c r="GUK698" s="524"/>
      <c r="GUL698" s="524"/>
      <c r="GUM698" s="524"/>
      <c r="GUN698" s="524"/>
      <c r="GUO698" s="524"/>
      <c r="GUP698" s="524"/>
      <c r="GUQ698" s="524"/>
      <c r="GUR698" s="524"/>
      <c r="GUS698" s="524"/>
      <c r="GUT698" s="524"/>
      <c r="GUU698" s="524"/>
      <c r="GUV698" s="524"/>
      <c r="GUW698" s="524"/>
      <c r="GUX698" s="524"/>
      <c r="GUY698" s="524"/>
      <c r="GUZ698" s="524"/>
      <c r="GVA698" s="524"/>
      <c r="GVB698" s="524"/>
      <c r="GVC698" s="524"/>
      <c r="GVD698" s="524"/>
      <c r="GVE698" s="524"/>
      <c r="GVF698" s="524"/>
      <c r="GVG698" s="524"/>
      <c r="GVH698" s="524"/>
      <c r="GVI698" s="524"/>
      <c r="GVJ698" s="524"/>
      <c r="GVK698" s="524"/>
      <c r="GVL698" s="524"/>
      <c r="GVM698" s="524"/>
      <c r="GVN698" s="524"/>
      <c r="GVO698" s="524"/>
      <c r="GVP698" s="524"/>
      <c r="GVQ698" s="524"/>
      <c r="GVR698" s="524"/>
      <c r="GVS698" s="524"/>
      <c r="GVT698" s="524"/>
      <c r="GVU698" s="524"/>
      <c r="GVV698" s="524"/>
      <c r="GVW698" s="524"/>
      <c r="GVX698" s="524"/>
      <c r="GVY698" s="524"/>
      <c r="GVZ698" s="524"/>
      <c r="GWA698" s="524"/>
      <c r="GWB698" s="524"/>
      <c r="GWC698" s="524"/>
      <c r="GWD698" s="524"/>
      <c r="GWE698" s="524"/>
      <c r="GWF698" s="524"/>
      <c r="GWG698" s="524"/>
      <c r="GWH698" s="524"/>
      <c r="GWI698" s="524"/>
      <c r="GWJ698" s="524"/>
      <c r="GWK698" s="524"/>
      <c r="GWL698" s="524"/>
      <c r="GWM698" s="524"/>
      <c r="GWN698" s="524"/>
      <c r="GWO698" s="524"/>
      <c r="GWP698" s="524"/>
      <c r="GWQ698" s="524"/>
      <c r="GWR698" s="524"/>
      <c r="GWS698" s="524"/>
      <c r="GWT698" s="524"/>
      <c r="GWU698" s="524"/>
      <c r="GWV698" s="524"/>
      <c r="GWW698" s="524"/>
      <c r="GWX698" s="524"/>
      <c r="GWY698" s="524"/>
      <c r="GWZ698" s="524"/>
      <c r="GXA698" s="524"/>
      <c r="GXB698" s="524"/>
      <c r="GXC698" s="524"/>
      <c r="GXD698" s="524"/>
      <c r="GXE698" s="524"/>
      <c r="GXF698" s="524"/>
      <c r="GXG698" s="524"/>
      <c r="GXH698" s="524"/>
      <c r="GXI698" s="524"/>
      <c r="GXJ698" s="524"/>
      <c r="GXK698" s="524"/>
      <c r="GXL698" s="524"/>
      <c r="GXM698" s="524"/>
      <c r="GXN698" s="524"/>
      <c r="GXO698" s="524"/>
      <c r="GXP698" s="524"/>
      <c r="GXQ698" s="524"/>
      <c r="GXR698" s="524"/>
      <c r="GXS698" s="524"/>
      <c r="GXT698" s="524"/>
      <c r="GXU698" s="524"/>
      <c r="GXV698" s="524"/>
      <c r="GXW698" s="524"/>
      <c r="GXX698" s="524"/>
      <c r="GXY698" s="524"/>
      <c r="GXZ698" s="524"/>
      <c r="GYA698" s="524"/>
      <c r="GYB698" s="524"/>
      <c r="GYC698" s="524"/>
      <c r="GYD698" s="524"/>
      <c r="GYE698" s="524"/>
      <c r="GYF698" s="524"/>
      <c r="GYG698" s="524"/>
      <c r="GYH698" s="524"/>
      <c r="GYI698" s="524"/>
      <c r="GYJ698" s="524"/>
      <c r="GYK698" s="524"/>
      <c r="GYL698" s="524"/>
      <c r="GYM698" s="524"/>
      <c r="GYN698" s="524"/>
      <c r="GYO698" s="524"/>
      <c r="GYP698" s="524"/>
      <c r="GYQ698" s="524"/>
      <c r="GYR698" s="524"/>
      <c r="GYS698" s="524"/>
      <c r="GYT698" s="524"/>
      <c r="GYU698" s="524"/>
      <c r="GYV698" s="524"/>
      <c r="GYW698" s="524"/>
      <c r="GYX698" s="524"/>
      <c r="GYY698" s="524"/>
      <c r="GYZ698" s="524"/>
      <c r="GZA698" s="524"/>
      <c r="GZB698" s="524"/>
      <c r="GZC698" s="524"/>
      <c r="GZD698" s="524"/>
      <c r="GZE698" s="524"/>
      <c r="GZF698" s="524"/>
      <c r="GZG698" s="524"/>
      <c r="GZH698" s="524"/>
      <c r="GZI698" s="524"/>
      <c r="GZJ698" s="524"/>
      <c r="GZK698" s="524"/>
      <c r="GZL698" s="524"/>
      <c r="GZM698" s="524"/>
      <c r="GZN698" s="524"/>
      <c r="GZO698" s="524"/>
      <c r="GZP698" s="524"/>
      <c r="GZQ698" s="524"/>
      <c r="GZR698" s="524"/>
      <c r="GZS698" s="524"/>
      <c r="GZT698" s="524"/>
      <c r="GZU698" s="524"/>
      <c r="GZV698" s="524"/>
      <c r="GZW698" s="524"/>
      <c r="GZX698" s="524"/>
      <c r="GZY698" s="524"/>
      <c r="GZZ698" s="524"/>
      <c r="HAA698" s="524"/>
      <c r="HAB698" s="524"/>
      <c r="HAC698" s="524"/>
      <c r="HAD698" s="524"/>
      <c r="HAE698" s="524"/>
      <c r="HAF698" s="524"/>
      <c r="HAG698" s="524"/>
      <c r="HAH698" s="524"/>
      <c r="HAI698" s="524"/>
      <c r="HAJ698" s="524"/>
      <c r="HAK698" s="524"/>
      <c r="HAL698" s="524"/>
      <c r="HAM698" s="524"/>
      <c r="HAN698" s="524"/>
      <c r="HAO698" s="524"/>
      <c r="HAP698" s="524"/>
      <c r="HAQ698" s="524"/>
      <c r="HAR698" s="524"/>
      <c r="HAS698" s="524"/>
      <c r="HAT698" s="524"/>
      <c r="HAU698" s="524"/>
      <c r="HAV698" s="524"/>
      <c r="HAW698" s="524"/>
      <c r="HAX698" s="524"/>
      <c r="HAY698" s="524"/>
      <c r="HAZ698" s="524"/>
      <c r="HBA698" s="524"/>
      <c r="HBB698" s="524"/>
      <c r="HBC698" s="524"/>
      <c r="HBD698" s="524"/>
      <c r="HBE698" s="524"/>
      <c r="HBF698" s="524"/>
      <c r="HBG698" s="524"/>
      <c r="HBH698" s="524"/>
      <c r="HBI698" s="524"/>
      <c r="HBJ698" s="524"/>
      <c r="HBK698" s="524"/>
      <c r="HBL698" s="524"/>
      <c r="HBM698" s="524"/>
      <c r="HBN698" s="524"/>
      <c r="HBO698" s="524"/>
      <c r="HBP698" s="524"/>
      <c r="HBQ698" s="524"/>
      <c r="HBR698" s="524"/>
      <c r="HBS698" s="524"/>
      <c r="HBT698" s="524"/>
      <c r="HBU698" s="524"/>
      <c r="HBV698" s="524"/>
      <c r="HBW698" s="524"/>
      <c r="HBX698" s="524"/>
      <c r="HBY698" s="524"/>
      <c r="HBZ698" s="524"/>
      <c r="HCA698" s="524"/>
      <c r="HCB698" s="524"/>
      <c r="HCC698" s="524"/>
      <c r="HCD698" s="524"/>
      <c r="HCE698" s="524"/>
      <c r="HCF698" s="524"/>
      <c r="HCG698" s="524"/>
      <c r="HCH698" s="524"/>
      <c r="HCI698" s="524"/>
      <c r="HCJ698" s="524"/>
      <c r="HCK698" s="524"/>
      <c r="HCL698" s="524"/>
      <c r="HCM698" s="524"/>
      <c r="HCN698" s="524"/>
      <c r="HCO698" s="524"/>
      <c r="HCP698" s="524"/>
      <c r="HCQ698" s="524"/>
      <c r="HCR698" s="524"/>
      <c r="HCS698" s="524"/>
      <c r="HCT698" s="524"/>
      <c r="HCU698" s="524"/>
      <c r="HCV698" s="524"/>
      <c r="HCW698" s="524"/>
      <c r="HCX698" s="524"/>
      <c r="HCY698" s="524"/>
      <c r="HCZ698" s="524"/>
      <c r="HDA698" s="524"/>
      <c r="HDB698" s="524"/>
      <c r="HDC698" s="524"/>
      <c r="HDD698" s="524"/>
      <c r="HDE698" s="524"/>
      <c r="HDF698" s="524"/>
      <c r="HDG698" s="524"/>
      <c r="HDH698" s="524"/>
      <c r="HDI698" s="524"/>
      <c r="HDJ698" s="524"/>
      <c r="HDK698" s="524"/>
      <c r="HDL698" s="524"/>
      <c r="HDM698" s="524"/>
      <c r="HDN698" s="524"/>
      <c r="HDO698" s="524"/>
      <c r="HDP698" s="524"/>
      <c r="HDQ698" s="524"/>
      <c r="HDR698" s="524"/>
      <c r="HDS698" s="524"/>
      <c r="HDT698" s="524"/>
      <c r="HDU698" s="524"/>
      <c r="HDV698" s="524"/>
      <c r="HDW698" s="524"/>
      <c r="HDX698" s="524"/>
      <c r="HDY698" s="524"/>
      <c r="HDZ698" s="524"/>
      <c r="HEA698" s="524"/>
      <c r="HEB698" s="524"/>
      <c r="HEC698" s="524"/>
      <c r="HED698" s="524"/>
      <c r="HEE698" s="524"/>
      <c r="HEF698" s="524"/>
      <c r="HEG698" s="524"/>
      <c r="HEH698" s="524"/>
      <c r="HEI698" s="524"/>
      <c r="HEJ698" s="524"/>
      <c r="HEK698" s="524"/>
      <c r="HEL698" s="524"/>
      <c r="HEM698" s="524"/>
      <c r="HEN698" s="524"/>
      <c r="HEO698" s="524"/>
      <c r="HEP698" s="524"/>
      <c r="HEQ698" s="524"/>
      <c r="HER698" s="524"/>
      <c r="HES698" s="524"/>
      <c r="HET698" s="524"/>
      <c r="HEU698" s="524"/>
      <c r="HEV698" s="524"/>
      <c r="HEW698" s="524"/>
      <c r="HEX698" s="524"/>
      <c r="HEY698" s="524"/>
      <c r="HEZ698" s="524"/>
      <c r="HFA698" s="524"/>
      <c r="HFB698" s="524"/>
      <c r="HFC698" s="524"/>
      <c r="HFD698" s="524"/>
      <c r="HFE698" s="524"/>
      <c r="HFF698" s="524"/>
      <c r="HFG698" s="524"/>
      <c r="HFH698" s="524"/>
      <c r="HFI698" s="524"/>
      <c r="HFJ698" s="524"/>
      <c r="HFK698" s="524"/>
      <c r="HFL698" s="524"/>
      <c r="HFM698" s="524"/>
      <c r="HFN698" s="524"/>
      <c r="HFO698" s="524"/>
      <c r="HFP698" s="524"/>
      <c r="HFQ698" s="524"/>
      <c r="HFR698" s="524"/>
      <c r="HFS698" s="524"/>
      <c r="HFT698" s="524"/>
      <c r="HFU698" s="524"/>
      <c r="HFV698" s="524"/>
      <c r="HFW698" s="524"/>
      <c r="HFX698" s="524"/>
      <c r="HFY698" s="524"/>
      <c r="HFZ698" s="524"/>
      <c r="HGA698" s="524"/>
      <c r="HGB698" s="524"/>
      <c r="HGC698" s="524"/>
      <c r="HGD698" s="524"/>
      <c r="HGE698" s="524"/>
      <c r="HGF698" s="524"/>
      <c r="HGG698" s="524"/>
      <c r="HGH698" s="524"/>
      <c r="HGI698" s="524"/>
      <c r="HGJ698" s="524"/>
      <c r="HGK698" s="524"/>
      <c r="HGL698" s="524"/>
      <c r="HGM698" s="524"/>
      <c r="HGN698" s="524"/>
      <c r="HGO698" s="524"/>
      <c r="HGP698" s="524"/>
      <c r="HGQ698" s="524"/>
      <c r="HGR698" s="524"/>
      <c r="HGS698" s="524"/>
      <c r="HGT698" s="524"/>
      <c r="HGU698" s="524"/>
      <c r="HGV698" s="524"/>
      <c r="HGW698" s="524"/>
      <c r="HGX698" s="524"/>
      <c r="HGY698" s="524"/>
      <c r="HGZ698" s="524"/>
      <c r="HHA698" s="524"/>
      <c r="HHB698" s="524"/>
      <c r="HHC698" s="524"/>
      <c r="HHD698" s="524"/>
      <c r="HHE698" s="524"/>
      <c r="HHF698" s="524"/>
      <c r="HHG698" s="524"/>
      <c r="HHH698" s="524"/>
      <c r="HHI698" s="524"/>
      <c r="HHJ698" s="524"/>
      <c r="HHK698" s="524"/>
      <c r="HHL698" s="524"/>
      <c r="HHM698" s="524"/>
      <c r="HHN698" s="524"/>
      <c r="HHO698" s="524"/>
      <c r="HHP698" s="524"/>
      <c r="HHQ698" s="524"/>
      <c r="HHR698" s="524"/>
      <c r="HHS698" s="524"/>
      <c r="HHT698" s="524"/>
      <c r="HHU698" s="524"/>
      <c r="HHV698" s="524"/>
      <c r="HHW698" s="524"/>
      <c r="HHX698" s="524"/>
      <c r="HHY698" s="524"/>
      <c r="HHZ698" s="524"/>
      <c r="HIA698" s="524"/>
      <c r="HIB698" s="524"/>
      <c r="HIC698" s="524"/>
      <c r="HID698" s="524"/>
      <c r="HIE698" s="524"/>
      <c r="HIF698" s="524"/>
      <c r="HIG698" s="524"/>
      <c r="HIH698" s="524"/>
      <c r="HII698" s="524"/>
      <c r="HIJ698" s="524"/>
      <c r="HIK698" s="524"/>
      <c r="HIL698" s="524"/>
      <c r="HIM698" s="524"/>
      <c r="HIN698" s="524"/>
      <c r="HIO698" s="524"/>
      <c r="HIP698" s="524"/>
      <c r="HIQ698" s="524"/>
      <c r="HIR698" s="524"/>
      <c r="HIS698" s="524"/>
      <c r="HIT698" s="524"/>
      <c r="HIU698" s="524"/>
      <c r="HIV698" s="524"/>
      <c r="HIW698" s="524"/>
      <c r="HIX698" s="524"/>
      <c r="HIY698" s="524"/>
      <c r="HIZ698" s="524"/>
      <c r="HJA698" s="524"/>
      <c r="HJB698" s="524"/>
      <c r="HJC698" s="524"/>
      <c r="HJD698" s="524"/>
      <c r="HJE698" s="524"/>
      <c r="HJF698" s="524"/>
      <c r="HJG698" s="524"/>
      <c r="HJH698" s="524"/>
      <c r="HJI698" s="524"/>
      <c r="HJJ698" s="524"/>
      <c r="HJK698" s="524"/>
      <c r="HJL698" s="524"/>
      <c r="HJM698" s="524"/>
      <c r="HJN698" s="524"/>
      <c r="HJO698" s="524"/>
      <c r="HJP698" s="524"/>
      <c r="HJQ698" s="524"/>
      <c r="HJR698" s="524"/>
      <c r="HJS698" s="524"/>
      <c r="HJT698" s="524"/>
      <c r="HJU698" s="524"/>
      <c r="HJV698" s="524"/>
      <c r="HJW698" s="524"/>
      <c r="HJX698" s="524"/>
      <c r="HJY698" s="524"/>
      <c r="HJZ698" s="524"/>
      <c r="HKA698" s="524"/>
      <c r="HKB698" s="524"/>
      <c r="HKC698" s="524"/>
      <c r="HKD698" s="524"/>
      <c r="HKE698" s="524"/>
      <c r="HKF698" s="524"/>
      <c r="HKG698" s="524"/>
      <c r="HKH698" s="524"/>
      <c r="HKI698" s="524"/>
      <c r="HKJ698" s="524"/>
      <c r="HKK698" s="524"/>
      <c r="HKL698" s="524"/>
      <c r="HKM698" s="524"/>
      <c r="HKN698" s="524"/>
      <c r="HKO698" s="524"/>
      <c r="HKP698" s="524"/>
      <c r="HKQ698" s="524"/>
      <c r="HKR698" s="524"/>
      <c r="HKS698" s="524"/>
      <c r="HKT698" s="524"/>
      <c r="HKU698" s="524"/>
      <c r="HKV698" s="524"/>
      <c r="HKW698" s="524"/>
      <c r="HKX698" s="524"/>
      <c r="HKY698" s="524"/>
      <c r="HKZ698" s="524"/>
      <c r="HLA698" s="524"/>
      <c r="HLB698" s="524"/>
      <c r="HLC698" s="524"/>
      <c r="HLD698" s="524"/>
      <c r="HLE698" s="524"/>
      <c r="HLF698" s="524"/>
      <c r="HLG698" s="524"/>
      <c r="HLH698" s="524"/>
      <c r="HLI698" s="524"/>
      <c r="HLJ698" s="524"/>
      <c r="HLK698" s="524"/>
      <c r="HLL698" s="524"/>
      <c r="HLM698" s="524"/>
      <c r="HLN698" s="524"/>
      <c r="HLO698" s="524"/>
      <c r="HLP698" s="524"/>
      <c r="HLQ698" s="524"/>
      <c r="HLR698" s="524"/>
      <c r="HLS698" s="524"/>
      <c r="HLT698" s="524"/>
      <c r="HLU698" s="524"/>
      <c r="HLV698" s="524"/>
      <c r="HLW698" s="524"/>
      <c r="HLX698" s="524"/>
      <c r="HLY698" s="524"/>
      <c r="HLZ698" s="524"/>
      <c r="HMA698" s="524"/>
      <c r="HMB698" s="524"/>
      <c r="HMC698" s="524"/>
      <c r="HMD698" s="524"/>
      <c r="HME698" s="524"/>
      <c r="HMF698" s="524"/>
      <c r="HMG698" s="524"/>
      <c r="HMH698" s="524"/>
      <c r="HMI698" s="524"/>
      <c r="HMJ698" s="524"/>
      <c r="HMK698" s="524"/>
      <c r="HML698" s="524"/>
      <c r="HMM698" s="524"/>
      <c r="HMN698" s="524"/>
      <c r="HMO698" s="524"/>
      <c r="HMP698" s="524"/>
      <c r="HMQ698" s="524"/>
      <c r="HMR698" s="524"/>
      <c r="HMS698" s="524"/>
      <c r="HMT698" s="524"/>
      <c r="HMU698" s="524"/>
      <c r="HMV698" s="524"/>
      <c r="HMW698" s="524"/>
      <c r="HMX698" s="524"/>
      <c r="HMY698" s="524"/>
      <c r="HMZ698" s="524"/>
      <c r="HNA698" s="524"/>
      <c r="HNB698" s="524"/>
      <c r="HNC698" s="524"/>
      <c r="HND698" s="524"/>
      <c r="HNE698" s="524"/>
      <c r="HNF698" s="524"/>
      <c r="HNG698" s="524"/>
      <c r="HNH698" s="524"/>
      <c r="HNI698" s="524"/>
      <c r="HNJ698" s="524"/>
      <c r="HNK698" s="524"/>
      <c r="HNL698" s="524"/>
      <c r="HNM698" s="524"/>
      <c r="HNN698" s="524"/>
      <c r="HNO698" s="524"/>
      <c r="HNP698" s="524"/>
      <c r="HNQ698" s="524"/>
      <c r="HNR698" s="524"/>
      <c r="HNS698" s="524"/>
      <c r="HNT698" s="524"/>
      <c r="HNU698" s="524"/>
      <c r="HNV698" s="524"/>
      <c r="HNW698" s="524"/>
      <c r="HNX698" s="524"/>
      <c r="HNY698" s="524"/>
      <c r="HNZ698" s="524"/>
      <c r="HOA698" s="524"/>
      <c r="HOB698" s="524"/>
      <c r="HOC698" s="524"/>
      <c r="HOD698" s="524"/>
      <c r="HOE698" s="524"/>
      <c r="HOF698" s="524"/>
      <c r="HOG698" s="524"/>
      <c r="HOH698" s="524"/>
      <c r="HOI698" s="524"/>
      <c r="HOJ698" s="524"/>
      <c r="HOK698" s="524"/>
      <c r="HOL698" s="524"/>
      <c r="HOM698" s="524"/>
      <c r="HON698" s="524"/>
      <c r="HOO698" s="524"/>
      <c r="HOP698" s="524"/>
      <c r="HOQ698" s="524"/>
      <c r="HOR698" s="524"/>
      <c r="HOS698" s="524"/>
      <c r="HOT698" s="524"/>
      <c r="HOU698" s="524"/>
      <c r="HOV698" s="524"/>
      <c r="HOW698" s="524"/>
      <c r="HOX698" s="524"/>
      <c r="HOY698" s="524"/>
      <c r="HOZ698" s="524"/>
      <c r="HPA698" s="524"/>
      <c r="HPB698" s="524"/>
      <c r="HPC698" s="524"/>
      <c r="HPD698" s="524"/>
      <c r="HPE698" s="524"/>
      <c r="HPF698" s="524"/>
      <c r="HPG698" s="524"/>
      <c r="HPH698" s="524"/>
      <c r="HPI698" s="524"/>
      <c r="HPJ698" s="524"/>
      <c r="HPK698" s="524"/>
      <c r="HPL698" s="524"/>
      <c r="HPM698" s="524"/>
      <c r="HPN698" s="524"/>
      <c r="HPO698" s="524"/>
      <c r="HPP698" s="524"/>
      <c r="HPQ698" s="524"/>
      <c r="HPR698" s="524"/>
      <c r="HPS698" s="524"/>
      <c r="HPT698" s="524"/>
      <c r="HPU698" s="524"/>
      <c r="HPV698" s="524"/>
      <c r="HPW698" s="524"/>
      <c r="HPX698" s="524"/>
      <c r="HPY698" s="524"/>
      <c r="HPZ698" s="524"/>
      <c r="HQA698" s="524"/>
      <c r="HQB698" s="524"/>
      <c r="HQC698" s="524"/>
      <c r="HQD698" s="524"/>
      <c r="HQE698" s="524"/>
      <c r="HQF698" s="524"/>
      <c r="HQG698" s="524"/>
      <c r="HQH698" s="524"/>
      <c r="HQI698" s="524"/>
      <c r="HQJ698" s="524"/>
      <c r="HQK698" s="524"/>
      <c r="HQL698" s="524"/>
      <c r="HQM698" s="524"/>
      <c r="HQN698" s="524"/>
      <c r="HQO698" s="524"/>
      <c r="HQP698" s="524"/>
      <c r="HQQ698" s="524"/>
      <c r="HQR698" s="524"/>
      <c r="HQS698" s="524"/>
      <c r="HQT698" s="524"/>
      <c r="HQU698" s="524"/>
      <c r="HQV698" s="524"/>
      <c r="HQW698" s="524"/>
      <c r="HQX698" s="524"/>
      <c r="HQY698" s="524"/>
      <c r="HQZ698" s="524"/>
      <c r="HRA698" s="524"/>
      <c r="HRB698" s="524"/>
      <c r="HRC698" s="524"/>
      <c r="HRD698" s="524"/>
      <c r="HRE698" s="524"/>
      <c r="HRF698" s="524"/>
      <c r="HRG698" s="524"/>
      <c r="HRH698" s="524"/>
      <c r="HRI698" s="524"/>
      <c r="HRJ698" s="524"/>
      <c r="HRK698" s="524"/>
      <c r="HRL698" s="524"/>
      <c r="HRM698" s="524"/>
      <c r="HRN698" s="524"/>
      <c r="HRO698" s="524"/>
      <c r="HRP698" s="524"/>
      <c r="HRQ698" s="524"/>
      <c r="HRR698" s="524"/>
      <c r="HRS698" s="524"/>
      <c r="HRT698" s="524"/>
      <c r="HRU698" s="524"/>
      <c r="HRV698" s="524"/>
      <c r="HRW698" s="524"/>
      <c r="HRX698" s="524"/>
      <c r="HRY698" s="524"/>
      <c r="HRZ698" s="524"/>
      <c r="HSA698" s="524"/>
      <c r="HSB698" s="524"/>
      <c r="HSC698" s="524"/>
      <c r="HSD698" s="524"/>
      <c r="HSE698" s="524"/>
      <c r="HSF698" s="524"/>
      <c r="HSG698" s="524"/>
      <c r="HSH698" s="524"/>
      <c r="HSI698" s="524"/>
      <c r="HSJ698" s="524"/>
      <c r="HSK698" s="524"/>
      <c r="HSL698" s="524"/>
      <c r="HSM698" s="524"/>
      <c r="HSN698" s="524"/>
      <c r="HSO698" s="524"/>
      <c r="HSP698" s="524"/>
      <c r="HSQ698" s="524"/>
      <c r="HSR698" s="524"/>
      <c r="HSS698" s="524"/>
      <c r="HST698" s="524"/>
      <c r="HSU698" s="524"/>
      <c r="HSV698" s="524"/>
      <c r="HSW698" s="524"/>
      <c r="HSX698" s="524"/>
      <c r="HSY698" s="524"/>
      <c r="HSZ698" s="524"/>
      <c r="HTA698" s="524"/>
      <c r="HTB698" s="524"/>
      <c r="HTC698" s="524"/>
      <c r="HTD698" s="524"/>
      <c r="HTE698" s="524"/>
      <c r="HTF698" s="524"/>
      <c r="HTG698" s="524"/>
      <c r="HTH698" s="524"/>
      <c r="HTI698" s="524"/>
      <c r="HTJ698" s="524"/>
      <c r="HTK698" s="524"/>
      <c r="HTL698" s="524"/>
      <c r="HTM698" s="524"/>
      <c r="HTN698" s="524"/>
      <c r="HTO698" s="524"/>
      <c r="HTP698" s="524"/>
      <c r="HTQ698" s="524"/>
      <c r="HTR698" s="524"/>
      <c r="HTS698" s="524"/>
      <c r="HTT698" s="524"/>
      <c r="HTU698" s="524"/>
      <c r="HTV698" s="524"/>
      <c r="HTW698" s="524"/>
      <c r="HTX698" s="524"/>
      <c r="HTY698" s="524"/>
      <c r="HTZ698" s="524"/>
      <c r="HUA698" s="524"/>
      <c r="HUB698" s="524"/>
      <c r="HUC698" s="524"/>
      <c r="HUD698" s="524"/>
      <c r="HUE698" s="524"/>
      <c r="HUF698" s="524"/>
      <c r="HUG698" s="524"/>
      <c r="HUH698" s="524"/>
      <c r="HUI698" s="524"/>
      <c r="HUJ698" s="524"/>
      <c r="HUK698" s="524"/>
      <c r="HUL698" s="524"/>
      <c r="HUM698" s="524"/>
      <c r="HUN698" s="524"/>
      <c r="HUO698" s="524"/>
      <c r="HUP698" s="524"/>
      <c r="HUQ698" s="524"/>
      <c r="HUR698" s="524"/>
      <c r="HUS698" s="524"/>
      <c r="HUT698" s="524"/>
      <c r="HUU698" s="524"/>
      <c r="HUV698" s="524"/>
      <c r="HUW698" s="524"/>
      <c r="HUX698" s="524"/>
      <c r="HUY698" s="524"/>
      <c r="HUZ698" s="524"/>
      <c r="HVA698" s="524"/>
      <c r="HVB698" s="524"/>
      <c r="HVC698" s="524"/>
      <c r="HVD698" s="524"/>
      <c r="HVE698" s="524"/>
      <c r="HVF698" s="524"/>
      <c r="HVG698" s="524"/>
      <c r="HVH698" s="524"/>
      <c r="HVI698" s="524"/>
      <c r="HVJ698" s="524"/>
      <c r="HVK698" s="524"/>
      <c r="HVL698" s="524"/>
      <c r="HVM698" s="524"/>
      <c r="HVN698" s="524"/>
      <c r="HVO698" s="524"/>
      <c r="HVP698" s="524"/>
      <c r="HVQ698" s="524"/>
      <c r="HVR698" s="524"/>
      <c r="HVS698" s="524"/>
      <c r="HVT698" s="524"/>
      <c r="HVU698" s="524"/>
      <c r="HVV698" s="524"/>
      <c r="HVW698" s="524"/>
      <c r="HVX698" s="524"/>
      <c r="HVY698" s="524"/>
      <c r="HVZ698" s="524"/>
      <c r="HWA698" s="524"/>
      <c r="HWB698" s="524"/>
      <c r="HWC698" s="524"/>
      <c r="HWD698" s="524"/>
      <c r="HWE698" s="524"/>
      <c r="HWF698" s="524"/>
      <c r="HWG698" s="524"/>
      <c r="HWH698" s="524"/>
      <c r="HWI698" s="524"/>
      <c r="HWJ698" s="524"/>
      <c r="HWK698" s="524"/>
      <c r="HWL698" s="524"/>
      <c r="HWM698" s="524"/>
      <c r="HWN698" s="524"/>
      <c r="HWO698" s="524"/>
      <c r="HWP698" s="524"/>
      <c r="HWQ698" s="524"/>
      <c r="HWR698" s="524"/>
      <c r="HWS698" s="524"/>
      <c r="HWT698" s="524"/>
      <c r="HWU698" s="524"/>
      <c r="HWV698" s="524"/>
      <c r="HWW698" s="524"/>
      <c r="HWX698" s="524"/>
      <c r="HWY698" s="524"/>
      <c r="HWZ698" s="524"/>
      <c r="HXA698" s="524"/>
      <c r="HXB698" s="524"/>
      <c r="HXC698" s="524"/>
      <c r="HXD698" s="524"/>
      <c r="HXE698" s="524"/>
      <c r="HXF698" s="524"/>
      <c r="HXG698" s="524"/>
      <c r="HXH698" s="524"/>
      <c r="HXI698" s="524"/>
      <c r="HXJ698" s="524"/>
      <c r="HXK698" s="524"/>
      <c r="HXL698" s="524"/>
      <c r="HXM698" s="524"/>
      <c r="HXN698" s="524"/>
      <c r="HXO698" s="524"/>
      <c r="HXP698" s="524"/>
      <c r="HXQ698" s="524"/>
      <c r="HXR698" s="524"/>
      <c r="HXS698" s="524"/>
      <c r="HXT698" s="524"/>
      <c r="HXU698" s="524"/>
      <c r="HXV698" s="524"/>
      <c r="HXW698" s="524"/>
      <c r="HXX698" s="524"/>
      <c r="HXY698" s="524"/>
      <c r="HXZ698" s="524"/>
      <c r="HYA698" s="524"/>
      <c r="HYB698" s="524"/>
      <c r="HYC698" s="524"/>
      <c r="HYD698" s="524"/>
      <c r="HYE698" s="524"/>
      <c r="HYF698" s="524"/>
      <c r="HYG698" s="524"/>
      <c r="HYH698" s="524"/>
      <c r="HYI698" s="524"/>
      <c r="HYJ698" s="524"/>
      <c r="HYK698" s="524"/>
      <c r="HYL698" s="524"/>
      <c r="HYM698" s="524"/>
      <c r="HYN698" s="524"/>
      <c r="HYO698" s="524"/>
      <c r="HYP698" s="524"/>
      <c r="HYQ698" s="524"/>
      <c r="HYR698" s="524"/>
      <c r="HYS698" s="524"/>
      <c r="HYT698" s="524"/>
      <c r="HYU698" s="524"/>
      <c r="HYV698" s="524"/>
      <c r="HYW698" s="524"/>
      <c r="HYX698" s="524"/>
      <c r="HYY698" s="524"/>
      <c r="HYZ698" s="524"/>
      <c r="HZA698" s="524"/>
      <c r="HZB698" s="524"/>
      <c r="HZC698" s="524"/>
      <c r="HZD698" s="524"/>
      <c r="HZE698" s="524"/>
      <c r="HZF698" s="524"/>
      <c r="HZG698" s="524"/>
      <c r="HZH698" s="524"/>
      <c r="HZI698" s="524"/>
      <c r="HZJ698" s="524"/>
      <c r="HZK698" s="524"/>
      <c r="HZL698" s="524"/>
      <c r="HZM698" s="524"/>
      <c r="HZN698" s="524"/>
      <c r="HZO698" s="524"/>
      <c r="HZP698" s="524"/>
      <c r="HZQ698" s="524"/>
      <c r="HZR698" s="524"/>
      <c r="HZS698" s="524"/>
      <c r="HZT698" s="524"/>
      <c r="HZU698" s="524"/>
      <c r="HZV698" s="524"/>
      <c r="HZW698" s="524"/>
      <c r="HZX698" s="524"/>
      <c r="HZY698" s="524"/>
      <c r="HZZ698" s="524"/>
      <c r="IAA698" s="524"/>
      <c r="IAB698" s="524"/>
      <c r="IAC698" s="524"/>
      <c r="IAD698" s="524"/>
      <c r="IAE698" s="524"/>
      <c r="IAF698" s="524"/>
      <c r="IAG698" s="524"/>
      <c r="IAH698" s="524"/>
      <c r="IAI698" s="524"/>
      <c r="IAJ698" s="524"/>
      <c r="IAK698" s="524"/>
      <c r="IAL698" s="524"/>
      <c r="IAM698" s="524"/>
      <c r="IAN698" s="524"/>
      <c r="IAO698" s="524"/>
      <c r="IAP698" s="524"/>
      <c r="IAQ698" s="524"/>
      <c r="IAR698" s="524"/>
      <c r="IAS698" s="524"/>
      <c r="IAT698" s="524"/>
      <c r="IAU698" s="524"/>
      <c r="IAV698" s="524"/>
      <c r="IAW698" s="524"/>
      <c r="IAX698" s="524"/>
      <c r="IAY698" s="524"/>
      <c r="IAZ698" s="524"/>
      <c r="IBA698" s="524"/>
      <c r="IBB698" s="524"/>
      <c r="IBC698" s="524"/>
      <c r="IBD698" s="524"/>
      <c r="IBE698" s="524"/>
      <c r="IBF698" s="524"/>
      <c r="IBG698" s="524"/>
      <c r="IBH698" s="524"/>
      <c r="IBI698" s="524"/>
      <c r="IBJ698" s="524"/>
      <c r="IBK698" s="524"/>
      <c r="IBL698" s="524"/>
      <c r="IBM698" s="524"/>
      <c r="IBN698" s="524"/>
      <c r="IBO698" s="524"/>
      <c r="IBP698" s="524"/>
      <c r="IBQ698" s="524"/>
      <c r="IBR698" s="524"/>
      <c r="IBS698" s="524"/>
      <c r="IBT698" s="524"/>
      <c r="IBU698" s="524"/>
      <c r="IBV698" s="524"/>
      <c r="IBW698" s="524"/>
      <c r="IBX698" s="524"/>
      <c r="IBY698" s="524"/>
      <c r="IBZ698" s="524"/>
      <c r="ICA698" s="524"/>
      <c r="ICB698" s="524"/>
      <c r="ICC698" s="524"/>
      <c r="ICD698" s="524"/>
      <c r="ICE698" s="524"/>
      <c r="ICF698" s="524"/>
      <c r="ICG698" s="524"/>
      <c r="ICH698" s="524"/>
      <c r="ICI698" s="524"/>
      <c r="ICJ698" s="524"/>
      <c r="ICK698" s="524"/>
      <c r="ICL698" s="524"/>
      <c r="ICM698" s="524"/>
      <c r="ICN698" s="524"/>
      <c r="ICO698" s="524"/>
      <c r="ICP698" s="524"/>
      <c r="ICQ698" s="524"/>
      <c r="ICR698" s="524"/>
      <c r="ICS698" s="524"/>
      <c r="ICT698" s="524"/>
      <c r="ICU698" s="524"/>
      <c r="ICV698" s="524"/>
      <c r="ICW698" s="524"/>
      <c r="ICX698" s="524"/>
      <c r="ICY698" s="524"/>
      <c r="ICZ698" s="524"/>
      <c r="IDA698" s="524"/>
      <c r="IDB698" s="524"/>
      <c r="IDC698" s="524"/>
      <c r="IDD698" s="524"/>
      <c r="IDE698" s="524"/>
      <c r="IDF698" s="524"/>
      <c r="IDG698" s="524"/>
      <c r="IDH698" s="524"/>
      <c r="IDI698" s="524"/>
      <c r="IDJ698" s="524"/>
      <c r="IDK698" s="524"/>
      <c r="IDL698" s="524"/>
      <c r="IDM698" s="524"/>
      <c r="IDN698" s="524"/>
      <c r="IDO698" s="524"/>
      <c r="IDP698" s="524"/>
      <c r="IDQ698" s="524"/>
      <c r="IDR698" s="524"/>
      <c r="IDS698" s="524"/>
      <c r="IDT698" s="524"/>
      <c r="IDU698" s="524"/>
      <c r="IDV698" s="524"/>
      <c r="IDW698" s="524"/>
      <c r="IDX698" s="524"/>
      <c r="IDY698" s="524"/>
      <c r="IDZ698" s="524"/>
      <c r="IEA698" s="524"/>
      <c r="IEB698" s="524"/>
      <c r="IEC698" s="524"/>
      <c r="IED698" s="524"/>
      <c r="IEE698" s="524"/>
      <c r="IEF698" s="524"/>
      <c r="IEG698" s="524"/>
      <c r="IEH698" s="524"/>
      <c r="IEI698" s="524"/>
      <c r="IEJ698" s="524"/>
      <c r="IEK698" s="524"/>
      <c r="IEL698" s="524"/>
      <c r="IEM698" s="524"/>
      <c r="IEN698" s="524"/>
      <c r="IEO698" s="524"/>
      <c r="IEP698" s="524"/>
      <c r="IEQ698" s="524"/>
      <c r="IER698" s="524"/>
      <c r="IES698" s="524"/>
      <c r="IET698" s="524"/>
      <c r="IEU698" s="524"/>
      <c r="IEV698" s="524"/>
      <c r="IEW698" s="524"/>
      <c r="IEX698" s="524"/>
      <c r="IEY698" s="524"/>
      <c r="IEZ698" s="524"/>
      <c r="IFA698" s="524"/>
      <c r="IFB698" s="524"/>
      <c r="IFC698" s="524"/>
      <c r="IFD698" s="524"/>
      <c r="IFE698" s="524"/>
      <c r="IFF698" s="524"/>
      <c r="IFG698" s="524"/>
      <c r="IFH698" s="524"/>
      <c r="IFI698" s="524"/>
      <c r="IFJ698" s="524"/>
      <c r="IFK698" s="524"/>
      <c r="IFL698" s="524"/>
      <c r="IFM698" s="524"/>
      <c r="IFN698" s="524"/>
      <c r="IFO698" s="524"/>
      <c r="IFP698" s="524"/>
      <c r="IFQ698" s="524"/>
      <c r="IFR698" s="524"/>
      <c r="IFS698" s="524"/>
      <c r="IFT698" s="524"/>
      <c r="IFU698" s="524"/>
      <c r="IFV698" s="524"/>
      <c r="IFW698" s="524"/>
      <c r="IFX698" s="524"/>
      <c r="IFY698" s="524"/>
      <c r="IFZ698" s="524"/>
      <c r="IGA698" s="524"/>
      <c r="IGB698" s="524"/>
      <c r="IGC698" s="524"/>
      <c r="IGD698" s="524"/>
      <c r="IGE698" s="524"/>
      <c r="IGF698" s="524"/>
      <c r="IGG698" s="524"/>
      <c r="IGH698" s="524"/>
      <c r="IGI698" s="524"/>
      <c r="IGJ698" s="524"/>
      <c r="IGK698" s="524"/>
      <c r="IGL698" s="524"/>
      <c r="IGM698" s="524"/>
      <c r="IGN698" s="524"/>
      <c r="IGO698" s="524"/>
      <c r="IGP698" s="524"/>
      <c r="IGQ698" s="524"/>
      <c r="IGR698" s="524"/>
      <c r="IGS698" s="524"/>
      <c r="IGT698" s="524"/>
      <c r="IGU698" s="524"/>
      <c r="IGV698" s="524"/>
      <c r="IGW698" s="524"/>
      <c r="IGX698" s="524"/>
      <c r="IGY698" s="524"/>
      <c r="IGZ698" s="524"/>
      <c r="IHA698" s="524"/>
      <c r="IHB698" s="524"/>
      <c r="IHC698" s="524"/>
      <c r="IHD698" s="524"/>
      <c r="IHE698" s="524"/>
      <c r="IHF698" s="524"/>
      <c r="IHG698" s="524"/>
      <c r="IHH698" s="524"/>
      <c r="IHI698" s="524"/>
      <c r="IHJ698" s="524"/>
      <c r="IHK698" s="524"/>
      <c r="IHL698" s="524"/>
      <c r="IHM698" s="524"/>
      <c r="IHN698" s="524"/>
      <c r="IHO698" s="524"/>
      <c r="IHP698" s="524"/>
      <c r="IHQ698" s="524"/>
      <c r="IHR698" s="524"/>
      <c r="IHS698" s="524"/>
      <c r="IHT698" s="524"/>
      <c r="IHU698" s="524"/>
      <c r="IHV698" s="524"/>
      <c r="IHW698" s="524"/>
      <c r="IHX698" s="524"/>
      <c r="IHY698" s="524"/>
      <c r="IHZ698" s="524"/>
      <c r="IIA698" s="524"/>
      <c r="IIB698" s="524"/>
      <c r="IIC698" s="524"/>
      <c r="IID698" s="524"/>
      <c r="IIE698" s="524"/>
      <c r="IIF698" s="524"/>
      <c r="IIG698" s="524"/>
      <c r="IIH698" s="524"/>
      <c r="III698" s="524"/>
      <c r="IIJ698" s="524"/>
      <c r="IIK698" s="524"/>
      <c r="IIL698" s="524"/>
      <c r="IIM698" s="524"/>
      <c r="IIN698" s="524"/>
      <c r="IIO698" s="524"/>
      <c r="IIP698" s="524"/>
      <c r="IIQ698" s="524"/>
      <c r="IIR698" s="524"/>
      <c r="IIS698" s="524"/>
      <c r="IIT698" s="524"/>
      <c r="IIU698" s="524"/>
      <c r="IIV698" s="524"/>
      <c r="IIW698" s="524"/>
      <c r="IIX698" s="524"/>
      <c r="IIY698" s="524"/>
      <c r="IIZ698" s="524"/>
      <c r="IJA698" s="524"/>
      <c r="IJB698" s="524"/>
      <c r="IJC698" s="524"/>
      <c r="IJD698" s="524"/>
      <c r="IJE698" s="524"/>
      <c r="IJF698" s="524"/>
      <c r="IJG698" s="524"/>
      <c r="IJH698" s="524"/>
      <c r="IJI698" s="524"/>
      <c r="IJJ698" s="524"/>
      <c r="IJK698" s="524"/>
      <c r="IJL698" s="524"/>
      <c r="IJM698" s="524"/>
      <c r="IJN698" s="524"/>
      <c r="IJO698" s="524"/>
      <c r="IJP698" s="524"/>
      <c r="IJQ698" s="524"/>
      <c r="IJR698" s="524"/>
      <c r="IJS698" s="524"/>
      <c r="IJT698" s="524"/>
      <c r="IJU698" s="524"/>
      <c r="IJV698" s="524"/>
      <c r="IJW698" s="524"/>
      <c r="IJX698" s="524"/>
      <c r="IJY698" s="524"/>
      <c r="IJZ698" s="524"/>
      <c r="IKA698" s="524"/>
      <c r="IKB698" s="524"/>
      <c r="IKC698" s="524"/>
      <c r="IKD698" s="524"/>
      <c r="IKE698" s="524"/>
      <c r="IKF698" s="524"/>
      <c r="IKG698" s="524"/>
      <c r="IKH698" s="524"/>
      <c r="IKI698" s="524"/>
      <c r="IKJ698" s="524"/>
      <c r="IKK698" s="524"/>
      <c r="IKL698" s="524"/>
      <c r="IKM698" s="524"/>
      <c r="IKN698" s="524"/>
      <c r="IKO698" s="524"/>
      <c r="IKP698" s="524"/>
      <c r="IKQ698" s="524"/>
      <c r="IKR698" s="524"/>
      <c r="IKS698" s="524"/>
      <c r="IKT698" s="524"/>
      <c r="IKU698" s="524"/>
      <c r="IKV698" s="524"/>
      <c r="IKW698" s="524"/>
      <c r="IKX698" s="524"/>
      <c r="IKY698" s="524"/>
      <c r="IKZ698" s="524"/>
      <c r="ILA698" s="524"/>
      <c r="ILB698" s="524"/>
      <c r="ILC698" s="524"/>
      <c r="ILD698" s="524"/>
      <c r="ILE698" s="524"/>
      <c r="ILF698" s="524"/>
      <c r="ILG698" s="524"/>
      <c r="ILH698" s="524"/>
      <c r="ILI698" s="524"/>
      <c r="ILJ698" s="524"/>
      <c r="ILK698" s="524"/>
      <c r="ILL698" s="524"/>
      <c r="ILM698" s="524"/>
      <c r="ILN698" s="524"/>
      <c r="ILO698" s="524"/>
      <c r="ILP698" s="524"/>
      <c r="ILQ698" s="524"/>
      <c r="ILR698" s="524"/>
      <c r="ILS698" s="524"/>
      <c r="ILT698" s="524"/>
      <c r="ILU698" s="524"/>
      <c r="ILV698" s="524"/>
      <c r="ILW698" s="524"/>
      <c r="ILX698" s="524"/>
      <c r="ILY698" s="524"/>
      <c r="ILZ698" s="524"/>
      <c r="IMA698" s="524"/>
      <c r="IMB698" s="524"/>
      <c r="IMC698" s="524"/>
      <c r="IMD698" s="524"/>
      <c r="IME698" s="524"/>
      <c r="IMF698" s="524"/>
      <c r="IMG698" s="524"/>
      <c r="IMH698" s="524"/>
      <c r="IMI698" s="524"/>
      <c r="IMJ698" s="524"/>
      <c r="IMK698" s="524"/>
      <c r="IML698" s="524"/>
      <c r="IMM698" s="524"/>
      <c r="IMN698" s="524"/>
      <c r="IMO698" s="524"/>
      <c r="IMP698" s="524"/>
      <c r="IMQ698" s="524"/>
      <c r="IMR698" s="524"/>
      <c r="IMS698" s="524"/>
      <c r="IMT698" s="524"/>
      <c r="IMU698" s="524"/>
      <c r="IMV698" s="524"/>
      <c r="IMW698" s="524"/>
      <c r="IMX698" s="524"/>
      <c r="IMY698" s="524"/>
      <c r="IMZ698" s="524"/>
      <c r="INA698" s="524"/>
      <c r="INB698" s="524"/>
      <c r="INC698" s="524"/>
      <c r="IND698" s="524"/>
      <c r="INE698" s="524"/>
      <c r="INF698" s="524"/>
      <c r="ING698" s="524"/>
      <c r="INH698" s="524"/>
      <c r="INI698" s="524"/>
      <c r="INJ698" s="524"/>
      <c r="INK698" s="524"/>
      <c r="INL698" s="524"/>
      <c r="INM698" s="524"/>
      <c r="INN698" s="524"/>
      <c r="INO698" s="524"/>
      <c r="INP698" s="524"/>
      <c r="INQ698" s="524"/>
      <c r="INR698" s="524"/>
      <c r="INS698" s="524"/>
      <c r="INT698" s="524"/>
      <c r="INU698" s="524"/>
      <c r="INV698" s="524"/>
      <c r="INW698" s="524"/>
      <c r="INX698" s="524"/>
      <c r="INY698" s="524"/>
      <c r="INZ698" s="524"/>
      <c r="IOA698" s="524"/>
      <c r="IOB698" s="524"/>
      <c r="IOC698" s="524"/>
      <c r="IOD698" s="524"/>
      <c r="IOE698" s="524"/>
      <c r="IOF698" s="524"/>
      <c r="IOG698" s="524"/>
      <c r="IOH698" s="524"/>
      <c r="IOI698" s="524"/>
      <c r="IOJ698" s="524"/>
      <c r="IOK698" s="524"/>
      <c r="IOL698" s="524"/>
      <c r="IOM698" s="524"/>
      <c r="ION698" s="524"/>
      <c r="IOO698" s="524"/>
      <c r="IOP698" s="524"/>
      <c r="IOQ698" s="524"/>
      <c r="IOR698" s="524"/>
      <c r="IOS698" s="524"/>
      <c r="IOT698" s="524"/>
      <c r="IOU698" s="524"/>
      <c r="IOV698" s="524"/>
      <c r="IOW698" s="524"/>
      <c r="IOX698" s="524"/>
      <c r="IOY698" s="524"/>
      <c r="IOZ698" s="524"/>
      <c r="IPA698" s="524"/>
      <c r="IPB698" s="524"/>
      <c r="IPC698" s="524"/>
      <c r="IPD698" s="524"/>
      <c r="IPE698" s="524"/>
      <c r="IPF698" s="524"/>
      <c r="IPG698" s="524"/>
      <c r="IPH698" s="524"/>
      <c r="IPI698" s="524"/>
      <c r="IPJ698" s="524"/>
      <c r="IPK698" s="524"/>
      <c r="IPL698" s="524"/>
      <c r="IPM698" s="524"/>
      <c r="IPN698" s="524"/>
      <c r="IPO698" s="524"/>
      <c r="IPP698" s="524"/>
      <c r="IPQ698" s="524"/>
      <c r="IPR698" s="524"/>
      <c r="IPS698" s="524"/>
      <c r="IPT698" s="524"/>
      <c r="IPU698" s="524"/>
      <c r="IPV698" s="524"/>
      <c r="IPW698" s="524"/>
      <c r="IPX698" s="524"/>
      <c r="IPY698" s="524"/>
      <c r="IPZ698" s="524"/>
      <c r="IQA698" s="524"/>
      <c r="IQB698" s="524"/>
      <c r="IQC698" s="524"/>
      <c r="IQD698" s="524"/>
      <c r="IQE698" s="524"/>
      <c r="IQF698" s="524"/>
      <c r="IQG698" s="524"/>
      <c r="IQH698" s="524"/>
      <c r="IQI698" s="524"/>
      <c r="IQJ698" s="524"/>
      <c r="IQK698" s="524"/>
      <c r="IQL698" s="524"/>
      <c r="IQM698" s="524"/>
      <c r="IQN698" s="524"/>
      <c r="IQO698" s="524"/>
      <c r="IQP698" s="524"/>
      <c r="IQQ698" s="524"/>
      <c r="IQR698" s="524"/>
      <c r="IQS698" s="524"/>
      <c r="IQT698" s="524"/>
      <c r="IQU698" s="524"/>
      <c r="IQV698" s="524"/>
      <c r="IQW698" s="524"/>
      <c r="IQX698" s="524"/>
      <c r="IQY698" s="524"/>
      <c r="IQZ698" s="524"/>
      <c r="IRA698" s="524"/>
      <c r="IRB698" s="524"/>
      <c r="IRC698" s="524"/>
      <c r="IRD698" s="524"/>
      <c r="IRE698" s="524"/>
      <c r="IRF698" s="524"/>
      <c r="IRG698" s="524"/>
      <c r="IRH698" s="524"/>
      <c r="IRI698" s="524"/>
      <c r="IRJ698" s="524"/>
      <c r="IRK698" s="524"/>
      <c r="IRL698" s="524"/>
      <c r="IRM698" s="524"/>
      <c r="IRN698" s="524"/>
      <c r="IRO698" s="524"/>
      <c r="IRP698" s="524"/>
      <c r="IRQ698" s="524"/>
      <c r="IRR698" s="524"/>
      <c r="IRS698" s="524"/>
      <c r="IRT698" s="524"/>
      <c r="IRU698" s="524"/>
      <c r="IRV698" s="524"/>
      <c r="IRW698" s="524"/>
      <c r="IRX698" s="524"/>
      <c r="IRY698" s="524"/>
      <c r="IRZ698" s="524"/>
      <c r="ISA698" s="524"/>
      <c r="ISB698" s="524"/>
      <c r="ISC698" s="524"/>
      <c r="ISD698" s="524"/>
      <c r="ISE698" s="524"/>
      <c r="ISF698" s="524"/>
      <c r="ISG698" s="524"/>
      <c r="ISH698" s="524"/>
      <c r="ISI698" s="524"/>
      <c r="ISJ698" s="524"/>
      <c r="ISK698" s="524"/>
      <c r="ISL698" s="524"/>
      <c r="ISM698" s="524"/>
      <c r="ISN698" s="524"/>
      <c r="ISO698" s="524"/>
      <c r="ISP698" s="524"/>
      <c r="ISQ698" s="524"/>
      <c r="ISR698" s="524"/>
      <c r="ISS698" s="524"/>
      <c r="IST698" s="524"/>
      <c r="ISU698" s="524"/>
      <c r="ISV698" s="524"/>
      <c r="ISW698" s="524"/>
      <c r="ISX698" s="524"/>
      <c r="ISY698" s="524"/>
      <c r="ISZ698" s="524"/>
      <c r="ITA698" s="524"/>
      <c r="ITB698" s="524"/>
      <c r="ITC698" s="524"/>
      <c r="ITD698" s="524"/>
      <c r="ITE698" s="524"/>
      <c r="ITF698" s="524"/>
      <c r="ITG698" s="524"/>
      <c r="ITH698" s="524"/>
      <c r="ITI698" s="524"/>
      <c r="ITJ698" s="524"/>
      <c r="ITK698" s="524"/>
      <c r="ITL698" s="524"/>
      <c r="ITM698" s="524"/>
      <c r="ITN698" s="524"/>
      <c r="ITO698" s="524"/>
      <c r="ITP698" s="524"/>
      <c r="ITQ698" s="524"/>
      <c r="ITR698" s="524"/>
      <c r="ITS698" s="524"/>
      <c r="ITT698" s="524"/>
      <c r="ITU698" s="524"/>
      <c r="ITV698" s="524"/>
      <c r="ITW698" s="524"/>
      <c r="ITX698" s="524"/>
      <c r="ITY698" s="524"/>
      <c r="ITZ698" s="524"/>
      <c r="IUA698" s="524"/>
      <c r="IUB698" s="524"/>
      <c r="IUC698" s="524"/>
      <c r="IUD698" s="524"/>
      <c r="IUE698" s="524"/>
      <c r="IUF698" s="524"/>
      <c r="IUG698" s="524"/>
      <c r="IUH698" s="524"/>
      <c r="IUI698" s="524"/>
      <c r="IUJ698" s="524"/>
      <c r="IUK698" s="524"/>
      <c r="IUL698" s="524"/>
      <c r="IUM698" s="524"/>
      <c r="IUN698" s="524"/>
      <c r="IUO698" s="524"/>
      <c r="IUP698" s="524"/>
      <c r="IUQ698" s="524"/>
      <c r="IUR698" s="524"/>
      <c r="IUS698" s="524"/>
      <c r="IUT698" s="524"/>
      <c r="IUU698" s="524"/>
      <c r="IUV698" s="524"/>
      <c r="IUW698" s="524"/>
      <c r="IUX698" s="524"/>
      <c r="IUY698" s="524"/>
      <c r="IUZ698" s="524"/>
      <c r="IVA698" s="524"/>
      <c r="IVB698" s="524"/>
      <c r="IVC698" s="524"/>
      <c r="IVD698" s="524"/>
      <c r="IVE698" s="524"/>
      <c r="IVF698" s="524"/>
      <c r="IVG698" s="524"/>
      <c r="IVH698" s="524"/>
      <c r="IVI698" s="524"/>
      <c r="IVJ698" s="524"/>
      <c r="IVK698" s="524"/>
      <c r="IVL698" s="524"/>
      <c r="IVM698" s="524"/>
      <c r="IVN698" s="524"/>
      <c r="IVO698" s="524"/>
      <c r="IVP698" s="524"/>
      <c r="IVQ698" s="524"/>
      <c r="IVR698" s="524"/>
      <c r="IVS698" s="524"/>
      <c r="IVT698" s="524"/>
      <c r="IVU698" s="524"/>
      <c r="IVV698" s="524"/>
      <c r="IVW698" s="524"/>
      <c r="IVX698" s="524"/>
      <c r="IVY698" s="524"/>
      <c r="IVZ698" s="524"/>
      <c r="IWA698" s="524"/>
      <c r="IWB698" s="524"/>
      <c r="IWC698" s="524"/>
      <c r="IWD698" s="524"/>
      <c r="IWE698" s="524"/>
      <c r="IWF698" s="524"/>
      <c r="IWG698" s="524"/>
      <c r="IWH698" s="524"/>
      <c r="IWI698" s="524"/>
      <c r="IWJ698" s="524"/>
      <c r="IWK698" s="524"/>
      <c r="IWL698" s="524"/>
      <c r="IWM698" s="524"/>
      <c r="IWN698" s="524"/>
      <c r="IWO698" s="524"/>
      <c r="IWP698" s="524"/>
      <c r="IWQ698" s="524"/>
      <c r="IWR698" s="524"/>
      <c r="IWS698" s="524"/>
      <c r="IWT698" s="524"/>
      <c r="IWU698" s="524"/>
      <c r="IWV698" s="524"/>
      <c r="IWW698" s="524"/>
      <c r="IWX698" s="524"/>
      <c r="IWY698" s="524"/>
      <c r="IWZ698" s="524"/>
      <c r="IXA698" s="524"/>
      <c r="IXB698" s="524"/>
      <c r="IXC698" s="524"/>
      <c r="IXD698" s="524"/>
      <c r="IXE698" s="524"/>
      <c r="IXF698" s="524"/>
      <c r="IXG698" s="524"/>
      <c r="IXH698" s="524"/>
      <c r="IXI698" s="524"/>
      <c r="IXJ698" s="524"/>
      <c r="IXK698" s="524"/>
      <c r="IXL698" s="524"/>
      <c r="IXM698" s="524"/>
      <c r="IXN698" s="524"/>
      <c r="IXO698" s="524"/>
      <c r="IXP698" s="524"/>
      <c r="IXQ698" s="524"/>
      <c r="IXR698" s="524"/>
      <c r="IXS698" s="524"/>
      <c r="IXT698" s="524"/>
      <c r="IXU698" s="524"/>
      <c r="IXV698" s="524"/>
      <c r="IXW698" s="524"/>
      <c r="IXX698" s="524"/>
      <c r="IXY698" s="524"/>
      <c r="IXZ698" s="524"/>
      <c r="IYA698" s="524"/>
      <c r="IYB698" s="524"/>
      <c r="IYC698" s="524"/>
      <c r="IYD698" s="524"/>
      <c r="IYE698" s="524"/>
      <c r="IYF698" s="524"/>
      <c r="IYG698" s="524"/>
      <c r="IYH698" s="524"/>
      <c r="IYI698" s="524"/>
      <c r="IYJ698" s="524"/>
      <c r="IYK698" s="524"/>
      <c r="IYL698" s="524"/>
      <c r="IYM698" s="524"/>
      <c r="IYN698" s="524"/>
      <c r="IYO698" s="524"/>
      <c r="IYP698" s="524"/>
      <c r="IYQ698" s="524"/>
      <c r="IYR698" s="524"/>
      <c r="IYS698" s="524"/>
      <c r="IYT698" s="524"/>
      <c r="IYU698" s="524"/>
      <c r="IYV698" s="524"/>
      <c r="IYW698" s="524"/>
      <c r="IYX698" s="524"/>
      <c r="IYY698" s="524"/>
      <c r="IYZ698" s="524"/>
      <c r="IZA698" s="524"/>
      <c r="IZB698" s="524"/>
      <c r="IZC698" s="524"/>
      <c r="IZD698" s="524"/>
      <c r="IZE698" s="524"/>
      <c r="IZF698" s="524"/>
      <c r="IZG698" s="524"/>
      <c r="IZH698" s="524"/>
      <c r="IZI698" s="524"/>
      <c r="IZJ698" s="524"/>
      <c r="IZK698" s="524"/>
      <c r="IZL698" s="524"/>
      <c r="IZM698" s="524"/>
      <c r="IZN698" s="524"/>
      <c r="IZO698" s="524"/>
      <c r="IZP698" s="524"/>
      <c r="IZQ698" s="524"/>
      <c r="IZR698" s="524"/>
      <c r="IZS698" s="524"/>
      <c r="IZT698" s="524"/>
      <c r="IZU698" s="524"/>
      <c r="IZV698" s="524"/>
      <c r="IZW698" s="524"/>
      <c r="IZX698" s="524"/>
      <c r="IZY698" s="524"/>
      <c r="IZZ698" s="524"/>
      <c r="JAA698" s="524"/>
      <c r="JAB698" s="524"/>
      <c r="JAC698" s="524"/>
      <c r="JAD698" s="524"/>
      <c r="JAE698" s="524"/>
      <c r="JAF698" s="524"/>
      <c r="JAG698" s="524"/>
      <c r="JAH698" s="524"/>
      <c r="JAI698" s="524"/>
      <c r="JAJ698" s="524"/>
      <c r="JAK698" s="524"/>
      <c r="JAL698" s="524"/>
      <c r="JAM698" s="524"/>
      <c r="JAN698" s="524"/>
      <c r="JAO698" s="524"/>
      <c r="JAP698" s="524"/>
      <c r="JAQ698" s="524"/>
      <c r="JAR698" s="524"/>
      <c r="JAS698" s="524"/>
      <c r="JAT698" s="524"/>
      <c r="JAU698" s="524"/>
      <c r="JAV698" s="524"/>
      <c r="JAW698" s="524"/>
      <c r="JAX698" s="524"/>
      <c r="JAY698" s="524"/>
      <c r="JAZ698" s="524"/>
      <c r="JBA698" s="524"/>
      <c r="JBB698" s="524"/>
      <c r="JBC698" s="524"/>
      <c r="JBD698" s="524"/>
      <c r="JBE698" s="524"/>
      <c r="JBF698" s="524"/>
      <c r="JBG698" s="524"/>
      <c r="JBH698" s="524"/>
      <c r="JBI698" s="524"/>
      <c r="JBJ698" s="524"/>
      <c r="JBK698" s="524"/>
      <c r="JBL698" s="524"/>
      <c r="JBM698" s="524"/>
      <c r="JBN698" s="524"/>
      <c r="JBO698" s="524"/>
      <c r="JBP698" s="524"/>
      <c r="JBQ698" s="524"/>
      <c r="JBR698" s="524"/>
      <c r="JBS698" s="524"/>
      <c r="JBT698" s="524"/>
      <c r="JBU698" s="524"/>
      <c r="JBV698" s="524"/>
      <c r="JBW698" s="524"/>
      <c r="JBX698" s="524"/>
      <c r="JBY698" s="524"/>
      <c r="JBZ698" s="524"/>
      <c r="JCA698" s="524"/>
      <c r="JCB698" s="524"/>
      <c r="JCC698" s="524"/>
      <c r="JCD698" s="524"/>
      <c r="JCE698" s="524"/>
      <c r="JCF698" s="524"/>
      <c r="JCG698" s="524"/>
      <c r="JCH698" s="524"/>
      <c r="JCI698" s="524"/>
      <c r="JCJ698" s="524"/>
      <c r="JCK698" s="524"/>
      <c r="JCL698" s="524"/>
      <c r="JCM698" s="524"/>
      <c r="JCN698" s="524"/>
      <c r="JCO698" s="524"/>
      <c r="JCP698" s="524"/>
      <c r="JCQ698" s="524"/>
      <c r="JCR698" s="524"/>
      <c r="JCS698" s="524"/>
      <c r="JCT698" s="524"/>
      <c r="JCU698" s="524"/>
      <c r="JCV698" s="524"/>
      <c r="JCW698" s="524"/>
      <c r="JCX698" s="524"/>
      <c r="JCY698" s="524"/>
      <c r="JCZ698" s="524"/>
      <c r="JDA698" s="524"/>
      <c r="JDB698" s="524"/>
      <c r="JDC698" s="524"/>
      <c r="JDD698" s="524"/>
      <c r="JDE698" s="524"/>
      <c r="JDF698" s="524"/>
      <c r="JDG698" s="524"/>
      <c r="JDH698" s="524"/>
      <c r="JDI698" s="524"/>
      <c r="JDJ698" s="524"/>
      <c r="JDK698" s="524"/>
      <c r="JDL698" s="524"/>
      <c r="JDM698" s="524"/>
      <c r="JDN698" s="524"/>
      <c r="JDO698" s="524"/>
      <c r="JDP698" s="524"/>
      <c r="JDQ698" s="524"/>
      <c r="JDR698" s="524"/>
      <c r="JDS698" s="524"/>
      <c r="JDT698" s="524"/>
      <c r="JDU698" s="524"/>
      <c r="JDV698" s="524"/>
      <c r="JDW698" s="524"/>
      <c r="JDX698" s="524"/>
      <c r="JDY698" s="524"/>
      <c r="JDZ698" s="524"/>
      <c r="JEA698" s="524"/>
      <c r="JEB698" s="524"/>
      <c r="JEC698" s="524"/>
      <c r="JED698" s="524"/>
      <c r="JEE698" s="524"/>
      <c r="JEF698" s="524"/>
      <c r="JEG698" s="524"/>
      <c r="JEH698" s="524"/>
      <c r="JEI698" s="524"/>
      <c r="JEJ698" s="524"/>
      <c r="JEK698" s="524"/>
      <c r="JEL698" s="524"/>
      <c r="JEM698" s="524"/>
      <c r="JEN698" s="524"/>
      <c r="JEO698" s="524"/>
      <c r="JEP698" s="524"/>
      <c r="JEQ698" s="524"/>
      <c r="JER698" s="524"/>
      <c r="JES698" s="524"/>
      <c r="JET698" s="524"/>
      <c r="JEU698" s="524"/>
      <c r="JEV698" s="524"/>
      <c r="JEW698" s="524"/>
      <c r="JEX698" s="524"/>
      <c r="JEY698" s="524"/>
      <c r="JEZ698" s="524"/>
      <c r="JFA698" s="524"/>
      <c r="JFB698" s="524"/>
      <c r="JFC698" s="524"/>
      <c r="JFD698" s="524"/>
      <c r="JFE698" s="524"/>
      <c r="JFF698" s="524"/>
      <c r="JFG698" s="524"/>
      <c r="JFH698" s="524"/>
      <c r="JFI698" s="524"/>
      <c r="JFJ698" s="524"/>
      <c r="JFK698" s="524"/>
      <c r="JFL698" s="524"/>
      <c r="JFM698" s="524"/>
      <c r="JFN698" s="524"/>
      <c r="JFO698" s="524"/>
      <c r="JFP698" s="524"/>
      <c r="JFQ698" s="524"/>
      <c r="JFR698" s="524"/>
      <c r="JFS698" s="524"/>
      <c r="JFT698" s="524"/>
      <c r="JFU698" s="524"/>
      <c r="JFV698" s="524"/>
      <c r="JFW698" s="524"/>
      <c r="JFX698" s="524"/>
      <c r="JFY698" s="524"/>
      <c r="JFZ698" s="524"/>
      <c r="JGA698" s="524"/>
      <c r="JGB698" s="524"/>
      <c r="JGC698" s="524"/>
      <c r="JGD698" s="524"/>
      <c r="JGE698" s="524"/>
      <c r="JGF698" s="524"/>
      <c r="JGG698" s="524"/>
      <c r="JGH698" s="524"/>
      <c r="JGI698" s="524"/>
      <c r="JGJ698" s="524"/>
      <c r="JGK698" s="524"/>
      <c r="JGL698" s="524"/>
      <c r="JGM698" s="524"/>
      <c r="JGN698" s="524"/>
      <c r="JGO698" s="524"/>
      <c r="JGP698" s="524"/>
      <c r="JGQ698" s="524"/>
      <c r="JGR698" s="524"/>
      <c r="JGS698" s="524"/>
      <c r="JGT698" s="524"/>
      <c r="JGU698" s="524"/>
      <c r="JGV698" s="524"/>
      <c r="JGW698" s="524"/>
      <c r="JGX698" s="524"/>
      <c r="JGY698" s="524"/>
      <c r="JGZ698" s="524"/>
      <c r="JHA698" s="524"/>
      <c r="JHB698" s="524"/>
      <c r="JHC698" s="524"/>
      <c r="JHD698" s="524"/>
      <c r="JHE698" s="524"/>
      <c r="JHF698" s="524"/>
      <c r="JHG698" s="524"/>
      <c r="JHH698" s="524"/>
      <c r="JHI698" s="524"/>
      <c r="JHJ698" s="524"/>
      <c r="JHK698" s="524"/>
      <c r="JHL698" s="524"/>
      <c r="JHM698" s="524"/>
      <c r="JHN698" s="524"/>
      <c r="JHO698" s="524"/>
      <c r="JHP698" s="524"/>
      <c r="JHQ698" s="524"/>
      <c r="JHR698" s="524"/>
      <c r="JHS698" s="524"/>
      <c r="JHT698" s="524"/>
      <c r="JHU698" s="524"/>
      <c r="JHV698" s="524"/>
      <c r="JHW698" s="524"/>
      <c r="JHX698" s="524"/>
      <c r="JHY698" s="524"/>
      <c r="JHZ698" s="524"/>
      <c r="JIA698" s="524"/>
      <c r="JIB698" s="524"/>
      <c r="JIC698" s="524"/>
      <c r="JID698" s="524"/>
      <c r="JIE698" s="524"/>
      <c r="JIF698" s="524"/>
      <c r="JIG698" s="524"/>
      <c r="JIH698" s="524"/>
      <c r="JII698" s="524"/>
      <c r="JIJ698" s="524"/>
      <c r="JIK698" s="524"/>
      <c r="JIL698" s="524"/>
      <c r="JIM698" s="524"/>
      <c r="JIN698" s="524"/>
      <c r="JIO698" s="524"/>
      <c r="JIP698" s="524"/>
      <c r="JIQ698" s="524"/>
      <c r="JIR698" s="524"/>
      <c r="JIS698" s="524"/>
      <c r="JIT698" s="524"/>
      <c r="JIU698" s="524"/>
      <c r="JIV698" s="524"/>
      <c r="JIW698" s="524"/>
      <c r="JIX698" s="524"/>
      <c r="JIY698" s="524"/>
      <c r="JIZ698" s="524"/>
      <c r="JJA698" s="524"/>
      <c r="JJB698" s="524"/>
      <c r="JJC698" s="524"/>
      <c r="JJD698" s="524"/>
      <c r="JJE698" s="524"/>
      <c r="JJF698" s="524"/>
      <c r="JJG698" s="524"/>
      <c r="JJH698" s="524"/>
      <c r="JJI698" s="524"/>
      <c r="JJJ698" s="524"/>
      <c r="JJK698" s="524"/>
      <c r="JJL698" s="524"/>
      <c r="JJM698" s="524"/>
      <c r="JJN698" s="524"/>
      <c r="JJO698" s="524"/>
      <c r="JJP698" s="524"/>
      <c r="JJQ698" s="524"/>
      <c r="JJR698" s="524"/>
      <c r="JJS698" s="524"/>
      <c r="JJT698" s="524"/>
      <c r="JJU698" s="524"/>
      <c r="JJV698" s="524"/>
      <c r="JJW698" s="524"/>
      <c r="JJX698" s="524"/>
      <c r="JJY698" s="524"/>
      <c r="JJZ698" s="524"/>
      <c r="JKA698" s="524"/>
      <c r="JKB698" s="524"/>
      <c r="JKC698" s="524"/>
      <c r="JKD698" s="524"/>
      <c r="JKE698" s="524"/>
      <c r="JKF698" s="524"/>
      <c r="JKG698" s="524"/>
      <c r="JKH698" s="524"/>
      <c r="JKI698" s="524"/>
      <c r="JKJ698" s="524"/>
      <c r="JKK698" s="524"/>
      <c r="JKL698" s="524"/>
      <c r="JKM698" s="524"/>
      <c r="JKN698" s="524"/>
      <c r="JKO698" s="524"/>
      <c r="JKP698" s="524"/>
      <c r="JKQ698" s="524"/>
      <c r="JKR698" s="524"/>
      <c r="JKS698" s="524"/>
      <c r="JKT698" s="524"/>
      <c r="JKU698" s="524"/>
      <c r="JKV698" s="524"/>
      <c r="JKW698" s="524"/>
      <c r="JKX698" s="524"/>
      <c r="JKY698" s="524"/>
      <c r="JKZ698" s="524"/>
      <c r="JLA698" s="524"/>
      <c r="JLB698" s="524"/>
      <c r="JLC698" s="524"/>
      <c r="JLD698" s="524"/>
      <c r="JLE698" s="524"/>
      <c r="JLF698" s="524"/>
      <c r="JLG698" s="524"/>
      <c r="JLH698" s="524"/>
      <c r="JLI698" s="524"/>
      <c r="JLJ698" s="524"/>
      <c r="JLK698" s="524"/>
      <c r="JLL698" s="524"/>
      <c r="JLM698" s="524"/>
      <c r="JLN698" s="524"/>
      <c r="JLO698" s="524"/>
      <c r="JLP698" s="524"/>
      <c r="JLQ698" s="524"/>
      <c r="JLR698" s="524"/>
      <c r="JLS698" s="524"/>
      <c r="JLT698" s="524"/>
      <c r="JLU698" s="524"/>
      <c r="JLV698" s="524"/>
      <c r="JLW698" s="524"/>
      <c r="JLX698" s="524"/>
      <c r="JLY698" s="524"/>
      <c r="JLZ698" s="524"/>
      <c r="JMA698" s="524"/>
      <c r="JMB698" s="524"/>
      <c r="JMC698" s="524"/>
      <c r="JMD698" s="524"/>
      <c r="JME698" s="524"/>
      <c r="JMF698" s="524"/>
      <c r="JMG698" s="524"/>
      <c r="JMH698" s="524"/>
      <c r="JMI698" s="524"/>
      <c r="JMJ698" s="524"/>
      <c r="JMK698" s="524"/>
      <c r="JML698" s="524"/>
      <c r="JMM698" s="524"/>
      <c r="JMN698" s="524"/>
      <c r="JMO698" s="524"/>
      <c r="JMP698" s="524"/>
      <c r="JMQ698" s="524"/>
      <c r="JMR698" s="524"/>
      <c r="JMS698" s="524"/>
      <c r="JMT698" s="524"/>
      <c r="JMU698" s="524"/>
      <c r="JMV698" s="524"/>
      <c r="JMW698" s="524"/>
      <c r="JMX698" s="524"/>
      <c r="JMY698" s="524"/>
      <c r="JMZ698" s="524"/>
      <c r="JNA698" s="524"/>
      <c r="JNB698" s="524"/>
      <c r="JNC698" s="524"/>
      <c r="JND698" s="524"/>
      <c r="JNE698" s="524"/>
      <c r="JNF698" s="524"/>
      <c r="JNG698" s="524"/>
      <c r="JNH698" s="524"/>
      <c r="JNI698" s="524"/>
      <c r="JNJ698" s="524"/>
      <c r="JNK698" s="524"/>
      <c r="JNL698" s="524"/>
      <c r="JNM698" s="524"/>
      <c r="JNN698" s="524"/>
      <c r="JNO698" s="524"/>
      <c r="JNP698" s="524"/>
      <c r="JNQ698" s="524"/>
      <c r="JNR698" s="524"/>
      <c r="JNS698" s="524"/>
      <c r="JNT698" s="524"/>
      <c r="JNU698" s="524"/>
      <c r="JNV698" s="524"/>
      <c r="JNW698" s="524"/>
      <c r="JNX698" s="524"/>
      <c r="JNY698" s="524"/>
      <c r="JNZ698" s="524"/>
      <c r="JOA698" s="524"/>
      <c r="JOB698" s="524"/>
      <c r="JOC698" s="524"/>
      <c r="JOD698" s="524"/>
      <c r="JOE698" s="524"/>
      <c r="JOF698" s="524"/>
      <c r="JOG698" s="524"/>
      <c r="JOH698" s="524"/>
      <c r="JOI698" s="524"/>
      <c r="JOJ698" s="524"/>
      <c r="JOK698" s="524"/>
      <c r="JOL698" s="524"/>
      <c r="JOM698" s="524"/>
      <c r="JON698" s="524"/>
      <c r="JOO698" s="524"/>
      <c r="JOP698" s="524"/>
      <c r="JOQ698" s="524"/>
      <c r="JOR698" s="524"/>
      <c r="JOS698" s="524"/>
      <c r="JOT698" s="524"/>
      <c r="JOU698" s="524"/>
      <c r="JOV698" s="524"/>
      <c r="JOW698" s="524"/>
      <c r="JOX698" s="524"/>
      <c r="JOY698" s="524"/>
      <c r="JOZ698" s="524"/>
      <c r="JPA698" s="524"/>
      <c r="JPB698" s="524"/>
      <c r="JPC698" s="524"/>
      <c r="JPD698" s="524"/>
      <c r="JPE698" s="524"/>
      <c r="JPF698" s="524"/>
      <c r="JPG698" s="524"/>
      <c r="JPH698" s="524"/>
      <c r="JPI698" s="524"/>
      <c r="JPJ698" s="524"/>
      <c r="JPK698" s="524"/>
      <c r="JPL698" s="524"/>
      <c r="JPM698" s="524"/>
      <c r="JPN698" s="524"/>
      <c r="JPO698" s="524"/>
      <c r="JPP698" s="524"/>
      <c r="JPQ698" s="524"/>
      <c r="JPR698" s="524"/>
      <c r="JPS698" s="524"/>
      <c r="JPT698" s="524"/>
      <c r="JPU698" s="524"/>
      <c r="JPV698" s="524"/>
      <c r="JPW698" s="524"/>
      <c r="JPX698" s="524"/>
      <c r="JPY698" s="524"/>
      <c r="JPZ698" s="524"/>
      <c r="JQA698" s="524"/>
      <c r="JQB698" s="524"/>
      <c r="JQC698" s="524"/>
      <c r="JQD698" s="524"/>
      <c r="JQE698" s="524"/>
      <c r="JQF698" s="524"/>
      <c r="JQG698" s="524"/>
      <c r="JQH698" s="524"/>
      <c r="JQI698" s="524"/>
      <c r="JQJ698" s="524"/>
      <c r="JQK698" s="524"/>
      <c r="JQL698" s="524"/>
      <c r="JQM698" s="524"/>
      <c r="JQN698" s="524"/>
      <c r="JQO698" s="524"/>
      <c r="JQP698" s="524"/>
      <c r="JQQ698" s="524"/>
      <c r="JQR698" s="524"/>
      <c r="JQS698" s="524"/>
      <c r="JQT698" s="524"/>
      <c r="JQU698" s="524"/>
      <c r="JQV698" s="524"/>
      <c r="JQW698" s="524"/>
      <c r="JQX698" s="524"/>
      <c r="JQY698" s="524"/>
      <c r="JQZ698" s="524"/>
      <c r="JRA698" s="524"/>
      <c r="JRB698" s="524"/>
      <c r="JRC698" s="524"/>
      <c r="JRD698" s="524"/>
      <c r="JRE698" s="524"/>
      <c r="JRF698" s="524"/>
      <c r="JRG698" s="524"/>
      <c r="JRH698" s="524"/>
      <c r="JRI698" s="524"/>
      <c r="JRJ698" s="524"/>
      <c r="JRK698" s="524"/>
      <c r="JRL698" s="524"/>
      <c r="JRM698" s="524"/>
      <c r="JRN698" s="524"/>
      <c r="JRO698" s="524"/>
      <c r="JRP698" s="524"/>
      <c r="JRQ698" s="524"/>
      <c r="JRR698" s="524"/>
      <c r="JRS698" s="524"/>
      <c r="JRT698" s="524"/>
      <c r="JRU698" s="524"/>
      <c r="JRV698" s="524"/>
      <c r="JRW698" s="524"/>
      <c r="JRX698" s="524"/>
      <c r="JRY698" s="524"/>
      <c r="JRZ698" s="524"/>
      <c r="JSA698" s="524"/>
      <c r="JSB698" s="524"/>
      <c r="JSC698" s="524"/>
      <c r="JSD698" s="524"/>
      <c r="JSE698" s="524"/>
      <c r="JSF698" s="524"/>
      <c r="JSG698" s="524"/>
      <c r="JSH698" s="524"/>
      <c r="JSI698" s="524"/>
      <c r="JSJ698" s="524"/>
      <c r="JSK698" s="524"/>
      <c r="JSL698" s="524"/>
      <c r="JSM698" s="524"/>
      <c r="JSN698" s="524"/>
      <c r="JSO698" s="524"/>
      <c r="JSP698" s="524"/>
      <c r="JSQ698" s="524"/>
      <c r="JSR698" s="524"/>
      <c r="JSS698" s="524"/>
      <c r="JST698" s="524"/>
      <c r="JSU698" s="524"/>
      <c r="JSV698" s="524"/>
      <c r="JSW698" s="524"/>
      <c r="JSX698" s="524"/>
      <c r="JSY698" s="524"/>
      <c r="JSZ698" s="524"/>
      <c r="JTA698" s="524"/>
      <c r="JTB698" s="524"/>
      <c r="JTC698" s="524"/>
      <c r="JTD698" s="524"/>
      <c r="JTE698" s="524"/>
      <c r="JTF698" s="524"/>
      <c r="JTG698" s="524"/>
      <c r="JTH698" s="524"/>
      <c r="JTI698" s="524"/>
      <c r="JTJ698" s="524"/>
      <c r="JTK698" s="524"/>
      <c r="JTL698" s="524"/>
      <c r="JTM698" s="524"/>
      <c r="JTN698" s="524"/>
      <c r="JTO698" s="524"/>
      <c r="JTP698" s="524"/>
      <c r="JTQ698" s="524"/>
      <c r="JTR698" s="524"/>
      <c r="JTS698" s="524"/>
      <c r="JTT698" s="524"/>
      <c r="JTU698" s="524"/>
      <c r="JTV698" s="524"/>
      <c r="JTW698" s="524"/>
      <c r="JTX698" s="524"/>
      <c r="JTY698" s="524"/>
      <c r="JTZ698" s="524"/>
      <c r="JUA698" s="524"/>
      <c r="JUB698" s="524"/>
      <c r="JUC698" s="524"/>
      <c r="JUD698" s="524"/>
      <c r="JUE698" s="524"/>
      <c r="JUF698" s="524"/>
      <c r="JUG698" s="524"/>
      <c r="JUH698" s="524"/>
      <c r="JUI698" s="524"/>
      <c r="JUJ698" s="524"/>
      <c r="JUK698" s="524"/>
      <c r="JUL698" s="524"/>
      <c r="JUM698" s="524"/>
      <c r="JUN698" s="524"/>
      <c r="JUO698" s="524"/>
      <c r="JUP698" s="524"/>
      <c r="JUQ698" s="524"/>
      <c r="JUR698" s="524"/>
      <c r="JUS698" s="524"/>
      <c r="JUT698" s="524"/>
      <c r="JUU698" s="524"/>
      <c r="JUV698" s="524"/>
      <c r="JUW698" s="524"/>
      <c r="JUX698" s="524"/>
      <c r="JUY698" s="524"/>
      <c r="JUZ698" s="524"/>
      <c r="JVA698" s="524"/>
      <c r="JVB698" s="524"/>
      <c r="JVC698" s="524"/>
      <c r="JVD698" s="524"/>
      <c r="JVE698" s="524"/>
      <c r="JVF698" s="524"/>
      <c r="JVG698" s="524"/>
      <c r="JVH698" s="524"/>
      <c r="JVI698" s="524"/>
      <c r="JVJ698" s="524"/>
      <c r="JVK698" s="524"/>
      <c r="JVL698" s="524"/>
      <c r="JVM698" s="524"/>
      <c r="JVN698" s="524"/>
      <c r="JVO698" s="524"/>
      <c r="JVP698" s="524"/>
      <c r="JVQ698" s="524"/>
      <c r="JVR698" s="524"/>
      <c r="JVS698" s="524"/>
      <c r="JVT698" s="524"/>
      <c r="JVU698" s="524"/>
      <c r="JVV698" s="524"/>
      <c r="JVW698" s="524"/>
      <c r="JVX698" s="524"/>
      <c r="JVY698" s="524"/>
      <c r="JVZ698" s="524"/>
      <c r="JWA698" s="524"/>
      <c r="JWB698" s="524"/>
      <c r="JWC698" s="524"/>
      <c r="JWD698" s="524"/>
      <c r="JWE698" s="524"/>
      <c r="JWF698" s="524"/>
      <c r="JWG698" s="524"/>
      <c r="JWH698" s="524"/>
      <c r="JWI698" s="524"/>
      <c r="JWJ698" s="524"/>
      <c r="JWK698" s="524"/>
      <c r="JWL698" s="524"/>
      <c r="JWM698" s="524"/>
      <c r="JWN698" s="524"/>
      <c r="JWO698" s="524"/>
      <c r="JWP698" s="524"/>
      <c r="JWQ698" s="524"/>
      <c r="JWR698" s="524"/>
      <c r="JWS698" s="524"/>
      <c r="JWT698" s="524"/>
      <c r="JWU698" s="524"/>
      <c r="JWV698" s="524"/>
      <c r="JWW698" s="524"/>
      <c r="JWX698" s="524"/>
      <c r="JWY698" s="524"/>
      <c r="JWZ698" s="524"/>
      <c r="JXA698" s="524"/>
      <c r="JXB698" s="524"/>
      <c r="JXC698" s="524"/>
      <c r="JXD698" s="524"/>
      <c r="JXE698" s="524"/>
      <c r="JXF698" s="524"/>
      <c r="JXG698" s="524"/>
      <c r="JXH698" s="524"/>
      <c r="JXI698" s="524"/>
      <c r="JXJ698" s="524"/>
      <c r="JXK698" s="524"/>
      <c r="JXL698" s="524"/>
      <c r="JXM698" s="524"/>
      <c r="JXN698" s="524"/>
      <c r="JXO698" s="524"/>
      <c r="JXP698" s="524"/>
      <c r="JXQ698" s="524"/>
      <c r="JXR698" s="524"/>
      <c r="JXS698" s="524"/>
      <c r="JXT698" s="524"/>
      <c r="JXU698" s="524"/>
      <c r="JXV698" s="524"/>
      <c r="JXW698" s="524"/>
      <c r="JXX698" s="524"/>
      <c r="JXY698" s="524"/>
      <c r="JXZ698" s="524"/>
      <c r="JYA698" s="524"/>
      <c r="JYB698" s="524"/>
      <c r="JYC698" s="524"/>
      <c r="JYD698" s="524"/>
      <c r="JYE698" s="524"/>
      <c r="JYF698" s="524"/>
      <c r="JYG698" s="524"/>
      <c r="JYH698" s="524"/>
      <c r="JYI698" s="524"/>
      <c r="JYJ698" s="524"/>
      <c r="JYK698" s="524"/>
      <c r="JYL698" s="524"/>
      <c r="JYM698" s="524"/>
      <c r="JYN698" s="524"/>
      <c r="JYO698" s="524"/>
      <c r="JYP698" s="524"/>
      <c r="JYQ698" s="524"/>
      <c r="JYR698" s="524"/>
      <c r="JYS698" s="524"/>
      <c r="JYT698" s="524"/>
      <c r="JYU698" s="524"/>
      <c r="JYV698" s="524"/>
      <c r="JYW698" s="524"/>
      <c r="JYX698" s="524"/>
      <c r="JYY698" s="524"/>
      <c r="JYZ698" s="524"/>
      <c r="JZA698" s="524"/>
      <c r="JZB698" s="524"/>
      <c r="JZC698" s="524"/>
      <c r="JZD698" s="524"/>
      <c r="JZE698" s="524"/>
      <c r="JZF698" s="524"/>
      <c r="JZG698" s="524"/>
      <c r="JZH698" s="524"/>
      <c r="JZI698" s="524"/>
      <c r="JZJ698" s="524"/>
      <c r="JZK698" s="524"/>
      <c r="JZL698" s="524"/>
      <c r="JZM698" s="524"/>
      <c r="JZN698" s="524"/>
      <c r="JZO698" s="524"/>
      <c r="JZP698" s="524"/>
      <c r="JZQ698" s="524"/>
      <c r="JZR698" s="524"/>
      <c r="JZS698" s="524"/>
      <c r="JZT698" s="524"/>
      <c r="JZU698" s="524"/>
      <c r="JZV698" s="524"/>
      <c r="JZW698" s="524"/>
      <c r="JZX698" s="524"/>
      <c r="JZY698" s="524"/>
      <c r="JZZ698" s="524"/>
      <c r="KAA698" s="524"/>
      <c r="KAB698" s="524"/>
      <c r="KAC698" s="524"/>
      <c r="KAD698" s="524"/>
      <c r="KAE698" s="524"/>
      <c r="KAF698" s="524"/>
      <c r="KAG698" s="524"/>
      <c r="KAH698" s="524"/>
      <c r="KAI698" s="524"/>
      <c r="KAJ698" s="524"/>
      <c r="KAK698" s="524"/>
      <c r="KAL698" s="524"/>
      <c r="KAM698" s="524"/>
      <c r="KAN698" s="524"/>
      <c r="KAO698" s="524"/>
      <c r="KAP698" s="524"/>
      <c r="KAQ698" s="524"/>
      <c r="KAR698" s="524"/>
      <c r="KAS698" s="524"/>
      <c r="KAT698" s="524"/>
      <c r="KAU698" s="524"/>
      <c r="KAV698" s="524"/>
      <c r="KAW698" s="524"/>
      <c r="KAX698" s="524"/>
      <c r="KAY698" s="524"/>
      <c r="KAZ698" s="524"/>
      <c r="KBA698" s="524"/>
      <c r="KBB698" s="524"/>
      <c r="KBC698" s="524"/>
      <c r="KBD698" s="524"/>
      <c r="KBE698" s="524"/>
      <c r="KBF698" s="524"/>
      <c r="KBG698" s="524"/>
      <c r="KBH698" s="524"/>
      <c r="KBI698" s="524"/>
      <c r="KBJ698" s="524"/>
      <c r="KBK698" s="524"/>
      <c r="KBL698" s="524"/>
      <c r="KBM698" s="524"/>
      <c r="KBN698" s="524"/>
      <c r="KBO698" s="524"/>
      <c r="KBP698" s="524"/>
      <c r="KBQ698" s="524"/>
      <c r="KBR698" s="524"/>
      <c r="KBS698" s="524"/>
      <c r="KBT698" s="524"/>
      <c r="KBU698" s="524"/>
      <c r="KBV698" s="524"/>
      <c r="KBW698" s="524"/>
      <c r="KBX698" s="524"/>
      <c r="KBY698" s="524"/>
      <c r="KBZ698" s="524"/>
      <c r="KCA698" s="524"/>
      <c r="KCB698" s="524"/>
      <c r="KCC698" s="524"/>
      <c r="KCD698" s="524"/>
      <c r="KCE698" s="524"/>
      <c r="KCF698" s="524"/>
      <c r="KCG698" s="524"/>
      <c r="KCH698" s="524"/>
      <c r="KCI698" s="524"/>
      <c r="KCJ698" s="524"/>
      <c r="KCK698" s="524"/>
      <c r="KCL698" s="524"/>
      <c r="KCM698" s="524"/>
      <c r="KCN698" s="524"/>
      <c r="KCO698" s="524"/>
      <c r="KCP698" s="524"/>
      <c r="KCQ698" s="524"/>
      <c r="KCR698" s="524"/>
      <c r="KCS698" s="524"/>
      <c r="KCT698" s="524"/>
      <c r="KCU698" s="524"/>
      <c r="KCV698" s="524"/>
      <c r="KCW698" s="524"/>
      <c r="KCX698" s="524"/>
      <c r="KCY698" s="524"/>
      <c r="KCZ698" s="524"/>
      <c r="KDA698" s="524"/>
      <c r="KDB698" s="524"/>
      <c r="KDC698" s="524"/>
      <c r="KDD698" s="524"/>
      <c r="KDE698" s="524"/>
      <c r="KDF698" s="524"/>
      <c r="KDG698" s="524"/>
      <c r="KDH698" s="524"/>
      <c r="KDI698" s="524"/>
      <c r="KDJ698" s="524"/>
      <c r="KDK698" s="524"/>
      <c r="KDL698" s="524"/>
      <c r="KDM698" s="524"/>
      <c r="KDN698" s="524"/>
      <c r="KDO698" s="524"/>
      <c r="KDP698" s="524"/>
      <c r="KDQ698" s="524"/>
      <c r="KDR698" s="524"/>
      <c r="KDS698" s="524"/>
      <c r="KDT698" s="524"/>
      <c r="KDU698" s="524"/>
      <c r="KDV698" s="524"/>
      <c r="KDW698" s="524"/>
      <c r="KDX698" s="524"/>
      <c r="KDY698" s="524"/>
      <c r="KDZ698" s="524"/>
      <c r="KEA698" s="524"/>
      <c r="KEB698" s="524"/>
      <c r="KEC698" s="524"/>
      <c r="KED698" s="524"/>
      <c r="KEE698" s="524"/>
      <c r="KEF698" s="524"/>
      <c r="KEG698" s="524"/>
      <c r="KEH698" s="524"/>
      <c r="KEI698" s="524"/>
      <c r="KEJ698" s="524"/>
      <c r="KEK698" s="524"/>
      <c r="KEL698" s="524"/>
      <c r="KEM698" s="524"/>
      <c r="KEN698" s="524"/>
      <c r="KEO698" s="524"/>
      <c r="KEP698" s="524"/>
      <c r="KEQ698" s="524"/>
      <c r="KER698" s="524"/>
      <c r="KES698" s="524"/>
      <c r="KET698" s="524"/>
      <c r="KEU698" s="524"/>
      <c r="KEV698" s="524"/>
      <c r="KEW698" s="524"/>
      <c r="KEX698" s="524"/>
      <c r="KEY698" s="524"/>
      <c r="KEZ698" s="524"/>
      <c r="KFA698" s="524"/>
      <c r="KFB698" s="524"/>
      <c r="KFC698" s="524"/>
      <c r="KFD698" s="524"/>
      <c r="KFE698" s="524"/>
      <c r="KFF698" s="524"/>
      <c r="KFG698" s="524"/>
      <c r="KFH698" s="524"/>
      <c r="KFI698" s="524"/>
      <c r="KFJ698" s="524"/>
      <c r="KFK698" s="524"/>
      <c r="KFL698" s="524"/>
      <c r="KFM698" s="524"/>
      <c r="KFN698" s="524"/>
      <c r="KFO698" s="524"/>
      <c r="KFP698" s="524"/>
      <c r="KFQ698" s="524"/>
      <c r="KFR698" s="524"/>
      <c r="KFS698" s="524"/>
      <c r="KFT698" s="524"/>
      <c r="KFU698" s="524"/>
      <c r="KFV698" s="524"/>
      <c r="KFW698" s="524"/>
      <c r="KFX698" s="524"/>
      <c r="KFY698" s="524"/>
      <c r="KFZ698" s="524"/>
      <c r="KGA698" s="524"/>
      <c r="KGB698" s="524"/>
      <c r="KGC698" s="524"/>
      <c r="KGD698" s="524"/>
      <c r="KGE698" s="524"/>
      <c r="KGF698" s="524"/>
      <c r="KGG698" s="524"/>
      <c r="KGH698" s="524"/>
      <c r="KGI698" s="524"/>
      <c r="KGJ698" s="524"/>
      <c r="KGK698" s="524"/>
      <c r="KGL698" s="524"/>
      <c r="KGM698" s="524"/>
      <c r="KGN698" s="524"/>
      <c r="KGO698" s="524"/>
      <c r="KGP698" s="524"/>
      <c r="KGQ698" s="524"/>
      <c r="KGR698" s="524"/>
      <c r="KGS698" s="524"/>
      <c r="KGT698" s="524"/>
      <c r="KGU698" s="524"/>
      <c r="KGV698" s="524"/>
      <c r="KGW698" s="524"/>
      <c r="KGX698" s="524"/>
      <c r="KGY698" s="524"/>
      <c r="KGZ698" s="524"/>
      <c r="KHA698" s="524"/>
      <c r="KHB698" s="524"/>
      <c r="KHC698" s="524"/>
      <c r="KHD698" s="524"/>
      <c r="KHE698" s="524"/>
      <c r="KHF698" s="524"/>
      <c r="KHG698" s="524"/>
      <c r="KHH698" s="524"/>
      <c r="KHI698" s="524"/>
      <c r="KHJ698" s="524"/>
      <c r="KHK698" s="524"/>
      <c r="KHL698" s="524"/>
      <c r="KHM698" s="524"/>
      <c r="KHN698" s="524"/>
      <c r="KHO698" s="524"/>
      <c r="KHP698" s="524"/>
      <c r="KHQ698" s="524"/>
      <c r="KHR698" s="524"/>
      <c r="KHS698" s="524"/>
      <c r="KHT698" s="524"/>
      <c r="KHU698" s="524"/>
      <c r="KHV698" s="524"/>
      <c r="KHW698" s="524"/>
      <c r="KHX698" s="524"/>
      <c r="KHY698" s="524"/>
      <c r="KHZ698" s="524"/>
      <c r="KIA698" s="524"/>
      <c r="KIB698" s="524"/>
      <c r="KIC698" s="524"/>
      <c r="KID698" s="524"/>
      <c r="KIE698" s="524"/>
      <c r="KIF698" s="524"/>
      <c r="KIG698" s="524"/>
      <c r="KIH698" s="524"/>
      <c r="KII698" s="524"/>
      <c r="KIJ698" s="524"/>
      <c r="KIK698" s="524"/>
      <c r="KIL698" s="524"/>
      <c r="KIM698" s="524"/>
      <c r="KIN698" s="524"/>
      <c r="KIO698" s="524"/>
      <c r="KIP698" s="524"/>
      <c r="KIQ698" s="524"/>
      <c r="KIR698" s="524"/>
      <c r="KIS698" s="524"/>
      <c r="KIT698" s="524"/>
      <c r="KIU698" s="524"/>
      <c r="KIV698" s="524"/>
      <c r="KIW698" s="524"/>
      <c r="KIX698" s="524"/>
      <c r="KIY698" s="524"/>
      <c r="KIZ698" s="524"/>
      <c r="KJA698" s="524"/>
      <c r="KJB698" s="524"/>
      <c r="KJC698" s="524"/>
      <c r="KJD698" s="524"/>
      <c r="KJE698" s="524"/>
      <c r="KJF698" s="524"/>
      <c r="KJG698" s="524"/>
      <c r="KJH698" s="524"/>
      <c r="KJI698" s="524"/>
      <c r="KJJ698" s="524"/>
      <c r="KJK698" s="524"/>
      <c r="KJL698" s="524"/>
      <c r="KJM698" s="524"/>
      <c r="KJN698" s="524"/>
      <c r="KJO698" s="524"/>
      <c r="KJP698" s="524"/>
      <c r="KJQ698" s="524"/>
      <c r="KJR698" s="524"/>
      <c r="KJS698" s="524"/>
      <c r="KJT698" s="524"/>
      <c r="KJU698" s="524"/>
      <c r="KJV698" s="524"/>
      <c r="KJW698" s="524"/>
      <c r="KJX698" s="524"/>
      <c r="KJY698" s="524"/>
      <c r="KJZ698" s="524"/>
      <c r="KKA698" s="524"/>
      <c r="KKB698" s="524"/>
      <c r="KKC698" s="524"/>
      <c r="KKD698" s="524"/>
      <c r="KKE698" s="524"/>
      <c r="KKF698" s="524"/>
      <c r="KKG698" s="524"/>
      <c r="KKH698" s="524"/>
      <c r="KKI698" s="524"/>
      <c r="KKJ698" s="524"/>
      <c r="KKK698" s="524"/>
      <c r="KKL698" s="524"/>
      <c r="KKM698" s="524"/>
      <c r="KKN698" s="524"/>
      <c r="KKO698" s="524"/>
      <c r="KKP698" s="524"/>
      <c r="KKQ698" s="524"/>
      <c r="KKR698" s="524"/>
      <c r="KKS698" s="524"/>
      <c r="KKT698" s="524"/>
      <c r="KKU698" s="524"/>
      <c r="KKV698" s="524"/>
      <c r="KKW698" s="524"/>
      <c r="KKX698" s="524"/>
      <c r="KKY698" s="524"/>
      <c r="KKZ698" s="524"/>
      <c r="KLA698" s="524"/>
      <c r="KLB698" s="524"/>
      <c r="KLC698" s="524"/>
      <c r="KLD698" s="524"/>
      <c r="KLE698" s="524"/>
      <c r="KLF698" s="524"/>
      <c r="KLG698" s="524"/>
      <c r="KLH698" s="524"/>
      <c r="KLI698" s="524"/>
      <c r="KLJ698" s="524"/>
      <c r="KLK698" s="524"/>
      <c r="KLL698" s="524"/>
      <c r="KLM698" s="524"/>
      <c r="KLN698" s="524"/>
      <c r="KLO698" s="524"/>
      <c r="KLP698" s="524"/>
      <c r="KLQ698" s="524"/>
      <c r="KLR698" s="524"/>
      <c r="KLS698" s="524"/>
      <c r="KLT698" s="524"/>
      <c r="KLU698" s="524"/>
      <c r="KLV698" s="524"/>
      <c r="KLW698" s="524"/>
      <c r="KLX698" s="524"/>
      <c r="KLY698" s="524"/>
      <c r="KLZ698" s="524"/>
      <c r="KMA698" s="524"/>
      <c r="KMB698" s="524"/>
      <c r="KMC698" s="524"/>
      <c r="KMD698" s="524"/>
      <c r="KME698" s="524"/>
      <c r="KMF698" s="524"/>
      <c r="KMG698" s="524"/>
      <c r="KMH698" s="524"/>
      <c r="KMI698" s="524"/>
      <c r="KMJ698" s="524"/>
      <c r="KMK698" s="524"/>
      <c r="KML698" s="524"/>
      <c r="KMM698" s="524"/>
      <c r="KMN698" s="524"/>
      <c r="KMO698" s="524"/>
      <c r="KMP698" s="524"/>
      <c r="KMQ698" s="524"/>
      <c r="KMR698" s="524"/>
      <c r="KMS698" s="524"/>
      <c r="KMT698" s="524"/>
      <c r="KMU698" s="524"/>
      <c r="KMV698" s="524"/>
      <c r="KMW698" s="524"/>
      <c r="KMX698" s="524"/>
      <c r="KMY698" s="524"/>
      <c r="KMZ698" s="524"/>
      <c r="KNA698" s="524"/>
      <c r="KNB698" s="524"/>
      <c r="KNC698" s="524"/>
      <c r="KND698" s="524"/>
      <c r="KNE698" s="524"/>
      <c r="KNF698" s="524"/>
      <c r="KNG698" s="524"/>
      <c r="KNH698" s="524"/>
      <c r="KNI698" s="524"/>
      <c r="KNJ698" s="524"/>
      <c r="KNK698" s="524"/>
      <c r="KNL698" s="524"/>
      <c r="KNM698" s="524"/>
      <c r="KNN698" s="524"/>
      <c r="KNO698" s="524"/>
      <c r="KNP698" s="524"/>
      <c r="KNQ698" s="524"/>
      <c r="KNR698" s="524"/>
      <c r="KNS698" s="524"/>
      <c r="KNT698" s="524"/>
      <c r="KNU698" s="524"/>
      <c r="KNV698" s="524"/>
      <c r="KNW698" s="524"/>
      <c r="KNX698" s="524"/>
      <c r="KNY698" s="524"/>
      <c r="KNZ698" s="524"/>
      <c r="KOA698" s="524"/>
      <c r="KOB698" s="524"/>
      <c r="KOC698" s="524"/>
      <c r="KOD698" s="524"/>
      <c r="KOE698" s="524"/>
      <c r="KOF698" s="524"/>
      <c r="KOG698" s="524"/>
      <c r="KOH698" s="524"/>
      <c r="KOI698" s="524"/>
      <c r="KOJ698" s="524"/>
      <c r="KOK698" s="524"/>
      <c r="KOL698" s="524"/>
      <c r="KOM698" s="524"/>
      <c r="KON698" s="524"/>
      <c r="KOO698" s="524"/>
      <c r="KOP698" s="524"/>
      <c r="KOQ698" s="524"/>
      <c r="KOR698" s="524"/>
      <c r="KOS698" s="524"/>
      <c r="KOT698" s="524"/>
      <c r="KOU698" s="524"/>
      <c r="KOV698" s="524"/>
      <c r="KOW698" s="524"/>
      <c r="KOX698" s="524"/>
      <c r="KOY698" s="524"/>
      <c r="KOZ698" s="524"/>
      <c r="KPA698" s="524"/>
      <c r="KPB698" s="524"/>
      <c r="KPC698" s="524"/>
      <c r="KPD698" s="524"/>
      <c r="KPE698" s="524"/>
      <c r="KPF698" s="524"/>
      <c r="KPG698" s="524"/>
      <c r="KPH698" s="524"/>
      <c r="KPI698" s="524"/>
      <c r="KPJ698" s="524"/>
      <c r="KPK698" s="524"/>
      <c r="KPL698" s="524"/>
      <c r="KPM698" s="524"/>
      <c r="KPN698" s="524"/>
      <c r="KPO698" s="524"/>
      <c r="KPP698" s="524"/>
      <c r="KPQ698" s="524"/>
      <c r="KPR698" s="524"/>
      <c r="KPS698" s="524"/>
      <c r="KPT698" s="524"/>
      <c r="KPU698" s="524"/>
      <c r="KPV698" s="524"/>
      <c r="KPW698" s="524"/>
      <c r="KPX698" s="524"/>
      <c r="KPY698" s="524"/>
      <c r="KPZ698" s="524"/>
      <c r="KQA698" s="524"/>
      <c r="KQB698" s="524"/>
      <c r="KQC698" s="524"/>
      <c r="KQD698" s="524"/>
      <c r="KQE698" s="524"/>
      <c r="KQF698" s="524"/>
      <c r="KQG698" s="524"/>
      <c r="KQH698" s="524"/>
      <c r="KQI698" s="524"/>
      <c r="KQJ698" s="524"/>
      <c r="KQK698" s="524"/>
      <c r="KQL698" s="524"/>
      <c r="KQM698" s="524"/>
      <c r="KQN698" s="524"/>
      <c r="KQO698" s="524"/>
      <c r="KQP698" s="524"/>
      <c r="KQQ698" s="524"/>
      <c r="KQR698" s="524"/>
      <c r="KQS698" s="524"/>
      <c r="KQT698" s="524"/>
      <c r="KQU698" s="524"/>
      <c r="KQV698" s="524"/>
      <c r="KQW698" s="524"/>
      <c r="KQX698" s="524"/>
      <c r="KQY698" s="524"/>
      <c r="KQZ698" s="524"/>
      <c r="KRA698" s="524"/>
      <c r="KRB698" s="524"/>
      <c r="KRC698" s="524"/>
      <c r="KRD698" s="524"/>
      <c r="KRE698" s="524"/>
      <c r="KRF698" s="524"/>
      <c r="KRG698" s="524"/>
      <c r="KRH698" s="524"/>
      <c r="KRI698" s="524"/>
      <c r="KRJ698" s="524"/>
      <c r="KRK698" s="524"/>
      <c r="KRL698" s="524"/>
      <c r="KRM698" s="524"/>
      <c r="KRN698" s="524"/>
      <c r="KRO698" s="524"/>
      <c r="KRP698" s="524"/>
      <c r="KRQ698" s="524"/>
      <c r="KRR698" s="524"/>
      <c r="KRS698" s="524"/>
      <c r="KRT698" s="524"/>
      <c r="KRU698" s="524"/>
      <c r="KRV698" s="524"/>
      <c r="KRW698" s="524"/>
      <c r="KRX698" s="524"/>
      <c r="KRY698" s="524"/>
      <c r="KRZ698" s="524"/>
      <c r="KSA698" s="524"/>
      <c r="KSB698" s="524"/>
      <c r="KSC698" s="524"/>
      <c r="KSD698" s="524"/>
      <c r="KSE698" s="524"/>
      <c r="KSF698" s="524"/>
      <c r="KSG698" s="524"/>
      <c r="KSH698" s="524"/>
      <c r="KSI698" s="524"/>
      <c r="KSJ698" s="524"/>
      <c r="KSK698" s="524"/>
      <c r="KSL698" s="524"/>
      <c r="KSM698" s="524"/>
      <c r="KSN698" s="524"/>
      <c r="KSO698" s="524"/>
      <c r="KSP698" s="524"/>
      <c r="KSQ698" s="524"/>
      <c r="KSR698" s="524"/>
      <c r="KSS698" s="524"/>
      <c r="KST698" s="524"/>
      <c r="KSU698" s="524"/>
      <c r="KSV698" s="524"/>
      <c r="KSW698" s="524"/>
      <c r="KSX698" s="524"/>
      <c r="KSY698" s="524"/>
      <c r="KSZ698" s="524"/>
      <c r="KTA698" s="524"/>
      <c r="KTB698" s="524"/>
      <c r="KTC698" s="524"/>
      <c r="KTD698" s="524"/>
      <c r="KTE698" s="524"/>
      <c r="KTF698" s="524"/>
      <c r="KTG698" s="524"/>
      <c r="KTH698" s="524"/>
      <c r="KTI698" s="524"/>
      <c r="KTJ698" s="524"/>
      <c r="KTK698" s="524"/>
      <c r="KTL698" s="524"/>
      <c r="KTM698" s="524"/>
      <c r="KTN698" s="524"/>
      <c r="KTO698" s="524"/>
      <c r="KTP698" s="524"/>
      <c r="KTQ698" s="524"/>
      <c r="KTR698" s="524"/>
      <c r="KTS698" s="524"/>
      <c r="KTT698" s="524"/>
      <c r="KTU698" s="524"/>
      <c r="KTV698" s="524"/>
      <c r="KTW698" s="524"/>
      <c r="KTX698" s="524"/>
      <c r="KTY698" s="524"/>
      <c r="KTZ698" s="524"/>
      <c r="KUA698" s="524"/>
      <c r="KUB698" s="524"/>
      <c r="KUC698" s="524"/>
      <c r="KUD698" s="524"/>
      <c r="KUE698" s="524"/>
      <c r="KUF698" s="524"/>
      <c r="KUG698" s="524"/>
      <c r="KUH698" s="524"/>
      <c r="KUI698" s="524"/>
      <c r="KUJ698" s="524"/>
      <c r="KUK698" s="524"/>
      <c r="KUL698" s="524"/>
      <c r="KUM698" s="524"/>
      <c r="KUN698" s="524"/>
      <c r="KUO698" s="524"/>
      <c r="KUP698" s="524"/>
      <c r="KUQ698" s="524"/>
      <c r="KUR698" s="524"/>
      <c r="KUS698" s="524"/>
      <c r="KUT698" s="524"/>
      <c r="KUU698" s="524"/>
      <c r="KUV698" s="524"/>
      <c r="KUW698" s="524"/>
      <c r="KUX698" s="524"/>
      <c r="KUY698" s="524"/>
      <c r="KUZ698" s="524"/>
      <c r="KVA698" s="524"/>
      <c r="KVB698" s="524"/>
      <c r="KVC698" s="524"/>
      <c r="KVD698" s="524"/>
      <c r="KVE698" s="524"/>
      <c r="KVF698" s="524"/>
      <c r="KVG698" s="524"/>
      <c r="KVH698" s="524"/>
      <c r="KVI698" s="524"/>
      <c r="KVJ698" s="524"/>
      <c r="KVK698" s="524"/>
      <c r="KVL698" s="524"/>
      <c r="KVM698" s="524"/>
      <c r="KVN698" s="524"/>
      <c r="KVO698" s="524"/>
      <c r="KVP698" s="524"/>
      <c r="KVQ698" s="524"/>
      <c r="KVR698" s="524"/>
      <c r="KVS698" s="524"/>
      <c r="KVT698" s="524"/>
      <c r="KVU698" s="524"/>
      <c r="KVV698" s="524"/>
      <c r="KVW698" s="524"/>
      <c r="KVX698" s="524"/>
      <c r="KVY698" s="524"/>
      <c r="KVZ698" s="524"/>
      <c r="KWA698" s="524"/>
      <c r="KWB698" s="524"/>
      <c r="KWC698" s="524"/>
      <c r="KWD698" s="524"/>
      <c r="KWE698" s="524"/>
      <c r="KWF698" s="524"/>
      <c r="KWG698" s="524"/>
      <c r="KWH698" s="524"/>
      <c r="KWI698" s="524"/>
      <c r="KWJ698" s="524"/>
      <c r="KWK698" s="524"/>
      <c r="KWL698" s="524"/>
      <c r="KWM698" s="524"/>
      <c r="KWN698" s="524"/>
      <c r="KWO698" s="524"/>
      <c r="KWP698" s="524"/>
      <c r="KWQ698" s="524"/>
      <c r="KWR698" s="524"/>
      <c r="KWS698" s="524"/>
      <c r="KWT698" s="524"/>
      <c r="KWU698" s="524"/>
      <c r="KWV698" s="524"/>
      <c r="KWW698" s="524"/>
      <c r="KWX698" s="524"/>
      <c r="KWY698" s="524"/>
      <c r="KWZ698" s="524"/>
      <c r="KXA698" s="524"/>
      <c r="KXB698" s="524"/>
      <c r="KXC698" s="524"/>
      <c r="KXD698" s="524"/>
      <c r="KXE698" s="524"/>
      <c r="KXF698" s="524"/>
      <c r="KXG698" s="524"/>
      <c r="KXH698" s="524"/>
      <c r="KXI698" s="524"/>
      <c r="KXJ698" s="524"/>
      <c r="KXK698" s="524"/>
      <c r="KXL698" s="524"/>
      <c r="KXM698" s="524"/>
      <c r="KXN698" s="524"/>
      <c r="KXO698" s="524"/>
      <c r="KXP698" s="524"/>
      <c r="KXQ698" s="524"/>
      <c r="KXR698" s="524"/>
      <c r="KXS698" s="524"/>
      <c r="KXT698" s="524"/>
      <c r="KXU698" s="524"/>
      <c r="KXV698" s="524"/>
      <c r="KXW698" s="524"/>
      <c r="KXX698" s="524"/>
      <c r="KXY698" s="524"/>
      <c r="KXZ698" s="524"/>
      <c r="KYA698" s="524"/>
      <c r="KYB698" s="524"/>
      <c r="KYC698" s="524"/>
      <c r="KYD698" s="524"/>
      <c r="KYE698" s="524"/>
      <c r="KYF698" s="524"/>
      <c r="KYG698" s="524"/>
      <c r="KYH698" s="524"/>
      <c r="KYI698" s="524"/>
      <c r="KYJ698" s="524"/>
      <c r="KYK698" s="524"/>
      <c r="KYL698" s="524"/>
      <c r="KYM698" s="524"/>
      <c r="KYN698" s="524"/>
      <c r="KYO698" s="524"/>
      <c r="KYP698" s="524"/>
      <c r="KYQ698" s="524"/>
      <c r="KYR698" s="524"/>
      <c r="KYS698" s="524"/>
      <c r="KYT698" s="524"/>
      <c r="KYU698" s="524"/>
      <c r="KYV698" s="524"/>
      <c r="KYW698" s="524"/>
      <c r="KYX698" s="524"/>
      <c r="KYY698" s="524"/>
      <c r="KYZ698" s="524"/>
      <c r="KZA698" s="524"/>
      <c r="KZB698" s="524"/>
      <c r="KZC698" s="524"/>
      <c r="KZD698" s="524"/>
      <c r="KZE698" s="524"/>
      <c r="KZF698" s="524"/>
      <c r="KZG698" s="524"/>
      <c r="KZH698" s="524"/>
      <c r="KZI698" s="524"/>
      <c r="KZJ698" s="524"/>
      <c r="KZK698" s="524"/>
      <c r="KZL698" s="524"/>
      <c r="KZM698" s="524"/>
      <c r="KZN698" s="524"/>
      <c r="KZO698" s="524"/>
      <c r="KZP698" s="524"/>
      <c r="KZQ698" s="524"/>
      <c r="KZR698" s="524"/>
      <c r="KZS698" s="524"/>
      <c r="KZT698" s="524"/>
      <c r="KZU698" s="524"/>
      <c r="KZV698" s="524"/>
      <c r="KZW698" s="524"/>
      <c r="KZX698" s="524"/>
      <c r="KZY698" s="524"/>
      <c r="KZZ698" s="524"/>
      <c r="LAA698" s="524"/>
      <c r="LAB698" s="524"/>
      <c r="LAC698" s="524"/>
      <c r="LAD698" s="524"/>
      <c r="LAE698" s="524"/>
      <c r="LAF698" s="524"/>
      <c r="LAG698" s="524"/>
      <c r="LAH698" s="524"/>
      <c r="LAI698" s="524"/>
      <c r="LAJ698" s="524"/>
      <c r="LAK698" s="524"/>
      <c r="LAL698" s="524"/>
      <c r="LAM698" s="524"/>
      <c r="LAN698" s="524"/>
      <c r="LAO698" s="524"/>
      <c r="LAP698" s="524"/>
      <c r="LAQ698" s="524"/>
      <c r="LAR698" s="524"/>
      <c r="LAS698" s="524"/>
      <c r="LAT698" s="524"/>
      <c r="LAU698" s="524"/>
      <c r="LAV698" s="524"/>
      <c r="LAW698" s="524"/>
      <c r="LAX698" s="524"/>
      <c r="LAY698" s="524"/>
      <c r="LAZ698" s="524"/>
      <c r="LBA698" s="524"/>
      <c r="LBB698" s="524"/>
      <c r="LBC698" s="524"/>
      <c r="LBD698" s="524"/>
      <c r="LBE698" s="524"/>
      <c r="LBF698" s="524"/>
      <c r="LBG698" s="524"/>
      <c r="LBH698" s="524"/>
      <c r="LBI698" s="524"/>
      <c r="LBJ698" s="524"/>
      <c r="LBK698" s="524"/>
      <c r="LBL698" s="524"/>
      <c r="LBM698" s="524"/>
      <c r="LBN698" s="524"/>
      <c r="LBO698" s="524"/>
      <c r="LBP698" s="524"/>
      <c r="LBQ698" s="524"/>
      <c r="LBR698" s="524"/>
      <c r="LBS698" s="524"/>
      <c r="LBT698" s="524"/>
      <c r="LBU698" s="524"/>
      <c r="LBV698" s="524"/>
      <c r="LBW698" s="524"/>
      <c r="LBX698" s="524"/>
      <c r="LBY698" s="524"/>
      <c r="LBZ698" s="524"/>
      <c r="LCA698" s="524"/>
      <c r="LCB698" s="524"/>
      <c r="LCC698" s="524"/>
      <c r="LCD698" s="524"/>
      <c r="LCE698" s="524"/>
      <c r="LCF698" s="524"/>
      <c r="LCG698" s="524"/>
      <c r="LCH698" s="524"/>
      <c r="LCI698" s="524"/>
      <c r="LCJ698" s="524"/>
      <c r="LCK698" s="524"/>
      <c r="LCL698" s="524"/>
      <c r="LCM698" s="524"/>
      <c r="LCN698" s="524"/>
      <c r="LCO698" s="524"/>
      <c r="LCP698" s="524"/>
      <c r="LCQ698" s="524"/>
      <c r="LCR698" s="524"/>
      <c r="LCS698" s="524"/>
      <c r="LCT698" s="524"/>
      <c r="LCU698" s="524"/>
      <c r="LCV698" s="524"/>
      <c r="LCW698" s="524"/>
      <c r="LCX698" s="524"/>
      <c r="LCY698" s="524"/>
      <c r="LCZ698" s="524"/>
      <c r="LDA698" s="524"/>
      <c r="LDB698" s="524"/>
      <c r="LDC698" s="524"/>
      <c r="LDD698" s="524"/>
      <c r="LDE698" s="524"/>
      <c r="LDF698" s="524"/>
      <c r="LDG698" s="524"/>
      <c r="LDH698" s="524"/>
      <c r="LDI698" s="524"/>
      <c r="LDJ698" s="524"/>
      <c r="LDK698" s="524"/>
      <c r="LDL698" s="524"/>
      <c r="LDM698" s="524"/>
      <c r="LDN698" s="524"/>
      <c r="LDO698" s="524"/>
      <c r="LDP698" s="524"/>
      <c r="LDQ698" s="524"/>
      <c r="LDR698" s="524"/>
      <c r="LDS698" s="524"/>
      <c r="LDT698" s="524"/>
      <c r="LDU698" s="524"/>
      <c r="LDV698" s="524"/>
      <c r="LDW698" s="524"/>
      <c r="LDX698" s="524"/>
      <c r="LDY698" s="524"/>
      <c r="LDZ698" s="524"/>
      <c r="LEA698" s="524"/>
      <c r="LEB698" s="524"/>
      <c r="LEC698" s="524"/>
      <c r="LED698" s="524"/>
      <c r="LEE698" s="524"/>
      <c r="LEF698" s="524"/>
      <c r="LEG698" s="524"/>
      <c r="LEH698" s="524"/>
      <c r="LEI698" s="524"/>
      <c r="LEJ698" s="524"/>
      <c r="LEK698" s="524"/>
      <c r="LEL698" s="524"/>
      <c r="LEM698" s="524"/>
      <c r="LEN698" s="524"/>
      <c r="LEO698" s="524"/>
      <c r="LEP698" s="524"/>
      <c r="LEQ698" s="524"/>
      <c r="LER698" s="524"/>
      <c r="LES698" s="524"/>
      <c r="LET698" s="524"/>
      <c r="LEU698" s="524"/>
      <c r="LEV698" s="524"/>
      <c r="LEW698" s="524"/>
      <c r="LEX698" s="524"/>
      <c r="LEY698" s="524"/>
      <c r="LEZ698" s="524"/>
      <c r="LFA698" s="524"/>
      <c r="LFB698" s="524"/>
      <c r="LFC698" s="524"/>
      <c r="LFD698" s="524"/>
      <c r="LFE698" s="524"/>
      <c r="LFF698" s="524"/>
      <c r="LFG698" s="524"/>
      <c r="LFH698" s="524"/>
      <c r="LFI698" s="524"/>
      <c r="LFJ698" s="524"/>
      <c r="LFK698" s="524"/>
      <c r="LFL698" s="524"/>
      <c r="LFM698" s="524"/>
      <c r="LFN698" s="524"/>
      <c r="LFO698" s="524"/>
      <c r="LFP698" s="524"/>
      <c r="LFQ698" s="524"/>
      <c r="LFR698" s="524"/>
      <c r="LFS698" s="524"/>
      <c r="LFT698" s="524"/>
      <c r="LFU698" s="524"/>
      <c r="LFV698" s="524"/>
      <c r="LFW698" s="524"/>
      <c r="LFX698" s="524"/>
      <c r="LFY698" s="524"/>
      <c r="LFZ698" s="524"/>
      <c r="LGA698" s="524"/>
      <c r="LGB698" s="524"/>
      <c r="LGC698" s="524"/>
      <c r="LGD698" s="524"/>
      <c r="LGE698" s="524"/>
      <c r="LGF698" s="524"/>
      <c r="LGG698" s="524"/>
      <c r="LGH698" s="524"/>
      <c r="LGI698" s="524"/>
      <c r="LGJ698" s="524"/>
      <c r="LGK698" s="524"/>
      <c r="LGL698" s="524"/>
      <c r="LGM698" s="524"/>
      <c r="LGN698" s="524"/>
      <c r="LGO698" s="524"/>
      <c r="LGP698" s="524"/>
      <c r="LGQ698" s="524"/>
      <c r="LGR698" s="524"/>
      <c r="LGS698" s="524"/>
      <c r="LGT698" s="524"/>
      <c r="LGU698" s="524"/>
      <c r="LGV698" s="524"/>
      <c r="LGW698" s="524"/>
      <c r="LGX698" s="524"/>
      <c r="LGY698" s="524"/>
      <c r="LGZ698" s="524"/>
      <c r="LHA698" s="524"/>
      <c r="LHB698" s="524"/>
      <c r="LHC698" s="524"/>
      <c r="LHD698" s="524"/>
      <c r="LHE698" s="524"/>
      <c r="LHF698" s="524"/>
      <c r="LHG698" s="524"/>
      <c r="LHH698" s="524"/>
      <c r="LHI698" s="524"/>
      <c r="LHJ698" s="524"/>
      <c r="LHK698" s="524"/>
      <c r="LHL698" s="524"/>
      <c r="LHM698" s="524"/>
      <c r="LHN698" s="524"/>
      <c r="LHO698" s="524"/>
      <c r="LHP698" s="524"/>
      <c r="LHQ698" s="524"/>
      <c r="LHR698" s="524"/>
      <c r="LHS698" s="524"/>
      <c r="LHT698" s="524"/>
      <c r="LHU698" s="524"/>
      <c r="LHV698" s="524"/>
      <c r="LHW698" s="524"/>
      <c r="LHX698" s="524"/>
      <c r="LHY698" s="524"/>
      <c r="LHZ698" s="524"/>
      <c r="LIA698" s="524"/>
      <c r="LIB698" s="524"/>
      <c r="LIC698" s="524"/>
      <c r="LID698" s="524"/>
      <c r="LIE698" s="524"/>
      <c r="LIF698" s="524"/>
      <c r="LIG698" s="524"/>
      <c r="LIH698" s="524"/>
      <c r="LII698" s="524"/>
      <c r="LIJ698" s="524"/>
      <c r="LIK698" s="524"/>
      <c r="LIL698" s="524"/>
      <c r="LIM698" s="524"/>
      <c r="LIN698" s="524"/>
      <c r="LIO698" s="524"/>
      <c r="LIP698" s="524"/>
      <c r="LIQ698" s="524"/>
      <c r="LIR698" s="524"/>
      <c r="LIS698" s="524"/>
      <c r="LIT698" s="524"/>
      <c r="LIU698" s="524"/>
      <c r="LIV698" s="524"/>
      <c r="LIW698" s="524"/>
      <c r="LIX698" s="524"/>
      <c r="LIY698" s="524"/>
      <c r="LIZ698" s="524"/>
      <c r="LJA698" s="524"/>
      <c r="LJB698" s="524"/>
      <c r="LJC698" s="524"/>
      <c r="LJD698" s="524"/>
      <c r="LJE698" s="524"/>
      <c r="LJF698" s="524"/>
      <c r="LJG698" s="524"/>
      <c r="LJH698" s="524"/>
      <c r="LJI698" s="524"/>
      <c r="LJJ698" s="524"/>
      <c r="LJK698" s="524"/>
      <c r="LJL698" s="524"/>
      <c r="LJM698" s="524"/>
      <c r="LJN698" s="524"/>
      <c r="LJO698" s="524"/>
      <c r="LJP698" s="524"/>
      <c r="LJQ698" s="524"/>
      <c r="LJR698" s="524"/>
      <c r="LJS698" s="524"/>
      <c r="LJT698" s="524"/>
      <c r="LJU698" s="524"/>
      <c r="LJV698" s="524"/>
      <c r="LJW698" s="524"/>
      <c r="LJX698" s="524"/>
      <c r="LJY698" s="524"/>
      <c r="LJZ698" s="524"/>
      <c r="LKA698" s="524"/>
      <c r="LKB698" s="524"/>
      <c r="LKC698" s="524"/>
      <c r="LKD698" s="524"/>
      <c r="LKE698" s="524"/>
      <c r="LKF698" s="524"/>
      <c r="LKG698" s="524"/>
      <c r="LKH698" s="524"/>
      <c r="LKI698" s="524"/>
      <c r="LKJ698" s="524"/>
      <c r="LKK698" s="524"/>
      <c r="LKL698" s="524"/>
      <c r="LKM698" s="524"/>
      <c r="LKN698" s="524"/>
      <c r="LKO698" s="524"/>
      <c r="LKP698" s="524"/>
      <c r="LKQ698" s="524"/>
      <c r="LKR698" s="524"/>
      <c r="LKS698" s="524"/>
      <c r="LKT698" s="524"/>
      <c r="LKU698" s="524"/>
      <c r="LKV698" s="524"/>
      <c r="LKW698" s="524"/>
      <c r="LKX698" s="524"/>
      <c r="LKY698" s="524"/>
      <c r="LKZ698" s="524"/>
      <c r="LLA698" s="524"/>
      <c r="LLB698" s="524"/>
      <c r="LLC698" s="524"/>
      <c r="LLD698" s="524"/>
      <c r="LLE698" s="524"/>
      <c r="LLF698" s="524"/>
      <c r="LLG698" s="524"/>
      <c r="LLH698" s="524"/>
      <c r="LLI698" s="524"/>
      <c r="LLJ698" s="524"/>
      <c r="LLK698" s="524"/>
      <c r="LLL698" s="524"/>
      <c r="LLM698" s="524"/>
      <c r="LLN698" s="524"/>
      <c r="LLO698" s="524"/>
      <c r="LLP698" s="524"/>
      <c r="LLQ698" s="524"/>
      <c r="LLR698" s="524"/>
      <c r="LLS698" s="524"/>
      <c r="LLT698" s="524"/>
      <c r="LLU698" s="524"/>
      <c r="LLV698" s="524"/>
      <c r="LLW698" s="524"/>
      <c r="LLX698" s="524"/>
      <c r="LLY698" s="524"/>
      <c r="LLZ698" s="524"/>
      <c r="LMA698" s="524"/>
      <c r="LMB698" s="524"/>
      <c r="LMC698" s="524"/>
      <c r="LMD698" s="524"/>
      <c r="LME698" s="524"/>
      <c r="LMF698" s="524"/>
      <c r="LMG698" s="524"/>
      <c r="LMH698" s="524"/>
      <c r="LMI698" s="524"/>
      <c r="LMJ698" s="524"/>
      <c r="LMK698" s="524"/>
      <c r="LML698" s="524"/>
      <c r="LMM698" s="524"/>
      <c r="LMN698" s="524"/>
      <c r="LMO698" s="524"/>
      <c r="LMP698" s="524"/>
      <c r="LMQ698" s="524"/>
      <c r="LMR698" s="524"/>
      <c r="LMS698" s="524"/>
      <c r="LMT698" s="524"/>
      <c r="LMU698" s="524"/>
      <c r="LMV698" s="524"/>
      <c r="LMW698" s="524"/>
      <c r="LMX698" s="524"/>
      <c r="LMY698" s="524"/>
      <c r="LMZ698" s="524"/>
      <c r="LNA698" s="524"/>
      <c r="LNB698" s="524"/>
      <c r="LNC698" s="524"/>
      <c r="LND698" s="524"/>
      <c r="LNE698" s="524"/>
      <c r="LNF698" s="524"/>
      <c r="LNG698" s="524"/>
      <c r="LNH698" s="524"/>
      <c r="LNI698" s="524"/>
      <c r="LNJ698" s="524"/>
      <c r="LNK698" s="524"/>
      <c r="LNL698" s="524"/>
      <c r="LNM698" s="524"/>
      <c r="LNN698" s="524"/>
      <c r="LNO698" s="524"/>
      <c r="LNP698" s="524"/>
      <c r="LNQ698" s="524"/>
      <c r="LNR698" s="524"/>
      <c r="LNS698" s="524"/>
      <c r="LNT698" s="524"/>
      <c r="LNU698" s="524"/>
      <c r="LNV698" s="524"/>
      <c r="LNW698" s="524"/>
      <c r="LNX698" s="524"/>
      <c r="LNY698" s="524"/>
      <c r="LNZ698" s="524"/>
      <c r="LOA698" s="524"/>
      <c r="LOB698" s="524"/>
      <c r="LOC698" s="524"/>
      <c r="LOD698" s="524"/>
      <c r="LOE698" s="524"/>
      <c r="LOF698" s="524"/>
      <c r="LOG698" s="524"/>
      <c r="LOH698" s="524"/>
      <c r="LOI698" s="524"/>
      <c r="LOJ698" s="524"/>
      <c r="LOK698" s="524"/>
      <c r="LOL698" s="524"/>
      <c r="LOM698" s="524"/>
      <c r="LON698" s="524"/>
      <c r="LOO698" s="524"/>
      <c r="LOP698" s="524"/>
      <c r="LOQ698" s="524"/>
      <c r="LOR698" s="524"/>
      <c r="LOS698" s="524"/>
      <c r="LOT698" s="524"/>
      <c r="LOU698" s="524"/>
      <c r="LOV698" s="524"/>
      <c r="LOW698" s="524"/>
      <c r="LOX698" s="524"/>
      <c r="LOY698" s="524"/>
      <c r="LOZ698" s="524"/>
      <c r="LPA698" s="524"/>
      <c r="LPB698" s="524"/>
      <c r="LPC698" s="524"/>
      <c r="LPD698" s="524"/>
      <c r="LPE698" s="524"/>
      <c r="LPF698" s="524"/>
      <c r="LPG698" s="524"/>
      <c r="LPH698" s="524"/>
      <c r="LPI698" s="524"/>
      <c r="LPJ698" s="524"/>
      <c r="LPK698" s="524"/>
      <c r="LPL698" s="524"/>
      <c r="LPM698" s="524"/>
      <c r="LPN698" s="524"/>
      <c r="LPO698" s="524"/>
      <c r="LPP698" s="524"/>
      <c r="LPQ698" s="524"/>
      <c r="LPR698" s="524"/>
      <c r="LPS698" s="524"/>
      <c r="LPT698" s="524"/>
      <c r="LPU698" s="524"/>
      <c r="LPV698" s="524"/>
      <c r="LPW698" s="524"/>
      <c r="LPX698" s="524"/>
      <c r="LPY698" s="524"/>
      <c r="LPZ698" s="524"/>
      <c r="LQA698" s="524"/>
      <c r="LQB698" s="524"/>
      <c r="LQC698" s="524"/>
      <c r="LQD698" s="524"/>
      <c r="LQE698" s="524"/>
      <c r="LQF698" s="524"/>
      <c r="LQG698" s="524"/>
      <c r="LQH698" s="524"/>
      <c r="LQI698" s="524"/>
      <c r="LQJ698" s="524"/>
      <c r="LQK698" s="524"/>
      <c r="LQL698" s="524"/>
      <c r="LQM698" s="524"/>
      <c r="LQN698" s="524"/>
      <c r="LQO698" s="524"/>
      <c r="LQP698" s="524"/>
      <c r="LQQ698" s="524"/>
      <c r="LQR698" s="524"/>
      <c r="LQS698" s="524"/>
      <c r="LQT698" s="524"/>
      <c r="LQU698" s="524"/>
      <c r="LQV698" s="524"/>
      <c r="LQW698" s="524"/>
      <c r="LQX698" s="524"/>
      <c r="LQY698" s="524"/>
      <c r="LQZ698" s="524"/>
      <c r="LRA698" s="524"/>
      <c r="LRB698" s="524"/>
      <c r="LRC698" s="524"/>
      <c r="LRD698" s="524"/>
      <c r="LRE698" s="524"/>
      <c r="LRF698" s="524"/>
      <c r="LRG698" s="524"/>
      <c r="LRH698" s="524"/>
      <c r="LRI698" s="524"/>
      <c r="LRJ698" s="524"/>
      <c r="LRK698" s="524"/>
      <c r="LRL698" s="524"/>
      <c r="LRM698" s="524"/>
      <c r="LRN698" s="524"/>
      <c r="LRO698" s="524"/>
      <c r="LRP698" s="524"/>
      <c r="LRQ698" s="524"/>
      <c r="LRR698" s="524"/>
      <c r="LRS698" s="524"/>
      <c r="LRT698" s="524"/>
      <c r="LRU698" s="524"/>
      <c r="LRV698" s="524"/>
      <c r="LRW698" s="524"/>
      <c r="LRX698" s="524"/>
      <c r="LRY698" s="524"/>
      <c r="LRZ698" s="524"/>
      <c r="LSA698" s="524"/>
      <c r="LSB698" s="524"/>
      <c r="LSC698" s="524"/>
      <c r="LSD698" s="524"/>
      <c r="LSE698" s="524"/>
      <c r="LSF698" s="524"/>
      <c r="LSG698" s="524"/>
      <c r="LSH698" s="524"/>
      <c r="LSI698" s="524"/>
      <c r="LSJ698" s="524"/>
      <c r="LSK698" s="524"/>
      <c r="LSL698" s="524"/>
      <c r="LSM698" s="524"/>
      <c r="LSN698" s="524"/>
      <c r="LSO698" s="524"/>
      <c r="LSP698" s="524"/>
      <c r="LSQ698" s="524"/>
      <c r="LSR698" s="524"/>
      <c r="LSS698" s="524"/>
      <c r="LST698" s="524"/>
      <c r="LSU698" s="524"/>
      <c r="LSV698" s="524"/>
      <c r="LSW698" s="524"/>
      <c r="LSX698" s="524"/>
      <c r="LSY698" s="524"/>
      <c r="LSZ698" s="524"/>
      <c r="LTA698" s="524"/>
      <c r="LTB698" s="524"/>
      <c r="LTC698" s="524"/>
      <c r="LTD698" s="524"/>
      <c r="LTE698" s="524"/>
      <c r="LTF698" s="524"/>
      <c r="LTG698" s="524"/>
      <c r="LTH698" s="524"/>
      <c r="LTI698" s="524"/>
      <c r="LTJ698" s="524"/>
      <c r="LTK698" s="524"/>
      <c r="LTL698" s="524"/>
      <c r="LTM698" s="524"/>
      <c r="LTN698" s="524"/>
      <c r="LTO698" s="524"/>
      <c r="LTP698" s="524"/>
      <c r="LTQ698" s="524"/>
      <c r="LTR698" s="524"/>
      <c r="LTS698" s="524"/>
      <c r="LTT698" s="524"/>
      <c r="LTU698" s="524"/>
      <c r="LTV698" s="524"/>
      <c r="LTW698" s="524"/>
      <c r="LTX698" s="524"/>
      <c r="LTY698" s="524"/>
      <c r="LTZ698" s="524"/>
      <c r="LUA698" s="524"/>
      <c r="LUB698" s="524"/>
      <c r="LUC698" s="524"/>
      <c r="LUD698" s="524"/>
      <c r="LUE698" s="524"/>
      <c r="LUF698" s="524"/>
      <c r="LUG698" s="524"/>
      <c r="LUH698" s="524"/>
      <c r="LUI698" s="524"/>
      <c r="LUJ698" s="524"/>
      <c r="LUK698" s="524"/>
      <c r="LUL698" s="524"/>
      <c r="LUM698" s="524"/>
      <c r="LUN698" s="524"/>
      <c r="LUO698" s="524"/>
      <c r="LUP698" s="524"/>
      <c r="LUQ698" s="524"/>
      <c r="LUR698" s="524"/>
      <c r="LUS698" s="524"/>
      <c r="LUT698" s="524"/>
      <c r="LUU698" s="524"/>
      <c r="LUV698" s="524"/>
      <c r="LUW698" s="524"/>
      <c r="LUX698" s="524"/>
      <c r="LUY698" s="524"/>
      <c r="LUZ698" s="524"/>
      <c r="LVA698" s="524"/>
      <c r="LVB698" s="524"/>
      <c r="LVC698" s="524"/>
      <c r="LVD698" s="524"/>
      <c r="LVE698" s="524"/>
      <c r="LVF698" s="524"/>
      <c r="LVG698" s="524"/>
      <c r="LVH698" s="524"/>
      <c r="LVI698" s="524"/>
      <c r="LVJ698" s="524"/>
      <c r="LVK698" s="524"/>
      <c r="LVL698" s="524"/>
      <c r="LVM698" s="524"/>
      <c r="LVN698" s="524"/>
      <c r="LVO698" s="524"/>
      <c r="LVP698" s="524"/>
      <c r="LVQ698" s="524"/>
      <c r="LVR698" s="524"/>
      <c r="LVS698" s="524"/>
      <c r="LVT698" s="524"/>
      <c r="LVU698" s="524"/>
      <c r="LVV698" s="524"/>
      <c r="LVW698" s="524"/>
      <c r="LVX698" s="524"/>
      <c r="LVY698" s="524"/>
      <c r="LVZ698" s="524"/>
      <c r="LWA698" s="524"/>
      <c r="LWB698" s="524"/>
      <c r="LWC698" s="524"/>
      <c r="LWD698" s="524"/>
      <c r="LWE698" s="524"/>
      <c r="LWF698" s="524"/>
      <c r="LWG698" s="524"/>
      <c r="LWH698" s="524"/>
      <c r="LWI698" s="524"/>
      <c r="LWJ698" s="524"/>
      <c r="LWK698" s="524"/>
      <c r="LWL698" s="524"/>
      <c r="LWM698" s="524"/>
      <c r="LWN698" s="524"/>
      <c r="LWO698" s="524"/>
      <c r="LWP698" s="524"/>
      <c r="LWQ698" s="524"/>
      <c r="LWR698" s="524"/>
      <c r="LWS698" s="524"/>
      <c r="LWT698" s="524"/>
      <c r="LWU698" s="524"/>
      <c r="LWV698" s="524"/>
      <c r="LWW698" s="524"/>
      <c r="LWX698" s="524"/>
      <c r="LWY698" s="524"/>
      <c r="LWZ698" s="524"/>
      <c r="LXA698" s="524"/>
      <c r="LXB698" s="524"/>
      <c r="LXC698" s="524"/>
      <c r="LXD698" s="524"/>
      <c r="LXE698" s="524"/>
      <c r="LXF698" s="524"/>
      <c r="LXG698" s="524"/>
      <c r="LXH698" s="524"/>
      <c r="LXI698" s="524"/>
      <c r="LXJ698" s="524"/>
      <c r="LXK698" s="524"/>
      <c r="LXL698" s="524"/>
      <c r="LXM698" s="524"/>
      <c r="LXN698" s="524"/>
      <c r="LXO698" s="524"/>
      <c r="LXP698" s="524"/>
      <c r="LXQ698" s="524"/>
      <c r="LXR698" s="524"/>
      <c r="LXS698" s="524"/>
      <c r="LXT698" s="524"/>
      <c r="LXU698" s="524"/>
      <c r="LXV698" s="524"/>
      <c r="LXW698" s="524"/>
      <c r="LXX698" s="524"/>
      <c r="LXY698" s="524"/>
      <c r="LXZ698" s="524"/>
      <c r="LYA698" s="524"/>
      <c r="LYB698" s="524"/>
      <c r="LYC698" s="524"/>
      <c r="LYD698" s="524"/>
      <c r="LYE698" s="524"/>
      <c r="LYF698" s="524"/>
      <c r="LYG698" s="524"/>
      <c r="LYH698" s="524"/>
      <c r="LYI698" s="524"/>
      <c r="LYJ698" s="524"/>
      <c r="LYK698" s="524"/>
      <c r="LYL698" s="524"/>
      <c r="LYM698" s="524"/>
      <c r="LYN698" s="524"/>
      <c r="LYO698" s="524"/>
      <c r="LYP698" s="524"/>
      <c r="LYQ698" s="524"/>
      <c r="LYR698" s="524"/>
      <c r="LYS698" s="524"/>
      <c r="LYT698" s="524"/>
      <c r="LYU698" s="524"/>
      <c r="LYV698" s="524"/>
      <c r="LYW698" s="524"/>
      <c r="LYX698" s="524"/>
      <c r="LYY698" s="524"/>
      <c r="LYZ698" s="524"/>
      <c r="LZA698" s="524"/>
      <c r="LZB698" s="524"/>
      <c r="LZC698" s="524"/>
      <c r="LZD698" s="524"/>
      <c r="LZE698" s="524"/>
      <c r="LZF698" s="524"/>
      <c r="LZG698" s="524"/>
      <c r="LZH698" s="524"/>
      <c r="LZI698" s="524"/>
      <c r="LZJ698" s="524"/>
      <c r="LZK698" s="524"/>
      <c r="LZL698" s="524"/>
      <c r="LZM698" s="524"/>
      <c r="LZN698" s="524"/>
      <c r="LZO698" s="524"/>
      <c r="LZP698" s="524"/>
      <c r="LZQ698" s="524"/>
      <c r="LZR698" s="524"/>
      <c r="LZS698" s="524"/>
      <c r="LZT698" s="524"/>
      <c r="LZU698" s="524"/>
      <c r="LZV698" s="524"/>
      <c r="LZW698" s="524"/>
      <c r="LZX698" s="524"/>
      <c r="LZY698" s="524"/>
      <c r="LZZ698" s="524"/>
      <c r="MAA698" s="524"/>
      <c r="MAB698" s="524"/>
      <c r="MAC698" s="524"/>
      <c r="MAD698" s="524"/>
      <c r="MAE698" s="524"/>
      <c r="MAF698" s="524"/>
      <c r="MAG698" s="524"/>
      <c r="MAH698" s="524"/>
      <c r="MAI698" s="524"/>
      <c r="MAJ698" s="524"/>
      <c r="MAK698" s="524"/>
      <c r="MAL698" s="524"/>
      <c r="MAM698" s="524"/>
      <c r="MAN698" s="524"/>
      <c r="MAO698" s="524"/>
      <c r="MAP698" s="524"/>
      <c r="MAQ698" s="524"/>
      <c r="MAR698" s="524"/>
      <c r="MAS698" s="524"/>
      <c r="MAT698" s="524"/>
      <c r="MAU698" s="524"/>
      <c r="MAV698" s="524"/>
      <c r="MAW698" s="524"/>
      <c r="MAX698" s="524"/>
      <c r="MAY698" s="524"/>
      <c r="MAZ698" s="524"/>
      <c r="MBA698" s="524"/>
      <c r="MBB698" s="524"/>
      <c r="MBC698" s="524"/>
      <c r="MBD698" s="524"/>
      <c r="MBE698" s="524"/>
      <c r="MBF698" s="524"/>
      <c r="MBG698" s="524"/>
      <c r="MBH698" s="524"/>
      <c r="MBI698" s="524"/>
      <c r="MBJ698" s="524"/>
      <c r="MBK698" s="524"/>
      <c r="MBL698" s="524"/>
      <c r="MBM698" s="524"/>
      <c r="MBN698" s="524"/>
      <c r="MBO698" s="524"/>
      <c r="MBP698" s="524"/>
      <c r="MBQ698" s="524"/>
      <c r="MBR698" s="524"/>
      <c r="MBS698" s="524"/>
      <c r="MBT698" s="524"/>
      <c r="MBU698" s="524"/>
      <c r="MBV698" s="524"/>
      <c r="MBW698" s="524"/>
      <c r="MBX698" s="524"/>
      <c r="MBY698" s="524"/>
      <c r="MBZ698" s="524"/>
      <c r="MCA698" s="524"/>
      <c r="MCB698" s="524"/>
      <c r="MCC698" s="524"/>
      <c r="MCD698" s="524"/>
      <c r="MCE698" s="524"/>
      <c r="MCF698" s="524"/>
      <c r="MCG698" s="524"/>
      <c r="MCH698" s="524"/>
      <c r="MCI698" s="524"/>
      <c r="MCJ698" s="524"/>
      <c r="MCK698" s="524"/>
      <c r="MCL698" s="524"/>
      <c r="MCM698" s="524"/>
      <c r="MCN698" s="524"/>
      <c r="MCO698" s="524"/>
      <c r="MCP698" s="524"/>
      <c r="MCQ698" s="524"/>
      <c r="MCR698" s="524"/>
      <c r="MCS698" s="524"/>
      <c r="MCT698" s="524"/>
      <c r="MCU698" s="524"/>
      <c r="MCV698" s="524"/>
      <c r="MCW698" s="524"/>
      <c r="MCX698" s="524"/>
      <c r="MCY698" s="524"/>
      <c r="MCZ698" s="524"/>
      <c r="MDA698" s="524"/>
      <c r="MDB698" s="524"/>
      <c r="MDC698" s="524"/>
      <c r="MDD698" s="524"/>
      <c r="MDE698" s="524"/>
      <c r="MDF698" s="524"/>
      <c r="MDG698" s="524"/>
      <c r="MDH698" s="524"/>
      <c r="MDI698" s="524"/>
      <c r="MDJ698" s="524"/>
      <c r="MDK698" s="524"/>
      <c r="MDL698" s="524"/>
      <c r="MDM698" s="524"/>
      <c r="MDN698" s="524"/>
      <c r="MDO698" s="524"/>
      <c r="MDP698" s="524"/>
      <c r="MDQ698" s="524"/>
      <c r="MDR698" s="524"/>
      <c r="MDS698" s="524"/>
      <c r="MDT698" s="524"/>
      <c r="MDU698" s="524"/>
      <c r="MDV698" s="524"/>
      <c r="MDW698" s="524"/>
      <c r="MDX698" s="524"/>
      <c r="MDY698" s="524"/>
      <c r="MDZ698" s="524"/>
      <c r="MEA698" s="524"/>
      <c r="MEB698" s="524"/>
      <c r="MEC698" s="524"/>
      <c r="MED698" s="524"/>
      <c r="MEE698" s="524"/>
      <c r="MEF698" s="524"/>
      <c r="MEG698" s="524"/>
      <c r="MEH698" s="524"/>
      <c r="MEI698" s="524"/>
      <c r="MEJ698" s="524"/>
      <c r="MEK698" s="524"/>
      <c r="MEL698" s="524"/>
      <c r="MEM698" s="524"/>
      <c r="MEN698" s="524"/>
      <c r="MEO698" s="524"/>
      <c r="MEP698" s="524"/>
      <c r="MEQ698" s="524"/>
      <c r="MER698" s="524"/>
      <c r="MES698" s="524"/>
      <c r="MET698" s="524"/>
      <c r="MEU698" s="524"/>
      <c r="MEV698" s="524"/>
      <c r="MEW698" s="524"/>
      <c r="MEX698" s="524"/>
      <c r="MEY698" s="524"/>
      <c r="MEZ698" s="524"/>
      <c r="MFA698" s="524"/>
      <c r="MFB698" s="524"/>
      <c r="MFC698" s="524"/>
      <c r="MFD698" s="524"/>
      <c r="MFE698" s="524"/>
      <c r="MFF698" s="524"/>
      <c r="MFG698" s="524"/>
      <c r="MFH698" s="524"/>
      <c r="MFI698" s="524"/>
      <c r="MFJ698" s="524"/>
      <c r="MFK698" s="524"/>
      <c r="MFL698" s="524"/>
      <c r="MFM698" s="524"/>
      <c r="MFN698" s="524"/>
      <c r="MFO698" s="524"/>
      <c r="MFP698" s="524"/>
      <c r="MFQ698" s="524"/>
      <c r="MFR698" s="524"/>
      <c r="MFS698" s="524"/>
      <c r="MFT698" s="524"/>
      <c r="MFU698" s="524"/>
      <c r="MFV698" s="524"/>
      <c r="MFW698" s="524"/>
      <c r="MFX698" s="524"/>
      <c r="MFY698" s="524"/>
      <c r="MFZ698" s="524"/>
      <c r="MGA698" s="524"/>
      <c r="MGB698" s="524"/>
      <c r="MGC698" s="524"/>
      <c r="MGD698" s="524"/>
      <c r="MGE698" s="524"/>
      <c r="MGF698" s="524"/>
      <c r="MGG698" s="524"/>
      <c r="MGH698" s="524"/>
      <c r="MGI698" s="524"/>
      <c r="MGJ698" s="524"/>
      <c r="MGK698" s="524"/>
      <c r="MGL698" s="524"/>
      <c r="MGM698" s="524"/>
      <c r="MGN698" s="524"/>
      <c r="MGO698" s="524"/>
      <c r="MGP698" s="524"/>
      <c r="MGQ698" s="524"/>
      <c r="MGR698" s="524"/>
      <c r="MGS698" s="524"/>
      <c r="MGT698" s="524"/>
      <c r="MGU698" s="524"/>
      <c r="MGV698" s="524"/>
      <c r="MGW698" s="524"/>
      <c r="MGX698" s="524"/>
      <c r="MGY698" s="524"/>
      <c r="MGZ698" s="524"/>
      <c r="MHA698" s="524"/>
      <c r="MHB698" s="524"/>
      <c r="MHC698" s="524"/>
      <c r="MHD698" s="524"/>
      <c r="MHE698" s="524"/>
      <c r="MHF698" s="524"/>
      <c r="MHG698" s="524"/>
      <c r="MHH698" s="524"/>
      <c r="MHI698" s="524"/>
      <c r="MHJ698" s="524"/>
      <c r="MHK698" s="524"/>
      <c r="MHL698" s="524"/>
      <c r="MHM698" s="524"/>
      <c r="MHN698" s="524"/>
      <c r="MHO698" s="524"/>
      <c r="MHP698" s="524"/>
      <c r="MHQ698" s="524"/>
      <c r="MHR698" s="524"/>
      <c r="MHS698" s="524"/>
      <c r="MHT698" s="524"/>
      <c r="MHU698" s="524"/>
      <c r="MHV698" s="524"/>
      <c r="MHW698" s="524"/>
      <c r="MHX698" s="524"/>
      <c r="MHY698" s="524"/>
      <c r="MHZ698" s="524"/>
      <c r="MIA698" s="524"/>
      <c r="MIB698" s="524"/>
      <c r="MIC698" s="524"/>
      <c r="MID698" s="524"/>
      <c r="MIE698" s="524"/>
      <c r="MIF698" s="524"/>
      <c r="MIG698" s="524"/>
      <c r="MIH698" s="524"/>
      <c r="MII698" s="524"/>
      <c r="MIJ698" s="524"/>
      <c r="MIK698" s="524"/>
      <c r="MIL698" s="524"/>
      <c r="MIM698" s="524"/>
      <c r="MIN698" s="524"/>
      <c r="MIO698" s="524"/>
      <c r="MIP698" s="524"/>
      <c r="MIQ698" s="524"/>
      <c r="MIR698" s="524"/>
      <c r="MIS698" s="524"/>
      <c r="MIT698" s="524"/>
      <c r="MIU698" s="524"/>
      <c r="MIV698" s="524"/>
      <c r="MIW698" s="524"/>
      <c r="MIX698" s="524"/>
      <c r="MIY698" s="524"/>
      <c r="MIZ698" s="524"/>
      <c r="MJA698" s="524"/>
      <c r="MJB698" s="524"/>
      <c r="MJC698" s="524"/>
      <c r="MJD698" s="524"/>
      <c r="MJE698" s="524"/>
      <c r="MJF698" s="524"/>
      <c r="MJG698" s="524"/>
      <c r="MJH698" s="524"/>
      <c r="MJI698" s="524"/>
      <c r="MJJ698" s="524"/>
      <c r="MJK698" s="524"/>
      <c r="MJL698" s="524"/>
      <c r="MJM698" s="524"/>
      <c r="MJN698" s="524"/>
      <c r="MJO698" s="524"/>
      <c r="MJP698" s="524"/>
      <c r="MJQ698" s="524"/>
      <c r="MJR698" s="524"/>
      <c r="MJS698" s="524"/>
      <c r="MJT698" s="524"/>
      <c r="MJU698" s="524"/>
      <c r="MJV698" s="524"/>
      <c r="MJW698" s="524"/>
      <c r="MJX698" s="524"/>
      <c r="MJY698" s="524"/>
      <c r="MJZ698" s="524"/>
      <c r="MKA698" s="524"/>
      <c r="MKB698" s="524"/>
      <c r="MKC698" s="524"/>
      <c r="MKD698" s="524"/>
      <c r="MKE698" s="524"/>
      <c r="MKF698" s="524"/>
      <c r="MKG698" s="524"/>
      <c r="MKH698" s="524"/>
      <c r="MKI698" s="524"/>
      <c r="MKJ698" s="524"/>
      <c r="MKK698" s="524"/>
      <c r="MKL698" s="524"/>
      <c r="MKM698" s="524"/>
      <c r="MKN698" s="524"/>
      <c r="MKO698" s="524"/>
      <c r="MKP698" s="524"/>
      <c r="MKQ698" s="524"/>
      <c r="MKR698" s="524"/>
      <c r="MKS698" s="524"/>
      <c r="MKT698" s="524"/>
      <c r="MKU698" s="524"/>
      <c r="MKV698" s="524"/>
      <c r="MKW698" s="524"/>
      <c r="MKX698" s="524"/>
      <c r="MKY698" s="524"/>
      <c r="MKZ698" s="524"/>
      <c r="MLA698" s="524"/>
      <c r="MLB698" s="524"/>
      <c r="MLC698" s="524"/>
      <c r="MLD698" s="524"/>
      <c r="MLE698" s="524"/>
      <c r="MLF698" s="524"/>
      <c r="MLG698" s="524"/>
      <c r="MLH698" s="524"/>
      <c r="MLI698" s="524"/>
      <c r="MLJ698" s="524"/>
      <c r="MLK698" s="524"/>
      <c r="MLL698" s="524"/>
      <c r="MLM698" s="524"/>
      <c r="MLN698" s="524"/>
      <c r="MLO698" s="524"/>
      <c r="MLP698" s="524"/>
      <c r="MLQ698" s="524"/>
      <c r="MLR698" s="524"/>
      <c r="MLS698" s="524"/>
      <c r="MLT698" s="524"/>
      <c r="MLU698" s="524"/>
      <c r="MLV698" s="524"/>
      <c r="MLW698" s="524"/>
      <c r="MLX698" s="524"/>
      <c r="MLY698" s="524"/>
      <c r="MLZ698" s="524"/>
      <c r="MMA698" s="524"/>
      <c r="MMB698" s="524"/>
      <c r="MMC698" s="524"/>
      <c r="MMD698" s="524"/>
      <c r="MME698" s="524"/>
      <c r="MMF698" s="524"/>
      <c r="MMG698" s="524"/>
      <c r="MMH698" s="524"/>
      <c r="MMI698" s="524"/>
      <c r="MMJ698" s="524"/>
      <c r="MMK698" s="524"/>
      <c r="MML698" s="524"/>
      <c r="MMM698" s="524"/>
      <c r="MMN698" s="524"/>
      <c r="MMO698" s="524"/>
      <c r="MMP698" s="524"/>
      <c r="MMQ698" s="524"/>
      <c r="MMR698" s="524"/>
      <c r="MMS698" s="524"/>
      <c r="MMT698" s="524"/>
      <c r="MMU698" s="524"/>
      <c r="MMV698" s="524"/>
      <c r="MMW698" s="524"/>
      <c r="MMX698" s="524"/>
      <c r="MMY698" s="524"/>
      <c r="MMZ698" s="524"/>
      <c r="MNA698" s="524"/>
      <c r="MNB698" s="524"/>
      <c r="MNC698" s="524"/>
      <c r="MND698" s="524"/>
      <c r="MNE698" s="524"/>
      <c r="MNF698" s="524"/>
      <c r="MNG698" s="524"/>
      <c r="MNH698" s="524"/>
      <c r="MNI698" s="524"/>
      <c r="MNJ698" s="524"/>
      <c r="MNK698" s="524"/>
      <c r="MNL698" s="524"/>
      <c r="MNM698" s="524"/>
      <c r="MNN698" s="524"/>
      <c r="MNO698" s="524"/>
      <c r="MNP698" s="524"/>
      <c r="MNQ698" s="524"/>
      <c r="MNR698" s="524"/>
      <c r="MNS698" s="524"/>
      <c r="MNT698" s="524"/>
      <c r="MNU698" s="524"/>
      <c r="MNV698" s="524"/>
      <c r="MNW698" s="524"/>
      <c r="MNX698" s="524"/>
      <c r="MNY698" s="524"/>
      <c r="MNZ698" s="524"/>
      <c r="MOA698" s="524"/>
      <c r="MOB698" s="524"/>
      <c r="MOC698" s="524"/>
      <c r="MOD698" s="524"/>
      <c r="MOE698" s="524"/>
      <c r="MOF698" s="524"/>
      <c r="MOG698" s="524"/>
      <c r="MOH698" s="524"/>
      <c r="MOI698" s="524"/>
      <c r="MOJ698" s="524"/>
      <c r="MOK698" s="524"/>
      <c r="MOL698" s="524"/>
      <c r="MOM698" s="524"/>
      <c r="MON698" s="524"/>
      <c r="MOO698" s="524"/>
      <c r="MOP698" s="524"/>
      <c r="MOQ698" s="524"/>
      <c r="MOR698" s="524"/>
      <c r="MOS698" s="524"/>
      <c r="MOT698" s="524"/>
      <c r="MOU698" s="524"/>
      <c r="MOV698" s="524"/>
      <c r="MOW698" s="524"/>
      <c r="MOX698" s="524"/>
      <c r="MOY698" s="524"/>
      <c r="MOZ698" s="524"/>
      <c r="MPA698" s="524"/>
      <c r="MPB698" s="524"/>
      <c r="MPC698" s="524"/>
      <c r="MPD698" s="524"/>
      <c r="MPE698" s="524"/>
      <c r="MPF698" s="524"/>
      <c r="MPG698" s="524"/>
      <c r="MPH698" s="524"/>
      <c r="MPI698" s="524"/>
      <c r="MPJ698" s="524"/>
      <c r="MPK698" s="524"/>
      <c r="MPL698" s="524"/>
      <c r="MPM698" s="524"/>
      <c r="MPN698" s="524"/>
      <c r="MPO698" s="524"/>
      <c r="MPP698" s="524"/>
      <c r="MPQ698" s="524"/>
      <c r="MPR698" s="524"/>
      <c r="MPS698" s="524"/>
      <c r="MPT698" s="524"/>
      <c r="MPU698" s="524"/>
      <c r="MPV698" s="524"/>
      <c r="MPW698" s="524"/>
      <c r="MPX698" s="524"/>
      <c r="MPY698" s="524"/>
      <c r="MPZ698" s="524"/>
      <c r="MQA698" s="524"/>
      <c r="MQB698" s="524"/>
      <c r="MQC698" s="524"/>
      <c r="MQD698" s="524"/>
      <c r="MQE698" s="524"/>
      <c r="MQF698" s="524"/>
      <c r="MQG698" s="524"/>
      <c r="MQH698" s="524"/>
      <c r="MQI698" s="524"/>
      <c r="MQJ698" s="524"/>
      <c r="MQK698" s="524"/>
      <c r="MQL698" s="524"/>
      <c r="MQM698" s="524"/>
      <c r="MQN698" s="524"/>
      <c r="MQO698" s="524"/>
      <c r="MQP698" s="524"/>
      <c r="MQQ698" s="524"/>
      <c r="MQR698" s="524"/>
      <c r="MQS698" s="524"/>
      <c r="MQT698" s="524"/>
      <c r="MQU698" s="524"/>
      <c r="MQV698" s="524"/>
      <c r="MQW698" s="524"/>
      <c r="MQX698" s="524"/>
      <c r="MQY698" s="524"/>
      <c r="MQZ698" s="524"/>
      <c r="MRA698" s="524"/>
      <c r="MRB698" s="524"/>
      <c r="MRC698" s="524"/>
      <c r="MRD698" s="524"/>
      <c r="MRE698" s="524"/>
      <c r="MRF698" s="524"/>
      <c r="MRG698" s="524"/>
      <c r="MRH698" s="524"/>
      <c r="MRI698" s="524"/>
      <c r="MRJ698" s="524"/>
      <c r="MRK698" s="524"/>
      <c r="MRL698" s="524"/>
      <c r="MRM698" s="524"/>
      <c r="MRN698" s="524"/>
      <c r="MRO698" s="524"/>
      <c r="MRP698" s="524"/>
      <c r="MRQ698" s="524"/>
      <c r="MRR698" s="524"/>
      <c r="MRS698" s="524"/>
      <c r="MRT698" s="524"/>
      <c r="MRU698" s="524"/>
      <c r="MRV698" s="524"/>
      <c r="MRW698" s="524"/>
      <c r="MRX698" s="524"/>
      <c r="MRY698" s="524"/>
      <c r="MRZ698" s="524"/>
      <c r="MSA698" s="524"/>
      <c r="MSB698" s="524"/>
      <c r="MSC698" s="524"/>
      <c r="MSD698" s="524"/>
      <c r="MSE698" s="524"/>
      <c r="MSF698" s="524"/>
      <c r="MSG698" s="524"/>
      <c r="MSH698" s="524"/>
      <c r="MSI698" s="524"/>
      <c r="MSJ698" s="524"/>
      <c r="MSK698" s="524"/>
      <c r="MSL698" s="524"/>
      <c r="MSM698" s="524"/>
      <c r="MSN698" s="524"/>
      <c r="MSO698" s="524"/>
      <c r="MSP698" s="524"/>
      <c r="MSQ698" s="524"/>
      <c r="MSR698" s="524"/>
      <c r="MSS698" s="524"/>
      <c r="MST698" s="524"/>
      <c r="MSU698" s="524"/>
      <c r="MSV698" s="524"/>
      <c r="MSW698" s="524"/>
      <c r="MSX698" s="524"/>
      <c r="MSY698" s="524"/>
      <c r="MSZ698" s="524"/>
      <c r="MTA698" s="524"/>
      <c r="MTB698" s="524"/>
      <c r="MTC698" s="524"/>
      <c r="MTD698" s="524"/>
      <c r="MTE698" s="524"/>
      <c r="MTF698" s="524"/>
      <c r="MTG698" s="524"/>
      <c r="MTH698" s="524"/>
      <c r="MTI698" s="524"/>
      <c r="MTJ698" s="524"/>
      <c r="MTK698" s="524"/>
      <c r="MTL698" s="524"/>
      <c r="MTM698" s="524"/>
      <c r="MTN698" s="524"/>
      <c r="MTO698" s="524"/>
      <c r="MTP698" s="524"/>
      <c r="MTQ698" s="524"/>
      <c r="MTR698" s="524"/>
      <c r="MTS698" s="524"/>
      <c r="MTT698" s="524"/>
      <c r="MTU698" s="524"/>
      <c r="MTV698" s="524"/>
      <c r="MTW698" s="524"/>
      <c r="MTX698" s="524"/>
      <c r="MTY698" s="524"/>
      <c r="MTZ698" s="524"/>
      <c r="MUA698" s="524"/>
      <c r="MUB698" s="524"/>
      <c r="MUC698" s="524"/>
      <c r="MUD698" s="524"/>
      <c r="MUE698" s="524"/>
      <c r="MUF698" s="524"/>
      <c r="MUG698" s="524"/>
      <c r="MUH698" s="524"/>
      <c r="MUI698" s="524"/>
      <c r="MUJ698" s="524"/>
      <c r="MUK698" s="524"/>
      <c r="MUL698" s="524"/>
      <c r="MUM698" s="524"/>
      <c r="MUN698" s="524"/>
      <c r="MUO698" s="524"/>
      <c r="MUP698" s="524"/>
      <c r="MUQ698" s="524"/>
      <c r="MUR698" s="524"/>
      <c r="MUS698" s="524"/>
      <c r="MUT698" s="524"/>
      <c r="MUU698" s="524"/>
      <c r="MUV698" s="524"/>
      <c r="MUW698" s="524"/>
      <c r="MUX698" s="524"/>
      <c r="MUY698" s="524"/>
      <c r="MUZ698" s="524"/>
      <c r="MVA698" s="524"/>
      <c r="MVB698" s="524"/>
      <c r="MVC698" s="524"/>
      <c r="MVD698" s="524"/>
      <c r="MVE698" s="524"/>
      <c r="MVF698" s="524"/>
      <c r="MVG698" s="524"/>
      <c r="MVH698" s="524"/>
      <c r="MVI698" s="524"/>
      <c r="MVJ698" s="524"/>
      <c r="MVK698" s="524"/>
      <c r="MVL698" s="524"/>
      <c r="MVM698" s="524"/>
      <c r="MVN698" s="524"/>
      <c r="MVO698" s="524"/>
      <c r="MVP698" s="524"/>
      <c r="MVQ698" s="524"/>
      <c r="MVR698" s="524"/>
      <c r="MVS698" s="524"/>
      <c r="MVT698" s="524"/>
      <c r="MVU698" s="524"/>
      <c r="MVV698" s="524"/>
      <c r="MVW698" s="524"/>
      <c r="MVX698" s="524"/>
      <c r="MVY698" s="524"/>
      <c r="MVZ698" s="524"/>
      <c r="MWA698" s="524"/>
      <c r="MWB698" s="524"/>
      <c r="MWC698" s="524"/>
      <c r="MWD698" s="524"/>
      <c r="MWE698" s="524"/>
      <c r="MWF698" s="524"/>
      <c r="MWG698" s="524"/>
      <c r="MWH698" s="524"/>
      <c r="MWI698" s="524"/>
      <c r="MWJ698" s="524"/>
      <c r="MWK698" s="524"/>
      <c r="MWL698" s="524"/>
      <c r="MWM698" s="524"/>
      <c r="MWN698" s="524"/>
      <c r="MWO698" s="524"/>
      <c r="MWP698" s="524"/>
      <c r="MWQ698" s="524"/>
      <c r="MWR698" s="524"/>
      <c r="MWS698" s="524"/>
      <c r="MWT698" s="524"/>
      <c r="MWU698" s="524"/>
      <c r="MWV698" s="524"/>
      <c r="MWW698" s="524"/>
      <c r="MWX698" s="524"/>
      <c r="MWY698" s="524"/>
      <c r="MWZ698" s="524"/>
      <c r="MXA698" s="524"/>
      <c r="MXB698" s="524"/>
      <c r="MXC698" s="524"/>
      <c r="MXD698" s="524"/>
      <c r="MXE698" s="524"/>
      <c r="MXF698" s="524"/>
      <c r="MXG698" s="524"/>
      <c r="MXH698" s="524"/>
      <c r="MXI698" s="524"/>
      <c r="MXJ698" s="524"/>
      <c r="MXK698" s="524"/>
      <c r="MXL698" s="524"/>
      <c r="MXM698" s="524"/>
      <c r="MXN698" s="524"/>
      <c r="MXO698" s="524"/>
      <c r="MXP698" s="524"/>
      <c r="MXQ698" s="524"/>
      <c r="MXR698" s="524"/>
      <c r="MXS698" s="524"/>
      <c r="MXT698" s="524"/>
      <c r="MXU698" s="524"/>
      <c r="MXV698" s="524"/>
      <c r="MXW698" s="524"/>
      <c r="MXX698" s="524"/>
      <c r="MXY698" s="524"/>
      <c r="MXZ698" s="524"/>
      <c r="MYA698" s="524"/>
      <c r="MYB698" s="524"/>
      <c r="MYC698" s="524"/>
      <c r="MYD698" s="524"/>
      <c r="MYE698" s="524"/>
      <c r="MYF698" s="524"/>
      <c r="MYG698" s="524"/>
      <c r="MYH698" s="524"/>
      <c r="MYI698" s="524"/>
      <c r="MYJ698" s="524"/>
      <c r="MYK698" s="524"/>
      <c r="MYL698" s="524"/>
      <c r="MYM698" s="524"/>
      <c r="MYN698" s="524"/>
      <c r="MYO698" s="524"/>
      <c r="MYP698" s="524"/>
      <c r="MYQ698" s="524"/>
      <c r="MYR698" s="524"/>
      <c r="MYS698" s="524"/>
      <c r="MYT698" s="524"/>
      <c r="MYU698" s="524"/>
      <c r="MYV698" s="524"/>
      <c r="MYW698" s="524"/>
      <c r="MYX698" s="524"/>
      <c r="MYY698" s="524"/>
      <c r="MYZ698" s="524"/>
      <c r="MZA698" s="524"/>
      <c r="MZB698" s="524"/>
      <c r="MZC698" s="524"/>
      <c r="MZD698" s="524"/>
      <c r="MZE698" s="524"/>
      <c r="MZF698" s="524"/>
      <c r="MZG698" s="524"/>
      <c r="MZH698" s="524"/>
      <c r="MZI698" s="524"/>
      <c r="MZJ698" s="524"/>
      <c r="MZK698" s="524"/>
      <c r="MZL698" s="524"/>
      <c r="MZM698" s="524"/>
      <c r="MZN698" s="524"/>
      <c r="MZO698" s="524"/>
      <c r="MZP698" s="524"/>
      <c r="MZQ698" s="524"/>
      <c r="MZR698" s="524"/>
      <c r="MZS698" s="524"/>
      <c r="MZT698" s="524"/>
      <c r="MZU698" s="524"/>
      <c r="MZV698" s="524"/>
      <c r="MZW698" s="524"/>
      <c r="MZX698" s="524"/>
      <c r="MZY698" s="524"/>
      <c r="MZZ698" s="524"/>
      <c r="NAA698" s="524"/>
      <c r="NAB698" s="524"/>
      <c r="NAC698" s="524"/>
      <c r="NAD698" s="524"/>
      <c r="NAE698" s="524"/>
      <c r="NAF698" s="524"/>
      <c r="NAG698" s="524"/>
      <c r="NAH698" s="524"/>
      <c r="NAI698" s="524"/>
      <c r="NAJ698" s="524"/>
      <c r="NAK698" s="524"/>
      <c r="NAL698" s="524"/>
      <c r="NAM698" s="524"/>
      <c r="NAN698" s="524"/>
      <c r="NAO698" s="524"/>
      <c r="NAP698" s="524"/>
      <c r="NAQ698" s="524"/>
      <c r="NAR698" s="524"/>
      <c r="NAS698" s="524"/>
      <c r="NAT698" s="524"/>
      <c r="NAU698" s="524"/>
      <c r="NAV698" s="524"/>
      <c r="NAW698" s="524"/>
      <c r="NAX698" s="524"/>
      <c r="NAY698" s="524"/>
      <c r="NAZ698" s="524"/>
      <c r="NBA698" s="524"/>
      <c r="NBB698" s="524"/>
      <c r="NBC698" s="524"/>
      <c r="NBD698" s="524"/>
      <c r="NBE698" s="524"/>
      <c r="NBF698" s="524"/>
      <c r="NBG698" s="524"/>
      <c r="NBH698" s="524"/>
      <c r="NBI698" s="524"/>
      <c r="NBJ698" s="524"/>
      <c r="NBK698" s="524"/>
      <c r="NBL698" s="524"/>
      <c r="NBM698" s="524"/>
      <c r="NBN698" s="524"/>
      <c r="NBO698" s="524"/>
      <c r="NBP698" s="524"/>
      <c r="NBQ698" s="524"/>
      <c r="NBR698" s="524"/>
      <c r="NBS698" s="524"/>
      <c r="NBT698" s="524"/>
      <c r="NBU698" s="524"/>
      <c r="NBV698" s="524"/>
      <c r="NBW698" s="524"/>
      <c r="NBX698" s="524"/>
      <c r="NBY698" s="524"/>
      <c r="NBZ698" s="524"/>
      <c r="NCA698" s="524"/>
      <c r="NCB698" s="524"/>
      <c r="NCC698" s="524"/>
      <c r="NCD698" s="524"/>
      <c r="NCE698" s="524"/>
      <c r="NCF698" s="524"/>
      <c r="NCG698" s="524"/>
      <c r="NCH698" s="524"/>
      <c r="NCI698" s="524"/>
      <c r="NCJ698" s="524"/>
      <c r="NCK698" s="524"/>
      <c r="NCL698" s="524"/>
      <c r="NCM698" s="524"/>
      <c r="NCN698" s="524"/>
      <c r="NCO698" s="524"/>
      <c r="NCP698" s="524"/>
      <c r="NCQ698" s="524"/>
      <c r="NCR698" s="524"/>
      <c r="NCS698" s="524"/>
      <c r="NCT698" s="524"/>
      <c r="NCU698" s="524"/>
      <c r="NCV698" s="524"/>
      <c r="NCW698" s="524"/>
      <c r="NCX698" s="524"/>
      <c r="NCY698" s="524"/>
      <c r="NCZ698" s="524"/>
      <c r="NDA698" s="524"/>
      <c r="NDB698" s="524"/>
      <c r="NDC698" s="524"/>
      <c r="NDD698" s="524"/>
      <c r="NDE698" s="524"/>
      <c r="NDF698" s="524"/>
      <c r="NDG698" s="524"/>
      <c r="NDH698" s="524"/>
      <c r="NDI698" s="524"/>
      <c r="NDJ698" s="524"/>
      <c r="NDK698" s="524"/>
      <c r="NDL698" s="524"/>
      <c r="NDM698" s="524"/>
      <c r="NDN698" s="524"/>
      <c r="NDO698" s="524"/>
      <c r="NDP698" s="524"/>
      <c r="NDQ698" s="524"/>
      <c r="NDR698" s="524"/>
      <c r="NDS698" s="524"/>
      <c r="NDT698" s="524"/>
      <c r="NDU698" s="524"/>
      <c r="NDV698" s="524"/>
      <c r="NDW698" s="524"/>
      <c r="NDX698" s="524"/>
      <c r="NDY698" s="524"/>
      <c r="NDZ698" s="524"/>
      <c r="NEA698" s="524"/>
      <c r="NEB698" s="524"/>
      <c r="NEC698" s="524"/>
      <c r="NED698" s="524"/>
      <c r="NEE698" s="524"/>
      <c r="NEF698" s="524"/>
      <c r="NEG698" s="524"/>
      <c r="NEH698" s="524"/>
      <c r="NEI698" s="524"/>
      <c r="NEJ698" s="524"/>
      <c r="NEK698" s="524"/>
      <c r="NEL698" s="524"/>
      <c r="NEM698" s="524"/>
      <c r="NEN698" s="524"/>
      <c r="NEO698" s="524"/>
      <c r="NEP698" s="524"/>
      <c r="NEQ698" s="524"/>
      <c r="NER698" s="524"/>
      <c r="NES698" s="524"/>
      <c r="NET698" s="524"/>
      <c r="NEU698" s="524"/>
      <c r="NEV698" s="524"/>
      <c r="NEW698" s="524"/>
      <c r="NEX698" s="524"/>
      <c r="NEY698" s="524"/>
      <c r="NEZ698" s="524"/>
      <c r="NFA698" s="524"/>
      <c r="NFB698" s="524"/>
      <c r="NFC698" s="524"/>
      <c r="NFD698" s="524"/>
      <c r="NFE698" s="524"/>
      <c r="NFF698" s="524"/>
      <c r="NFG698" s="524"/>
      <c r="NFH698" s="524"/>
      <c r="NFI698" s="524"/>
      <c r="NFJ698" s="524"/>
      <c r="NFK698" s="524"/>
      <c r="NFL698" s="524"/>
      <c r="NFM698" s="524"/>
      <c r="NFN698" s="524"/>
      <c r="NFO698" s="524"/>
      <c r="NFP698" s="524"/>
      <c r="NFQ698" s="524"/>
      <c r="NFR698" s="524"/>
      <c r="NFS698" s="524"/>
      <c r="NFT698" s="524"/>
      <c r="NFU698" s="524"/>
      <c r="NFV698" s="524"/>
      <c r="NFW698" s="524"/>
      <c r="NFX698" s="524"/>
      <c r="NFY698" s="524"/>
      <c r="NFZ698" s="524"/>
      <c r="NGA698" s="524"/>
      <c r="NGB698" s="524"/>
      <c r="NGC698" s="524"/>
      <c r="NGD698" s="524"/>
      <c r="NGE698" s="524"/>
      <c r="NGF698" s="524"/>
      <c r="NGG698" s="524"/>
      <c r="NGH698" s="524"/>
      <c r="NGI698" s="524"/>
      <c r="NGJ698" s="524"/>
      <c r="NGK698" s="524"/>
      <c r="NGL698" s="524"/>
      <c r="NGM698" s="524"/>
      <c r="NGN698" s="524"/>
      <c r="NGO698" s="524"/>
      <c r="NGP698" s="524"/>
      <c r="NGQ698" s="524"/>
      <c r="NGR698" s="524"/>
      <c r="NGS698" s="524"/>
      <c r="NGT698" s="524"/>
      <c r="NGU698" s="524"/>
      <c r="NGV698" s="524"/>
      <c r="NGW698" s="524"/>
      <c r="NGX698" s="524"/>
      <c r="NGY698" s="524"/>
      <c r="NGZ698" s="524"/>
      <c r="NHA698" s="524"/>
      <c r="NHB698" s="524"/>
      <c r="NHC698" s="524"/>
      <c r="NHD698" s="524"/>
      <c r="NHE698" s="524"/>
      <c r="NHF698" s="524"/>
      <c r="NHG698" s="524"/>
      <c r="NHH698" s="524"/>
      <c r="NHI698" s="524"/>
      <c r="NHJ698" s="524"/>
      <c r="NHK698" s="524"/>
      <c r="NHL698" s="524"/>
      <c r="NHM698" s="524"/>
      <c r="NHN698" s="524"/>
      <c r="NHO698" s="524"/>
      <c r="NHP698" s="524"/>
      <c r="NHQ698" s="524"/>
      <c r="NHR698" s="524"/>
      <c r="NHS698" s="524"/>
      <c r="NHT698" s="524"/>
      <c r="NHU698" s="524"/>
      <c r="NHV698" s="524"/>
      <c r="NHW698" s="524"/>
      <c r="NHX698" s="524"/>
      <c r="NHY698" s="524"/>
      <c r="NHZ698" s="524"/>
      <c r="NIA698" s="524"/>
      <c r="NIB698" s="524"/>
      <c r="NIC698" s="524"/>
      <c r="NID698" s="524"/>
      <c r="NIE698" s="524"/>
      <c r="NIF698" s="524"/>
      <c r="NIG698" s="524"/>
      <c r="NIH698" s="524"/>
      <c r="NII698" s="524"/>
      <c r="NIJ698" s="524"/>
      <c r="NIK698" s="524"/>
      <c r="NIL698" s="524"/>
      <c r="NIM698" s="524"/>
      <c r="NIN698" s="524"/>
      <c r="NIO698" s="524"/>
      <c r="NIP698" s="524"/>
      <c r="NIQ698" s="524"/>
      <c r="NIR698" s="524"/>
      <c r="NIS698" s="524"/>
      <c r="NIT698" s="524"/>
      <c r="NIU698" s="524"/>
      <c r="NIV698" s="524"/>
      <c r="NIW698" s="524"/>
      <c r="NIX698" s="524"/>
      <c r="NIY698" s="524"/>
      <c r="NIZ698" s="524"/>
      <c r="NJA698" s="524"/>
      <c r="NJB698" s="524"/>
      <c r="NJC698" s="524"/>
      <c r="NJD698" s="524"/>
      <c r="NJE698" s="524"/>
      <c r="NJF698" s="524"/>
      <c r="NJG698" s="524"/>
      <c r="NJH698" s="524"/>
      <c r="NJI698" s="524"/>
      <c r="NJJ698" s="524"/>
      <c r="NJK698" s="524"/>
      <c r="NJL698" s="524"/>
      <c r="NJM698" s="524"/>
      <c r="NJN698" s="524"/>
      <c r="NJO698" s="524"/>
      <c r="NJP698" s="524"/>
      <c r="NJQ698" s="524"/>
      <c r="NJR698" s="524"/>
      <c r="NJS698" s="524"/>
      <c r="NJT698" s="524"/>
      <c r="NJU698" s="524"/>
      <c r="NJV698" s="524"/>
      <c r="NJW698" s="524"/>
      <c r="NJX698" s="524"/>
      <c r="NJY698" s="524"/>
      <c r="NJZ698" s="524"/>
      <c r="NKA698" s="524"/>
      <c r="NKB698" s="524"/>
      <c r="NKC698" s="524"/>
      <c r="NKD698" s="524"/>
      <c r="NKE698" s="524"/>
      <c r="NKF698" s="524"/>
      <c r="NKG698" s="524"/>
      <c r="NKH698" s="524"/>
      <c r="NKI698" s="524"/>
      <c r="NKJ698" s="524"/>
      <c r="NKK698" s="524"/>
      <c r="NKL698" s="524"/>
      <c r="NKM698" s="524"/>
      <c r="NKN698" s="524"/>
      <c r="NKO698" s="524"/>
      <c r="NKP698" s="524"/>
      <c r="NKQ698" s="524"/>
      <c r="NKR698" s="524"/>
      <c r="NKS698" s="524"/>
      <c r="NKT698" s="524"/>
      <c r="NKU698" s="524"/>
      <c r="NKV698" s="524"/>
      <c r="NKW698" s="524"/>
      <c r="NKX698" s="524"/>
      <c r="NKY698" s="524"/>
      <c r="NKZ698" s="524"/>
      <c r="NLA698" s="524"/>
      <c r="NLB698" s="524"/>
      <c r="NLC698" s="524"/>
      <c r="NLD698" s="524"/>
      <c r="NLE698" s="524"/>
      <c r="NLF698" s="524"/>
      <c r="NLG698" s="524"/>
      <c r="NLH698" s="524"/>
      <c r="NLI698" s="524"/>
      <c r="NLJ698" s="524"/>
      <c r="NLK698" s="524"/>
      <c r="NLL698" s="524"/>
      <c r="NLM698" s="524"/>
      <c r="NLN698" s="524"/>
      <c r="NLO698" s="524"/>
      <c r="NLP698" s="524"/>
      <c r="NLQ698" s="524"/>
      <c r="NLR698" s="524"/>
      <c r="NLS698" s="524"/>
      <c r="NLT698" s="524"/>
      <c r="NLU698" s="524"/>
      <c r="NLV698" s="524"/>
      <c r="NLW698" s="524"/>
      <c r="NLX698" s="524"/>
      <c r="NLY698" s="524"/>
      <c r="NLZ698" s="524"/>
      <c r="NMA698" s="524"/>
      <c r="NMB698" s="524"/>
      <c r="NMC698" s="524"/>
      <c r="NMD698" s="524"/>
      <c r="NME698" s="524"/>
      <c r="NMF698" s="524"/>
      <c r="NMG698" s="524"/>
      <c r="NMH698" s="524"/>
      <c r="NMI698" s="524"/>
      <c r="NMJ698" s="524"/>
      <c r="NMK698" s="524"/>
      <c r="NML698" s="524"/>
      <c r="NMM698" s="524"/>
      <c r="NMN698" s="524"/>
      <c r="NMO698" s="524"/>
      <c r="NMP698" s="524"/>
      <c r="NMQ698" s="524"/>
      <c r="NMR698" s="524"/>
      <c r="NMS698" s="524"/>
      <c r="NMT698" s="524"/>
      <c r="NMU698" s="524"/>
      <c r="NMV698" s="524"/>
      <c r="NMW698" s="524"/>
      <c r="NMX698" s="524"/>
      <c r="NMY698" s="524"/>
      <c r="NMZ698" s="524"/>
      <c r="NNA698" s="524"/>
      <c r="NNB698" s="524"/>
      <c r="NNC698" s="524"/>
      <c r="NND698" s="524"/>
      <c r="NNE698" s="524"/>
      <c r="NNF698" s="524"/>
      <c r="NNG698" s="524"/>
      <c r="NNH698" s="524"/>
      <c r="NNI698" s="524"/>
      <c r="NNJ698" s="524"/>
      <c r="NNK698" s="524"/>
      <c r="NNL698" s="524"/>
      <c r="NNM698" s="524"/>
      <c r="NNN698" s="524"/>
      <c r="NNO698" s="524"/>
      <c r="NNP698" s="524"/>
      <c r="NNQ698" s="524"/>
      <c r="NNR698" s="524"/>
      <c r="NNS698" s="524"/>
      <c r="NNT698" s="524"/>
      <c r="NNU698" s="524"/>
      <c r="NNV698" s="524"/>
      <c r="NNW698" s="524"/>
      <c r="NNX698" s="524"/>
      <c r="NNY698" s="524"/>
      <c r="NNZ698" s="524"/>
      <c r="NOA698" s="524"/>
      <c r="NOB698" s="524"/>
      <c r="NOC698" s="524"/>
      <c r="NOD698" s="524"/>
      <c r="NOE698" s="524"/>
      <c r="NOF698" s="524"/>
      <c r="NOG698" s="524"/>
      <c r="NOH698" s="524"/>
      <c r="NOI698" s="524"/>
      <c r="NOJ698" s="524"/>
      <c r="NOK698" s="524"/>
      <c r="NOL698" s="524"/>
      <c r="NOM698" s="524"/>
      <c r="NON698" s="524"/>
      <c r="NOO698" s="524"/>
      <c r="NOP698" s="524"/>
      <c r="NOQ698" s="524"/>
      <c r="NOR698" s="524"/>
      <c r="NOS698" s="524"/>
      <c r="NOT698" s="524"/>
      <c r="NOU698" s="524"/>
      <c r="NOV698" s="524"/>
      <c r="NOW698" s="524"/>
      <c r="NOX698" s="524"/>
      <c r="NOY698" s="524"/>
      <c r="NOZ698" s="524"/>
      <c r="NPA698" s="524"/>
      <c r="NPB698" s="524"/>
      <c r="NPC698" s="524"/>
      <c r="NPD698" s="524"/>
      <c r="NPE698" s="524"/>
      <c r="NPF698" s="524"/>
      <c r="NPG698" s="524"/>
      <c r="NPH698" s="524"/>
      <c r="NPI698" s="524"/>
      <c r="NPJ698" s="524"/>
      <c r="NPK698" s="524"/>
      <c r="NPL698" s="524"/>
      <c r="NPM698" s="524"/>
      <c r="NPN698" s="524"/>
      <c r="NPO698" s="524"/>
      <c r="NPP698" s="524"/>
      <c r="NPQ698" s="524"/>
      <c r="NPR698" s="524"/>
      <c r="NPS698" s="524"/>
      <c r="NPT698" s="524"/>
      <c r="NPU698" s="524"/>
      <c r="NPV698" s="524"/>
      <c r="NPW698" s="524"/>
      <c r="NPX698" s="524"/>
      <c r="NPY698" s="524"/>
      <c r="NPZ698" s="524"/>
      <c r="NQA698" s="524"/>
      <c r="NQB698" s="524"/>
      <c r="NQC698" s="524"/>
      <c r="NQD698" s="524"/>
      <c r="NQE698" s="524"/>
      <c r="NQF698" s="524"/>
      <c r="NQG698" s="524"/>
      <c r="NQH698" s="524"/>
      <c r="NQI698" s="524"/>
      <c r="NQJ698" s="524"/>
      <c r="NQK698" s="524"/>
      <c r="NQL698" s="524"/>
      <c r="NQM698" s="524"/>
      <c r="NQN698" s="524"/>
      <c r="NQO698" s="524"/>
      <c r="NQP698" s="524"/>
      <c r="NQQ698" s="524"/>
      <c r="NQR698" s="524"/>
      <c r="NQS698" s="524"/>
      <c r="NQT698" s="524"/>
      <c r="NQU698" s="524"/>
      <c r="NQV698" s="524"/>
      <c r="NQW698" s="524"/>
      <c r="NQX698" s="524"/>
      <c r="NQY698" s="524"/>
      <c r="NQZ698" s="524"/>
      <c r="NRA698" s="524"/>
      <c r="NRB698" s="524"/>
      <c r="NRC698" s="524"/>
      <c r="NRD698" s="524"/>
      <c r="NRE698" s="524"/>
      <c r="NRF698" s="524"/>
      <c r="NRG698" s="524"/>
      <c r="NRH698" s="524"/>
      <c r="NRI698" s="524"/>
      <c r="NRJ698" s="524"/>
      <c r="NRK698" s="524"/>
      <c r="NRL698" s="524"/>
      <c r="NRM698" s="524"/>
      <c r="NRN698" s="524"/>
      <c r="NRO698" s="524"/>
      <c r="NRP698" s="524"/>
      <c r="NRQ698" s="524"/>
      <c r="NRR698" s="524"/>
      <c r="NRS698" s="524"/>
      <c r="NRT698" s="524"/>
      <c r="NRU698" s="524"/>
      <c r="NRV698" s="524"/>
      <c r="NRW698" s="524"/>
      <c r="NRX698" s="524"/>
      <c r="NRY698" s="524"/>
      <c r="NRZ698" s="524"/>
      <c r="NSA698" s="524"/>
      <c r="NSB698" s="524"/>
      <c r="NSC698" s="524"/>
      <c r="NSD698" s="524"/>
      <c r="NSE698" s="524"/>
      <c r="NSF698" s="524"/>
      <c r="NSG698" s="524"/>
      <c r="NSH698" s="524"/>
      <c r="NSI698" s="524"/>
      <c r="NSJ698" s="524"/>
      <c r="NSK698" s="524"/>
      <c r="NSL698" s="524"/>
      <c r="NSM698" s="524"/>
      <c r="NSN698" s="524"/>
      <c r="NSO698" s="524"/>
      <c r="NSP698" s="524"/>
      <c r="NSQ698" s="524"/>
      <c r="NSR698" s="524"/>
      <c r="NSS698" s="524"/>
      <c r="NST698" s="524"/>
      <c r="NSU698" s="524"/>
      <c r="NSV698" s="524"/>
      <c r="NSW698" s="524"/>
      <c r="NSX698" s="524"/>
      <c r="NSY698" s="524"/>
      <c r="NSZ698" s="524"/>
      <c r="NTA698" s="524"/>
      <c r="NTB698" s="524"/>
      <c r="NTC698" s="524"/>
      <c r="NTD698" s="524"/>
      <c r="NTE698" s="524"/>
      <c r="NTF698" s="524"/>
      <c r="NTG698" s="524"/>
      <c r="NTH698" s="524"/>
      <c r="NTI698" s="524"/>
      <c r="NTJ698" s="524"/>
      <c r="NTK698" s="524"/>
      <c r="NTL698" s="524"/>
      <c r="NTM698" s="524"/>
      <c r="NTN698" s="524"/>
      <c r="NTO698" s="524"/>
      <c r="NTP698" s="524"/>
      <c r="NTQ698" s="524"/>
      <c r="NTR698" s="524"/>
      <c r="NTS698" s="524"/>
      <c r="NTT698" s="524"/>
      <c r="NTU698" s="524"/>
      <c r="NTV698" s="524"/>
      <c r="NTW698" s="524"/>
      <c r="NTX698" s="524"/>
      <c r="NTY698" s="524"/>
      <c r="NTZ698" s="524"/>
      <c r="NUA698" s="524"/>
      <c r="NUB698" s="524"/>
      <c r="NUC698" s="524"/>
      <c r="NUD698" s="524"/>
      <c r="NUE698" s="524"/>
      <c r="NUF698" s="524"/>
      <c r="NUG698" s="524"/>
      <c r="NUH698" s="524"/>
      <c r="NUI698" s="524"/>
      <c r="NUJ698" s="524"/>
      <c r="NUK698" s="524"/>
      <c r="NUL698" s="524"/>
      <c r="NUM698" s="524"/>
      <c r="NUN698" s="524"/>
      <c r="NUO698" s="524"/>
      <c r="NUP698" s="524"/>
      <c r="NUQ698" s="524"/>
      <c r="NUR698" s="524"/>
      <c r="NUS698" s="524"/>
      <c r="NUT698" s="524"/>
      <c r="NUU698" s="524"/>
      <c r="NUV698" s="524"/>
      <c r="NUW698" s="524"/>
      <c r="NUX698" s="524"/>
      <c r="NUY698" s="524"/>
      <c r="NUZ698" s="524"/>
      <c r="NVA698" s="524"/>
      <c r="NVB698" s="524"/>
      <c r="NVC698" s="524"/>
      <c r="NVD698" s="524"/>
      <c r="NVE698" s="524"/>
      <c r="NVF698" s="524"/>
      <c r="NVG698" s="524"/>
      <c r="NVH698" s="524"/>
      <c r="NVI698" s="524"/>
      <c r="NVJ698" s="524"/>
      <c r="NVK698" s="524"/>
      <c r="NVL698" s="524"/>
      <c r="NVM698" s="524"/>
      <c r="NVN698" s="524"/>
      <c r="NVO698" s="524"/>
      <c r="NVP698" s="524"/>
      <c r="NVQ698" s="524"/>
      <c r="NVR698" s="524"/>
      <c r="NVS698" s="524"/>
      <c r="NVT698" s="524"/>
      <c r="NVU698" s="524"/>
      <c r="NVV698" s="524"/>
      <c r="NVW698" s="524"/>
      <c r="NVX698" s="524"/>
      <c r="NVY698" s="524"/>
      <c r="NVZ698" s="524"/>
      <c r="NWA698" s="524"/>
      <c r="NWB698" s="524"/>
      <c r="NWC698" s="524"/>
      <c r="NWD698" s="524"/>
      <c r="NWE698" s="524"/>
      <c r="NWF698" s="524"/>
      <c r="NWG698" s="524"/>
      <c r="NWH698" s="524"/>
      <c r="NWI698" s="524"/>
      <c r="NWJ698" s="524"/>
      <c r="NWK698" s="524"/>
      <c r="NWL698" s="524"/>
      <c r="NWM698" s="524"/>
      <c r="NWN698" s="524"/>
      <c r="NWO698" s="524"/>
      <c r="NWP698" s="524"/>
      <c r="NWQ698" s="524"/>
      <c r="NWR698" s="524"/>
      <c r="NWS698" s="524"/>
      <c r="NWT698" s="524"/>
      <c r="NWU698" s="524"/>
      <c r="NWV698" s="524"/>
      <c r="NWW698" s="524"/>
      <c r="NWX698" s="524"/>
      <c r="NWY698" s="524"/>
      <c r="NWZ698" s="524"/>
      <c r="NXA698" s="524"/>
      <c r="NXB698" s="524"/>
      <c r="NXC698" s="524"/>
      <c r="NXD698" s="524"/>
      <c r="NXE698" s="524"/>
      <c r="NXF698" s="524"/>
      <c r="NXG698" s="524"/>
      <c r="NXH698" s="524"/>
      <c r="NXI698" s="524"/>
      <c r="NXJ698" s="524"/>
      <c r="NXK698" s="524"/>
      <c r="NXL698" s="524"/>
      <c r="NXM698" s="524"/>
      <c r="NXN698" s="524"/>
      <c r="NXO698" s="524"/>
      <c r="NXP698" s="524"/>
      <c r="NXQ698" s="524"/>
      <c r="NXR698" s="524"/>
      <c r="NXS698" s="524"/>
      <c r="NXT698" s="524"/>
      <c r="NXU698" s="524"/>
      <c r="NXV698" s="524"/>
      <c r="NXW698" s="524"/>
      <c r="NXX698" s="524"/>
      <c r="NXY698" s="524"/>
      <c r="NXZ698" s="524"/>
      <c r="NYA698" s="524"/>
      <c r="NYB698" s="524"/>
      <c r="NYC698" s="524"/>
      <c r="NYD698" s="524"/>
      <c r="NYE698" s="524"/>
      <c r="NYF698" s="524"/>
      <c r="NYG698" s="524"/>
      <c r="NYH698" s="524"/>
      <c r="NYI698" s="524"/>
      <c r="NYJ698" s="524"/>
      <c r="NYK698" s="524"/>
      <c r="NYL698" s="524"/>
      <c r="NYM698" s="524"/>
      <c r="NYN698" s="524"/>
      <c r="NYO698" s="524"/>
      <c r="NYP698" s="524"/>
      <c r="NYQ698" s="524"/>
      <c r="NYR698" s="524"/>
      <c r="NYS698" s="524"/>
      <c r="NYT698" s="524"/>
      <c r="NYU698" s="524"/>
      <c r="NYV698" s="524"/>
      <c r="NYW698" s="524"/>
      <c r="NYX698" s="524"/>
      <c r="NYY698" s="524"/>
      <c r="NYZ698" s="524"/>
      <c r="NZA698" s="524"/>
      <c r="NZB698" s="524"/>
      <c r="NZC698" s="524"/>
      <c r="NZD698" s="524"/>
      <c r="NZE698" s="524"/>
      <c r="NZF698" s="524"/>
      <c r="NZG698" s="524"/>
      <c r="NZH698" s="524"/>
      <c r="NZI698" s="524"/>
      <c r="NZJ698" s="524"/>
      <c r="NZK698" s="524"/>
      <c r="NZL698" s="524"/>
      <c r="NZM698" s="524"/>
      <c r="NZN698" s="524"/>
      <c r="NZO698" s="524"/>
      <c r="NZP698" s="524"/>
      <c r="NZQ698" s="524"/>
      <c r="NZR698" s="524"/>
      <c r="NZS698" s="524"/>
      <c r="NZT698" s="524"/>
      <c r="NZU698" s="524"/>
      <c r="NZV698" s="524"/>
      <c r="NZW698" s="524"/>
      <c r="NZX698" s="524"/>
      <c r="NZY698" s="524"/>
      <c r="NZZ698" s="524"/>
      <c r="OAA698" s="524"/>
      <c r="OAB698" s="524"/>
      <c r="OAC698" s="524"/>
      <c r="OAD698" s="524"/>
      <c r="OAE698" s="524"/>
      <c r="OAF698" s="524"/>
      <c r="OAG698" s="524"/>
      <c r="OAH698" s="524"/>
      <c r="OAI698" s="524"/>
      <c r="OAJ698" s="524"/>
      <c r="OAK698" s="524"/>
      <c r="OAL698" s="524"/>
      <c r="OAM698" s="524"/>
      <c r="OAN698" s="524"/>
      <c r="OAO698" s="524"/>
      <c r="OAP698" s="524"/>
      <c r="OAQ698" s="524"/>
      <c r="OAR698" s="524"/>
      <c r="OAS698" s="524"/>
      <c r="OAT698" s="524"/>
      <c r="OAU698" s="524"/>
      <c r="OAV698" s="524"/>
      <c r="OAW698" s="524"/>
      <c r="OAX698" s="524"/>
      <c r="OAY698" s="524"/>
      <c r="OAZ698" s="524"/>
      <c r="OBA698" s="524"/>
      <c r="OBB698" s="524"/>
      <c r="OBC698" s="524"/>
      <c r="OBD698" s="524"/>
      <c r="OBE698" s="524"/>
      <c r="OBF698" s="524"/>
      <c r="OBG698" s="524"/>
      <c r="OBH698" s="524"/>
      <c r="OBI698" s="524"/>
      <c r="OBJ698" s="524"/>
      <c r="OBK698" s="524"/>
      <c r="OBL698" s="524"/>
      <c r="OBM698" s="524"/>
      <c r="OBN698" s="524"/>
      <c r="OBO698" s="524"/>
      <c r="OBP698" s="524"/>
      <c r="OBQ698" s="524"/>
      <c r="OBR698" s="524"/>
      <c r="OBS698" s="524"/>
      <c r="OBT698" s="524"/>
      <c r="OBU698" s="524"/>
      <c r="OBV698" s="524"/>
      <c r="OBW698" s="524"/>
      <c r="OBX698" s="524"/>
      <c r="OBY698" s="524"/>
      <c r="OBZ698" s="524"/>
      <c r="OCA698" s="524"/>
      <c r="OCB698" s="524"/>
      <c r="OCC698" s="524"/>
      <c r="OCD698" s="524"/>
      <c r="OCE698" s="524"/>
      <c r="OCF698" s="524"/>
      <c r="OCG698" s="524"/>
      <c r="OCH698" s="524"/>
      <c r="OCI698" s="524"/>
      <c r="OCJ698" s="524"/>
      <c r="OCK698" s="524"/>
      <c r="OCL698" s="524"/>
      <c r="OCM698" s="524"/>
      <c r="OCN698" s="524"/>
      <c r="OCO698" s="524"/>
      <c r="OCP698" s="524"/>
      <c r="OCQ698" s="524"/>
      <c r="OCR698" s="524"/>
      <c r="OCS698" s="524"/>
      <c r="OCT698" s="524"/>
      <c r="OCU698" s="524"/>
      <c r="OCV698" s="524"/>
      <c r="OCW698" s="524"/>
      <c r="OCX698" s="524"/>
      <c r="OCY698" s="524"/>
      <c r="OCZ698" s="524"/>
      <c r="ODA698" s="524"/>
      <c r="ODB698" s="524"/>
      <c r="ODC698" s="524"/>
      <c r="ODD698" s="524"/>
      <c r="ODE698" s="524"/>
      <c r="ODF698" s="524"/>
      <c r="ODG698" s="524"/>
      <c r="ODH698" s="524"/>
      <c r="ODI698" s="524"/>
      <c r="ODJ698" s="524"/>
      <c r="ODK698" s="524"/>
      <c r="ODL698" s="524"/>
      <c r="ODM698" s="524"/>
      <c r="ODN698" s="524"/>
      <c r="ODO698" s="524"/>
      <c r="ODP698" s="524"/>
      <c r="ODQ698" s="524"/>
      <c r="ODR698" s="524"/>
      <c r="ODS698" s="524"/>
      <c r="ODT698" s="524"/>
      <c r="ODU698" s="524"/>
      <c r="ODV698" s="524"/>
      <c r="ODW698" s="524"/>
      <c r="ODX698" s="524"/>
      <c r="ODY698" s="524"/>
      <c r="ODZ698" s="524"/>
      <c r="OEA698" s="524"/>
      <c r="OEB698" s="524"/>
      <c r="OEC698" s="524"/>
      <c r="OED698" s="524"/>
      <c r="OEE698" s="524"/>
      <c r="OEF698" s="524"/>
      <c r="OEG698" s="524"/>
      <c r="OEH698" s="524"/>
      <c r="OEI698" s="524"/>
      <c r="OEJ698" s="524"/>
      <c r="OEK698" s="524"/>
      <c r="OEL698" s="524"/>
      <c r="OEM698" s="524"/>
      <c r="OEN698" s="524"/>
      <c r="OEO698" s="524"/>
      <c r="OEP698" s="524"/>
      <c r="OEQ698" s="524"/>
      <c r="OER698" s="524"/>
      <c r="OES698" s="524"/>
      <c r="OET698" s="524"/>
      <c r="OEU698" s="524"/>
      <c r="OEV698" s="524"/>
      <c r="OEW698" s="524"/>
      <c r="OEX698" s="524"/>
      <c r="OEY698" s="524"/>
      <c r="OEZ698" s="524"/>
      <c r="OFA698" s="524"/>
      <c r="OFB698" s="524"/>
      <c r="OFC698" s="524"/>
      <c r="OFD698" s="524"/>
      <c r="OFE698" s="524"/>
      <c r="OFF698" s="524"/>
      <c r="OFG698" s="524"/>
      <c r="OFH698" s="524"/>
      <c r="OFI698" s="524"/>
      <c r="OFJ698" s="524"/>
      <c r="OFK698" s="524"/>
      <c r="OFL698" s="524"/>
      <c r="OFM698" s="524"/>
      <c r="OFN698" s="524"/>
      <c r="OFO698" s="524"/>
      <c r="OFP698" s="524"/>
      <c r="OFQ698" s="524"/>
      <c r="OFR698" s="524"/>
      <c r="OFS698" s="524"/>
      <c r="OFT698" s="524"/>
      <c r="OFU698" s="524"/>
      <c r="OFV698" s="524"/>
      <c r="OFW698" s="524"/>
      <c r="OFX698" s="524"/>
      <c r="OFY698" s="524"/>
      <c r="OFZ698" s="524"/>
      <c r="OGA698" s="524"/>
      <c r="OGB698" s="524"/>
      <c r="OGC698" s="524"/>
      <c r="OGD698" s="524"/>
      <c r="OGE698" s="524"/>
      <c r="OGF698" s="524"/>
      <c r="OGG698" s="524"/>
      <c r="OGH698" s="524"/>
      <c r="OGI698" s="524"/>
      <c r="OGJ698" s="524"/>
      <c r="OGK698" s="524"/>
      <c r="OGL698" s="524"/>
      <c r="OGM698" s="524"/>
      <c r="OGN698" s="524"/>
      <c r="OGO698" s="524"/>
      <c r="OGP698" s="524"/>
      <c r="OGQ698" s="524"/>
      <c r="OGR698" s="524"/>
      <c r="OGS698" s="524"/>
      <c r="OGT698" s="524"/>
      <c r="OGU698" s="524"/>
      <c r="OGV698" s="524"/>
      <c r="OGW698" s="524"/>
      <c r="OGX698" s="524"/>
      <c r="OGY698" s="524"/>
      <c r="OGZ698" s="524"/>
      <c r="OHA698" s="524"/>
      <c r="OHB698" s="524"/>
      <c r="OHC698" s="524"/>
      <c r="OHD698" s="524"/>
      <c r="OHE698" s="524"/>
      <c r="OHF698" s="524"/>
      <c r="OHG698" s="524"/>
      <c r="OHH698" s="524"/>
      <c r="OHI698" s="524"/>
      <c r="OHJ698" s="524"/>
      <c r="OHK698" s="524"/>
      <c r="OHL698" s="524"/>
      <c r="OHM698" s="524"/>
      <c r="OHN698" s="524"/>
      <c r="OHO698" s="524"/>
      <c r="OHP698" s="524"/>
      <c r="OHQ698" s="524"/>
      <c r="OHR698" s="524"/>
      <c r="OHS698" s="524"/>
      <c r="OHT698" s="524"/>
      <c r="OHU698" s="524"/>
      <c r="OHV698" s="524"/>
      <c r="OHW698" s="524"/>
      <c r="OHX698" s="524"/>
      <c r="OHY698" s="524"/>
      <c r="OHZ698" s="524"/>
      <c r="OIA698" s="524"/>
      <c r="OIB698" s="524"/>
      <c r="OIC698" s="524"/>
      <c r="OID698" s="524"/>
      <c r="OIE698" s="524"/>
      <c r="OIF698" s="524"/>
      <c r="OIG698" s="524"/>
      <c r="OIH698" s="524"/>
      <c r="OII698" s="524"/>
      <c r="OIJ698" s="524"/>
      <c r="OIK698" s="524"/>
      <c r="OIL698" s="524"/>
      <c r="OIM698" s="524"/>
      <c r="OIN698" s="524"/>
      <c r="OIO698" s="524"/>
      <c r="OIP698" s="524"/>
      <c r="OIQ698" s="524"/>
      <c r="OIR698" s="524"/>
      <c r="OIS698" s="524"/>
      <c r="OIT698" s="524"/>
      <c r="OIU698" s="524"/>
      <c r="OIV698" s="524"/>
      <c r="OIW698" s="524"/>
      <c r="OIX698" s="524"/>
      <c r="OIY698" s="524"/>
      <c r="OIZ698" s="524"/>
      <c r="OJA698" s="524"/>
      <c r="OJB698" s="524"/>
      <c r="OJC698" s="524"/>
      <c r="OJD698" s="524"/>
      <c r="OJE698" s="524"/>
      <c r="OJF698" s="524"/>
      <c r="OJG698" s="524"/>
      <c r="OJH698" s="524"/>
      <c r="OJI698" s="524"/>
      <c r="OJJ698" s="524"/>
      <c r="OJK698" s="524"/>
      <c r="OJL698" s="524"/>
      <c r="OJM698" s="524"/>
      <c r="OJN698" s="524"/>
      <c r="OJO698" s="524"/>
      <c r="OJP698" s="524"/>
      <c r="OJQ698" s="524"/>
      <c r="OJR698" s="524"/>
      <c r="OJS698" s="524"/>
      <c r="OJT698" s="524"/>
      <c r="OJU698" s="524"/>
      <c r="OJV698" s="524"/>
      <c r="OJW698" s="524"/>
      <c r="OJX698" s="524"/>
      <c r="OJY698" s="524"/>
      <c r="OJZ698" s="524"/>
      <c r="OKA698" s="524"/>
      <c r="OKB698" s="524"/>
      <c r="OKC698" s="524"/>
      <c r="OKD698" s="524"/>
      <c r="OKE698" s="524"/>
      <c r="OKF698" s="524"/>
      <c r="OKG698" s="524"/>
      <c r="OKH698" s="524"/>
      <c r="OKI698" s="524"/>
      <c r="OKJ698" s="524"/>
      <c r="OKK698" s="524"/>
      <c r="OKL698" s="524"/>
      <c r="OKM698" s="524"/>
      <c r="OKN698" s="524"/>
      <c r="OKO698" s="524"/>
      <c r="OKP698" s="524"/>
      <c r="OKQ698" s="524"/>
      <c r="OKR698" s="524"/>
      <c r="OKS698" s="524"/>
      <c r="OKT698" s="524"/>
      <c r="OKU698" s="524"/>
      <c r="OKV698" s="524"/>
      <c r="OKW698" s="524"/>
      <c r="OKX698" s="524"/>
      <c r="OKY698" s="524"/>
      <c r="OKZ698" s="524"/>
      <c r="OLA698" s="524"/>
      <c r="OLB698" s="524"/>
      <c r="OLC698" s="524"/>
      <c r="OLD698" s="524"/>
      <c r="OLE698" s="524"/>
      <c r="OLF698" s="524"/>
      <c r="OLG698" s="524"/>
      <c r="OLH698" s="524"/>
      <c r="OLI698" s="524"/>
      <c r="OLJ698" s="524"/>
      <c r="OLK698" s="524"/>
      <c r="OLL698" s="524"/>
      <c r="OLM698" s="524"/>
      <c r="OLN698" s="524"/>
      <c r="OLO698" s="524"/>
      <c r="OLP698" s="524"/>
      <c r="OLQ698" s="524"/>
      <c r="OLR698" s="524"/>
      <c r="OLS698" s="524"/>
      <c r="OLT698" s="524"/>
      <c r="OLU698" s="524"/>
      <c r="OLV698" s="524"/>
      <c r="OLW698" s="524"/>
      <c r="OLX698" s="524"/>
      <c r="OLY698" s="524"/>
      <c r="OLZ698" s="524"/>
      <c r="OMA698" s="524"/>
      <c r="OMB698" s="524"/>
      <c r="OMC698" s="524"/>
      <c r="OMD698" s="524"/>
      <c r="OME698" s="524"/>
      <c r="OMF698" s="524"/>
      <c r="OMG698" s="524"/>
      <c r="OMH698" s="524"/>
      <c r="OMI698" s="524"/>
      <c r="OMJ698" s="524"/>
      <c r="OMK698" s="524"/>
      <c r="OML698" s="524"/>
      <c r="OMM698" s="524"/>
      <c r="OMN698" s="524"/>
      <c r="OMO698" s="524"/>
      <c r="OMP698" s="524"/>
      <c r="OMQ698" s="524"/>
      <c r="OMR698" s="524"/>
      <c r="OMS698" s="524"/>
      <c r="OMT698" s="524"/>
      <c r="OMU698" s="524"/>
      <c r="OMV698" s="524"/>
      <c r="OMW698" s="524"/>
      <c r="OMX698" s="524"/>
      <c r="OMY698" s="524"/>
      <c r="OMZ698" s="524"/>
      <c r="ONA698" s="524"/>
      <c r="ONB698" s="524"/>
      <c r="ONC698" s="524"/>
      <c r="OND698" s="524"/>
      <c r="ONE698" s="524"/>
      <c r="ONF698" s="524"/>
      <c r="ONG698" s="524"/>
      <c r="ONH698" s="524"/>
      <c r="ONI698" s="524"/>
      <c r="ONJ698" s="524"/>
      <c r="ONK698" s="524"/>
      <c r="ONL698" s="524"/>
      <c r="ONM698" s="524"/>
      <c r="ONN698" s="524"/>
      <c r="ONO698" s="524"/>
      <c r="ONP698" s="524"/>
      <c r="ONQ698" s="524"/>
      <c r="ONR698" s="524"/>
      <c r="ONS698" s="524"/>
      <c r="ONT698" s="524"/>
      <c r="ONU698" s="524"/>
      <c r="ONV698" s="524"/>
      <c r="ONW698" s="524"/>
      <c r="ONX698" s="524"/>
      <c r="ONY698" s="524"/>
      <c r="ONZ698" s="524"/>
      <c r="OOA698" s="524"/>
      <c r="OOB698" s="524"/>
      <c r="OOC698" s="524"/>
      <c r="OOD698" s="524"/>
      <c r="OOE698" s="524"/>
      <c r="OOF698" s="524"/>
      <c r="OOG698" s="524"/>
      <c r="OOH698" s="524"/>
      <c r="OOI698" s="524"/>
      <c r="OOJ698" s="524"/>
      <c r="OOK698" s="524"/>
      <c r="OOL698" s="524"/>
      <c r="OOM698" s="524"/>
      <c r="OON698" s="524"/>
      <c r="OOO698" s="524"/>
      <c r="OOP698" s="524"/>
      <c r="OOQ698" s="524"/>
      <c r="OOR698" s="524"/>
      <c r="OOS698" s="524"/>
      <c r="OOT698" s="524"/>
      <c r="OOU698" s="524"/>
      <c r="OOV698" s="524"/>
      <c r="OOW698" s="524"/>
      <c r="OOX698" s="524"/>
      <c r="OOY698" s="524"/>
      <c r="OOZ698" s="524"/>
      <c r="OPA698" s="524"/>
      <c r="OPB698" s="524"/>
      <c r="OPC698" s="524"/>
      <c r="OPD698" s="524"/>
      <c r="OPE698" s="524"/>
      <c r="OPF698" s="524"/>
      <c r="OPG698" s="524"/>
      <c r="OPH698" s="524"/>
      <c r="OPI698" s="524"/>
      <c r="OPJ698" s="524"/>
      <c r="OPK698" s="524"/>
      <c r="OPL698" s="524"/>
      <c r="OPM698" s="524"/>
      <c r="OPN698" s="524"/>
      <c r="OPO698" s="524"/>
      <c r="OPP698" s="524"/>
      <c r="OPQ698" s="524"/>
      <c r="OPR698" s="524"/>
      <c r="OPS698" s="524"/>
      <c r="OPT698" s="524"/>
      <c r="OPU698" s="524"/>
      <c r="OPV698" s="524"/>
      <c r="OPW698" s="524"/>
      <c r="OPX698" s="524"/>
      <c r="OPY698" s="524"/>
      <c r="OPZ698" s="524"/>
      <c r="OQA698" s="524"/>
      <c r="OQB698" s="524"/>
      <c r="OQC698" s="524"/>
      <c r="OQD698" s="524"/>
      <c r="OQE698" s="524"/>
      <c r="OQF698" s="524"/>
      <c r="OQG698" s="524"/>
      <c r="OQH698" s="524"/>
      <c r="OQI698" s="524"/>
      <c r="OQJ698" s="524"/>
      <c r="OQK698" s="524"/>
      <c r="OQL698" s="524"/>
      <c r="OQM698" s="524"/>
      <c r="OQN698" s="524"/>
      <c r="OQO698" s="524"/>
      <c r="OQP698" s="524"/>
      <c r="OQQ698" s="524"/>
      <c r="OQR698" s="524"/>
      <c r="OQS698" s="524"/>
      <c r="OQT698" s="524"/>
      <c r="OQU698" s="524"/>
      <c r="OQV698" s="524"/>
      <c r="OQW698" s="524"/>
      <c r="OQX698" s="524"/>
      <c r="OQY698" s="524"/>
      <c r="OQZ698" s="524"/>
      <c r="ORA698" s="524"/>
      <c r="ORB698" s="524"/>
      <c r="ORC698" s="524"/>
      <c r="ORD698" s="524"/>
      <c r="ORE698" s="524"/>
      <c r="ORF698" s="524"/>
      <c r="ORG698" s="524"/>
      <c r="ORH698" s="524"/>
      <c r="ORI698" s="524"/>
      <c r="ORJ698" s="524"/>
      <c r="ORK698" s="524"/>
      <c r="ORL698" s="524"/>
      <c r="ORM698" s="524"/>
      <c r="ORN698" s="524"/>
      <c r="ORO698" s="524"/>
      <c r="ORP698" s="524"/>
      <c r="ORQ698" s="524"/>
      <c r="ORR698" s="524"/>
      <c r="ORS698" s="524"/>
      <c r="ORT698" s="524"/>
      <c r="ORU698" s="524"/>
      <c r="ORV698" s="524"/>
      <c r="ORW698" s="524"/>
      <c r="ORX698" s="524"/>
      <c r="ORY698" s="524"/>
      <c r="ORZ698" s="524"/>
      <c r="OSA698" s="524"/>
      <c r="OSB698" s="524"/>
      <c r="OSC698" s="524"/>
      <c r="OSD698" s="524"/>
      <c r="OSE698" s="524"/>
      <c r="OSF698" s="524"/>
      <c r="OSG698" s="524"/>
      <c r="OSH698" s="524"/>
      <c r="OSI698" s="524"/>
      <c r="OSJ698" s="524"/>
      <c r="OSK698" s="524"/>
      <c r="OSL698" s="524"/>
      <c r="OSM698" s="524"/>
      <c r="OSN698" s="524"/>
      <c r="OSO698" s="524"/>
      <c r="OSP698" s="524"/>
      <c r="OSQ698" s="524"/>
      <c r="OSR698" s="524"/>
      <c r="OSS698" s="524"/>
      <c r="OST698" s="524"/>
      <c r="OSU698" s="524"/>
      <c r="OSV698" s="524"/>
      <c r="OSW698" s="524"/>
      <c r="OSX698" s="524"/>
      <c r="OSY698" s="524"/>
      <c r="OSZ698" s="524"/>
      <c r="OTA698" s="524"/>
      <c r="OTB698" s="524"/>
      <c r="OTC698" s="524"/>
      <c r="OTD698" s="524"/>
      <c r="OTE698" s="524"/>
      <c r="OTF698" s="524"/>
      <c r="OTG698" s="524"/>
      <c r="OTH698" s="524"/>
      <c r="OTI698" s="524"/>
      <c r="OTJ698" s="524"/>
      <c r="OTK698" s="524"/>
      <c r="OTL698" s="524"/>
      <c r="OTM698" s="524"/>
      <c r="OTN698" s="524"/>
      <c r="OTO698" s="524"/>
      <c r="OTP698" s="524"/>
      <c r="OTQ698" s="524"/>
      <c r="OTR698" s="524"/>
      <c r="OTS698" s="524"/>
      <c r="OTT698" s="524"/>
      <c r="OTU698" s="524"/>
      <c r="OTV698" s="524"/>
      <c r="OTW698" s="524"/>
      <c r="OTX698" s="524"/>
      <c r="OTY698" s="524"/>
      <c r="OTZ698" s="524"/>
      <c r="OUA698" s="524"/>
      <c r="OUB698" s="524"/>
      <c r="OUC698" s="524"/>
      <c r="OUD698" s="524"/>
      <c r="OUE698" s="524"/>
      <c r="OUF698" s="524"/>
      <c r="OUG698" s="524"/>
      <c r="OUH698" s="524"/>
      <c r="OUI698" s="524"/>
      <c r="OUJ698" s="524"/>
      <c r="OUK698" s="524"/>
      <c r="OUL698" s="524"/>
      <c r="OUM698" s="524"/>
      <c r="OUN698" s="524"/>
      <c r="OUO698" s="524"/>
      <c r="OUP698" s="524"/>
      <c r="OUQ698" s="524"/>
      <c r="OUR698" s="524"/>
      <c r="OUS698" s="524"/>
      <c r="OUT698" s="524"/>
      <c r="OUU698" s="524"/>
      <c r="OUV698" s="524"/>
      <c r="OUW698" s="524"/>
      <c r="OUX698" s="524"/>
      <c r="OUY698" s="524"/>
      <c r="OUZ698" s="524"/>
      <c r="OVA698" s="524"/>
      <c r="OVB698" s="524"/>
      <c r="OVC698" s="524"/>
      <c r="OVD698" s="524"/>
      <c r="OVE698" s="524"/>
      <c r="OVF698" s="524"/>
      <c r="OVG698" s="524"/>
      <c r="OVH698" s="524"/>
      <c r="OVI698" s="524"/>
      <c r="OVJ698" s="524"/>
      <c r="OVK698" s="524"/>
      <c r="OVL698" s="524"/>
      <c r="OVM698" s="524"/>
      <c r="OVN698" s="524"/>
      <c r="OVO698" s="524"/>
      <c r="OVP698" s="524"/>
      <c r="OVQ698" s="524"/>
      <c r="OVR698" s="524"/>
      <c r="OVS698" s="524"/>
      <c r="OVT698" s="524"/>
      <c r="OVU698" s="524"/>
      <c r="OVV698" s="524"/>
      <c r="OVW698" s="524"/>
      <c r="OVX698" s="524"/>
      <c r="OVY698" s="524"/>
      <c r="OVZ698" s="524"/>
      <c r="OWA698" s="524"/>
      <c r="OWB698" s="524"/>
      <c r="OWC698" s="524"/>
      <c r="OWD698" s="524"/>
      <c r="OWE698" s="524"/>
      <c r="OWF698" s="524"/>
      <c r="OWG698" s="524"/>
      <c r="OWH698" s="524"/>
      <c r="OWI698" s="524"/>
      <c r="OWJ698" s="524"/>
      <c r="OWK698" s="524"/>
      <c r="OWL698" s="524"/>
      <c r="OWM698" s="524"/>
      <c r="OWN698" s="524"/>
      <c r="OWO698" s="524"/>
      <c r="OWP698" s="524"/>
      <c r="OWQ698" s="524"/>
      <c r="OWR698" s="524"/>
      <c r="OWS698" s="524"/>
      <c r="OWT698" s="524"/>
      <c r="OWU698" s="524"/>
      <c r="OWV698" s="524"/>
      <c r="OWW698" s="524"/>
      <c r="OWX698" s="524"/>
      <c r="OWY698" s="524"/>
      <c r="OWZ698" s="524"/>
      <c r="OXA698" s="524"/>
      <c r="OXB698" s="524"/>
      <c r="OXC698" s="524"/>
      <c r="OXD698" s="524"/>
      <c r="OXE698" s="524"/>
      <c r="OXF698" s="524"/>
      <c r="OXG698" s="524"/>
      <c r="OXH698" s="524"/>
      <c r="OXI698" s="524"/>
      <c r="OXJ698" s="524"/>
      <c r="OXK698" s="524"/>
      <c r="OXL698" s="524"/>
      <c r="OXM698" s="524"/>
      <c r="OXN698" s="524"/>
      <c r="OXO698" s="524"/>
      <c r="OXP698" s="524"/>
      <c r="OXQ698" s="524"/>
      <c r="OXR698" s="524"/>
      <c r="OXS698" s="524"/>
      <c r="OXT698" s="524"/>
      <c r="OXU698" s="524"/>
      <c r="OXV698" s="524"/>
      <c r="OXW698" s="524"/>
      <c r="OXX698" s="524"/>
      <c r="OXY698" s="524"/>
      <c r="OXZ698" s="524"/>
      <c r="OYA698" s="524"/>
      <c r="OYB698" s="524"/>
      <c r="OYC698" s="524"/>
      <c r="OYD698" s="524"/>
      <c r="OYE698" s="524"/>
      <c r="OYF698" s="524"/>
      <c r="OYG698" s="524"/>
      <c r="OYH698" s="524"/>
      <c r="OYI698" s="524"/>
      <c r="OYJ698" s="524"/>
      <c r="OYK698" s="524"/>
      <c r="OYL698" s="524"/>
      <c r="OYM698" s="524"/>
      <c r="OYN698" s="524"/>
      <c r="OYO698" s="524"/>
      <c r="OYP698" s="524"/>
      <c r="OYQ698" s="524"/>
      <c r="OYR698" s="524"/>
      <c r="OYS698" s="524"/>
      <c r="OYT698" s="524"/>
      <c r="OYU698" s="524"/>
      <c r="OYV698" s="524"/>
      <c r="OYW698" s="524"/>
      <c r="OYX698" s="524"/>
      <c r="OYY698" s="524"/>
      <c r="OYZ698" s="524"/>
      <c r="OZA698" s="524"/>
      <c r="OZB698" s="524"/>
      <c r="OZC698" s="524"/>
      <c r="OZD698" s="524"/>
      <c r="OZE698" s="524"/>
      <c r="OZF698" s="524"/>
      <c r="OZG698" s="524"/>
      <c r="OZH698" s="524"/>
      <c r="OZI698" s="524"/>
      <c r="OZJ698" s="524"/>
      <c r="OZK698" s="524"/>
      <c r="OZL698" s="524"/>
      <c r="OZM698" s="524"/>
      <c r="OZN698" s="524"/>
      <c r="OZO698" s="524"/>
      <c r="OZP698" s="524"/>
      <c r="OZQ698" s="524"/>
      <c r="OZR698" s="524"/>
      <c r="OZS698" s="524"/>
      <c r="OZT698" s="524"/>
      <c r="OZU698" s="524"/>
      <c r="OZV698" s="524"/>
      <c r="OZW698" s="524"/>
      <c r="OZX698" s="524"/>
      <c r="OZY698" s="524"/>
      <c r="OZZ698" s="524"/>
      <c r="PAA698" s="524"/>
      <c r="PAB698" s="524"/>
      <c r="PAC698" s="524"/>
      <c r="PAD698" s="524"/>
      <c r="PAE698" s="524"/>
      <c r="PAF698" s="524"/>
      <c r="PAG698" s="524"/>
      <c r="PAH698" s="524"/>
      <c r="PAI698" s="524"/>
      <c r="PAJ698" s="524"/>
      <c r="PAK698" s="524"/>
      <c r="PAL698" s="524"/>
      <c r="PAM698" s="524"/>
      <c r="PAN698" s="524"/>
      <c r="PAO698" s="524"/>
      <c r="PAP698" s="524"/>
      <c r="PAQ698" s="524"/>
      <c r="PAR698" s="524"/>
      <c r="PAS698" s="524"/>
      <c r="PAT698" s="524"/>
      <c r="PAU698" s="524"/>
      <c r="PAV698" s="524"/>
      <c r="PAW698" s="524"/>
      <c r="PAX698" s="524"/>
      <c r="PAY698" s="524"/>
      <c r="PAZ698" s="524"/>
      <c r="PBA698" s="524"/>
      <c r="PBB698" s="524"/>
      <c r="PBC698" s="524"/>
      <c r="PBD698" s="524"/>
      <c r="PBE698" s="524"/>
      <c r="PBF698" s="524"/>
      <c r="PBG698" s="524"/>
      <c r="PBH698" s="524"/>
      <c r="PBI698" s="524"/>
      <c r="PBJ698" s="524"/>
      <c r="PBK698" s="524"/>
      <c r="PBL698" s="524"/>
      <c r="PBM698" s="524"/>
      <c r="PBN698" s="524"/>
      <c r="PBO698" s="524"/>
      <c r="PBP698" s="524"/>
      <c r="PBQ698" s="524"/>
      <c r="PBR698" s="524"/>
      <c r="PBS698" s="524"/>
      <c r="PBT698" s="524"/>
      <c r="PBU698" s="524"/>
      <c r="PBV698" s="524"/>
      <c r="PBW698" s="524"/>
      <c r="PBX698" s="524"/>
      <c r="PBY698" s="524"/>
      <c r="PBZ698" s="524"/>
      <c r="PCA698" s="524"/>
      <c r="PCB698" s="524"/>
      <c r="PCC698" s="524"/>
      <c r="PCD698" s="524"/>
      <c r="PCE698" s="524"/>
      <c r="PCF698" s="524"/>
      <c r="PCG698" s="524"/>
      <c r="PCH698" s="524"/>
      <c r="PCI698" s="524"/>
      <c r="PCJ698" s="524"/>
      <c r="PCK698" s="524"/>
      <c r="PCL698" s="524"/>
      <c r="PCM698" s="524"/>
      <c r="PCN698" s="524"/>
      <c r="PCO698" s="524"/>
      <c r="PCP698" s="524"/>
      <c r="PCQ698" s="524"/>
      <c r="PCR698" s="524"/>
      <c r="PCS698" s="524"/>
      <c r="PCT698" s="524"/>
      <c r="PCU698" s="524"/>
      <c r="PCV698" s="524"/>
      <c r="PCW698" s="524"/>
      <c r="PCX698" s="524"/>
      <c r="PCY698" s="524"/>
      <c r="PCZ698" s="524"/>
      <c r="PDA698" s="524"/>
      <c r="PDB698" s="524"/>
      <c r="PDC698" s="524"/>
      <c r="PDD698" s="524"/>
      <c r="PDE698" s="524"/>
      <c r="PDF698" s="524"/>
      <c r="PDG698" s="524"/>
      <c r="PDH698" s="524"/>
      <c r="PDI698" s="524"/>
      <c r="PDJ698" s="524"/>
      <c r="PDK698" s="524"/>
      <c r="PDL698" s="524"/>
      <c r="PDM698" s="524"/>
      <c r="PDN698" s="524"/>
      <c r="PDO698" s="524"/>
      <c r="PDP698" s="524"/>
      <c r="PDQ698" s="524"/>
      <c r="PDR698" s="524"/>
      <c r="PDS698" s="524"/>
      <c r="PDT698" s="524"/>
      <c r="PDU698" s="524"/>
      <c r="PDV698" s="524"/>
      <c r="PDW698" s="524"/>
      <c r="PDX698" s="524"/>
      <c r="PDY698" s="524"/>
      <c r="PDZ698" s="524"/>
      <c r="PEA698" s="524"/>
      <c r="PEB698" s="524"/>
      <c r="PEC698" s="524"/>
      <c r="PED698" s="524"/>
      <c r="PEE698" s="524"/>
      <c r="PEF698" s="524"/>
      <c r="PEG698" s="524"/>
      <c r="PEH698" s="524"/>
      <c r="PEI698" s="524"/>
      <c r="PEJ698" s="524"/>
      <c r="PEK698" s="524"/>
      <c r="PEL698" s="524"/>
      <c r="PEM698" s="524"/>
      <c r="PEN698" s="524"/>
      <c r="PEO698" s="524"/>
      <c r="PEP698" s="524"/>
      <c r="PEQ698" s="524"/>
      <c r="PER698" s="524"/>
      <c r="PES698" s="524"/>
      <c r="PET698" s="524"/>
      <c r="PEU698" s="524"/>
      <c r="PEV698" s="524"/>
      <c r="PEW698" s="524"/>
      <c r="PEX698" s="524"/>
      <c r="PEY698" s="524"/>
      <c r="PEZ698" s="524"/>
      <c r="PFA698" s="524"/>
      <c r="PFB698" s="524"/>
      <c r="PFC698" s="524"/>
      <c r="PFD698" s="524"/>
      <c r="PFE698" s="524"/>
      <c r="PFF698" s="524"/>
      <c r="PFG698" s="524"/>
      <c r="PFH698" s="524"/>
      <c r="PFI698" s="524"/>
      <c r="PFJ698" s="524"/>
      <c r="PFK698" s="524"/>
      <c r="PFL698" s="524"/>
      <c r="PFM698" s="524"/>
      <c r="PFN698" s="524"/>
      <c r="PFO698" s="524"/>
      <c r="PFP698" s="524"/>
      <c r="PFQ698" s="524"/>
      <c r="PFR698" s="524"/>
      <c r="PFS698" s="524"/>
      <c r="PFT698" s="524"/>
      <c r="PFU698" s="524"/>
      <c r="PFV698" s="524"/>
      <c r="PFW698" s="524"/>
      <c r="PFX698" s="524"/>
      <c r="PFY698" s="524"/>
      <c r="PFZ698" s="524"/>
      <c r="PGA698" s="524"/>
      <c r="PGB698" s="524"/>
      <c r="PGC698" s="524"/>
      <c r="PGD698" s="524"/>
      <c r="PGE698" s="524"/>
      <c r="PGF698" s="524"/>
      <c r="PGG698" s="524"/>
      <c r="PGH698" s="524"/>
      <c r="PGI698" s="524"/>
      <c r="PGJ698" s="524"/>
      <c r="PGK698" s="524"/>
      <c r="PGL698" s="524"/>
      <c r="PGM698" s="524"/>
      <c r="PGN698" s="524"/>
      <c r="PGO698" s="524"/>
      <c r="PGP698" s="524"/>
      <c r="PGQ698" s="524"/>
      <c r="PGR698" s="524"/>
      <c r="PGS698" s="524"/>
      <c r="PGT698" s="524"/>
      <c r="PGU698" s="524"/>
      <c r="PGV698" s="524"/>
      <c r="PGW698" s="524"/>
      <c r="PGX698" s="524"/>
      <c r="PGY698" s="524"/>
      <c r="PGZ698" s="524"/>
      <c r="PHA698" s="524"/>
      <c r="PHB698" s="524"/>
      <c r="PHC698" s="524"/>
      <c r="PHD698" s="524"/>
      <c r="PHE698" s="524"/>
      <c r="PHF698" s="524"/>
      <c r="PHG698" s="524"/>
      <c r="PHH698" s="524"/>
      <c r="PHI698" s="524"/>
      <c r="PHJ698" s="524"/>
      <c r="PHK698" s="524"/>
      <c r="PHL698" s="524"/>
      <c r="PHM698" s="524"/>
      <c r="PHN698" s="524"/>
      <c r="PHO698" s="524"/>
      <c r="PHP698" s="524"/>
      <c r="PHQ698" s="524"/>
      <c r="PHR698" s="524"/>
      <c r="PHS698" s="524"/>
      <c r="PHT698" s="524"/>
      <c r="PHU698" s="524"/>
      <c r="PHV698" s="524"/>
      <c r="PHW698" s="524"/>
      <c r="PHX698" s="524"/>
      <c r="PHY698" s="524"/>
      <c r="PHZ698" s="524"/>
      <c r="PIA698" s="524"/>
      <c r="PIB698" s="524"/>
      <c r="PIC698" s="524"/>
      <c r="PID698" s="524"/>
      <c r="PIE698" s="524"/>
      <c r="PIF698" s="524"/>
      <c r="PIG698" s="524"/>
      <c r="PIH698" s="524"/>
      <c r="PII698" s="524"/>
      <c r="PIJ698" s="524"/>
      <c r="PIK698" s="524"/>
      <c r="PIL698" s="524"/>
      <c r="PIM698" s="524"/>
      <c r="PIN698" s="524"/>
      <c r="PIO698" s="524"/>
      <c r="PIP698" s="524"/>
      <c r="PIQ698" s="524"/>
      <c r="PIR698" s="524"/>
      <c r="PIS698" s="524"/>
      <c r="PIT698" s="524"/>
      <c r="PIU698" s="524"/>
      <c r="PIV698" s="524"/>
      <c r="PIW698" s="524"/>
      <c r="PIX698" s="524"/>
      <c r="PIY698" s="524"/>
      <c r="PIZ698" s="524"/>
      <c r="PJA698" s="524"/>
      <c r="PJB698" s="524"/>
      <c r="PJC698" s="524"/>
      <c r="PJD698" s="524"/>
      <c r="PJE698" s="524"/>
      <c r="PJF698" s="524"/>
      <c r="PJG698" s="524"/>
      <c r="PJH698" s="524"/>
      <c r="PJI698" s="524"/>
      <c r="PJJ698" s="524"/>
      <c r="PJK698" s="524"/>
      <c r="PJL698" s="524"/>
      <c r="PJM698" s="524"/>
      <c r="PJN698" s="524"/>
      <c r="PJO698" s="524"/>
      <c r="PJP698" s="524"/>
      <c r="PJQ698" s="524"/>
      <c r="PJR698" s="524"/>
      <c r="PJS698" s="524"/>
      <c r="PJT698" s="524"/>
      <c r="PJU698" s="524"/>
      <c r="PJV698" s="524"/>
      <c r="PJW698" s="524"/>
      <c r="PJX698" s="524"/>
      <c r="PJY698" s="524"/>
      <c r="PJZ698" s="524"/>
      <c r="PKA698" s="524"/>
      <c r="PKB698" s="524"/>
      <c r="PKC698" s="524"/>
      <c r="PKD698" s="524"/>
      <c r="PKE698" s="524"/>
      <c r="PKF698" s="524"/>
      <c r="PKG698" s="524"/>
      <c r="PKH698" s="524"/>
      <c r="PKI698" s="524"/>
      <c r="PKJ698" s="524"/>
      <c r="PKK698" s="524"/>
      <c r="PKL698" s="524"/>
      <c r="PKM698" s="524"/>
      <c r="PKN698" s="524"/>
      <c r="PKO698" s="524"/>
      <c r="PKP698" s="524"/>
      <c r="PKQ698" s="524"/>
      <c r="PKR698" s="524"/>
      <c r="PKS698" s="524"/>
      <c r="PKT698" s="524"/>
      <c r="PKU698" s="524"/>
      <c r="PKV698" s="524"/>
      <c r="PKW698" s="524"/>
      <c r="PKX698" s="524"/>
      <c r="PKY698" s="524"/>
      <c r="PKZ698" s="524"/>
      <c r="PLA698" s="524"/>
      <c r="PLB698" s="524"/>
      <c r="PLC698" s="524"/>
      <c r="PLD698" s="524"/>
      <c r="PLE698" s="524"/>
      <c r="PLF698" s="524"/>
      <c r="PLG698" s="524"/>
      <c r="PLH698" s="524"/>
      <c r="PLI698" s="524"/>
      <c r="PLJ698" s="524"/>
      <c r="PLK698" s="524"/>
      <c r="PLL698" s="524"/>
      <c r="PLM698" s="524"/>
      <c r="PLN698" s="524"/>
      <c r="PLO698" s="524"/>
      <c r="PLP698" s="524"/>
      <c r="PLQ698" s="524"/>
      <c r="PLR698" s="524"/>
      <c r="PLS698" s="524"/>
      <c r="PLT698" s="524"/>
      <c r="PLU698" s="524"/>
      <c r="PLV698" s="524"/>
      <c r="PLW698" s="524"/>
      <c r="PLX698" s="524"/>
      <c r="PLY698" s="524"/>
      <c r="PLZ698" s="524"/>
      <c r="PMA698" s="524"/>
      <c r="PMB698" s="524"/>
      <c r="PMC698" s="524"/>
      <c r="PMD698" s="524"/>
      <c r="PME698" s="524"/>
      <c r="PMF698" s="524"/>
      <c r="PMG698" s="524"/>
      <c r="PMH698" s="524"/>
      <c r="PMI698" s="524"/>
      <c r="PMJ698" s="524"/>
      <c r="PMK698" s="524"/>
      <c r="PML698" s="524"/>
      <c r="PMM698" s="524"/>
      <c r="PMN698" s="524"/>
      <c r="PMO698" s="524"/>
      <c r="PMP698" s="524"/>
      <c r="PMQ698" s="524"/>
      <c r="PMR698" s="524"/>
      <c r="PMS698" s="524"/>
      <c r="PMT698" s="524"/>
      <c r="PMU698" s="524"/>
      <c r="PMV698" s="524"/>
      <c r="PMW698" s="524"/>
      <c r="PMX698" s="524"/>
      <c r="PMY698" s="524"/>
      <c r="PMZ698" s="524"/>
      <c r="PNA698" s="524"/>
      <c r="PNB698" s="524"/>
      <c r="PNC698" s="524"/>
      <c r="PND698" s="524"/>
      <c r="PNE698" s="524"/>
      <c r="PNF698" s="524"/>
      <c r="PNG698" s="524"/>
      <c r="PNH698" s="524"/>
      <c r="PNI698" s="524"/>
      <c r="PNJ698" s="524"/>
      <c r="PNK698" s="524"/>
      <c r="PNL698" s="524"/>
      <c r="PNM698" s="524"/>
      <c r="PNN698" s="524"/>
      <c r="PNO698" s="524"/>
      <c r="PNP698" s="524"/>
      <c r="PNQ698" s="524"/>
      <c r="PNR698" s="524"/>
      <c r="PNS698" s="524"/>
      <c r="PNT698" s="524"/>
      <c r="PNU698" s="524"/>
      <c r="PNV698" s="524"/>
      <c r="PNW698" s="524"/>
      <c r="PNX698" s="524"/>
      <c r="PNY698" s="524"/>
      <c r="PNZ698" s="524"/>
      <c r="POA698" s="524"/>
      <c r="POB698" s="524"/>
      <c r="POC698" s="524"/>
      <c r="POD698" s="524"/>
      <c r="POE698" s="524"/>
      <c r="POF698" s="524"/>
      <c r="POG698" s="524"/>
      <c r="POH698" s="524"/>
      <c r="POI698" s="524"/>
      <c r="POJ698" s="524"/>
      <c r="POK698" s="524"/>
      <c r="POL698" s="524"/>
      <c r="POM698" s="524"/>
      <c r="PON698" s="524"/>
      <c r="POO698" s="524"/>
      <c r="POP698" s="524"/>
      <c r="POQ698" s="524"/>
      <c r="POR698" s="524"/>
      <c r="POS698" s="524"/>
      <c r="POT698" s="524"/>
      <c r="POU698" s="524"/>
      <c r="POV698" s="524"/>
      <c r="POW698" s="524"/>
      <c r="POX698" s="524"/>
      <c r="POY698" s="524"/>
      <c r="POZ698" s="524"/>
      <c r="PPA698" s="524"/>
      <c r="PPB698" s="524"/>
      <c r="PPC698" s="524"/>
      <c r="PPD698" s="524"/>
      <c r="PPE698" s="524"/>
      <c r="PPF698" s="524"/>
      <c r="PPG698" s="524"/>
      <c r="PPH698" s="524"/>
      <c r="PPI698" s="524"/>
      <c r="PPJ698" s="524"/>
      <c r="PPK698" s="524"/>
      <c r="PPL698" s="524"/>
      <c r="PPM698" s="524"/>
      <c r="PPN698" s="524"/>
      <c r="PPO698" s="524"/>
      <c r="PPP698" s="524"/>
      <c r="PPQ698" s="524"/>
      <c r="PPR698" s="524"/>
      <c r="PPS698" s="524"/>
      <c r="PPT698" s="524"/>
      <c r="PPU698" s="524"/>
      <c r="PPV698" s="524"/>
      <c r="PPW698" s="524"/>
      <c r="PPX698" s="524"/>
      <c r="PPY698" s="524"/>
      <c r="PPZ698" s="524"/>
      <c r="PQA698" s="524"/>
      <c r="PQB698" s="524"/>
      <c r="PQC698" s="524"/>
      <c r="PQD698" s="524"/>
      <c r="PQE698" s="524"/>
      <c r="PQF698" s="524"/>
      <c r="PQG698" s="524"/>
      <c r="PQH698" s="524"/>
      <c r="PQI698" s="524"/>
      <c r="PQJ698" s="524"/>
      <c r="PQK698" s="524"/>
      <c r="PQL698" s="524"/>
      <c r="PQM698" s="524"/>
      <c r="PQN698" s="524"/>
      <c r="PQO698" s="524"/>
      <c r="PQP698" s="524"/>
      <c r="PQQ698" s="524"/>
      <c r="PQR698" s="524"/>
      <c r="PQS698" s="524"/>
      <c r="PQT698" s="524"/>
      <c r="PQU698" s="524"/>
      <c r="PQV698" s="524"/>
      <c r="PQW698" s="524"/>
      <c r="PQX698" s="524"/>
      <c r="PQY698" s="524"/>
      <c r="PQZ698" s="524"/>
      <c r="PRA698" s="524"/>
      <c r="PRB698" s="524"/>
      <c r="PRC698" s="524"/>
      <c r="PRD698" s="524"/>
      <c r="PRE698" s="524"/>
      <c r="PRF698" s="524"/>
      <c r="PRG698" s="524"/>
      <c r="PRH698" s="524"/>
      <c r="PRI698" s="524"/>
      <c r="PRJ698" s="524"/>
      <c r="PRK698" s="524"/>
      <c r="PRL698" s="524"/>
      <c r="PRM698" s="524"/>
      <c r="PRN698" s="524"/>
      <c r="PRO698" s="524"/>
      <c r="PRP698" s="524"/>
      <c r="PRQ698" s="524"/>
      <c r="PRR698" s="524"/>
      <c r="PRS698" s="524"/>
      <c r="PRT698" s="524"/>
      <c r="PRU698" s="524"/>
      <c r="PRV698" s="524"/>
      <c r="PRW698" s="524"/>
      <c r="PRX698" s="524"/>
      <c r="PRY698" s="524"/>
      <c r="PRZ698" s="524"/>
      <c r="PSA698" s="524"/>
      <c r="PSB698" s="524"/>
      <c r="PSC698" s="524"/>
      <c r="PSD698" s="524"/>
      <c r="PSE698" s="524"/>
      <c r="PSF698" s="524"/>
      <c r="PSG698" s="524"/>
      <c r="PSH698" s="524"/>
      <c r="PSI698" s="524"/>
      <c r="PSJ698" s="524"/>
      <c r="PSK698" s="524"/>
      <c r="PSL698" s="524"/>
      <c r="PSM698" s="524"/>
      <c r="PSN698" s="524"/>
      <c r="PSO698" s="524"/>
      <c r="PSP698" s="524"/>
      <c r="PSQ698" s="524"/>
      <c r="PSR698" s="524"/>
      <c r="PSS698" s="524"/>
      <c r="PST698" s="524"/>
      <c r="PSU698" s="524"/>
      <c r="PSV698" s="524"/>
      <c r="PSW698" s="524"/>
      <c r="PSX698" s="524"/>
      <c r="PSY698" s="524"/>
      <c r="PSZ698" s="524"/>
      <c r="PTA698" s="524"/>
      <c r="PTB698" s="524"/>
      <c r="PTC698" s="524"/>
      <c r="PTD698" s="524"/>
      <c r="PTE698" s="524"/>
      <c r="PTF698" s="524"/>
      <c r="PTG698" s="524"/>
      <c r="PTH698" s="524"/>
      <c r="PTI698" s="524"/>
      <c r="PTJ698" s="524"/>
      <c r="PTK698" s="524"/>
      <c r="PTL698" s="524"/>
      <c r="PTM698" s="524"/>
      <c r="PTN698" s="524"/>
      <c r="PTO698" s="524"/>
      <c r="PTP698" s="524"/>
      <c r="PTQ698" s="524"/>
      <c r="PTR698" s="524"/>
      <c r="PTS698" s="524"/>
      <c r="PTT698" s="524"/>
      <c r="PTU698" s="524"/>
      <c r="PTV698" s="524"/>
      <c r="PTW698" s="524"/>
      <c r="PTX698" s="524"/>
      <c r="PTY698" s="524"/>
      <c r="PTZ698" s="524"/>
      <c r="PUA698" s="524"/>
      <c r="PUB698" s="524"/>
      <c r="PUC698" s="524"/>
      <c r="PUD698" s="524"/>
      <c r="PUE698" s="524"/>
      <c r="PUF698" s="524"/>
      <c r="PUG698" s="524"/>
      <c r="PUH698" s="524"/>
      <c r="PUI698" s="524"/>
      <c r="PUJ698" s="524"/>
      <c r="PUK698" s="524"/>
      <c r="PUL698" s="524"/>
      <c r="PUM698" s="524"/>
      <c r="PUN698" s="524"/>
      <c r="PUO698" s="524"/>
      <c r="PUP698" s="524"/>
      <c r="PUQ698" s="524"/>
      <c r="PUR698" s="524"/>
      <c r="PUS698" s="524"/>
      <c r="PUT698" s="524"/>
      <c r="PUU698" s="524"/>
      <c r="PUV698" s="524"/>
      <c r="PUW698" s="524"/>
      <c r="PUX698" s="524"/>
      <c r="PUY698" s="524"/>
      <c r="PUZ698" s="524"/>
      <c r="PVA698" s="524"/>
      <c r="PVB698" s="524"/>
      <c r="PVC698" s="524"/>
      <c r="PVD698" s="524"/>
      <c r="PVE698" s="524"/>
      <c r="PVF698" s="524"/>
      <c r="PVG698" s="524"/>
      <c r="PVH698" s="524"/>
      <c r="PVI698" s="524"/>
      <c r="PVJ698" s="524"/>
      <c r="PVK698" s="524"/>
      <c r="PVL698" s="524"/>
      <c r="PVM698" s="524"/>
      <c r="PVN698" s="524"/>
      <c r="PVO698" s="524"/>
      <c r="PVP698" s="524"/>
      <c r="PVQ698" s="524"/>
      <c r="PVR698" s="524"/>
      <c r="PVS698" s="524"/>
      <c r="PVT698" s="524"/>
      <c r="PVU698" s="524"/>
      <c r="PVV698" s="524"/>
      <c r="PVW698" s="524"/>
      <c r="PVX698" s="524"/>
      <c r="PVY698" s="524"/>
      <c r="PVZ698" s="524"/>
      <c r="PWA698" s="524"/>
      <c r="PWB698" s="524"/>
      <c r="PWC698" s="524"/>
      <c r="PWD698" s="524"/>
      <c r="PWE698" s="524"/>
      <c r="PWF698" s="524"/>
      <c r="PWG698" s="524"/>
      <c r="PWH698" s="524"/>
      <c r="PWI698" s="524"/>
      <c r="PWJ698" s="524"/>
      <c r="PWK698" s="524"/>
      <c r="PWL698" s="524"/>
      <c r="PWM698" s="524"/>
      <c r="PWN698" s="524"/>
      <c r="PWO698" s="524"/>
      <c r="PWP698" s="524"/>
      <c r="PWQ698" s="524"/>
      <c r="PWR698" s="524"/>
      <c r="PWS698" s="524"/>
      <c r="PWT698" s="524"/>
      <c r="PWU698" s="524"/>
      <c r="PWV698" s="524"/>
      <c r="PWW698" s="524"/>
      <c r="PWX698" s="524"/>
      <c r="PWY698" s="524"/>
      <c r="PWZ698" s="524"/>
      <c r="PXA698" s="524"/>
      <c r="PXB698" s="524"/>
      <c r="PXC698" s="524"/>
      <c r="PXD698" s="524"/>
      <c r="PXE698" s="524"/>
      <c r="PXF698" s="524"/>
      <c r="PXG698" s="524"/>
      <c r="PXH698" s="524"/>
      <c r="PXI698" s="524"/>
      <c r="PXJ698" s="524"/>
      <c r="PXK698" s="524"/>
      <c r="PXL698" s="524"/>
      <c r="PXM698" s="524"/>
      <c r="PXN698" s="524"/>
      <c r="PXO698" s="524"/>
      <c r="PXP698" s="524"/>
      <c r="PXQ698" s="524"/>
      <c r="PXR698" s="524"/>
      <c r="PXS698" s="524"/>
      <c r="PXT698" s="524"/>
      <c r="PXU698" s="524"/>
      <c r="PXV698" s="524"/>
      <c r="PXW698" s="524"/>
      <c r="PXX698" s="524"/>
      <c r="PXY698" s="524"/>
      <c r="PXZ698" s="524"/>
      <c r="PYA698" s="524"/>
      <c r="PYB698" s="524"/>
      <c r="PYC698" s="524"/>
      <c r="PYD698" s="524"/>
      <c r="PYE698" s="524"/>
      <c r="PYF698" s="524"/>
      <c r="PYG698" s="524"/>
      <c r="PYH698" s="524"/>
      <c r="PYI698" s="524"/>
      <c r="PYJ698" s="524"/>
      <c r="PYK698" s="524"/>
      <c r="PYL698" s="524"/>
      <c r="PYM698" s="524"/>
      <c r="PYN698" s="524"/>
      <c r="PYO698" s="524"/>
      <c r="PYP698" s="524"/>
      <c r="PYQ698" s="524"/>
      <c r="PYR698" s="524"/>
      <c r="PYS698" s="524"/>
      <c r="PYT698" s="524"/>
      <c r="PYU698" s="524"/>
      <c r="PYV698" s="524"/>
      <c r="PYW698" s="524"/>
      <c r="PYX698" s="524"/>
      <c r="PYY698" s="524"/>
      <c r="PYZ698" s="524"/>
      <c r="PZA698" s="524"/>
      <c r="PZB698" s="524"/>
      <c r="PZC698" s="524"/>
      <c r="PZD698" s="524"/>
      <c r="PZE698" s="524"/>
      <c r="PZF698" s="524"/>
      <c r="PZG698" s="524"/>
      <c r="PZH698" s="524"/>
      <c r="PZI698" s="524"/>
      <c r="PZJ698" s="524"/>
      <c r="PZK698" s="524"/>
      <c r="PZL698" s="524"/>
      <c r="PZM698" s="524"/>
      <c r="PZN698" s="524"/>
      <c r="PZO698" s="524"/>
      <c r="PZP698" s="524"/>
      <c r="PZQ698" s="524"/>
      <c r="PZR698" s="524"/>
      <c r="PZS698" s="524"/>
      <c r="PZT698" s="524"/>
      <c r="PZU698" s="524"/>
      <c r="PZV698" s="524"/>
      <c r="PZW698" s="524"/>
      <c r="PZX698" s="524"/>
      <c r="PZY698" s="524"/>
      <c r="PZZ698" s="524"/>
      <c r="QAA698" s="524"/>
      <c r="QAB698" s="524"/>
      <c r="QAC698" s="524"/>
      <c r="QAD698" s="524"/>
      <c r="QAE698" s="524"/>
      <c r="QAF698" s="524"/>
      <c r="QAG698" s="524"/>
      <c r="QAH698" s="524"/>
      <c r="QAI698" s="524"/>
      <c r="QAJ698" s="524"/>
      <c r="QAK698" s="524"/>
      <c r="QAL698" s="524"/>
      <c r="QAM698" s="524"/>
      <c r="QAN698" s="524"/>
      <c r="QAO698" s="524"/>
      <c r="QAP698" s="524"/>
      <c r="QAQ698" s="524"/>
      <c r="QAR698" s="524"/>
      <c r="QAS698" s="524"/>
      <c r="QAT698" s="524"/>
      <c r="QAU698" s="524"/>
      <c r="QAV698" s="524"/>
      <c r="QAW698" s="524"/>
      <c r="QAX698" s="524"/>
      <c r="QAY698" s="524"/>
      <c r="QAZ698" s="524"/>
      <c r="QBA698" s="524"/>
      <c r="QBB698" s="524"/>
      <c r="QBC698" s="524"/>
      <c r="QBD698" s="524"/>
      <c r="QBE698" s="524"/>
      <c r="QBF698" s="524"/>
      <c r="QBG698" s="524"/>
      <c r="QBH698" s="524"/>
      <c r="QBI698" s="524"/>
      <c r="QBJ698" s="524"/>
      <c r="QBK698" s="524"/>
      <c r="QBL698" s="524"/>
      <c r="QBM698" s="524"/>
      <c r="QBN698" s="524"/>
      <c r="QBO698" s="524"/>
      <c r="QBP698" s="524"/>
      <c r="QBQ698" s="524"/>
      <c r="QBR698" s="524"/>
      <c r="QBS698" s="524"/>
      <c r="QBT698" s="524"/>
      <c r="QBU698" s="524"/>
      <c r="QBV698" s="524"/>
      <c r="QBW698" s="524"/>
      <c r="QBX698" s="524"/>
      <c r="QBY698" s="524"/>
      <c r="QBZ698" s="524"/>
      <c r="QCA698" s="524"/>
      <c r="QCB698" s="524"/>
      <c r="QCC698" s="524"/>
      <c r="QCD698" s="524"/>
      <c r="QCE698" s="524"/>
      <c r="QCF698" s="524"/>
      <c r="QCG698" s="524"/>
      <c r="QCH698" s="524"/>
      <c r="QCI698" s="524"/>
      <c r="QCJ698" s="524"/>
      <c r="QCK698" s="524"/>
      <c r="QCL698" s="524"/>
      <c r="QCM698" s="524"/>
      <c r="QCN698" s="524"/>
      <c r="QCO698" s="524"/>
      <c r="QCP698" s="524"/>
      <c r="QCQ698" s="524"/>
      <c r="QCR698" s="524"/>
      <c r="QCS698" s="524"/>
      <c r="QCT698" s="524"/>
      <c r="QCU698" s="524"/>
      <c r="QCV698" s="524"/>
      <c r="QCW698" s="524"/>
      <c r="QCX698" s="524"/>
      <c r="QCY698" s="524"/>
      <c r="QCZ698" s="524"/>
      <c r="QDA698" s="524"/>
      <c r="QDB698" s="524"/>
      <c r="QDC698" s="524"/>
      <c r="QDD698" s="524"/>
      <c r="QDE698" s="524"/>
      <c r="QDF698" s="524"/>
      <c r="QDG698" s="524"/>
      <c r="QDH698" s="524"/>
      <c r="QDI698" s="524"/>
      <c r="QDJ698" s="524"/>
      <c r="QDK698" s="524"/>
      <c r="QDL698" s="524"/>
      <c r="QDM698" s="524"/>
      <c r="QDN698" s="524"/>
      <c r="QDO698" s="524"/>
      <c r="QDP698" s="524"/>
      <c r="QDQ698" s="524"/>
      <c r="QDR698" s="524"/>
      <c r="QDS698" s="524"/>
      <c r="QDT698" s="524"/>
      <c r="QDU698" s="524"/>
      <c r="QDV698" s="524"/>
      <c r="QDW698" s="524"/>
      <c r="QDX698" s="524"/>
      <c r="QDY698" s="524"/>
      <c r="QDZ698" s="524"/>
      <c r="QEA698" s="524"/>
      <c r="QEB698" s="524"/>
      <c r="QEC698" s="524"/>
      <c r="QED698" s="524"/>
      <c r="QEE698" s="524"/>
      <c r="QEF698" s="524"/>
      <c r="QEG698" s="524"/>
      <c r="QEH698" s="524"/>
      <c r="QEI698" s="524"/>
      <c r="QEJ698" s="524"/>
      <c r="QEK698" s="524"/>
      <c r="QEL698" s="524"/>
      <c r="QEM698" s="524"/>
      <c r="QEN698" s="524"/>
      <c r="QEO698" s="524"/>
      <c r="QEP698" s="524"/>
      <c r="QEQ698" s="524"/>
      <c r="QER698" s="524"/>
      <c r="QES698" s="524"/>
      <c r="QET698" s="524"/>
      <c r="QEU698" s="524"/>
      <c r="QEV698" s="524"/>
      <c r="QEW698" s="524"/>
      <c r="QEX698" s="524"/>
      <c r="QEY698" s="524"/>
      <c r="QEZ698" s="524"/>
      <c r="QFA698" s="524"/>
      <c r="QFB698" s="524"/>
      <c r="QFC698" s="524"/>
      <c r="QFD698" s="524"/>
      <c r="QFE698" s="524"/>
      <c r="QFF698" s="524"/>
      <c r="QFG698" s="524"/>
      <c r="QFH698" s="524"/>
      <c r="QFI698" s="524"/>
      <c r="QFJ698" s="524"/>
      <c r="QFK698" s="524"/>
      <c r="QFL698" s="524"/>
      <c r="QFM698" s="524"/>
      <c r="QFN698" s="524"/>
      <c r="QFO698" s="524"/>
      <c r="QFP698" s="524"/>
      <c r="QFQ698" s="524"/>
      <c r="QFR698" s="524"/>
      <c r="QFS698" s="524"/>
      <c r="QFT698" s="524"/>
      <c r="QFU698" s="524"/>
      <c r="QFV698" s="524"/>
      <c r="QFW698" s="524"/>
      <c r="QFX698" s="524"/>
      <c r="QFY698" s="524"/>
      <c r="QFZ698" s="524"/>
      <c r="QGA698" s="524"/>
      <c r="QGB698" s="524"/>
      <c r="QGC698" s="524"/>
      <c r="QGD698" s="524"/>
      <c r="QGE698" s="524"/>
      <c r="QGF698" s="524"/>
      <c r="QGG698" s="524"/>
      <c r="QGH698" s="524"/>
      <c r="QGI698" s="524"/>
      <c r="QGJ698" s="524"/>
      <c r="QGK698" s="524"/>
      <c r="QGL698" s="524"/>
      <c r="QGM698" s="524"/>
      <c r="QGN698" s="524"/>
      <c r="QGO698" s="524"/>
      <c r="QGP698" s="524"/>
      <c r="QGQ698" s="524"/>
      <c r="QGR698" s="524"/>
      <c r="QGS698" s="524"/>
      <c r="QGT698" s="524"/>
      <c r="QGU698" s="524"/>
      <c r="QGV698" s="524"/>
      <c r="QGW698" s="524"/>
      <c r="QGX698" s="524"/>
      <c r="QGY698" s="524"/>
      <c r="QGZ698" s="524"/>
      <c r="QHA698" s="524"/>
      <c r="QHB698" s="524"/>
      <c r="QHC698" s="524"/>
      <c r="QHD698" s="524"/>
      <c r="QHE698" s="524"/>
      <c r="QHF698" s="524"/>
      <c r="QHG698" s="524"/>
      <c r="QHH698" s="524"/>
      <c r="QHI698" s="524"/>
      <c r="QHJ698" s="524"/>
      <c r="QHK698" s="524"/>
      <c r="QHL698" s="524"/>
      <c r="QHM698" s="524"/>
      <c r="QHN698" s="524"/>
      <c r="QHO698" s="524"/>
      <c r="QHP698" s="524"/>
      <c r="QHQ698" s="524"/>
      <c r="QHR698" s="524"/>
      <c r="QHS698" s="524"/>
      <c r="QHT698" s="524"/>
      <c r="QHU698" s="524"/>
      <c r="QHV698" s="524"/>
      <c r="QHW698" s="524"/>
      <c r="QHX698" s="524"/>
      <c r="QHY698" s="524"/>
      <c r="QHZ698" s="524"/>
      <c r="QIA698" s="524"/>
      <c r="QIB698" s="524"/>
      <c r="QIC698" s="524"/>
      <c r="QID698" s="524"/>
      <c r="QIE698" s="524"/>
      <c r="QIF698" s="524"/>
      <c r="QIG698" s="524"/>
      <c r="QIH698" s="524"/>
      <c r="QII698" s="524"/>
      <c r="QIJ698" s="524"/>
      <c r="QIK698" s="524"/>
      <c r="QIL698" s="524"/>
      <c r="QIM698" s="524"/>
      <c r="QIN698" s="524"/>
      <c r="QIO698" s="524"/>
      <c r="QIP698" s="524"/>
      <c r="QIQ698" s="524"/>
      <c r="QIR698" s="524"/>
      <c r="QIS698" s="524"/>
      <c r="QIT698" s="524"/>
      <c r="QIU698" s="524"/>
      <c r="QIV698" s="524"/>
      <c r="QIW698" s="524"/>
      <c r="QIX698" s="524"/>
      <c r="QIY698" s="524"/>
      <c r="QIZ698" s="524"/>
      <c r="QJA698" s="524"/>
      <c r="QJB698" s="524"/>
      <c r="QJC698" s="524"/>
      <c r="QJD698" s="524"/>
      <c r="QJE698" s="524"/>
      <c r="QJF698" s="524"/>
      <c r="QJG698" s="524"/>
      <c r="QJH698" s="524"/>
      <c r="QJI698" s="524"/>
      <c r="QJJ698" s="524"/>
      <c r="QJK698" s="524"/>
      <c r="QJL698" s="524"/>
      <c r="QJM698" s="524"/>
      <c r="QJN698" s="524"/>
      <c r="QJO698" s="524"/>
      <c r="QJP698" s="524"/>
      <c r="QJQ698" s="524"/>
      <c r="QJR698" s="524"/>
      <c r="QJS698" s="524"/>
      <c r="QJT698" s="524"/>
      <c r="QJU698" s="524"/>
      <c r="QJV698" s="524"/>
      <c r="QJW698" s="524"/>
      <c r="QJX698" s="524"/>
      <c r="QJY698" s="524"/>
      <c r="QJZ698" s="524"/>
      <c r="QKA698" s="524"/>
      <c r="QKB698" s="524"/>
      <c r="QKC698" s="524"/>
      <c r="QKD698" s="524"/>
      <c r="QKE698" s="524"/>
      <c r="QKF698" s="524"/>
      <c r="QKG698" s="524"/>
      <c r="QKH698" s="524"/>
      <c r="QKI698" s="524"/>
      <c r="QKJ698" s="524"/>
      <c r="QKK698" s="524"/>
      <c r="QKL698" s="524"/>
      <c r="QKM698" s="524"/>
      <c r="QKN698" s="524"/>
      <c r="QKO698" s="524"/>
      <c r="QKP698" s="524"/>
      <c r="QKQ698" s="524"/>
      <c r="QKR698" s="524"/>
      <c r="QKS698" s="524"/>
      <c r="QKT698" s="524"/>
      <c r="QKU698" s="524"/>
      <c r="QKV698" s="524"/>
      <c r="QKW698" s="524"/>
      <c r="QKX698" s="524"/>
      <c r="QKY698" s="524"/>
      <c r="QKZ698" s="524"/>
      <c r="QLA698" s="524"/>
      <c r="QLB698" s="524"/>
      <c r="QLC698" s="524"/>
      <c r="QLD698" s="524"/>
      <c r="QLE698" s="524"/>
      <c r="QLF698" s="524"/>
      <c r="QLG698" s="524"/>
      <c r="QLH698" s="524"/>
      <c r="QLI698" s="524"/>
      <c r="QLJ698" s="524"/>
      <c r="QLK698" s="524"/>
      <c r="QLL698" s="524"/>
      <c r="QLM698" s="524"/>
      <c r="QLN698" s="524"/>
      <c r="QLO698" s="524"/>
      <c r="QLP698" s="524"/>
      <c r="QLQ698" s="524"/>
      <c r="QLR698" s="524"/>
      <c r="QLS698" s="524"/>
      <c r="QLT698" s="524"/>
      <c r="QLU698" s="524"/>
      <c r="QLV698" s="524"/>
      <c r="QLW698" s="524"/>
      <c r="QLX698" s="524"/>
      <c r="QLY698" s="524"/>
      <c r="QLZ698" s="524"/>
      <c r="QMA698" s="524"/>
      <c r="QMB698" s="524"/>
      <c r="QMC698" s="524"/>
      <c r="QMD698" s="524"/>
      <c r="QME698" s="524"/>
      <c r="QMF698" s="524"/>
      <c r="QMG698" s="524"/>
      <c r="QMH698" s="524"/>
      <c r="QMI698" s="524"/>
      <c r="QMJ698" s="524"/>
      <c r="QMK698" s="524"/>
      <c r="QML698" s="524"/>
      <c r="QMM698" s="524"/>
      <c r="QMN698" s="524"/>
      <c r="QMO698" s="524"/>
      <c r="QMP698" s="524"/>
      <c r="QMQ698" s="524"/>
      <c r="QMR698" s="524"/>
      <c r="QMS698" s="524"/>
      <c r="QMT698" s="524"/>
      <c r="QMU698" s="524"/>
      <c r="QMV698" s="524"/>
      <c r="QMW698" s="524"/>
      <c r="QMX698" s="524"/>
      <c r="QMY698" s="524"/>
      <c r="QMZ698" s="524"/>
      <c r="QNA698" s="524"/>
      <c r="QNB698" s="524"/>
      <c r="QNC698" s="524"/>
      <c r="QND698" s="524"/>
      <c r="QNE698" s="524"/>
      <c r="QNF698" s="524"/>
      <c r="QNG698" s="524"/>
      <c r="QNH698" s="524"/>
      <c r="QNI698" s="524"/>
      <c r="QNJ698" s="524"/>
      <c r="QNK698" s="524"/>
      <c r="QNL698" s="524"/>
      <c r="QNM698" s="524"/>
      <c r="QNN698" s="524"/>
      <c r="QNO698" s="524"/>
      <c r="QNP698" s="524"/>
      <c r="QNQ698" s="524"/>
      <c r="QNR698" s="524"/>
      <c r="QNS698" s="524"/>
      <c r="QNT698" s="524"/>
      <c r="QNU698" s="524"/>
      <c r="QNV698" s="524"/>
      <c r="QNW698" s="524"/>
      <c r="QNX698" s="524"/>
      <c r="QNY698" s="524"/>
      <c r="QNZ698" s="524"/>
      <c r="QOA698" s="524"/>
      <c r="QOB698" s="524"/>
      <c r="QOC698" s="524"/>
      <c r="QOD698" s="524"/>
      <c r="QOE698" s="524"/>
      <c r="QOF698" s="524"/>
      <c r="QOG698" s="524"/>
      <c r="QOH698" s="524"/>
      <c r="QOI698" s="524"/>
      <c r="QOJ698" s="524"/>
      <c r="QOK698" s="524"/>
      <c r="QOL698" s="524"/>
      <c r="QOM698" s="524"/>
      <c r="QON698" s="524"/>
      <c r="QOO698" s="524"/>
      <c r="QOP698" s="524"/>
      <c r="QOQ698" s="524"/>
      <c r="QOR698" s="524"/>
      <c r="QOS698" s="524"/>
      <c r="QOT698" s="524"/>
      <c r="QOU698" s="524"/>
      <c r="QOV698" s="524"/>
      <c r="QOW698" s="524"/>
      <c r="QOX698" s="524"/>
      <c r="QOY698" s="524"/>
      <c r="QOZ698" s="524"/>
      <c r="QPA698" s="524"/>
      <c r="QPB698" s="524"/>
      <c r="QPC698" s="524"/>
      <c r="QPD698" s="524"/>
      <c r="QPE698" s="524"/>
      <c r="QPF698" s="524"/>
      <c r="QPG698" s="524"/>
      <c r="QPH698" s="524"/>
      <c r="QPI698" s="524"/>
      <c r="QPJ698" s="524"/>
      <c r="QPK698" s="524"/>
      <c r="QPL698" s="524"/>
      <c r="QPM698" s="524"/>
      <c r="QPN698" s="524"/>
      <c r="QPO698" s="524"/>
      <c r="QPP698" s="524"/>
      <c r="QPQ698" s="524"/>
      <c r="QPR698" s="524"/>
      <c r="QPS698" s="524"/>
      <c r="QPT698" s="524"/>
      <c r="QPU698" s="524"/>
      <c r="QPV698" s="524"/>
      <c r="QPW698" s="524"/>
      <c r="QPX698" s="524"/>
      <c r="QPY698" s="524"/>
      <c r="QPZ698" s="524"/>
      <c r="QQA698" s="524"/>
      <c r="QQB698" s="524"/>
      <c r="QQC698" s="524"/>
      <c r="QQD698" s="524"/>
      <c r="QQE698" s="524"/>
      <c r="QQF698" s="524"/>
      <c r="QQG698" s="524"/>
      <c r="QQH698" s="524"/>
      <c r="QQI698" s="524"/>
      <c r="QQJ698" s="524"/>
      <c r="QQK698" s="524"/>
      <c r="QQL698" s="524"/>
      <c r="QQM698" s="524"/>
      <c r="QQN698" s="524"/>
      <c r="QQO698" s="524"/>
      <c r="QQP698" s="524"/>
      <c r="QQQ698" s="524"/>
      <c r="QQR698" s="524"/>
      <c r="QQS698" s="524"/>
      <c r="QQT698" s="524"/>
      <c r="QQU698" s="524"/>
      <c r="QQV698" s="524"/>
      <c r="QQW698" s="524"/>
      <c r="QQX698" s="524"/>
      <c r="QQY698" s="524"/>
      <c r="QQZ698" s="524"/>
      <c r="QRA698" s="524"/>
      <c r="QRB698" s="524"/>
      <c r="QRC698" s="524"/>
      <c r="QRD698" s="524"/>
      <c r="QRE698" s="524"/>
      <c r="QRF698" s="524"/>
      <c r="QRG698" s="524"/>
      <c r="QRH698" s="524"/>
      <c r="QRI698" s="524"/>
      <c r="QRJ698" s="524"/>
      <c r="QRK698" s="524"/>
      <c r="QRL698" s="524"/>
      <c r="QRM698" s="524"/>
      <c r="QRN698" s="524"/>
      <c r="QRO698" s="524"/>
      <c r="QRP698" s="524"/>
      <c r="QRQ698" s="524"/>
      <c r="QRR698" s="524"/>
      <c r="QRS698" s="524"/>
      <c r="QRT698" s="524"/>
      <c r="QRU698" s="524"/>
      <c r="QRV698" s="524"/>
      <c r="QRW698" s="524"/>
      <c r="QRX698" s="524"/>
      <c r="QRY698" s="524"/>
      <c r="QRZ698" s="524"/>
      <c r="QSA698" s="524"/>
      <c r="QSB698" s="524"/>
      <c r="QSC698" s="524"/>
      <c r="QSD698" s="524"/>
      <c r="QSE698" s="524"/>
      <c r="QSF698" s="524"/>
      <c r="QSG698" s="524"/>
      <c r="QSH698" s="524"/>
      <c r="QSI698" s="524"/>
      <c r="QSJ698" s="524"/>
      <c r="QSK698" s="524"/>
      <c r="QSL698" s="524"/>
      <c r="QSM698" s="524"/>
      <c r="QSN698" s="524"/>
      <c r="QSO698" s="524"/>
      <c r="QSP698" s="524"/>
      <c r="QSQ698" s="524"/>
      <c r="QSR698" s="524"/>
      <c r="QSS698" s="524"/>
      <c r="QST698" s="524"/>
      <c r="QSU698" s="524"/>
      <c r="QSV698" s="524"/>
      <c r="QSW698" s="524"/>
      <c r="QSX698" s="524"/>
      <c r="QSY698" s="524"/>
      <c r="QSZ698" s="524"/>
      <c r="QTA698" s="524"/>
      <c r="QTB698" s="524"/>
      <c r="QTC698" s="524"/>
      <c r="QTD698" s="524"/>
      <c r="QTE698" s="524"/>
      <c r="QTF698" s="524"/>
      <c r="QTG698" s="524"/>
      <c r="QTH698" s="524"/>
      <c r="QTI698" s="524"/>
      <c r="QTJ698" s="524"/>
      <c r="QTK698" s="524"/>
      <c r="QTL698" s="524"/>
      <c r="QTM698" s="524"/>
      <c r="QTN698" s="524"/>
      <c r="QTO698" s="524"/>
      <c r="QTP698" s="524"/>
      <c r="QTQ698" s="524"/>
      <c r="QTR698" s="524"/>
      <c r="QTS698" s="524"/>
      <c r="QTT698" s="524"/>
      <c r="QTU698" s="524"/>
      <c r="QTV698" s="524"/>
      <c r="QTW698" s="524"/>
      <c r="QTX698" s="524"/>
      <c r="QTY698" s="524"/>
      <c r="QTZ698" s="524"/>
      <c r="QUA698" s="524"/>
      <c r="QUB698" s="524"/>
      <c r="QUC698" s="524"/>
      <c r="QUD698" s="524"/>
      <c r="QUE698" s="524"/>
      <c r="QUF698" s="524"/>
      <c r="QUG698" s="524"/>
      <c r="QUH698" s="524"/>
      <c r="QUI698" s="524"/>
      <c r="QUJ698" s="524"/>
      <c r="QUK698" s="524"/>
      <c r="QUL698" s="524"/>
      <c r="QUM698" s="524"/>
      <c r="QUN698" s="524"/>
      <c r="QUO698" s="524"/>
      <c r="QUP698" s="524"/>
      <c r="QUQ698" s="524"/>
      <c r="QUR698" s="524"/>
      <c r="QUS698" s="524"/>
      <c r="QUT698" s="524"/>
      <c r="QUU698" s="524"/>
      <c r="QUV698" s="524"/>
      <c r="QUW698" s="524"/>
      <c r="QUX698" s="524"/>
      <c r="QUY698" s="524"/>
      <c r="QUZ698" s="524"/>
      <c r="QVA698" s="524"/>
      <c r="QVB698" s="524"/>
      <c r="QVC698" s="524"/>
      <c r="QVD698" s="524"/>
      <c r="QVE698" s="524"/>
      <c r="QVF698" s="524"/>
      <c r="QVG698" s="524"/>
      <c r="QVH698" s="524"/>
      <c r="QVI698" s="524"/>
      <c r="QVJ698" s="524"/>
      <c r="QVK698" s="524"/>
      <c r="QVL698" s="524"/>
      <c r="QVM698" s="524"/>
      <c r="QVN698" s="524"/>
      <c r="QVO698" s="524"/>
      <c r="QVP698" s="524"/>
      <c r="QVQ698" s="524"/>
      <c r="QVR698" s="524"/>
      <c r="QVS698" s="524"/>
      <c r="QVT698" s="524"/>
      <c r="QVU698" s="524"/>
      <c r="QVV698" s="524"/>
      <c r="QVW698" s="524"/>
      <c r="QVX698" s="524"/>
      <c r="QVY698" s="524"/>
      <c r="QVZ698" s="524"/>
      <c r="QWA698" s="524"/>
      <c r="QWB698" s="524"/>
      <c r="QWC698" s="524"/>
      <c r="QWD698" s="524"/>
      <c r="QWE698" s="524"/>
      <c r="QWF698" s="524"/>
      <c r="QWG698" s="524"/>
      <c r="QWH698" s="524"/>
      <c r="QWI698" s="524"/>
      <c r="QWJ698" s="524"/>
      <c r="QWK698" s="524"/>
      <c r="QWL698" s="524"/>
      <c r="QWM698" s="524"/>
      <c r="QWN698" s="524"/>
      <c r="QWO698" s="524"/>
      <c r="QWP698" s="524"/>
      <c r="QWQ698" s="524"/>
      <c r="QWR698" s="524"/>
      <c r="QWS698" s="524"/>
      <c r="QWT698" s="524"/>
      <c r="QWU698" s="524"/>
      <c r="QWV698" s="524"/>
      <c r="QWW698" s="524"/>
      <c r="QWX698" s="524"/>
      <c r="QWY698" s="524"/>
      <c r="QWZ698" s="524"/>
      <c r="QXA698" s="524"/>
      <c r="QXB698" s="524"/>
      <c r="QXC698" s="524"/>
      <c r="QXD698" s="524"/>
      <c r="QXE698" s="524"/>
      <c r="QXF698" s="524"/>
      <c r="QXG698" s="524"/>
      <c r="QXH698" s="524"/>
      <c r="QXI698" s="524"/>
      <c r="QXJ698" s="524"/>
      <c r="QXK698" s="524"/>
      <c r="QXL698" s="524"/>
      <c r="QXM698" s="524"/>
      <c r="QXN698" s="524"/>
      <c r="QXO698" s="524"/>
      <c r="QXP698" s="524"/>
      <c r="QXQ698" s="524"/>
      <c r="QXR698" s="524"/>
      <c r="QXS698" s="524"/>
      <c r="QXT698" s="524"/>
      <c r="QXU698" s="524"/>
      <c r="QXV698" s="524"/>
      <c r="QXW698" s="524"/>
      <c r="QXX698" s="524"/>
      <c r="QXY698" s="524"/>
      <c r="QXZ698" s="524"/>
      <c r="QYA698" s="524"/>
      <c r="QYB698" s="524"/>
      <c r="QYC698" s="524"/>
      <c r="QYD698" s="524"/>
      <c r="QYE698" s="524"/>
      <c r="QYF698" s="524"/>
      <c r="QYG698" s="524"/>
      <c r="QYH698" s="524"/>
      <c r="QYI698" s="524"/>
      <c r="QYJ698" s="524"/>
      <c r="QYK698" s="524"/>
      <c r="QYL698" s="524"/>
      <c r="QYM698" s="524"/>
      <c r="QYN698" s="524"/>
      <c r="QYO698" s="524"/>
      <c r="QYP698" s="524"/>
      <c r="QYQ698" s="524"/>
      <c r="QYR698" s="524"/>
      <c r="QYS698" s="524"/>
      <c r="QYT698" s="524"/>
      <c r="QYU698" s="524"/>
      <c r="QYV698" s="524"/>
      <c r="QYW698" s="524"/>
      <c r="QYX698" s="524"/>
      <c r="QYY698" s="524"/>
      <c r="QYZ698" s="524"/>
      <c r="QZA698" s="524"/>
      <c r="QZB698" s="524"/>
      <c r="QZC698" s="524"/>
      <c r="QZD698" s="524"/>
      <c r="QZE698" s="524"/>
      <c r="QZF698" s="524"/>
      <c r="QZG698" s="524"/>
      <c r="QZH698" s="524"/>
      <c r="QZI698" s="524"/>
      <c r="QZJ698" s="524"/>
      <c r="QZK698" s="524"/>
      <c r="QZL698" s="524"/>
      <c r="QZM698" s="524"/>
      <c r="QZN698" s="524"/>
      <c r="QZO698" s="524"/>
      <c r="QZP698" s="524"/>
      <c r="QZQ698" s="524"/>
      <c r="QZR698" s="524"/>
      <c r="QZS698" s="524"/>
      <c r="QZT698" s="524"/>
      <c r="QZU698" s="524"/>
      <c r="QZV698" s="524"/>
      <c r="QZW698" s="524"/>
      <c r="QZX698" s="524"/>
      <c r="QZY698" s="524"/>
      <c r="QZZ698" s="524"/>
      <c r="RAA698" s="524"/>
      <c r="RAB698" s="524"/>
      <c r="RAC698" s="524"/>
      <c r="RAD698" s="524"/>
      <c r="RAE698" s="524"/>
      <c r="RAF698" s="524"/>
      <c r="RAG698" s="524"/>
      <c r="RAH698" s="524"/>
      <c r="RAI698" s="524"/>
      <c r="RAJ698" s="524"/>
      <c r="RAK698" s="524"/>
      <c r="RAL698" s="524"/>
      <c r="RAM698" s="524"/>
      <c r="RAN698" s="524"/>
      <c r="RAO698" s="524"/>
      <c r="RAP698" s="524"/>
      <c r="RAQ698" s="524"/>
      <c r="RAR698" s="524"/>
      <c r="RAS698" s="524"/>
      <c r="RAT698" s="524"/>
      <c r="RAU698" s="524"/>
      <c r="RAV698" s="524"/>
      <c r="RAW698" s="524"/>
      <c r="RAX698" s="524"/>
      <c r="RAY698" s="524"/>
      <c r="RAZ698" s="524"/>
      <c r="RBA698" s="524"/>
      <c r="RBB698" s="524"/>
      <c r="RBC698" s="524"/>
      <c r="RBD698" s="524"/>
      <c r="RBE698" s="524"/>
      <c r="RBF698" s="524"/>
      <c r="RBG698" s="524"/>
      <c r="RBH698" s="524"/>
      <c r="RBI698" s="524"/>
      <c r="RBJ698" s="524"/>
      <c r="RBK698" s="524"/>
      <c r="RBL698" s="524"/>
      <c r="RBM698" s="524"/>
      <c r="RBN698" s="524"/>
      <c r="RBO698" s="524"/>
      <c r="RBP698" s="524"/>
      <c r="RBQ698" s="524"/>
      <c r="RBR698" s="524"/>
      <c r="RBS698" s="524"/>
      <c r="RBT698" s="524"/>
      <c r="RBU698" s="524"/>
      <c r="RBV698" s="524"/>
      <c r="RBW698" s="524"/>
      <c r="RBX698" s="524"/>
      <c r="RBY698" s="524"/>
      <c r="RBZ698" s="524"/>
      <c r="RCA698" s="524"/>
      <c r="RCB698" s="524"/>
      <c r="RCC698" s="524"/>
      <c r="RCD698" s="524"/>
      <c r="RCE698" s="524"/>
      <c r="RCF698" s="524"/>
      <c r="RCG698" s="524"/>
      <c r="RCH698" s="524"/>
      <c r="RCI698" s="524"/>
      <c r="RCJ698" s="524"/>
      <c r="RCK698" s="524"/>
      <c r="RCL698" s="524"/>
      <c r="RCM698" s="524"/>
      <c r="RCN698" s="524"/>
      <c r="RCO698" s="524"/>
      <c r="RCP698" s="524"/>
      <c r="RCQ698" s="524"/>
      <c r="RCR698" s="524"/>
      <c r="RCS698" s="524"/>
      <c r="RCT698" s="524"/>
      <c r="RCU698" s="524"/>
      <c r="RCV698" s="524"/>
      <c r="RCW698" s="524"/>
      <c r="RCX698" s="524"/>
      <c r="RCY698" s="524"/>
      <c r="RCZ698" s="524"/>
      <c r="RDA698" s="524"/>
      <c r="RDB698" s="524"/>
      <c r="RDC698" s="524"/>
      <c r="RDD698" s="524"/>
      <c r="RDE698" s="524"/>
      <c r="RDF698" s="524"/>
      <c r="RDG698" s="524"/>
      <c r="RDH698" s="524"/>
      <c r="RDI698" s="524"/>
      <c r="RDJ698" s="524"/>
      <c r="RDK698" s="524"/>
      <c r="RDL698" s="524"/>
      <c r="RDM698" s="524"/>
      <c r="RDN698" s="524"/>
      <c r="RDO698" s="524"/>
      <c r="RDP698" s="524"/>
      <c r="RDQ698" s="524"/>
      <c r="RDR698" s="524"/>
      <c r="RDS698" s="524"/>
      <c r="RDT698" s="524"/>
      <c r="RDU698" s="524"/>
      <c r="RDV698" s="524"/>
      <c r="RDW698" s="524"/>
      <c r="RDX698" s="524"/>
      <c r="RDY698" s="524"/>
      <c r="RDZ698" s="524"/>
      <c r="REA698" s="524"/>
      <c r="REB698" s="524"/>
      <c r="REC698" s="524"/>
      <c r="RED698" s="524"/>
      <c r="REE698" s="524"/>
      <c r="REF698" s="524"/>
      <c r="REG698" s="524"/>
      <c r="REH698" s="524"/>
      <c r="REI698" s="524"/>
      <c r="REJ698" s="524"/>
      <c r="REK698" s="524"/>
      <c r="REL698" s="524"/>
      <c r="REM698" s="524"/>
      <c r="REN698" s="524"/>
      <c r="REO698" s="524"/>
      <c r="REP698" s="524"/>
      <c r="REQ698" s="524"/>
      <c r="RER698" s="524"/>
      <c r="RES698" s="524"/>
      <c r="RET698" s="524"/>
      <c r="REU698" s="524"/>
      <c r="REV698" s="524"/>
      <c r="REW698" s="524"/>
      <c r="REX698" s="524"/>
      <c r="REY698" s="524"/>
      <c r="REZ698" s="524"/>
      <c r="RFA698" s="524"/>
      <c r="RFB698" s="524"/>
      <c r="RFC698" s="524"/>
      <c r="RFD698" s="524"/>
      <c r="RFE698" s="524"/>
      <c r="RFF698" s="524"/>
      <c r="RFG698" s="524"/>
      <c r="RFH698" s="524"/>
      <c r="RFI698" s="524"/>
      <c r="RFJ698" s="524"/>
      <c r="RFK698" s="524"/>
      <c r="RFL698" s="524"/>
      <c r="RFM698" s="524"/>
      <c r="RFN698" s="524"/>
      <c r="RFO698" s="524"/>
      <c r="RFP698" s="524"/>
      <c r="RFQ698" s="524"/>
      <c r="RFR698" s="524"/>
      <c r="RFS698" s="524"/>
      <c r="RFT698" s="524"/>
      <c r="RFU698" s="524"/>
      <c r="RFV698" s="524"/>
      <c r="RFW698" s="524"/>
      <c r="RFX698" s="524"/>
      <c r="RFY698" s="524"/>
      <c r="RFZ698" s="524"/>
      <c r="RGA698" s="524"/>
      <c r="RGB698" s="524"/>
      <c r="RGC698" s="524"/>
      <c r="RGD698" s="524"/>
      <c r="RGE698" s="524"/>
      <c r="RGF698" s="524"/>
      <c r="RGG698" s="524"/>
      <c r="RGH698" s="524"/>
      <c r="RGI698" s="524"/>
      <c r="RGJ698" s="524"/>
      <c r="RGK698" s="524"/>
      <c r="RGL698" s="524"/>
      <c r="RGM698" s="524"/>
      <c r="RGN698" s="524"/>
      <c r="RGO698" s="524"/>
      <c r="RGP698" s="524"/>
      <c r="RGQ698" s="524"/>
      <c r="RGR698" s="524"/>
      <c r="RGS698" s="524"/>
      <c r="RGT698" s="524"/>
      <c r="RGU698" s="524"/>
      <c r="RGV698" s="524"/>
      <c r="RGW698" s="524"/>
      <c r="RGX698" s="524"/>
      <c r="RGY698" s="524"/>
      <c r="RGZ698" s="524"/>
      <c r="RHA698" s="524"/>
      <c r="RHB698" s="524"/>
      <c r="RHC698" s="524"/>
      <c r="RHD698" s="524"/>
      <c r="RHE698" s="524"/>
      <c r="RHF698" s="524"/>
      <c r="RHG698" s="524"/>
      <c r="RHH698" s="524"/>
      <c r="RHI698" s="524"/>
      <c r="RHJ698" s="524"/>
      <c r="RHK698" s="524"/>
      <c r="RHL698" s="524"/>
      <c r="RHM698" s="524"/>
      <c r="RHN698" s="524"/>
      <c r="RHO698" s="524"/>
      <c r="RHP698" s="524"/>
      <c r="RHQ698" s="524"/>
      <c r="RHR698" s="524"/>
      <c r="RHS698" s="524"/>
      <c r="RHT698" s="524"/>
      <c r="RHU698" s="524"/>
      <c r="RHV698" s="524"/>
      <c r="RHW698" s="524"/>
      <c r="RHX698" s="524"/>
      <c r="RHY698" s="524"/>
      <c r="RHZ698" s="524"/>
      <c r="RIA698" s="524"/>
      <c r="RIB698" s="524"/>
      <c r="RIC698" s="524"/>
      <c r="RID698" s="524"/>
      <c r="RIE698" s="524"/>
      <c r="RIF698" s="524"/>
      <c r="RIG698" s="524"/>
      <c r="RIH698" s="524"/>
      <c r="RII698" s="524"/>
      <c r="RIJ698" s="524"/>
      <c r="RIK698" s="524"/>
      <c r="RIL698" s="524"/>
      <c r="RIM698" s="524"/>
      <c r="RIN698" s="524"/>
      <c r="RIO698" s="524"/>
      <c r="RIP698" s="524"/>
      <c r="RIQ698" s="524"/>
      <c r="RIR698" s="524"/>
      <c r="RIS698" s="524"/>
      <c r="RIT698" s="524"/>
      <c r="RIU698" s="524"/>
      <c r="RIV698" s="524"/>
      <c r="RIW698" s="524"/>
      <c r="RIX698" s="524"/>
      <c r="RIY698" s="524"/>
      <c r="RIZ698" s="524"/>
      <c r="RJA698" s="524"/>
      <c r="RJB698" s="524"/>
      <c r="RJC698" s="524"/>
      <c r="RJD698" s="524"/>
      <c r="RJE698" s="524"/>
      <c r="RJF698" s="524"/>
      <c r="RJG698" s="524"/>
      <c r="RJH698" s="524"/>
      <c r="RJI698" s="524"/>
      <c r="RJJ698" s="524"/>
      <c r="RJK698" s="524"/>
      <c r="RJL698" s="524"/>
      <c r="RJM698" s="524"/>
      <c r="RJN698" s="524"/>
      <c r="RJO698" s="524"/>
      <c r="RJP698" s="524"/>
      <c r="RJQ698" s="524"/>
      <c r="RJR698" s="524"/>
      <c r="RJS698" s="524"/>
      <c r="RJT698" s="524"/>
      <c r="RJU698" s="524"/>
      <c r="RJV698" s="524"/>
      <c r="RJW698" s="524"/>
      <c r="RJX698" s="524"/>
      <c r="RJY698" s="524"/>
      <c r="RJZ698" s="524"/>
      <c r="RKA698" s="524"/>
      <c r="RKB698" s="524"/>
      <c r="RKC698" s="524"/>
      <c r="RKD698" s="524"/>
      <c r="RKE698" s="524"/>
      <c r="RKF698" s="524"/>
      <c r="RKG698" s="524"/>
      <c r="RKH698" s="524"/>
      <c r="RKI698" s="524"/>
      <c r="RKJ698" s="524"/>
      <c r="RKK698" s="524"/>
      <c r="RKL698" s="524"/>
      <c r="RKM698" s="524"/>
      <c r="RKN698" s="524"/>
      <c r="RKO698" s="524"/>
      <c r="RKP698" s="524"/>
      <c r="RKQ698" s="524"/>
      <c r="RKR698" s="524"/>
      <c r="RKS698" s="524"/>
      <c r="RKT698" s="524"/>
      <c r="RKU698" s="524"/>
      <c r="RKV698" s="524"/>
      <c r="RKW698" s="524"/>
      <c r="RKX698" s="524"/>
      <c r="RKY698" s="524"/>
      <c r="RKZ698" s="524"/>
      <c r="RLA698" s="524"/>
      <c r="RLB698" s="524"/>
      <c r="RLC698" s="524"/>
      <c r="RLD698" s="524"/>
      <c r="RLE698" s="524"/>
      <c r="RLF698" s="524"/>
      <c r="RLG698" s="524"/>
      <c r="RLH698" s="524"/>
      <c r="RLI698" s="524"/>
      <c r="RLJ698" s="524"/>
      <c r="RLK698" s="524"/>
      <c r="RLL698" s="524"/>
      <c r="RLM698" s="524"/>
      <c r="RLN698" s="524"/>
      <c r="RLO698" s="524"/>
      <c r="RLP698" s="524"/>
      <c r="RLQ698" s="524"/>
      <c r="RLR698" s="524"/>
      <c r="RLS698" s="524"/>
      <c r="RLT698" s="524"/>
      <c r="RLU698" s="524"/>
      <c r="RLV698" s="524"/>
      <c r="RLW698" s="524"/>
      <c r="RLX698" s="524"/>
      <c r="RLY698" s="524"/>
      <c r="RLZ698" s="524"/>
      <c r="RMA698" s="524"/>
      <c r="RMB698" s="524"/>
      <c r="RMC698" s="524"/>
      <c r="RMD698" s="524"/>
      <c r="RME698" s="524"/>
      <c r="RMF698" s="524"/>
      <c r="RMG698" s="524"/>
      <c r="RMH698" s="524"/>
      <c r="RMI698" s="524"/>
      <c r="RMJ698" s="524"/>
      <c r="RMK698" s="524"/>
      <c r="RML698" s="524"/>
      <c r="RMM698" s="524"/>
      <c r="RMN698" s="524"/>
      <c r="RMO698" s="524"/>
      <c r="RMP698" s="524"/>
      <c r="RMQ698" s="524"/>
      <c r="RMR698" s="524"/>
      <c r="RMS698" s="524"/>
      <c r="RMT698" s="524"/>
      <c r="RMU698" s="524"/>
      <c r="RMV698" s="524"/>
      <c r="RMW698" s="524"/>
      <c r="RMX698" s="524"/>
      <c r="RMY698" s="524"/>
      <c r="RMZ698" s="524"/>
      <c r="RNA698" s="524"/>
      <c r="RNB698" s="524"/>
      <c r="RNC698" s="524"/>
      <c r="RND698" s="524"/>
      <c r="RNE698" s="524"/>
      <c r="RNF698" s="524"/>
      <c r="RNG698" s="524"/>
      <c r="RNH698" s="524"/>
      <c r="RNI698" s="524"/>
      <c r="RNJ698" s="524"/>
      <c r="RNK698" s="524"/>
      <c r="RNL698" s="524"/>
      <c r="RNM698" s="524"/>
      <c r="RNN698" s="524"/>
      <c r="RNO698" s="524"/>
      <c r="RNP698" s="524"/>
      <c r="RNQ698" s="524"/>
      <c r="RNR698" s="524"/>
      <c r="RNS698" s="524"/>
      <c r="RNT698" s="524"/>
      <c r="RNU698" s="524"/>
      <c r="RNV698" s="524"/>
      <c r="RNW698" s="524"/>
      <c r="RNX698" s="524"/>
      <c r="RNY698" s="524"/>
      <c r="RNZ698" s="524"/>
      <c r="ROA698" s="524"/>
      <c r="ROB698" s="524"/>
      <c r="ROC698" s="524"/>
      <c r="ROD698" s="524"/>
      <c r="ROE698" s="524"/>
      <c r="ROF698" s="524"/>
      <c r="ROG698" s="524"/>
      <c r="ROH698" s="524"/>
      <c r="ROI698" s="524"/>
      <c r="ROJ698" s="524"/>
      <c r="ROK698" s="524"/>
      <c r="ROL698" s="524"/>
      <c r="ROM698" s="524"/>
      <c r="RON698" s="524"/>
      <c r="ROO698" s="524"/>
      <c r="ROP698" s="524"/>
      <c r="ROQ698" s="524"/>
      <c r="ROR698" s="524"/>
      <c r="ROS698" s="524"/>
      <c r="ROT698" s="524"/>
      <c r="ROU698" s="524"/>
      <c r="ROV698" s="524"/>
      <c r="ROW698" s="524"/>
      <c r="ROX698" s="524"/>
      <c r="ROY698" s="524"/>
      <c r="ROZ698" s="524"/>
      <c r="RPA698" s="524"/>
      <c r="RPB698" s="524"/>
      <c r="RPC698" s="524"/>
      <c r="RPD698" s="524"/>
      <c r="RPE698" s="524"/>
      <c r="RPF698" s="524"/>
      <c r="RPG698" s="524"/>
      <c r="RPH698" s="524"/>
      <c r="RPI698" s="524"/>
      <c r="RPJ698" s="524"/>
      <c r="RPK698" s="524"/>
      <c r="RPL698" s="524"/>
      <c r="RPM698" s="524"/>
      <c r="RPN698" s="524"/>
      <c r="RPO698" s="524"/>
      <c r="RPP698" s="524"/>
      <c r="RPQ698" s="524"/>
      <c r="RPR698" s="524"/>
      <c r="RPS698" s="524"/>
      <c r="RPT698" s="524"/>
      <c r="RPU698" s="524"/>
      <c r="RPV698" s="524"/>
      <c r="RPW698" s="524"/>
      <c r="RPX698" s="524"/>
      <c r="RPY698" s="524"/>
      <c r="RPZ698" s="524"/>
      <c r="RQA698" s="524"/>
      <c r="RQB698" s="524"/>
      <c r="RQC698" s="524"/>
      <c r="RQD698" s="524"/>
      <c r="RQE698" s="524"/>
      <c r="RQF698" s="524"/>
      <c r="RQG698" s="524"/>
      <c r="RQH698" s="524"/>
      <c r="RQI698" s="524"/>
      <c r="RQJ698" s="524"/>
      <c r="RQK698" s="524"/>
      <c r="RQL698" s="524"/>
      <c r="RQM698" s="524"/>
      <c r="RQN698" s="524"/>
      <c r="RQO698" s="524"/>
      <c r="RQP698" s="524"/>
      <c r="RQQ698" s="524"/>
      <c r="RQR698" s="524"/>
      <c r="RQS698" s="524"/>
      <c r="RQT698" s="524"/>
      <c r="RQU698" s="524"/>
      <c r="RQV698" s="524"/>
      <c r="RQW698" s="524"/>
      <c r="RQX698" s="524"/>
      <c r="RQY698" s="524"/>
      <c r="RQZ698" s="524"/>
      <c r="RRA698" s="524"/>
      <c r="RRB698" s="524"/>
      <c r="RRC698" s="524"/>
      <c r="RRD698" s="524"/>
      <c r="RRE698" s="524"/>
      <c r="RRF698" s="524"/>
      <c r="RRG698" s="524"/>
      <c r="RRH698" s="524"/>
      <c r="RRI698" s="524"/>
      <c r="RRJ698" s="524"/>
      <c r="RRK698" s="524"/>
      <c r="RRL698" s="524"/>
      <c r="RRM698" s="524"/>
      <c r="RRN698" s="524"/>
      <c r="RRO698" s="524"/>
      <c r="RRP698" s="524"/>
      <c r="RRQ698" s="524"/>
      <c r="RRR698" s="524"/>
      <c r="RRS698" s="524"/>
      <c r="RRT698" s="524"/>
      <c r="RRU698" s="524"/>
      <c r="RRV698" s="524"/>
      <c r="RRW698" s="524"/>
      <c r="RRX698" s="524"/>
      <c r="RRY698" s="524"/>
      <c r="RRZ698" s="524"/>
      <c r="RSA698" s="524"/>
      <c r="RSB698" s="524"/>
      <c r="RSC698" s="524"/>
      <c r="RSD698" s="524"/>
      <c r="RSE698" s="524"/>
      <c r="RSF698" s="524"/>
      <c r="RSG698" s="524"/>
      <c r="RSH698" s="524"/>
      <c r="RSI698" s="524"/>
      <c r="RSJ698" s="524"/>
      <c r="RSK698" s="524"/>
      <c r="RSL698" s="524"/>
      <c r="RSM698" s="524"/>
      <c r="RSN698" s="524"/>
      <c r="RSO698" s="524"/>
      <c r="RSP698" s="524"/>
      <c r="RSQ698" s="524"/>
      <c r="RSR698" s="524"/>
      <c r="RSS698" s="524"/>
      <c r="RST698" s="524"/>
      <c r="RSU698" s="524"/>
      <c r="RSV698" s="524"/>
      <c r="RSW698" s="524"/>
      <c r="RSX698" s="524"/>
      <c r="RSY698" s="524"/>
      <c r="RSZ698" s="524"/>
      <c r="RTA698" s="524"/>
      <c r="RTB698" s="524"/>
      <c r="RTC698" s="524"/>
      <c r="RTD698" s="524"/>
      <c r="RTE698" s="524"/>
      <c r="RTF698" s="524"/>
      <c r="RTG698" s="524"/>
      <c r="RTH698" s="524"/>
      <c r="RTI698" s="524"/>
      <c r="RTJ698" s="524"/>
      <c r="RTK698" s="524"/>
      <c r="RTL698" s="524"/>
      <c r="RTM698" s="524"/>
      <c r="RTN698" s="524"/>
      <c r="RTO698" s="524"/>
      <c r="RTP698" s="524"/>
      <c r="RTQ698" s="524"/>
      <c r="RTR698" s="524"/>
      <c r="RTS698" s="524"/>
      <c r="RTT698" s="524"/>
      <c r="RTU698" s="524"/>
      <c r="RTV698" s="524"/>
      <c r="RTW698" s="524"/>
      <c r="RTX698" s="524"/>
      <c r="RTY698" s="524"/>
      <c r="RTZ698" s="524"/>
      <c r="RUA698" s="524"/>
      <c r="RUB698" s="524"/>
      <c r="RUC698" s="524"/>
      <c r="RUD698" s="524"/>
      <c r="RUE698" s="524"/>
      <c r="RUF698" s="524"/>
      <c r="RUG698" s="524"/>
      <c r="RUH698" s="524"/>
      <c r="RUI698" s="524"/>
      <c r="RUJ698" s="524"/>
      <c r="RUK698" s="524"/>
      <c r="RUL698" s="524"/>
      <c r="RUM698" s="524"/>
      <c r="RUN698" s="524"/>
      <c r="RUO698" s="524"/>
      <c r="RUP698" s="524"/>
      <c r="RUQ698" s="524"/>
      <c r="RUR698" s="524"/>
      <c r="RUS698" s="524"/>
      <c r="RUT698" s="524"/>
      <c r="RUU698" s="524"/>
      <c r="RUV698" s="524"/>
      <c r="RUW698" s="524"/>
      <c r="RUX698" s="524"/>
      <c r="RUY698" s="524"/>
      <c r="RUZ698" s="524"/>
      <c r="RVA698" s="524"/>
      <c r="RVB698" s="524"/>
      <c r="RVC698" s="524"/>
      <c r="RVD698" s="524"/>
      <c r="RVE698" s="524"/>
      <c r="RVF698" s="524"/>
      <c r="RVG698" s="524"/>
      <c r="RVH698" s="524"/>
      <c r="RVI698" s="524"/>
      <c r="RVJ698" s="524"/>
      <c r="RVK698" s="524"/>
      <c r="RVL698" s="524"/>
      <c r="RVM698" s="524"/>
      <c r="RVN698" s="524"/>
      <c r="RVO698" s="524"/>
      <c r="RVP698" s="524"/>
      <c r="RVQ698" s="524"/>
      <c r="RVR698" s="524"/>
      <c r="RVS698" s="524"/>
      <c r="RVT698" s="524"/>
      <c r="RVU698" s="524"/>
      <c r="RVV698" s="524"/>
      <c r="RVW698" s="524"/>
      <c r="RVX698" s="524"/>
      <c r="RVY698" s="524"/>
      <c r="RVZ698" s="524"/>
      <c r="RWA698" s="524"/>
      <c r="RWB698" s="524"/>
      <c r="RWC698" s="524"/>
      <c r="RWD698" s="524"/>
      <c r="RWE698" s="524"/>
      <c r="RWF698" s="524"/>
      <c r="RWG698" s="524"/>
      <c r="RWH698" s="524"/>
      <c r="RWI698" s="524"/>
      <c r="RWJ698" s="524"/>
      <c r="RWK698" s="524"/>
      <c r="RWL698" s="524"/>
      <c r="RWM698" s="524"/>
      <c r="RWN698" s="524"/>
      <c r="RWO698" s="524"/>
      <c r="RWP698" s="524"/>
      <c r="RWQ698" s="524"/>
      <c r="RWR698" s="524"/>
      <c r="RWS698" s="524"/>
      <c r="RWT698" s="524"/>
      <c r="RWU698" s="524"/>
      <c r="RWV698" s="524"/>
      <c r="RWW698" s="524"/>
      <c r="RWX698" s="524"/>
      <c r="RWY698" s="524"/>
      <c r="RWZ698" s="524"/>
      <c r="RXA698" s="524"/>
      <c r="RXB698" s="524"/>
      <c r="RXC698" s="524"/>
      <c r="RXD698" s="524"/>
      <c r="RXE698" s="524"/>
      <c r="RXF698" s="524"/>
      <c r="RXG698" s="524"/>
      <c r="RXH698" s="524"/>
      <c r="RXI698" s="524"/>
      <c r="RXJ698" s="524"/>
      <c r="RXK698" s="524"/>
      <c r="RXL698" s="524"/>
      <c r="RXM698" s="524"/>
      <c r="RXN698" s="524"/>
      <c r="RXO698" s="524"/>
      <c r="RXP698" s="524"/>
      <c r="RXQ698" s="524"/>
      <c r="RXR698" s="524"/>
      <c r="RXS698" s="524"/>
      <c r="RXT698" s="524"/>
      <c r="RXU698" s="524"/>
      <c r="RXV698" s="524"/>
      <c r="RXW698" s="524"/>
      <c r="RXX698" s="524"/>
      <c r="RXY698" s="524"/>
      <c r="RXZ698" s="524"/>
      <c r="RYA698" s="524"/>
      <c r="RYB698" s="524"/>
      <c r="RYC698" s="524"/>
      <c r="RYD698" s="524"/>
      <c r="RYE698" s="524"/>
      <c r="RYF698" s="524"/>
      <c r="RYG698" s="524"/>
      <c r="RYH698" s="524"/>
      <c r="RYI698" s="524"/>
      <c r="RYJ698" s="524"/>
      <c r="RYK698" s="524"/>
      <c r="RYL698" s="524"/>
      <c r="RYM698" s="524"/>
      <c r="RYN698" s="524"/>
      <c r="RYO698" s="524"/>
      <c r="RYP698" s="524"/>
      <c r="RYQ698" s="524"/>
      <c r="RYR698" s="524"/>
      <c r="RYS698" s="524"/>
      <c r="RYT698" s="524"/>
      <c r="RYU698" s="524"/>
      <c r="RYV698" s="524"/>
      <c r="RYW698" s="524"/>
      <c r="RYX698" s="524"/>
      <c r="RYY698" s="524"/>
      <c r="RYZ698" s="524"/>
      <c r="RZA698" s="524"/>
      <c r="RZB698" s="524"/>
      <c r="RZC698" s="524"/>
      <c r="RZD698" s="524"/>
      <c r="RZE698" s="524"/>
      <c r="RZF698" s="524"/>
      <c r="RZG698" s="524"/>
      <c r="RZH698" s="524"/>
      <c r="RZI698" s="524"/>
      <c r="RZJ698" s="524"/>
      <c r="RZK698" s="524"/>
      <c r="RZL698" s="524"/>
      <c r="RZM698" s="524"/>
      <c r="RZN698" s="524"/>
      <c r="RZO698" s="524"/>
      <c r="RZP698" s="524"/>
      <c r="RZQ698" s="524"/>
      <c r="RZR698" s="524"/>
      <c r="RZS698" s="524"/>
      <c r="RZT698" s="524"/>
      <c r="RZU698" s="524"/>
      <c r="RZV698" s="524"/>
      <c r="RZW698" s="524"/>
      <c r="RZX698" s="524"/>
      <c r="RZY698" s="524"/>
      <c r="RZZ698" s="524"/>
      <c r="SAA698" s="524"/>
      <c r="SAB698" s="524"/>
      <c r="SAC698" s="524"/>
      <c r="SAD698" s="524"/>
      <c r="SAE698" s="524"/>
      <c r="SAF698" s="524"/>
      <c r="SAG698" s="524"/>
      <c r="SAH698" s="524"/>
      <c r="SAI698" s="524"/>
      <c r="SAJ698" s="524"/>
      <c r="SAK698" s="524"/>
      <c r="SAL698" s="524"/>
      <c r="SAM698" s="524"/>
      <c r="SAN698" s="524"/>
      <c r="SAO698" s="524"/>
      <c r="SAP698" s="524"/>
      <c r="SAQ698" s="524"/>
      <c r="SAR698" s="524"/>
      <c r="SAS698" s="524"/>
      <c r="SAT698" s="524"/>
      <c r="SAU698" s="524"/>
      <c r="SAV698" s="524"/>
      <c r="SAW698" s="524"/>
      <c r="SAX698" s="524"/>
      <c r="SAY698" s="524"/>
      <c r="SAZ698" s="524"/>
      <c r="SBA698" s="524"/>
      <c r="SBB698" s="524"/>
      <c r="SBC698" s="524"/>
      <c r="SBD698" s="524"/>
      <c r="SBE698" s="524"/>
      <c r="SBF698" s="524"/>
      <c r="SBG698" s="524"/>
      <c r="SBH698" s="524"/>
      <c r="SBI698" s="524"/>
      <c r="SBJ698" s="524"/>
      <c r="SBK698" s="524"/>
      <c r="SBL698" s="524"/>
      <c r="SBM698" s="524"/>
      <c r="SBN698" s="524"/>
      <c r="SBO698" s="524"/>
      <c r="SBP698" s="524"/>
      <c r="SBQ698" s="524"/>
      <c r="SBR698" s="524"/>
      <c r="SBS698" s="524"/>
      <c r="SBT698" s="524"/>
      <c r="SBU698" s="524"/>
      <c r="SBV698" s="524"/>
      <c r="SBW698" s="524"/>
      <c r="SBX698" s="524"/>
      <c r="SBY698" s="524"/>
      <c r="SBZ698" s="524"/>
      <c r="SCA698" s="524"/>
      <c r="SCB698" s="524"/>
      <c r="SCC698" s="524"/>
      <c r="SCD698" s="524"/>
      <c r="SCE698" s="524"/>
      <c r="SCF698" s="524"/>
      <c r="SCG698" s="524"/>
      <c r="SCH698" s="524"/>
      <c r="SCI698" s="524"/>
      <c r="SCJ698" s="524"/>
      <c r="SCK698" s="524"/>
      <c r="SCL698" s="524"/>
      <c r="SCM698" s="524"/>
      <c r="SCN698" s="524"/>
      <c r="SCO698" s="524"/>
      <c r="SCP698" s="524"/>
      <c r="SCQ698" s="524"/>
      <c r="SCR698" s="524"/>
      <c r="SCS698" s="524"/>
      <c r="SCT698" s="524"/>
      <c r="SCU698" s="524"/>
      <c r="SCV698" s="524"/>
      <c r="SCW698" s="524"/>
      <c r="SCX698" s="524"/>
      <c r="SCY698" s="524"/>
      <c r="SCZ698" s="524"/>
      <c r="SDA698" s="524"/>
      <c r="SDB698" s="524"/>
      <c r="SDC698" s="524"/>
      <c r="SDD698" s="524"/>
      <c r="SDE698" s="524"/>
      <c r="SDF698" s="524"/>
      <c r="SDG698" s="524"/>
      <c r="SDH698" s="524"/>
      <c r="SDI698" s="524"/>
      <c r="SDJ698" s="524"/>
      <c r="SDK698" s="524"/>
      <c r="SDL698" s="524"/>
      <c r="SDM698" s="524"/>
      <c r="SDN698" s="524"/>
      <c r="SDO698" s="524"/>
      <c r="SDP698" s="524"/>
      <c r="SDQ698" s="524"/>
      <c r="SDR698" s="524"/>
      <c r="SDS698" s="524"/>
      <c r="SDT698" s="524"/>
      <c r="SDU698" s="524"/>
      <c r="SDV698" s="524"/>
      <c r="SDW698" s="524"/>
      <c r="SDX698" s="524"/>
      <c r="SDY698" s="524"/>
      <c r="SDZ698" s="524"/>
      <c r="SEA698" s="524"/>
      <c r="SEB698" s="524"/>
      <c r="SEC698" s="524"/>
      <c r="SED698" s="524"/>
      <c r="SEE698" s="524"/>
      <c r="SEF698" s="524"/>
      <c r="SEG698" s="524"/>
      <c r="SEH698" s="524"/>
      <c r="SEI698" s="524"/>
      <c r="SEJ698" s="524"/>
      <c r="SEK698" s="524"/>
      <c r="SEL698" s="524"/>
      <c r="SEM698" s="524"/>
      <c r="SEN698" s="524"/>
      <c r="SEO698" s="524"/>
      <c r="SEP698" s="524"/>
      <c r="SEQ698" s="524"/>
      <c r="SER698" s="524"/>
      <c r="SES698" s="524"/>
      <c r="SET698" s="524"/>
      <c r="SEU698" s="524"/>
      <c r="SEV698" s="524"/>
      <c r="SEW698" s="524"/>
      <c r="SEX698" s="524"/>
      <c r="SEY698" s="524"/>
      <c r="SEZ698" s="524"/>
      <c r="SFA698" s="524"/>
      <c r="SFB698" s="524"/>
      <c r="SFC698" s="524"/>
      <c r="SFD698" s="524"/>
      <c r="SFE698" s="524"/>
      <c r="SFF698" s="524"/>
      <c r="SFG698" s="524"/>
      <c r="SFH698" s="524"/>
      <c r="SFI698" s="524"/>
      <c r="SFJ698" s="524"/>
      <c r="SFK698" s="524"/>
      <c r="SFL698" s="524"/>
      <c r="SFM698" s="524"/>
      <c r="SFN698" s="524"/>
      <c r="SFO698" s="524"/>
      <c r="SFP698" s="524"/>
      <c r="SFQ698" s="524"/>
      <c r="SFR698" s="524"/>
      <c r="SFS698" s="524"/>
      <c r="SFT698" s="524"/>
      <c r="SFU698" s="524"/>
      <c r="SFV698" s="524"/>
      <c r="SFW698" s="524"/>
      <c r="SFX698" s="524"/>
      <c r="SFY698" s="524"/>
      <c r="SFZ698" s="524"/>
      <c r="SGA698" s="524"/>
      <c r="SGB698" s="524"/>
      <c r="SGC698" s="524"/>
      <c r="SGD698" s="524"/>
      <c r="SGE698" s="524"/>
      <c r="SGF698" s="524"/>
      <c r="SGG698" s="524"/>
      <c r="SGH698" s="524"/>
      <c r="SGI698" s="524"/>
      <c r="SGJ698" s="524"/>
      <c r="SGK698" s="524"/>
      <c r="SGL698" s="524"/>
      <c r="SGM698" s="524"/>
      <c r="SGN698" s="524"/>
      <c r="SGO698" s="524"/>
      <c r="SGP698" s="524"/>
      <c r="SGQ698" s="524"/>
      <c r="SGR698" s="524"/>
      <c r="SGS698" s="524"/>
      <c r="SGT698" s="524"/>
      <c r="SGU698" s="524"/>
      <c r="SGV698" s="524"/>
      <c r="SGW698" s="524"/>
      <c r="SGX698" s="524"/>
      <c r="SGY698" s="524"/>
      <c r="SGZ698" s="524"/>
      <c r="SHA698" s="524"/>
      <c r="SHB698" s="524"/>
      <c r="SHC698" s="524"/>
      <c r="SHD698" s="524"/>
      <c r="SHE698" s="524"/>
      <c r="SHF698" s="524"/>
      <c r="SHG698" s="524"/>
      <c r="SHH698" s="524"/>
      <c r="SHI698" s="524"/>
      <c r="SHJ698" s="524"/>
      <c r="SHK698" s="524"/>
      <c r="SHL698" s="524"/>
      <c r="SHM698" s="524"/>
      <c r="SHN698" s="524"/>
      <c r="SHO698" s="524"/>
      <c r="SHP698" s="524"/>
      <c r="SHQ698" s="524"/>
      <c r="SHR698" s="524"/>
      <c r="SHS698" s="524"/>
      <c r="SHT698" s="524"/>
      <c r="SHU698" s="524"/>
      <c r="SHV698" s="524"/>
      <c r="SHW698" s="524"/>
      <c r="SHX698" s="524"/>
      <c r="SHY698" s="524"/>
      <c r="SHZ698" s="524"/>
      <c r="SIA698" s="524"/>
      <c r="SIB698" s="524"/>
      <c r="SIC698" s="524"/>
      <c r="SID698" s="524"/>
      <c r="SIE698" s="524"/>
      <c r="SIF698" s="524"/>
      <c r="SIG698" s="524"/>
      <c r="SIH698" s="524"/>
      <c r="SII698" s="524"/>
      <c r="SIJ698" s="524"/>
      <c r="SIK698" s="524"/>
      <c r="SIL698" s="524"/>
      <c r="SIM698" s="524"/>
      <c r="SIN698" s="524"/>
      <c r="SIO698" s="524"/>
      <c r="SIP698" s="524"/>
      <c r="SIQ698" s="524"/>
      <c r="SIR698" s="524"/>
      <c r="SIS698" s="524"/>
      <c r="SIT698" s="524"/>
      <c r="SIU698" s="524"/>
      <c r="SIV698" s="524"/>
      <c r="SIW698" s="524"/>
      <c r="SIX698" s="524"/>
      <c r="SIY698" s="524"/>
      <c r="SIZ698" s="524"/>
      <c r="SJA698" s="524"/>
      <c r="SJB698" s="524"/>
      <c r="SJC698" s="524"/>
      <c r="SJD698" s="524"/>
      <c r="SJE698" s="524"/>
      <c r="SJF698" s="524"/>
      <c r="SJG698" s="524"/>
      <c r="SJH698" s="524"/>
      <c r="SJI698" s="524"/>
      <c r="SJJ698" s="524"/>
      <c r="SJK698" s="524"/>
      <c r="SJL698" s="524"/>
      <c r="SJM698" s="524"/>
      <c r="SJN698" s="524"/>
      <c r="SJO698" s="524"/>
      <c r="SJP698" s="524"/>
      <c r="SJQ698" s="524"/>
      <c r="SJR698" s="524"/>
      <c r="SJS698" s="524"/>
      <c r="SJT698" s="524"/>
      <c r="SJU698" s="524"/>
      <c r="SJV698" s="524"/>
      <c r="SJW698" s="524"/>
      <c r="SJX698" s="524"/>
      <c r="SJY698" s="524"/>
      <c r="SJZ698" s="524"/>
      <c r="SKA698" s="524"/>
      <c r="SKB698" s="524"/>
      <c r="SKC698" s="524"/>
      <c r="SKD698" s="524"/>
      <c r="SKE698" s="524"/>
      <c r="SKF698" s="524"/>
      <c r="SKG698" s="524"/>
      <c r="SKH698" s="524"/>
      <c r="SKI698" s="524"/>
      <c r="SKJ698" s="524"/>
      <c r="SKK698" s="524"/>
      <c r="SKL698" s="524"/>
      <c r="SKM698" s="524"/>
      <c r="SKN698" s="524"/>
      <c r="SKO698" s="524"/>
      <c r="SKP698" s="524"/>
      <c r="SKQ698" s="524"/>
      <c r="SKR698" s="524"/>
      <c r="SKS698" s="524"/>
      <c r="SKT698" s="524"/>
      <c r="SKU698" s="524"/>
      <c r="SKV698" s="524"/>
      <c r="SKW698" s="524"/>
      <c r="SKX698" s="524"/>
      <c r="SKY698" s="524"/>
      <c r="SKZ698" s="524"/>
      <c r="SLA698" s="524"/>
      <c r="SLB698" s="524"/>
      <c r="SLC698" s="524"/>
      <c r="SLD698" s="524"/>
      <c r="SLE698" s="524"/>
      <c r="SLF698" s="524"/>
      <c r="SLG698" s="524"/>
      <c r="SLH698" s="524"/>
      <c r="SLI698" s="524"/>
      <c r="SLJ698" s="524"/>
      <c r="SLK698" s="524"/>
      <c r="SLL698" s="524"/>
      <c r="SLM698" s="524"/>
      <c r="SLN698" s="524"/>
      <c r="SLO698" s="524"/>
      <c r="SLP698" s="524"/>
      <c r="SLQ698" s="524"/>
      <c r="SLR698" s="524"/>
      <c r="SLS698" s="524"/>
      <c r="SLT698" s="524"/>
      <c r="SLU698" s="524"/>
      <c r="SLV698" s="524"/>
      <c r="SLW698" s="524"/>
      <c r="SLX698" s="524"/>
      <c r="SLY698" s="524"/>
      <c r="SLZ698" s="524"/>
      <c r="SMA698" s="524"/>
      <c r="SMB698" s="524"/>
      <c r="SMC698" s="524"/>
      <c r="SMD698" s="524"/>
      <c r="SME698" s="524"/>
      <c r="SMF698" s="524"/>
      <c r="SMG698" s="524"/>
      <c r="SMH698" s="524"/>
      <c r="SMI698" s="524"/>
      <c r="SMJ698" s="524"/>
      <c r="SMK698" s="524"/>
      <c r="SML698" s="524"/>
      <c r="SMM698" s="524"/>
      <c r="SMN698" s="524"/>
      <c r="SMO698" s="524"/>
      <c r="SMP698" s="524"/>
      <c r="SMQ698" s="524"/>
      <c r="SMR698" s="524"/>
      <c r="SMS698" s="524"/>
      <c r="SMT698" s="524"/>
      <c r="SMU698" s="524"/>
      <c r="SMV698" s="524"/>
      <c r="SMW698" s="524"/>
      <c r="SMX698" s="524"/>
      <c r="SMY698" s="524"/>
      <c r="SMZ698" s="524"/>
      <c r="SNA698" s="524"/>
      <c r="SNB698" s="524"/>
      <c r="SNC698" s="524"/>
      <c r="SND698" s="524"/>
      <c r="SNE698" s="524"/>
      <c r="SNF698" s="524"/>
      <c r="SNG698" s="524"/>
      <c r="SNH698" s="524"/>
      <c r="SNI698" s="524"/>
      <c r="SNJ698" s="524"/>
      <c r="SNK698" s="524"/>
      <c r="SNL698" s="524"/>
      <c r="SNM698" s="524"/>
      <c r="SNN698" s="524"/>
      <c r="SNO698" s="524"/>
      <c r="SNP698" s="524"/>
      <c r="SNQ698" s="524"/>
      <c r="SNR698" s="524"/>
      <c r="SNS698" s="524"/>
      <c r="SNT698" s="524"/>
      <c r="SNU698" s="524"/>
      <c r="SNV698" s="524"/>
      <c r="SNW698" s="524"/>
      <c r="SNX698" s="524"/>
      <c r="SNY698" s="524"/>
      <c r="SNZ698" s="524"/>
      <c r="SOA698" s="524"/>
      <c r="SOB698" s="524"/>
      <c r="SOC698" s="524"/>
      <c r="SOD698" s="524"/>
      <c r="SOE698" s="524"/>
      <c r="SOF698" s="524"/>
      <c r="SOG698" s="524"/>
      <c r="SOH698" s="524"/>
      <c r="SOI698" s="524"/>
      <c r="SOJ698" s="524"/>
      <c r="SOK698" s="524"/>
      <c r="SOL698" s="524"/>
      <c r="SOM698" s="524"/>
      <c r="SON698" s="524"/>
      <c r="SOO698" s="524"/>
      <c r="SOP698" s="524"/>
      <c r="SOQ698" s="524"/>
      <c r="SOR698" s="524"/>
      <c r="SOS698" s="524"/>
      <c r="SOT698" s="524"/>
      <c r="SOU698" s="524"/>
      <c r="SOV698" s="524"/>
      <c r="SOW698" s="524"/>
      <c r="SOX698" s="524"/>
      <c r="SOY698" s="524"/>
      <c r="SOZ698" s="524"/>
      <c r="SPA698" s="524"/>
      <c r="SPB698" s="524"/>
      <c r="SPC698" s="524"/>
      <c r="SPD698" s="524"/>
      <c r="SPE698" s="524"/>
      <c r="SPF698" s="524"/>
      <c r="SPG698" s="524"/>
      <c r="SPH698" s="524"/>
      <c r="SPI698" s="524"/>
      <c r="SPJ698" s="524"/>
      <c r="SPK698" s="524"/>
      <c r="SPL698" s="524"/>
      <c r="SPM698" s="524"/>
      <c r="SPN698" s="524"/>
      <c r="SPO698" s="524"/>
      <c r="SPP698" s="524"/>
      <c r="SPQ698" s="524"/>
      <c r="SPR698" s="524"/>
      <c r="SPS698" s="524"/>
      <c r="SPT698" s="524"/>
      <c r="SPU698" s="524"/>
      <c r="SPV698" s="524"/>
      <c r="SPW698" s="524"/>
      <c r="SPX698" s="524"/>
      <c r="SPY698" s="524"/>
      <c r="SPZ698" s="524"/>
      <c r="SQA698" s="524"/>
      <c r="SQB698" s="524"/>
      <c r="SQC698" s="524"/>
      <c r="SQD698" s="524"/>
      <c r="SQE698" s="524"/>
      <c r="SQF698" s="524"/>
      <c r="SQG698" s="524"/>
      <c r="SQH698" s="524"/>
      <c r="SQI698" s="524"/>
      <c r="SQJ698" s="524"/>
      <c r="SQK698" s="524"/>
      <c r="SQL698" s="524"/>
      <c r="SQM698" s="524"/>
      <c r="SQN698" s="524"/>
      <c r="SQO698" s="524"/>
      <c r="SQP698" s="524"/>
      <c r="SQQ698" s="524"/>
      <c r="SQR698" s="524"/>
      <c r="SQS698" s="524"/>
      <c r="SQT698" s="524"/>
      <c r="SQU698" s="524"/>
      <c r="SQV698" s="524"/>
      <c r="SQW698" s="524"/>
      <c r="SQX698" s="524"/>
      <c r="SQY698" s="524"/>
      <c r="SQZ698" s="524"/>
      <c r="SRA698" s="524"/>
      <c r="SRB698" s="524"/>
      <c r="SRC698" s="524"/>
      <c r="SRD698" s="524"/>
      <c r="SRE698" s="524"/>
      <c r="SRF698" s="524"/>
      <c r="SRG698" s="524"/>
      <c r="SRH698" s="524"/>
      <c r="SRI698" s="524"/>
      <c r="SRJ698" s="524"/>
      <c r="SRK698" s="524"/>
      <c r="SRL698" s="524"/>
      <c r="SRM698" s="524"/>
      <c r="SRN698" s="524"/>
      <c r="SRO698" s="524"/>
      <c r="SRP698" s="524"/>
      <c r="SRQ698" s="524"/>
      <c r="SRR698" s="524"/>
      <c r="SRS698" s="524"/>
      <c r="SRT698" s="524"/>
      <c r="SRU698" s="524"/>
      <c r="SRV698" s="524"/>
      <c r="SRW698" s="524"/>
      <c r="SRX698" s="524"/>
      <c r="SRY698" s="524"/>
      <c r="SRZ698" s="524"/>
      <c r="SSA698" s="524"/>
      <c r="SSB698" s="524"/>
      <c r="SSC698" s="524"/>
      <c r="SSD698" s="524"/>
      <c r="SSE698" s="524"/>
      <c r="SSF698" s="524"/>
      <c r="SSG698" s="524"/>
      <c r="SSH698" s="524"/>
      <c r="SSI698" s="524"/>
      <c r="SSJ698" s="524"/>
      <c r="SSK698" s="524"/>
      <c r="SSL698" s="524"/>
      <c r="SSM698" s="524"/>
      <c r="SSN698" s="524"/>
      <c r="SSO698" s="524"/>
      <c r="SSP698" s="524"/>
      <c r="SSQ698" s="524"/>
      <c r="SSR698" s="524"/>
      <c r="SSS698" s="524"/>
      <c r="SST698" s="524"/>
      <c r="SSU698" s="524"/>
      <c r="SSV698" s="524"/>
      <c r="SSW698" s="524"/>
      <c r="SSX698" s="524"/>
      <c r="SSY698" s="524"/>
      <c r="SSZ698" s="524"/>
      <c r="STA698" s="524"/>
      <c r="STB698" s="524"/>
      <c r="STC698" s="524"/>
      <c r="STD698" s="524"/>
      <c r="STE698" s="524"/>
      <c r="STF698" s="524"/>
      <c r="STG698" s="524"/>
      <c r="STH698" s="524"/>
      <c r="STI698" s="524"/>
      <c r="STJ698" s="524"/>
      <c r="STK698" s="524"/>
      <c r="STL698" s="524"/>
      <c r="STM698" s="524"/>
      <c r="STN698" s="524"/>
      <c r="STO698" s="524"/>
      <c r="STP698" s="524"/>
      <c r="STQ698" s="524"/>
      <c r="STR698" s="524"/>
      <c r="STS698" s="524"/>
      <c r="STT698" s="524"/>
      <c r="STU698" s="524"/>
      <c r="STV698" s="524"/>
      <c r="STW698" s="524"/>
      <c r="STX698" s="524"/>
      <c r="STY698" s="524"/>
      <c r="STZ698" s="524"/>
      <c r="SUA698" s="524"/>
      <c r="SUB698" s="524"/>
      <c r="SUC698" s="524"/>
      <c r="SUD698" s="524"/>
      <c r="SUE698" s="524"/>
      <c r="SUF698" s="524"/>
      <c r="SUG698" s="524"/>
      <c r="SUH698" s="524"/>
      <c r="SUI698" s="524"/>
      <c r="SUJ698" s="524"/>
      <c r="SUK698" s="524"/>
      <c r="SUL698" s="524"/>
      <c r="SUM698" s="524"/>
      <c r="SUN698" s="524"/>
      <c r="SUO698" s="524"/>
      <c r="SUP698" s="524"/>
      <c r="SUQ698" s="524"/>
      <c r="SUR698" s="524"/>
      <c r="SUS698" s="524"/>
      <c r="SUT698" s="524"/>
      <c r="SUU698" s="524"/>
      <c r="SUV698" s="524"/>
      <c r="SUW698" s="524"/>
      <c r="SUX698" s="524"/>
      <c r="SUY698" s="524"/>
      <c r="SUZ698" s="524"/>
      <c r="SVA698" s="524"/>
      <c r="SVB698" s="524"/>
      <c r="SVC698" s="524"/>
      <c r="SVD698" s="524"/>
      <c r="SVE698" s="524"/>
      <c r="SVF698" s="524"/>
      <c r="SVG698" s="524"/>
      <c r="SVH698" s="524"/>
      <c r="SVI698" s="524"/>
      <c r="SVJ698" s="524"/>
      <c r="SVK698" s="524"/>
      <c r="SVL698" s="524"/>
      <c r="SVM698" s="524"/>
      <c r="SVN698" s="524"/>
      <c r="SVO698" s="524"/>
      <c r="SVP698" s="524"/>
      <c r="SVQ698" s="524"/>
      <c r="SVR698" s="524"/>
      <c r="SVS698" s="524"/>
      <c r="SVT698" s="524"/>
      <c r="SVU698" s="524"/>
      <c r="SVV698" s="524"/>
      <c r="SVW698" s="524"/>
      <c r="SVX698" s="524"/>
      <c r="SVY698" s="524"/>
      <c r="SVZ698" s="524"/>
      <c r="SWA698" s="524"/>
      <c r="SWB698" s="524"/>
      <c r="SWC698" s="524"/>
      <c r="SWD698" s="524"/>
      <c r="SWE698" s="524"/>
      <c r="SWF698" s="524"/>
      <c r="SWG698" s="524"/>
      <c r="SWH698" s="524"/>
      <c r="SWI698" s="524"/>
      <c r="SWJ698" s="524"/>
      <c r="SWK698" s="524"/>
      <c r="SWL698" s="524"/>
      <c r="SWM698" s="524"/>
      <c r="SWN698" s="524"/>
      <c r="SWO698" s="524"/>
      <c r="SWP698" s="524"/>
      <c r="SWQ698" s="524"/>
      <c r="SWR698" s="524"/>
      <c r="SWS698" s="524"/>
      <c r="SWT698" s="524"/>
      <c r="SWU698" s="524"/>
      <c r="SWV698" s="524"/>
      <c r="SWW698" s="524"/>
      <c r="SWX698" s="524"/>
      <c r="SWY698" s="524"/>
      <c r="SWZ698" s="524"/>
      <c r="SXA698" s="524"/>
      <c r="SXB698" s="524"/>
      <c r="SXC698" s="524"/>
      <c r="SXD698" s="524"/>
      <c r="SXE698" s="524"/>
      <c r="SXF698" s="524"/>
      <c r="SXG698" s="524"/>
      <c r="SXH698" s="524"/>
      <c r="SXI698" s="524"/>
      <c r="SXJ698" s="524"/>
      <c r="SXK698" s="524"/>
      <c r="SXL698" s="524"/>
      <c r="SXM698" s="524"/>
      <c r="SXN698" s="524"/>
      <c r="SXO698" s="524"/>
      <c r="SXP698" s="524"/>
      <c r="SXQ698" s="524"/>
      <c r="SXR698" s="524"/>
      <c r="SXS698" s="524"/>
      <c r="SXT698" s="524"/>
      <c r="SXU698" s="524"/>
      <c r="SXV698" s="524"/>
      <c r="SXW698" s="524"/>
      <c r="SXX698" s="524"/>
      <c r="SXY698" s="524"/>
      <c r="SXZ698" s="524"/>
      <c r="SYA698" s="524"/>
      <c r="SYB698" s="524"/>
      <c r="SYC698" s="524"/>
      <c r="SYD698" s="524"/>
      <c r="SYE698" s="524"/>
      <c r="SYF698" s="524"/>
      <c r="SYG698" s="524"/>
      <c r="SYH698" s="524"/>
      <c r="SYI698" s="524"/>
      <c r="SYJ698" s="524"/>
      <c r="SYK698" s="524"/>
      <c r="SYL698" s="524"/>
      <c r="SYM698" s="524"/>
      <c r="SYN698" s="524"/>
      <c r="SYO698" s="524"/>
      <c r="SYP698" s="524"/>
      <c r="SYQ698" s="524"/>
      <c r="SYR698" s="524"/>
      <c r="SYS698" s="524"/>
      <c r="SYT698" s="524"/>
      <c r="SYU698" s="524"/>
      <c r="SYV698" s="524"/>
      <c r="SYW698" s="524"/>
      <c r="SYX698" s="524"/>
      <c r="SYY698" s="524"/>
      <c r="SYZ698" s="524"/>
      <c r="SZA698" s="524"/>
      <c r="SZB698" s="524"/>
      <c r="SZC698" s="524"/>
      <c r="SZD698" s="524"/>
      <c r="SZE698" s="524"/>
      <c r="SZF698" s="524"/>
      <c r="SZG698" s="524"/>
      <c r="SZH698" s="524"/>
      <c r="SZI698" s="524"/>
      <c r="SZJ698" s="524"/>
      <c r="SZK698" s="524"/>
      <c r="SZL698" s="524"/>
      <c r="SZM698" s="524"/>
      <c r="SZN698" s="524"/>
      <c r="SZO698" s="524"/>
      <c r="SZP698" s="524"/>
      <c r="SZQ698" s="524"/>
      <c r="SZR698" s="524"/>
      <c r="SZS698" s="524"/>
      <c r="SZT698" s="524"/>
      <c r="SZU698" s="524"/>
      <c r="SZV698" s="524"/>
      <c r="SZW698" s="524"/>
      <c r="SZX698" s="524"/>
      <c r="SZY698" s="524"/>
      <c r="SZZ698" s="524"/>
      <c r="TAA698" s="524"/>
      <c r="TAB698" s="524"/>
      <c r="TAC698" s="524"/>
      <c r="TAD698" s="524"/>
      <c r="TAE698" s="524"/>
      <c r="TAF698" s="524"/>
      <c r="TAG698" s="524"/>
      <c r="TAH698" s="524"/>
      <c r="TAI698" s="524"/>
      <c r="TAJ698" s="524"/>
      <c r="TAK698" s="524"/>
      <c r="TAL698" s="524"/>
      <c r="TAM698" s="524"/>
      <c r="TAN698" s="524"/>
      <c r="TAO698" s="524"/>
      <c r="TAP698" s="524"/>
      <c r="TAQ698" s="524"/>
      <c r="TAR698" s="524"/>
      <c r="TAS698" s="524"/>
      <c r="TAT698" s="524"/>
      <c r="TAU698" s="524"/>
      <c r="TAV698" s="524"/>
      <c r="TAW698" s="524"/>
      <c r="TAX698" s="524"/>
      <c r="TAY698" s="524"/>
      <c r="TAZ698" s="524"/>
      <c r="TBA698" s="524"/>
      <c r="TBB698" s="524"/>
      <c r="TBC698" s="524"/>
      <c r="TBD698" s="524"/>
      <c r="TBE698" s="524"/>
      <c r="TBF698" s="524"/>
      <c r="TBG698" s="524"/>
      <c r="TBH698" s="524"/>
      <c r="TBI698" s="524"/>
      <c r="TBJ698" s="524"/>
      <c r="TBK698" s="524"/>
      <c r="TBL698" s="524"/>
      <c r="TBM698" s="524"/>
      <c r="TBN698" s="524"/>
      <c r="TBO698" s="524"/>
      <c r="TBP698" s="524"/>
      <c r="TBQ698" s="524"/>
      <c r="TBR698" s="524"/>
      <c r="TBS698" s="524"/>
      <c r="TBT698" s="524"/>
      <c r="TBU698" s="524"/>
      <c r="TBV698" s="524"/>
      <c r="TBW698" s="524"/>
      <c r="TBX698" s="524"/>
      <c r="TBY698" s="524"/>
      <c r="TBZ698" s="524"/>
      <c r="TCA698" s="524"/>
      <c r="TCB698" s="524"/>
      <c r="TCC698" s="524"/>
      <c r="TCD698" s="524"/>
      <c r="TCE698" s="524"/>
      <c r="TCF698" s="524"/>
      <c r="TCG698" s="524"/>
      <c r="TCH698" s="524"/>
      <c r="TCI698" s="524"/>
      <c r="TCJ698" s="524"/>
      <c r="TCK698" s="524"/>
      <c r="TCL698" s="524"/>
      <c r="TCM698" s="524"/>
      <c r="TCN698" s="524"/>
      <c r="TCO698" s="524"/>
      <c r="TCP698" s="524"/>
      <c r="TCQ698" s="524"/>
      <c r="TCR698" s="524"/>
      <c r="TCS698" s="524"/>
      <c r="TCT698" s="524"/>
      <c r="TCU698" s="524"/>
      <c r="TCV698" s="524"/>
      <c r="TCW698" s="524"/>
      <c r="TCX698" s="524"/>
      <c r="TCY698" s="524"/>
      <c r="TCZ698" s="524"/>
      <c r="TDA698" s="524"/>
      <c r="TDB698" s="524"/>
      <c r="TDC698" s="524"/>
      <c r="TDD698" s="524"/>
      <c r="TDE698" s="524"/>
      <c r="TDF698" s="524"/>
      <c r="TDG698" s="524"/>
      <c r="TDH698" s="524"/>
      <c r="TDI698" s="524"/>
      <c r="TDJ698" s="524"/>
      <c r="TDK698" s="524"/>
      <c r="TDL698" s="524"/>
      <c r="TDM698" s="524"/>
      <c r="TDN698" s="524"/>
      <c r="TDO698" s="524"/>
      <c r="TDP698" s="524"/>
      <c r="TDQ698" s="524"/>
      <c r="TDR698" s="524"/>
      <c r="TDS698" s="524"/>
      <c r="TDT698" s="524"/>
      <c r="TDU698" s="524"/>
      <c r="TDV698" s="524"/>
      <c r="TDW698" s="524"/>
      <c r="TDX698" s="524"/>
      <c r="TDY698" s="524"/>
      <c r="TDZ698" s="524"/>
      <c r="TEA698" s="524"/>
      <c r="TEB698" s="524"/>
      <c r="TEC698" s="524"/>
      <c r="TED698" s="524"/>
      <c r="TEE698" s="524"/>
      <c r="TEF698" s="524"/>
      <c r="TEG698" s="524"/>
      <c r="TEH698" s="524"/>
      <c r="TEI698" s="524"/>
      <c r="TEJ698" s="524"/>
      <c r="TEK698" s="524"/>
      <c r="TEL698" s="524"/>
      <c r="TEM698" s="524"/>
      <c r="TEN698" s="524"/>
      <c r="TEO698" s="524"/>
      <c r="TEP698" s="524"/>
      <c r="TEQ698" s="524"/>
      <c r="TER698" s="524"/>
      <c r="TES698" s="524"/>
      <c r="TET698" s="524"/>
      <c r="TEU698" s="524"/>
      <c r="TEV698" s="524"/>
      <c r="TEW698" s="524"/>
      <c r="TEX698" s="524"/>
      <c r="TEY698" s="524"/>
      <c r="TEZ698" s="524"/>
      <c r="TFA698" s="524"/>
      <c r="TFB698" s="524"/>
      <c r="TFC698" s="524"/>
      <c r="TFD698" s="524"/>
      <c r="TFE698" s="524"/>
      <c r="TFF698" s="524"/>
      <c r="TFG698" s="524"/>
      <c r="TFH698" s="524"/>
      <c r="TFI698" s="524"/>
      <c r="TFJ698" s="524"/>
      <c r="TFK698" s="524"/>
      <c r="TFL698" s="524"/>
      <c r="TFM698" s="524"/>
      <c r="TFN698" s="524"/>
      <c r="TFO698" s="524"/>
      <c r="TFP698" s="524"/>
      <c r="TFQ698" s="524"/>
      <c r="TFR698" s="524"/>
      <c r="TFS698" s="524"/>
      <c r="TFT698" s="524"/>
      <c r="TFU698" s="524"/>
      <c r="TFV698" s="524"/>
      <c r="TFW698" s="524"/>
      <c r="TFX698" s="524"/>
      <c r="TFY698" s="524"/>
      <c r="TFZ698" s="524"/>
      <c r="TGA698" s="524"/>
      <c r="TGB698" s="524"/>
      <c r="TGC698" s="524"/>
      <c r="TGD698" s="524"/>
      <c r="TGE698" s="524"/>
      <c r="TGF698" s="524"/>
      <c r="TGG698" s="524"/>
      <c r="TGH698" s="524"/>
      <c r="TGI698" s="524"/>
      <c r="TGJ698" s="524"/>
      <c r="TGK698" s="524"/>
      <c r="TGL698" s="524"/>
      <c r="TGM698" s="524"/>
      <c r="TGN698" s="524"/>
      <c r="TGO698" s="524"/>
      <c r="TGP698" s="524"/>
      <c r="TGQ698" s="524"/>
      <c r="TGR698" s="524"/>
      <c r="TGS698" s="524"/>
      <c r="TGT698" s="524"/>
      <c r="TGU698" s="524"/>
      <c r="TGV698" s="524"/>
      <c r="TGW698" s="524"/>
      <c r="TGX698" s="524"/>
      <c r="TGY698" s="524"/>
      <c r="TGZ698" s="524"/>
      <c r="THA698" s="524"/>
      <c r="THB698" s="524"/>
      <c r="THC698" s="524"/>
      <c r="THD698" s="524"/>
      <c r="THE698" s="524"/>
      <c r="THF698" s="524"/>
      <c r="THG698" s="524"/>
      <c r="THH698" s="524"/>
      <c r="THI698" s="524"/>
      <c r="THJ698" s="524"/>
      <c r="THK698" s="524"/>
      <c r="THL698" s="524"/>
      <c r="THM698" s="524"/>
      <c r="THN698" s="524"/>
      <c r="THO698" s="524"/>
      <c r="THP698" s="524"/>
      <c r="THQ698" s="524"/>
      <c r="THR698" s="524"/>
      <c r="THS698" s="524"/>
      <c r="THT698" s="524"/>
      <c r="THU698" s="524"/>
      <c r="THV698" s="524"/>
      <c r="THW698" s="524"/>
      <c r="THX698" s="524"/>
      <c r="THY698" s="524"/>
      <c r="THZ698" s="524"/>
      <c r="TIA698" s="524"/>
      <c r="TIB698" s="524"/>
      <c r="TIC698" s="524"/>
      <c r="TID698" s="524"/>
      <c r="TIE698" s="524"/>
      <c r="TIF698" s="524"/>
      <c r="TIG698" s="524"/>
      <c r="TIH698" s="524"/>
      <c r="TII698" s="524"/>
      <c r="TIJ698" s="524"/>
      <c r="TIK698" s="524"/>
      <c r="TIL698" s="524"/>
      <c r="TIM698" s="524"/>
      <c r="TIN698" s="524"/>
      <c r="TIO698" s="524"/>
      <c r="TIP698" s="524"/>
      <c r="TIQ698" s="524"/>
      <c r="TIR698" s="524"/>
      <c r="TIS698" s="524"/>
      <c r="TIT698" s="524"/>
      <c r="TIU698" s="524"/>
      <c r="TIV698" s="524"/>
      <c r="TIW698" s="524"/>
      <c r="TIX698" s="524"/>
      <c r="TIY698" s="524"/>
      <c r="TIZ698" s="524"/>
      <c r="TJA698" s="524"/>
      <c r="TJB698" s="524"/>
      <c r="TJC698" s="524"/>
      <c r="TJD698" s="524"/>
      <c r="TJE698" s="524"/>
      <c r="TJF698" s="524"/>
      <c r="TJG698" s="524"/>
      <c r="TJH698" s="524"/>
      <c r="TJI698" s="524"/>
      <c r="TJJ698" s="524"/>
      <c r="TJK698" s="524"/>
      <c r="TJL698" s="524"/>
      <c r="TJM698" s="524"/>
      <c r="TJN698" s="524"/>
      <c r="TJO698" s="524"/>
      <c r="TJP698" s="524"/>
      <c r="TJQ698" s="524"/>
      <c r="TJR698" s="524"/>
      <c r="TJS698" s="524"/>
      <c r="TJT698" s="524"/>
      <c r="TJU698" s="524"/>
      <c r="TJV698" s="524"/>
      <c r="TJW698" s="524"/>
      <c r="TJX698" s="524"/>
      <c r="TJY698" s="524"/>
      <c r="TJZ698" s="524"/>
      <c r="TKA698" s="524"/>
      <c r="TKB698" s="524"/>
      <c r="TKC698" s="524"/>
      <c r="TKD698" s="524"/>
      <c r="TKE698" s="524"/>
      <c r="TKF698" s="524"/>
      <c r="TKG698" s="524"/>
      <c r="TKH698" s="524"/>
      <c r="TKI698" s="524"/>
      <c r="TKJ698" s="524"/>
      <c r="TKK698" s="524"/>
      <c r="TKL698" s="524"/>
      <c r="TKM698" s="524"/>
      <c r="TKN698" s="524"/>
      <c r="TKO698" s="524"/>
      <c r="TKP698" s="524"/>
      <c r="TKQ698" s="524"/>
      <c r="TKR698" s="524"/>
      <c r="TKS698" s="524"/>
      <c r="TKT698" s="524"/>
      <c r="TKU698" s="524"/>
      <c r="TKV698" s="524"/>
      <c r="TKW698" s="524"/>
      <c r="TKX698" s="524"/>
      <c r="TKY698" s="524"/>
      <c r="TKZ698" s="524"/>
      <c r="TLA698" s="524"/>
      <c r="TLB698" s="524"/>
      <c r="TLC698" s="524"/>
      <c r="TLD698" s="524"/>
      <c r="TLE698" s="524"/>
      <c r="TLF698" s="524"/>
      <c r="TLG698" s="524"/>
      <c r="TLH698" s="524"/>
      <c r="TLI698" s="524"/>
      <c r="TLJ698" s="524"/>
      <c r="TLK698" s="524"/>
      <c r="TLL698" s="524"/>
      <c r="TLM698" s="524"/>
      <c r="TLN698" s="524"/>
      <c r="TLO698" s="524"/>
      <c r="TLP698" s="524"/>
      <c r="TLQ698" s="524"/>
      <c r="TLR698" s="524"/>
      <c r="TLS698" s="524"/>
      <c r="TLT698" s="524"/>
      <c r="TLU698" s="524"/>
      <c r="TLV698" s="524"/>
      <c r="TLW698" s="524"/>
      <c r="TLX698" s="524"/>
      <c r="TLY698" s="524"/>
      <c r="TLZ698" s="524"/>
      <c r="TMA698" s="524"/>
      <c r="TMB698" s="524"/>
      <c r="TMC698" s="524"/>
      <c r="TMD698" s="524"/>
      <c r="TME698" s="524"/>
      <c r="TMF698" s="524"/>
      <c r="TMG698" s="524"/>
      <c r="TMH698" s="524"/>
      <c r="TMI698" s="524"/>
      <c r="TMJ698" s="524"/>
      <c r="TMK698" s="524"/>
      <c r="TML698" s="524"/>
      <c r="TMM698" s="524"/>
      <c r="TMN698" s="524"/>
      <c r="TMO698" s="524"/>
      <c r="TMP698" s="524"/>
      <c r="TMQ698" s="524"/>
      <c r="TMR698" s="524"/>
      <c r="TMS698" s="524"/>
      <c r="TMT698" s="524"/>
      <c r="TMU698" s="524"/>
      <c r="TMV698" s="524"/>
      <c r="TMW698" s="524"/>
      <c r="TMX698" s="524"/>
      <c r="TMY698" s="524"/>
      <c r="TMZ698" s="524"/>
      <c r="TNA698" s="524"/>
      <c r="TNB698" s="524"/>
      <c r="TNC698" s="524"/>
      <c r="TND698" s="524"/>
      <c r="TNE698" s="524"/>
      <c r="TNF698" s="524"/>
      <c r="TNG698" s="524"/>
      <c r="TNH698" s="524"/>
      <c r="TNI698" s="524"/>
      <c r="TNJ698" s="524"/>
      <c r="TNK698" s="524"/>
      <c r="TNL698" s="524"/>
      <c r="TNM698" s="524"/>
      <c r="TNN698" s="524"/>
      <c r="TNO698" s="524"/>
      <c r="TNP698" s="524"/>
      <c r="TNQ698" s="524"/>
      <c r="TNR698" s="524"/>
      <c r="TNS698" s="524"/>
      <c r="TNT698" s="524"/>
      <c r="TNU698" s="524"/>
      <c r="TNV698" s="524"/>
      <c r="TNW698" s="524"/>
      <c r="TNX698" s="524"/>
      <c r="TNY698" s="524"/>
      <c r="TNZ698" s="524"/>
      <c r="TOA698" s="524"/>
      <c r="TOB698" s="524"/>
      <c r="TOC698" s="524"/>
      <c r="TOD698" s="524"/>
      <c r="TOE698" s="524"/>
      <c r="TOF698" s="524"/>
      <c r="TOG698" s="524"/>
      <c r="TOH698" s="524"/>
      <c r="TOI698" s="524"/>
      <c r="TOJ698" s="524"/>
      <c r="TOK698" s="524"/>
      <c r="TOL698" s="524"/>
      <c r="TOM698" s="524"/>
      <c r="TON698" s="524"/>
      <c r="TOO698" s="524"/>
      <c r="TOP698" s="524"/>
      <c r="TOQ698" s="524"/>
      <c r="TOR698" s="524"/>
      <c r="TOS698" s="524"/>
      <c r="TOT698" s="524"/>
      <c r="TOU698" s="524"/>
      <c r="TOV698" s="524"/>
      <c r="TOW698" s="524"/>
      <c r="TOX698" s="524"/>
      <c r="TOY698" s="524"/>
      <c r="TOZ698" s="524"/>
      <c r="TPA698" s="524"/>
      <c r="TPB698" s="524"/>
      <c r="TPC698" s="524"/>
      <c r="TPD698" s="524"/>
      <c r="TPE698" s="524"/>
      <c r="TPF698" s="524"/>
      <c r="TPG698" s="524"/>
      <c r="TPH698" s="524"/>
      <c r="TPI698" s="524"/>
      <c r="TPJ698" s="524"/>
      <c r="TPK698" s="524"/>
      <c r="TPL698" s="524"/>
      <c r="TPM698" s="524"/>
      <c r="TPN698" s="524"/>
      <c r="TPO698" s="524"/>
      <c r="TPP698" s="524"/>
      <c r="TPQ698" s="524"/>
      <c r="TPR698" s="524"/>
      <c r="TPS698" s="524"/>
      <c r="TPT698" s="524"/>
      <c r="TPU698" s="524"/>
      <c r="TPV698" s="524"/>
      <c r="TPW698" s="524"/>
      <c r="TPX698" s="524"/>
      <c r="TPY698" s="524"/>
      <c r="TPZ698" s="524"/>
      <c r="TQA698" s="524"/>
      <c r="TQB698" s="524"/>
      <c r="TQC698" s="524"/>
      <c r="TQD698" s="524"/>
      <c r="TQE698" s="524"/>
      <c r="TQF698" s="524"/>
      <c r="TQG698" s="524"/>
      <c r="TQH698" s="524"/>
      <c r="TQI698" s="524"/>
      <c r="TQJ698" s="524"/>
      <c r="TQK698" s="524"/>
      <c r="TQL698" s="524"/>
      <c r="TQM698" s="524"/>
      <c r="TQN698" s="524"/>
      <c r="TQO698" s="524"/>
      <c r="TQP698" s="524"/>
      <c r="TQQ698" s="524"/>
      <c r="TQR698" s="524"/>
      <c r="TQS698" s="524"/>
      <c r="TQT698" s="524"/>
      <c r="TQU698" s="524"/>
      <c r="TQV698" s="524"/>
      <c r="TQW698" s="524"/>
      <c r="TQX698" s="524"/>
      <c r="TQY698" s="524"/>
      <c r="TQZ698" s="524"/>
      <c r="TRA698" s="524"/>
      <c r="TRB698" s="524"/>
      <c r="TRC698" s="524"/>
      <c r="TRD698" s="524"/>
      <c r="TRE698" s="524"/>
      <c r="TRF698" s="524"/>
      <c r="TRG698" s="524"/>
      <c r="TRH698" s="524"/>
      <c r="TRI698" s="524"/>
      <c r="TRJ698" s="524"/>
      <c r="TRK698" s="524"/>
      <c r="TRL698" s="524"/>
      <c r="TRM698" s="524"/>
      <c r="TRN698" s="524"/>
      <c r="TRO698" s="524"/>
      <c r="TRP698" s="524"/>
      <c r="TRQ698" s="524"/>
      <c r="TRR698" s="524"/>
      <c r="TRS698" s="524"/>
      <c r="TRT698" s="524"/>
      <c r="TRU698" s="524"/>
      <c r="TRV698" s="524"/>
      <c r="TRW698" s="524"/>
      <c r="TRX698" s="524"/>
      <c r="TRY698" s="524"/>
      <c r="TRZ698" s="524"/>
      <c r="TSA698" s="524"/>
      <c r="TSB698" s="524"/>
      <c r="TSC698" s="524"/>
      <c r="TSD698" s="524"/>
      <c r="TSE698" s="524"/>
      <c r="TSF698" s="524"/>
      <c r="TSG698" s="524"/>
      <c r="TSH698" s="524"/>
      <c r="TSI698" s="524"/>
      <c r="TSJ698" s="524"/>
      <c r="TSK698" s="524"/>
      <c r="TSL698" s="524"/>
      <c r="TSM698" s="524"/>
      <c r="TSN698" s="524"/>
      <c r="TSO698" s="524"/>
      <c r="TSP698" s="524"/>
      <c r="TSQ698" s="524"/>
      <c r="TSR698" s="524"/>
      <c r="TSS698" s="524"/>
      <c r="TST698" s="524"/>
      <c r="TSU698" s="524"/>
      <c r="TSV698" s="524"/>
      <c r="TSW698" s="524"/>
      <c r="TSX698" s="524"/>
      <c r="TSY698" s="524"/>
      <c r="TSZ698" s="524"/>
      <c r="TTA698" s="524"/>
      <c r="TTB698" s="524"/>
      <c r="TTC698" s="524"/>
      <c r="TTD698" s="524"/>
      <c r="TTE698" s="524"/>
      <c r="TTF698" s="524"/>
      <c r="TTG698" s="524"/>
      <c r="TTH698" s="524"/>
      <c r="TTI698" s="524"/>
      <c r="TTJ698" s="524"/>
      <c r="TTK698" s="524"/>
      <c r="TTL698" s="524"/>
      <c r="TTM698" s="524"/>
      <c r="TTN698" s="524"/>
      <c r="TTO698" s="524"/>
      <c r="TTP698" s="524"/>
      <c r="TTQ698" s="524"/>
      <c r="TTR698" s="524"/>
      <c r="TTS698" s="524"/>
      <c r="TTT698" s="524"/>
      <c r="TTU698" s="524"/>
      <c r="TTV698" s="524"/>
      <c r="TTW698" s="524"/>
      <c r="TTX698" s="524"/>
      <c r="TTY698" s="524"/>
      <c r="TTZ698" s="524"/>
      <c r="TUA698" s="524"/>
      <c r="TUB698" s="524"/>
      <c r="TUC698" s="524"/>
      <c r="TUD698" s="524"/>
      <c r="TUE698" s="524"/>
      <c r="TUF698" s="524"/>
      <c r="TUG698" s="524"/>
      <c r="TUH698" s="524"/>
      <c r="TUI698" s="524"/>
      <c r="TUJ698" s="524"/>
      <c r="TUK698" s="524"/>
      <c r="TUL698" s="524"/>
      <c r="TUM698" s="524"/>
      <c r="TUN698" s="524"/>
      <c r="TUO698" s="524"/>
      <c r="TUP698" s="524"/>
      <c r="TUQ698" s="524"/>
      <c r="TUR698" s="524"/>
      <c r="TUS698" s="524"/>
      <c r="TUT698" s="524"/>
      <c r="TUU698" s="524"/>
      <c r="TUV698" s="524"/>
      <c r="TUW698" s="524"/>
      <c r="TUX698" s="524"/>
      <c r="TUY698" s="524"/>
      <c r="TUZ698" s="524"/>
      <c r="TVA698" s="524"/>
      <c r="TVB698" s="524"/>
      <c r="TVC698" s="524"/>
      <c r="TVD698" s="524"/>
      <c r="TVE698" s="524"/>
      <c r="TVF698" s="524"/>
      <c r="TVG698" s="524"/>
      <c r="TVH698" s="524"/>
      <c r="TVI698" s="524"/>
      <c r="TVJ698" s="524"/>
      <c r="TVK698" s="524"/>
      <c r="TVL698" s="524"/>
      <c r="TVM698" s="524"/>
      <c r="TVN698" s="524"/>
      <c r="TVO698" s="524"/>
      <c r="TVP698" s="524"/>
      <c r="TVQ698" s="524"/>
      <c r="TVR698" s="524"/>
      <c r="TVS698" s="524"/>
      <c r="TVT698" s="524"/>
      <c r="TVU698" s="524"/>
      <c r="TVV698" s="524"/>
      <c r="TVW698" s="524"/>
      <c r="TVX698" s="524"/>
      <c r="TVY698" s="524"/>
      <c r="TVZ698" s="524"/>
      <c r="TWA698" s="524"/>
      <c r="TWB698" s="524"/>
      <c r="TWC698" s="524"/>
      <c r="TWD698" s="524"/>
      <c r="TWE698" s="524"/>
      <c r="TWF698" s="524"/>
      <c r="TWG698" s="524"/>
      <c r="TWH698" s="524"/>
      <c r="TWI698" s="524"/>
      <c r="TWJ698" s="524"/>
      <c r="TWK698" s="524"/>
      <c r="TWL698" s="524"/>
      <c r="TWM698" s="524"/>
      <c r="TWN698" s="524"/>
      <c r="TWO698" s="524"/>
      <c r="TWP698" s="524"/>
      <c r="TWQ698" s="524"/>
      <c r="TWR698" s="524"/>
      <c r="TWS698" s="524"/>
      <c r="TWT698" s="524"/>
      <c r="TWU698" s="524"/>
      <c r="TWV698" s="524"/>
      <c r="TWW698" s="524"/>
      <c r="TWX698" s="524"/>
      <c r="TWY698" s="524"/>
      <c r="TWZ698" s="524"/>
      <c r="TXA698" s="524"/>
      <c r="TXB698" s="524"/>
      <c r="TXC698" s="524"/>
      <c r="TXD698" s="524"/>
      <c r="TXE698" s="524"/>
      <c r="TXF698" s="524"/>
      <c r="TXG698" s="524"/>
      <c r="TXH698" s="524"/>
      <c r="TXI698" s="524"/>
      <c r="TXJ698" s="524"/>
      <c r="TXK698" s="524"/>
      <c r="TXL698" s="524"/>
      <c r="TXM698" s="524"/>
      <c r="TXN698" s="524"/>
      <c r="TXO698" s="524"/>
      <c r="TXP698" s="524"/>
      <c r="TXQ698" s="524"/>
      <c r="TXR698" s="524"/>
      <c r="TXS698" s="524"/>
      <c r="TXT698" s="524"/>
      <c r="TXU698" s="524"/>
      <c r="TXV698" s="524"/>
      <c r="TXW698" s="524"/>
      <c r="TXX698" s="524"/>
      <c r="TXY698" s="524"/>
      <c r="TXZ698" s="524"/>
      <c r="TYA698" s="524"/>
      <c r="TYB698" s="524"/>
      <c r="TYC698" s="524"/>
      <c r="TYD698" s="524"/>
      <c r="TYE698" s="524"/>
      <c r="TYF698" s="524"/>
      <c r="TYG698" s="524"/>
      <c r="TYH698" s="524"/>
      <c r="TYI698" s="524"/>
      <c r="TYJ698" s="524"/>
      <c r="TYK698" s="524"/>
      <c r="TYL698" s="524"/>
      <c r="TYM698" s="524"/>
      <c r="TYN698" s="524"/>
      <c r="TYO698" s="524"/>
      <c r="TYP698" s="524"/>
      <c r="TYQ698" s="524"/>
      <c r="TYR698" s="524"/>
      <c r="TYS698" s="524"/>
      <c r="TYT698" s="524"/>
      <c r="TYU698" s="524"/>
      <c r="TYV698" s="524"/>
      <c r="TYW698" s="524"/>
      <c r="TYX698" s="524"/>
      <c r="TYY698" s="524"/>
      <c r="TYZ698" s="524"/>
      <c r="TZA698" s="524"/>
      <c r="TZB698" s="524"/>
      <c r="TZC698" s="524"/>
      <c r="TZD698" s="524"/>
      <c r="TZE698" s="524"/>
      <c r="TZF698" s="524"/>
      <c r="TZG698" s="524"/>
      <c r="TZH698" s="524"/>
      <c r="TZI698" s="524"/>
      <c r="TZJ698" s="524"/>
      <c r="TZK698" s="524"/>
      <c r="TZL698" s="524"/>
      <c r="TZM698" s="524"/>
      <c r="TZN698" s="524"/>
      <c r="TZO698" s="524"/>
      <c r="TZP698" s="524"/>
      <c r="TZQ698" s="524"/>
      <c r="TZR698" s="524"/>
      <c r="TZS698" s="524"/>
      <c r="TZT698" s="524"/>
      <c r="TZU698" s="524"/>
      <c r="TZV698" s="524"/>
      <c r="TZW698" s="524"/>
      <c r="TZX698" s="524"/>
      <c r="TZY698" s="524"/>
      <c r="TZZ698" s="524"/>
      <c r="UAA698" s="524"/>
      <c r="UAB698" s="524"/>
      <c r="UAC698" s="524"/>
      <c r="UAD698" s="524"/>
      <c r="UAE698" s="524"/>
      <c r="UAF698" s="524"/>
      <c r="UAG698" s="524"/>
      <c r="UAH698" s="524"/>
      <c r="UAI698" s="524"/>
      <c r="UAJ698" s="524"/>
      <c r="UAK698" s="524"/>
      <c r="UAL698" s="524"/>
      <c r="UAM698" s="524"/>
      <c r="UAN698" s="524"/>
      <c r="UAO698" s="524"/>
      <c r="UAP698" s="524"/>
      <c r="UAQ698" s="524"/>
      <c r="UAR698" s="524"/>
      <c r="UAS698" s="524"/>
      <c r="UAT698" s="524"/>
      <c r="UAU698" s="524"/>
      <c r="UAV698" s="524"/>
      <c r="UAW698" s="524"/>
      <c r="UAX698" s="524"/>
      <c r="UAY698" s="524"/>
      <c r="UAZ698" s="524"/>
      <c r="UBA698" s="524"/>
      <c r="UBB698" s="524"/>
      <c r="UBC698" s="524"/>
      <c r="UBD698" s="524"/>
      <c r="UBE698" s="524"/>
      <c r="UBF698" s="524"/>
      <c r="UBG698" s="524"/>
      <c r="UBH698" s="524"/>
      <c r="UBI698" s="524"/>
      <c r="UBJ698" s="524"/>
      <c r="UBK698" s="524"/>
      <c r="UBL698" s="524"/>
      <c r="UBM698" s="524"/>
      <c r="UBN698" s="524"/>
      <c r="UBO698" s="524"/>
      <c r="UBP698" s="524"/>
      <c r="UBQ698" s="524"/>
      <c r="UBR698" s="524"/>
      <c r="UBS698" s="524"/>
      <c r="UBT698" s="524"/>
      <c r="UBU698" s="524"/>
      <c r="UBV698" s="524"/>
      <c r="UBW698" s="524"/>
      <c r="UBX698" s="524"/>
      <c r="UBY698" s="524"/>
      <c r="UBZ698" s="524"/>
      <c r="UCA698" s="524"/>
      <c r="UCB698" s="524"/>
      <c r="UCC698" s="524"/>
      <c r="UCD698" s="524"/>
      <c r="UCE698" s="524"/>
      <c r="UCF698" s="524"/>
      <c r="UCG698" s="524"/>
      <c r="UCH698" s="524"/>
      <c r="UCI698" s="524"/>
      <c r="UCJ698" s="524"/>
      <c r="UCK698" s="524"/>
      <c r="UCL698" s="524"/>
      <c r="UCM698" s="524"/>
      <c r="UCN698" s="524"/>
      <c r="UCO698" s="524"/>
      <c r="UCP698" s="524"/>
      <c r="UCQ698" s="524"/>
      <c r="UCR698" s="524"/>
      <c r="UCS698" s="524"/>
      <c r="UCT698" s="524"/>
      <c r="UCU698" s="524"/>
      <c r="UCV698" s="524"/>
      <c r="UCW698" s="524"/>
      <c r="UCX698" s="524"/>
      <c r="UCY698" s="524"/>
      <c r="UCZ698" s="524"/>
      <c r="UDA698" s="524"/>
      <c r="UDB698" s="524"/>
      <c r="UDC698" s="524"/>
      <c r="UDD698" s="524"/>
      <c r="UDE698" s="524"/>
      <c r="UDF698" s="524"/>
      <c r="UDG698" s="524"/>
      <c r="UDH698" s="524"/>
      <c r="UDI698" s="524"/>
      <c r="UDJ698" s="524"/>
      <c r="UDK698" s="524"/>
      <c r="UDL698" s="524"/>
      <c r="UDM698" s="524"/>
      <c r="UDN698" s="524"/>
      <c r="UDO698" s="524"/>
      <c r="UDP698" s="524"/>
      <c r="UDQ698" s="524"/>
      <c r="UDR698" s="524"/>
      <c r="UDS698" s="524"/>
      <c r="UDT698" s="524"/>
      <c r="UDU698" s="524"/>
      <c r="UDV698" s="524"/>
      <c r="UDW698" s="524"/>
      <c r="UDX698" s="524"/>
      <c r="UDY698" s="524"/>
      <c r="UDZ698" s="524"/>
      <c r="UEA698" s="524"/>
      <c r="UEB698" s="524"/>
      <c r="UEC698" s="524"/>
      <c r="UED698" s="524"/>
      <c r="UEE698" s="524"/>
      <c r="UEF698" s="524"/>
      <c r="UEG698" s="524"/>
      <c r="UEH698" s="524"/>
      <c r="UEI698" s="524"/>
      <c r="UEJ698" s="524"/>
      <c r="UEK698" s="524"/>
      <c r="UEL698" s="524"/>
      <c r="UEM698" s="524"/>
      <c r="UEN698" s="524"/>
      <c r="UEO698" s="524"/>
      <c r="UEP698" s="524"/>
      <c r="UEQ698" s="524"/>
      <c r="UER698" s="524"/>
      <c r="UES698" s="524"/>
      <c r="UET698" s="524"/>
      <c r="UEU698" s="524"/>
      <c r="UEV698" s="524"/>
      <c r="UEW698" s="524"/>
      <c r="UEX698" s="524"/>
      <c r="UEY698" s="524"/>
      <c r="UEZ698" s="524"/>
      <c r="UFA698" s="524"/>
      <c r="UFB698" s="524"/>
      <c r="UFC698" s="524"/>
      <c r="UFD698" s="524"/>
      <c r="UFE698" s="524"/>
      <c r="UFF698" s="524"/>
      <c r="UFG698" s="524"/>
      <c r="UFH698" s="524"/>
      <c r="UFI698" s="524"/>
      <c r="UFJ698" s="524"/>
      <c r="UFK698" s="524"/>
      <c r="UFL698" s="524"/>
      <c r="UFM698" s="524"/>
      <c r="UFN698" s="524"/>
      <c r="UFO698" s="524"/>
      <c r="UFP698" s="524"/>
      <c r="UFQ698" s="524"/>
      <c r="UFR698" s="524"/>
      <c r="UFS698" s="524"/>
      <c r="UFT698" s="524"/>
      <c r="UFU698" s="524"/>
      <c r="UFV698" s="524"/>
      <c r="UFW698" s="524"/>
      <c r="UFX698" s="524"/>
      <c r="UFY698" s="524"/>
      <c r="UFZ698" s="524"/>
      <c r="UGA698" s="524"/>
      <c r="UGB698" s="524"/>
      <c r="UGC698" s="524"/>
      <c r="UGD698" s="524"/>
      <c r="UGE698" s="524"/>
      <c r="UGF698" s="524"/>
      <c r="UGG698" s="524"/>
      <c r="UGH698" s="524"/>
      <c r="UGI698" s="524"/>
      <c r="UGJ698" s="524"/>
      <c r="UGK698" s="524"/>
      <c r="UGL698" s="524"/>
      <c r="UGM698" s="524"/>
      <c r="UGN698" s="524"/>
      <c r="UGO698" s="524"/>
      <c r="UGP698" s="524"/>
      <c r="UGQ698" s="524"/>
      <c r="UGR698" s="524"/>
      <c r="UGS698" s="524"/>
      <c r="UGT698" s="524"/>
      <c r="UGU698" s="524"/>
      <c r="UGV698" s="524"/>
      <c r="UGW698" s="524"/>
      <c r="UGX698" s="524"/>
      <c r="UGY698" s="524"/>
      <c r="UGZ698" s="524"/>
      <c r="UHA698" s="524"/>
      <c r="UHB698" s="524"/>
      <c r="UHC698" s="524"/>
      <c r="UHD698" s="524"/>
      <c r="UHE698" s="524"/>
      <c r="UHF698" s="524"/>
      <c r="UHG698" s="524"/>
      <c r="UHH698" s="524"/>
      <c r="UHI698" s="524"/>
      <c r="UHJ698" s="524"/>
      <c r="UHK698" s="524"/>
      <c r="UHL698" s="524"/>
      <c r="UHM698" s="524"/>
      <c r="UHN698" s="524"/>
      <c r="UHO698" s="524"/>
      <c r="UHP698" s="524"/>
      <c r="UHQ698" s="524"/>
      <c r="UHR698" s="524"/>
      <c r="UHS698" s="524"/>
      <c r="UHT698" s="524"/>
      <c r="UHU698" s="524"/>
      <c r="UHV698" s="524"/>
      <c r="UHW698" s="524"/>
      <c r="UHX698" s="524"/>
      <c r="UHY698" s="524"/>
      <c r="UHZ698" s="524"/>
      <c r="UIA698" s="524"/>
      <c r="UIB698" s="524"/>
      <c r="UIC698" s="524"/>
      <c r="UID698" s="524"/>
      <c r="UIE698" s="524"/>
      <c r="UIF698" s="524"/>
      <c r="UIG698" s="524"/>
      <c r="UIH698" s="524"/>
      <c r="UII698" s="524"/>
      <c r="UIJ698" s="524"/>
      <c r="UIK698" s="524"/>
      <c r="UIL698" s="524"/>
      <c r="UIM698" s="524"/>
      <c r="UIN698" s="524"/>
      <c r="UIO698" s="524"/>
      <c r="UIP698" s="524"/>
      <c r="UIQ698" s="524"/>
      <c r="UIR698" s="524"/>
      <c r="UIS698" s="524"/>
      <c r="UIT698" s="524"/>
      <c r="UIU698" s="524"/>
      <c r="UIV698" s="524"/>
      <c r="UIW698" s="524"/>
      <c r="UIX698" s="524"/>
      <c r="UIY698" s="524"/>
      <c r="UIZ698" s="524"/>
      <c r="UJA698" s="524"/>
      <c r="UJB698" s="524"/>
      <c r="UJC698" s="524"/>
      <c r="UJD698" s="524"/>
      <c r="UJE698" s="524"/>
      <c r="UJF698" s="524"/>
      <c r="UJG698" s="524"/>
      <c r="UJH698" s="524"/>
      <c r="UJI698" s="524"/>
      <c r="UJJ698" s="524"/>
      <c r="UJK698" s="524"/>
      <c r="UJL698" s="524"/>
      <c r="UJM698" s="524"/>
      <c r="UJN698" s="524"/>
      <c r="UJO698" s="524"/>
      <c r="UJP698" s="524"/>
      <c r="UJQ698" s="524"/>
      <c r="UJR698" s="524"/>
      <c r="UJS698" s="524"/>
      <c r="UJT698" s="524"/>
      <c r="UJU698" s="524"/>
      <c r="UJV698" s="524"/>
      <c r="UJW698" s="524"/>
      <c r="UJX698" s="524"/>
      <c r="UJY698" s="524"/>
      <c r="UJZ698" s="524"/>
      <c r="UKA698" s="524"/>
      <c r="UKB698" s="524"/>
      <c r="UKC698" s="524"/>
      <c r="UKD698" s="524"/>
      <c r="UKE698" s="524"/>
      <c r="UKF698" s="524"/>
      <c r="UKG698" s="524"/>
      <c r="UKH698" s="524"/>
      <c r="UKI698" s="524"/>
      <c r="UKJ698" s="524"/>
      <c r="UKK698" s="524"/>
      <c r="UKL698" s="524"/>
      <c r="UKM698" s="524"/>
      <c r="UKN698" s="524"/>
      <c r="UKO698" s="524"/>
      <c r="UKP698" s="524"/>
      <c r="UKQ698" s="524"/>
      <c r="UKR698" s="524"/>
      <c r="UKS698" s="524"/>
      <c r="UKT698" s="524"/>
      <c r="UKU698" s="524"/>
      <c r="UKV698" s="524"/>
      <c r="UKW698" s="524"/>
      <c r="UKX698" s="524"/>
      <c r="UKY698" s="524"/>
      <c r="UKZ698" s="524"/>
      <c r="ULA698" s="524"/>
      <c r="ULB698" s="524"/>
      <c r="ULC698" s="524"/>
      <c r="ULD698" s="524"/>
      <c r="ULE698" s="524"/>
      <c r="ULF698" s="524"/>
      <c r="ULG698" s="524"/>
      <c r="ULH698" s="524"/>
      <c r="ULI698" s="524"/>
      <c r="ULJ698" s="524"/>
      <c r="ULK698" s="524"/>
      <c r="ULL698" s="524"/>
      <c r="ULM698" s="524"/>
      <c r="ULN698" s="524"/>
      <c r="ULO698" s="524"/>
      <c r="ULP698" s="524"/>
      <c r="ULQ698" s="524"/>
      <c r="ULR698" s="524"/>
      <c r="ULS698" s="524"/>
      <c r="ULT698" s="524"/>
      <c r="ULU698" s="524"/>
      <c r="ULV698" s="524"/>
      <c r="ULW698" s="524"/>
      <c r="ULX698" s="524"/>
      <c r="ULY698" s="524"/>
      <c r="ULZ698" s="524"/>
      <c r="UMA698" s="524"/>
      <c r="UMB698" s="524"/>
      <c r="UMC698" s="524"/>
      <c r="UMD698" s="524"/>
      <c r="UME698" s="524"/>
      <c r="UMF698" s="524"/>
      <c r="UMG698" s="524"/>
      <c r="UMH698" s="524"/>
      <c r="UMI698" s="524"/>
      <c r="UMJ698" s="524"/>
      <c r="UMK698" s="524"/>
      <c r="UML698" s="524"/>
      <c r="UMM698" s="524"/>
      <c r="UMN698" s="524"/>
      <c r="UMO698" s="524"/>
      <c r="UMP698" s="524"/>
      <c r="UMQ698" s="524"/>
      <c r="UMR698" s="524"/>
      <c r="UMS698" s="524"/>
      <c r="UMT698" s="524"/>
      <c r="UMU698" s="524"/>
      <c r="UMV698" s="524"/>
      <c r="UMW698" s="524"/>
      <c r="UMX698" s="524"/>
      <c r="UMY698" s="524"/>
      <c r="UMZ698" s="524"/>
      <c r="UNA698" s="524"/>
      <c r="UNB698" s="524"/>
      <c r="UNC698" s="524"/>
      <c r="UND698" s="524"/>
      <c r="UNE698" s="524"/>
      <c r="UNF698" s="524"/>
      <c r="UNG698" s="524"/>
      <c r="UNH698" s="524"/>
      <c r="UNI698" s="524"/>
      <c r="UNJ698" s="524"/>
      <c r="UNK698" s="524"/>
      <c r="UNL698" s="524"/>
      <c r="UNM698" s="524"/>
      <c r="UNN698" s="524"/>
      <c r="UNO698" s="524"/>
      <c r="UNP698" s="524"/>
      <c r="UNQ698" s="524"/>
      <c r="UNR698" s="524"/>
      <c r="UNS698" s="524"/>
      <c r="UNT698" s="524"/>
      <c r="UNU698" s="524"/>
      <c r="UNV698" s="524"/>
      <c r="UNW698" s="524"/>
      <c r="UNX698" s="524"/>
      <c r="UNY698" s="524"/>
      <c r="UNZ698" s="524"/>
      <c r="UOA698" s="524"/>
      <c r="UOB698" s="524"/>
      <c r="UOC698" s="524"/>
      <c r="UOD698" s="524"/>
      <c r="UOE698" s="524"/>
      <c r="UOF698" s="524"/>
      <c r="UOG698" s="524"/>
      <c r="UOH698" s="524"/>
      <c r="UOI698" s="524"/>
      <c r="UOJ698" s="524"/>
      <c r="UOK698" s="524"/>
      <c r="UOL698" s="524"/>
      <c r="UOM698" s="524"/>
      <c r="UON698" s="524"/>
      <c r="UOO698" s="524"/>
      <c r="UOP698" s="524"/>
      <c r="UOQ698" s="524"/>
      <c r="UOR698" s="524"/>
      <c r="UOS698" s="524"/>
      <c r="UOT698" s="524"/>
      <c r="UOU698" s="524"/>
      <c r="UOV698" s="524"/>
      <c r="UOW698" s="524"/>
      <c r="UOX698" s="524"/>
      <c r="UOY698" s="524"/>
      <c r="UOZ698" s="524"/>
      <c r="UPA698" s="524"/>
      <c r="UPB698" s="524"/>
      <c r="UPC698" s="524"/>
      <c r="UPD698" s="524"/>
      <c r="UPE698" s="524"/>
      <c r="UPF698" s="524"/>
      <c r="UPG698" s="524"/>
      <c r="UPH698" s="524"/>
      <c r="UPI698" s="524"/>
      <c r="UPJ698" s="524"/>
      <c r="UPK698" s="524"/>
      <c r="UPL698" s="524"/>
      <c r="UPM698" s="524"/>
      <c r="UPN698" s="524"/>
      <c r="UPO698" s="524"/>
      <c r="UPP698" s="524"/>
      <c r="UPQ698" s="524"/>
      <c r="UPR698" s="524"/>
      <c r="UPS698" s="524"/>
      <c r="UPT698" s="524"/>
      <c r="UPU698" s="524"/>
      <c r="UPV698" s="524"/>
      <c r="UPW698" s="524"/>
      <c r="UPX698" s="524"/>
      <c r="UPY698" s="524"/>
      <c r="UPZ698" s="524"/>
      <c r="UQA698" s="524"/>
      <c r="UQB698" s="524"/>
      <c r="UQC698" s="524"/>
      <c r="UQD698" s="524"/>
      <c r="UQE698" s="524"/>
      <c r="UQF698" s="524"/>
      <c r="UQG698" s="524"/>
      <c r="UQH698" s="524"/>
      <c r="UQI698" s="524"/>
      <c r="UQJ698" s="524"/>
      <c r="UQK698" s="524"/>
      <c r="UQL698" s="524"/>
      <c r="UQM698" s="524"/>
      <c r="UQN698" s="524"/>
      <c r="UQO698" s="524"/>
      <c r="UQP698" s="524"/>
      <c r="UQQ698" s="524"/>
      <c r="UQR698" s="524"/>
      <c r="UQS698" s="524"/>
      <c r="UQT698" s="524"/>
      <c r="UQU698" s="524"/>
      <c r="UQV698" s="524"/>
      <c r="UQW698" s="524"/>
      <c r="UQX698" s="524"/>
      <c r="UQY698" s="524"/>
      <c r="UQZ698" s="524"/>
      <c r="URA698" s="524"/>
      <c r="URB698" s="524"/>
      <c r="URC698" s="524"/>
      <c r="URD698" s="524"/>
      <c r="URE698" s="524"/>
      <c r="URF698" s="524"/>
      <c r="URG698" s="524"/>
      <c r="URH698" s="524"/>
      <c r="URI698" s="524"/>
      <c r="URJ698" s="524"/>
      <c r="URK698" s="524"/>
      <c r="URL698" s="524"/>
      <c r="URM698" s="524"/>
      <c r="URN698" s="524"/>
      <c r="URO698" s="524"/>
      <c r="URP698" s="524"/>
      <c r="URQ698" s="524"/>
      <c r="URR698" s="524"/>
      <c r="URS698" s="524"/>
      <c r="URT698" s="524"/>
      <c r="URU698" s="524"/>
      <c r="URV698" s="524"/>
      <c r="URW698" s="524"/>
      <c r="URX698" s="524"/>
      <c r="URY698" s="524"/>
      <c r="URZ698" s="524"/>
      <c r="USA698" s="524"/>
      <c r="USB698" s="524"/>
      <c r="USC698" s="524"/>
      <c r="USD698" s="524"/>
      <c r="USE698" s="524"/>
      <c r="USF698" s="524"/>
      <c r="USG698" s="524"/>
      <c r="USH698" s="524"/>
      <c r="USI698" s="524"/>
      <c r="USJ698" s="524"/>
      <c r="USK698" s="524"/>
      <c r="USL698" s="524"/>
      <c r="USM698" s="524"/>
      <c r="USN698" s="524"/>
      <c r="USO698" s="524"/>
      <c r="USP698" s="524"/>
      <c r="USQ698" s="524"/>
      <c r="USR698" s="524"/>
      <c r="USS698" s="524"/>
      <c r="UST698" s="524"/>
      <c r="USU698" s="524"/>
      <c r="USV698" s="524"/>
      <c r="USW698" s="524"/>
      <c r="USX698" s="524"/>
      <c r="USY698" s="524"/>
      <c r="USZ698" s="524"/>
      <c r="UTA698" s="524"/>
      <c r="UTB698" s="524"/>
      <c r="UTC698" s="524"/>
      <c r="UTD698" s="524"/>
      <c r="UTE698" s="524"/>
      <c r="UTF698" s="524"/>
      <c r="UTG698" s="524"/>
      <c r="UTH698" s="524"/>
      <c r="UTI698" s="524"/>
      <c r="UTJ698" s="524"/>
      <c r="UTK698" s="524"/>
      <c r="UTL698" s="524"/>
      <c r="UTM698" s="524"/>
      <c r="UTN698" s="524"/>
      <c r="UTO698" s="524"/>
      <c r="UTP698" s="524"/>
      <c r="UTQ698" s="524"/>
      <c r="UTR698" s="524"/>
      <c r="UTS698" s="524"/>
      <c r="UTT698" s="524"/>
      <c r="UTU698" s="524"/>
      <c r="UTV698" s="524"/>
      <c r="UTW698" s="524"/>
      <c r="UTX698" s="524"/>
      <c r="UTY698" s="524"/>
      <c r="UTZ698" s="524"/>
      <c r="UUA698" s="524"/>
      <c r="UUB698" s="524"/>
      <c r="UUC698" s="524"/>
      <c r="UUD698" s="524"/>
      <c r="UUE698" s="524"/>
      <c r="UUF698" s="524"/>
      <c r="UUG698" s="524"/>
      <c r="UUH698" s="524"/>
      <c r="UUI698" s="524"/>
      <c r="UUJ698" s="524"/>
      <c r="UUK698" s="524"/>
      <c r="UUL698" s="524"/>
      <c r="UUM698" s="524"/>
      <c r="UUN698" s="524"/>
      <c r="UUO698" s="524"/>
      <c r="UUP698" s="524"/>
      <c r="UUQ698" s="524"/>
      <c r="UUR698" s="524"/>
      <c r="UUS698" s="524"/>
      <c r="UUT698" s="524"/>
      <c r="UUU698" s="524"/>
      <c r="UUV698" s="524"/>
      <c r="UUW698" s="524"/>
      <c r="UUX698" s="524"/>
      <c r="UUY698" s="524"/>
      <c r="UUZ698" s="524"/>
      <c r="UVA698" s="524"/>
      <c r="UVB698" s="524"/>
      <c r="UVC698" s="524"/>
      <c r="UVD698" s="524"/>
      <c r="UVE698" s="524"/>
      <c r="UVF698" s="524"/>
      <c r="UVG698" s="524"/>
      <c r="UVH698" s="524"/>
      <c r="UVI698" s="524"/>
      <c r="UVJ698" s="524"/>
      <c r="UVK698" s="524"/>
      <c r="UVL698" s="524"/>
      <c r="UVM698" s="524"/>
      <c r="UVN698" s="524"/>
      <c r="UVO698" s="524"/>
      <c r="UVP698" s="524"/>
      <c r="UVQ698" s="524"/>
      <c r="UVR698" s="524"/>
      <c r="UVS698" s="524"/>
      <c r="UVT698" s="524"/>
      <c r="UVU698" s="524"/>
      <c r="UVV698" s="524"/>
      <c r="UVW698" s="524"/>
      <c r="UVX698" s="524"/>
      <c r="UVY698" s="524"/>
      <c r="UVZ698" s="524"/>
      <c r="UWA698" s="524"/>
      <c r="UWB698" s="524"/>
      <c r="UWC698" s="524"/>
      <c r="UWD698" s="524"/>
      <c r="UWE698" s="524"/>
      <c r="UWF698" s="524"/>
      <c r="UWG698" s="524"/>
      <c r="UWH698" s="524"/>
      <c r="UWI698" s="524"/>
      <c r="UWJ698" s="524"/>
      <c r="UWK698" s="524"/>
      <c r="UWL698" s="524"/>
      <c r="UWM698" s="524"/>
      <c r="UWN698" s="524"/>
      <c r="UWO698" s="524"/>
      <c r="UWP698" s="524"/>
      <c r="UWQ698" s="524"/>
      <c r="UWR698" s="524"/>
      <c r="UWS698" s="524"/>
      <c r="UWT698" s="524"/>
      <c r="UWU698" s="524"/>
      <c r="UWV698" s="524"/>
      <c r="UWW698" s="524"/>
      <c r="UWX698" s="524"/>
      <c r="UWY698" s="524"/>
      <c r="UWZ698" s="524"/>
      <c r="UXA698" s="524"/>
      <c r="UXB698" s="524"/>
      <c r="UXC698" s="524"/>
      <c r="UXD698" s="524"/>
      <c r="UXE698" s="524"/>
      <c r="UXF698" s="524"/>
      <c r="UXG698" s="524"/>
      <c r="UXH698" s="524"/>
      <c r="UXI698" s="524"/>
      <c r="UXJ698" s="524"/>
      <c r="UXK698" s="524"/>
      <c r="UXL698" s="524"/>
      <c r="UXM698" s="524"/>
      <c r="UXN698" s="524"/>
      <c r="UXO698" s="524"/>
      <c r="UXP698" s="524"/>
      <c r="UXQ698" s="524"/>
      <c r="UXR698" s="524"/>
      <c r="UXS698" s="524"/>
      <c r="UXT698" s="524"/>
      <c r="UXU698" s="524"/>
      <c r="UXV698" s="524"/>
      <c r="UXW698" s="524"/>
      <c r="UXX698" s="524"/>
      <c r="UXY698" s="524"/>
      <c r="UXZ698" s="524"/>
      <c r="UYA698" s="524"/>
      <c r="UYB698" s="524"/>
      <c r="UYC698" s="524"/>
      <c r="UYD698" s="524"/>
      <c r="UYE698" s="524"/>
      <c r="UYF698" s="524"/>
      <c r="UYG698" s="524"/>
      <c r="UYH698" s="524"/>
      <c r="UYI698" s="524"/>
      <c r="UYJ698" s="524"/>
      <c r="UYK698" s="524"/>
      <c r="UYL698" s="524"/>
      <c r="UYM698" s="524"/>
      <c r="UYN698" s="524"/>
      <c r="UYO698" s="524"/>
      <c r="UYP698" s="524"/>
      <c r="UYQ698" s="524"/>
      <c r="UYR698" s="524"/>
      <c r="UYS698" s="524"/>
      <c r="UYT698" s="524"/>
      <c r="UYU698" s="524"/>
      <c r="UYV698" s="524"/>
      <c r="UYW698" s="524"/>
      <c r="UYX698" s="524"/>
      <c r="UYY698" s="524"/>
      <c r="UYZ698" s="524"/>
      <c r="UZA698" s="524"/>
      <c r="UZB698" s="524"/>
      <c r="UZC698" s="524"/>
      <c r="UZD698" s="524"/>
      <c r="UZE698" s="524"/>
      <c r="UZF698" s="524"/>
      <c r="UZG698" s="524"/>
      <c r="UZH698" s="524"/>
      <c r="UZI698" s="524"/>
      <c r="UZJ698" s="524"/>
      <c r="UZK698" s="524"/>
      <c r="UZL698" s="524"/>
      <c r="UZM698" s="524"/>
      <c r="UZN698" s="524"/>
      <c r="UZO698" s="524"/>
      <c r="UZP698" s="524"/>
      <c r="UZQ698" s="524"/>
      <c r="UZR698" s="524"/>
      <c r="UZS698" s="524"/>
      <c r="UZT698" s="524"/>
      <c r="UZU698" s="524"/>
      <c r="UZV698" s="524"/>
      <c r="UZW698" s="524"/>
      <c r="UZX698" s="524"/>
      <c r="UZY698" s="524"/>
      <c r="UZZ698" s="524"/>
      <c r="VAA698" s="524"/>
      <c r="VAB698" s="524"/>
      <c r="VAC698" s="524"/>
      <c r="VAD698" s="524"/>
      <c r="VAE698" s="524"/>
      <c r="VAF698" s="524"/>
      <c r="VAG698" s="524"/>
      <c r="VAH698" s="524"/>
      <c r="VAI698" s="524"/>
      <c r="VAJ698" s="524"/>
      <c r="VAK698" s="524"/>
      <c r="VAL698" s="524"/>
      <c r="VAM698" s="524"/>
      <c r="VAN698" s="524"/>
      <c r="VAO698" s="524"/>
      <c r="VAP698" s="524"/>
      <c r="VAQ698" s="524"/>
      <c r="VAR698" s="524"/>
      <c r="VAS698" s="524"/>
      <c r="VAT698" s="524"/>
      <c r="VAU698" s="524"/>
      <c r="VAV698" s="524"/>
      <c r="VAW698" s="524"/>
      <c r="VAX698" s="524"/>
      <c r="VAY698" s="524"/>
      <c r="VAZ698" s="524"/>
      <c r="VBA698" s="524"/>
      <c r="VBB698" s="524"/>
      <c r="VBC698" s="524"/>
      <c r="VBD698" s="524"/>
      <c r="VBE698" s="524"/>
      <c r="VBF698" s="524"/>
      <c r="VBG698" s="524"/>
      <c r="VBH698" s="524"/>
      <c r="VBI698" s="524"/>
      <c r="VBJ698" s="524"/>
      <c r="VBK698" s="524"/>
      <c r="VBL698" s="524"/>
      <c r="VBM698" s="524"/>
      <c r="VBN698" s="524"/>
      <c r="VBO698" s="524"/>
      <c r="VBP698" s="524"/>
      <c r="VBQ698" s="524"/>
      <c r="VBR698" s="524"/>
      <c r="VBS698" s="524"/>
      <c r="VBT698" s="524"/>
      <c r="VBU698" s="524"/>
      <c r="VBV698" s="524"/>
      <c r="VBW698" s="524"/>
      <c r="VBX698" s="524"/>
      <c r="VBY698" s="524"/>
      <c r="VBZ698" s="524"/>
      <c r="VCA698" s="524"/>
      <c r="VCB698" s="524"/>
      <c r="VCC698" s="524"/>
      <c r="VCD698" s="524"/>
      <c r="VCE698" s="524"/>
      <c r="VCF698" s="524"/>
      <c r="VCG698" s="524"/>
      <c r="VCH698" s="524"/>
      <c r="VCI698" s="524"/>
      <c r="VCJ698" s="524"/>
      <c r="VCK698" s="524"/>
      <c r="VCL698" s="524"/>
      <c r="VCM698" s="524"/>
      <c r="VCN698" s="524"/>
      <c r="VCO698" s="524"/>
      <c r="VCP698" s="524"/>
      <c r="VCQ698" s="524"/>
      <c r="VCR698" s="524"/>
      <c r="VCS698" s="524"/>
      <c r="VCT698" s="524"/>
      <c r="VCU698" s="524"/>
      <c r="VCV698" s="524"/>
      <c r="VCW698" s="524"/>
      <c r="VCX698" s="524"/>
      <c r="VCY698" s="524"/>
      <c r="VCZ698" s="524"/>
      <c r="VDA698" s="524"/>
      <c r="VDB698" s="524"/>
      <c r="VDC698" s="524"/>
      <c r="VDD698" s="524"/>
      <c r="VDE698" s="524"/>
      <c r="VDF698" s="524"/>
      <c r="VDG698" s="524"/>
      <c r="VDH698" s="524"/>
      <c r="VDI698" s="524"/>
      <c r="VDJ698" s="524"/>
      <c r="VDK698" s="524"/>
      <c r="VDL698" s="524"/>
      <c r="VDM698" s="524"/>
      <c r="VDN698" s="524"/>
      <c r="VDO698" s="524"/>
      <c r="VDP698" s="524"/>
      <c r="VDQ698" s="524"/>
      <c r="VDR698" s="524"/>
      <c r="VDS698" s="524"/>
      <c r="VDT698" s="524"/>
      <c r="VDU698" s="524"/>
      <c r="VDV698" s="524"/>
      <c r="VDW698" s="524"/>
      <c r="VDX698" s="524"/>
      <c r="VDY698" s="524"/>
      <c r="VDZ698" s="524"/>
      <c r="VEA698" s="524"/>
      <c r="VEB698" s="524"/>
      <c r="VEC698" s="524"/>
      <c r="VED698" s="524"/>
      <c r="VEE698" s="524"/>
      <c r="VEF698" s="524"/>
      <c r="VEG698" s="524"/>
      <c r="VEH698" s="524"/>
      <c r="VEI698" s="524"/>
      <c r="VEJ698" s="524"/>
      <c r="VEK698" s="524"/>
      <c r="VEL698" s="524"/>
      <c r="VEM698" s="524"/>
      <c r="VEN698" s="524"/>
      <c r="VEO698" s="524"/>
      <c r="VEP698" s="524"/>
      <c r="VEQ698" s="524"/>
      <c r="VER698" s="524"/>
      <c r="VES698" s="524"/>
      <c r="VET698" s="524"/>
      <c r="VEU698" s="524"/>
      <c r="VEV698" s="524"/>
      <c r="VEW698" s="524"/>
      <c r="VEX698" s="524"/>
      <c r="VEY698" s="524"/>
      <c r="VEZ698" s="524"/>
      <c r="VFA698" s="524"/>
      <c r="VFB698" s="524"/>
      <c r="VFC698" s="524"/>
      <c r="VFD698" s="524"/>
      <c r="VFE698" s="524"/>
      <c r="VFF698" s="524"/>
      <c r="VFG698" s="524"/>
      <c r="VFH698" s="524"/>
      <c r="VFI698" s="524"/>
      <c r="VFJ698" s="524"/>
      <c r="VFK698" s="524"/>
      <c r="VFL698" s="524"/>
      <c r="VFM698" s="524"/>
      <c r="VFN698" s="524"/>
      <c r="VFO698" s="524"/>
      <c r="VFP698" s="524"/>
      <c r="VFQ698" s="524"/>
      <c r="VFR698" s="524"/>
      <c r="VFS698" s="524"/>
      <c r="VFT698" s="524"/>
      <c r="VFU698" s="524"/>
      <c r="VFV698" s="524"/>
      <c r="VFW698" s="524"/>
      <c r="VFX698" s="524"/>
      <c r="VFY698" s="524"/>
      <c r="VFZ698" s="524"/>
      <c r="VGA698" s="524"/>
      <c r="VGB698" s="524"/>
      <c r="VGC698" s="524"/>
      <c r="VGD698" s="524"/>
      <c r="VGE698" s="524"/>
      <c r="VGF698" s="524"/>
      <c r="VGG698" s="524"/>
      <c r="VGH698" s="524"/>
      <c r="VGI698" s="524"/>
      <c r="VGJ698" s="524"/>
      <c r="VGK698" s="524"/>
      <c r="VGL698" s="524"/>
      <c r="VGM698" s="524"/>
      <c r="VGN698" s="524"/>
      <c r="VGO698" s="524"/>
      <c r="VGP698" s="524"/>
      <c r="VGQ698" s="524"/>
      <c r="VGR698" s="524"/>
      <c r="VGS698" s="524"/>
      <c r="VGT698" s="524"/>
      <c r="VGU698" s="524"/>
      <c r="VGV698" s="524"/>
      <c r="VGW698" s="524"/>
      <c r="VGX698" s="524"/>
      <c r="VGY698" s="524"/>
      <c r="VGZ698" s="524"/>
      <c r="VHA698" s="524"/>
      <c r="VHB698" s="524"/>
      <c r="VHC698" s="524"/>
      <c r="VHD698" s="524"/>
      <c r="VHE698" s="524"/>
      <c r="VHF698" s="524"/>
      <c r="VHG698" s="524"/>
      <c r="VHH698" s="524"/>
      <c r="VHI698" s="524"/>
      <c r="VHJ698" s="524"/>
      <c r="VHK698" s="524"/>
      <c r="VHL698" s="524"/>
      <c r="VHM698" s="524"/>
      <c r="VHN698" s="524"/>
      <c r="VHO698" s="524"/>
      <c r="VHP698" s="524"/>
      <c r="VHQ698" s="524"/>
      <c r="VHR698" s="524"/>
      <c r="VHS698" s="524"/>
      <c r="VHT698" s="524"/>
      <c r="VHU698" s="524"/>
      <c r="VHV698" s="524"/>
      <c r="VHW698" s="524"/>
      <c r="VHX698" s="524"/>
      <c r="VHY698" s="524"/>
      <c r="VHZ698" s="524"/>
      <c r="VIA698" s="524"/>
      <c r="VIB698" s="524"/>
      <c r="VIC698" s="524"/>
      <c r="VID698" s="524"/>
      <c r="VIE698" s="524"/>
      <c r="VIF698" s="524"/>
      <c r="VIG698" s="524"/>
      <c r="VIH698" s="524"/>
      <c r="VII698" s="524"/>
      <c r="VIJ698" s="524"/>
      <c r="VIK698" s="524"/>
      <c r="VIL698" s="524"/>
      <c r="VIM698" s="524"/>
      <c r="VIN698" s="524"/>
      <c r="VIO698" s="524"/>
      <c r="VIP698" s="524"/>
      <c r="VIQ698" s="524"/>
      <c r="VIR698" s="524"/>
      <c r="VIS698" s="524"/>
      <c r="VIT698" s="524"/>
      <c r="VIU698" s="524"/>
      <c r="VIV698" s="524"/>
      <c r="VIW698" s="524"/>
      <c r="VIX698" s="524"/>
      <c r="VIY698" s="524"/>
      <c r="VIZ698" s="524"/>
      <c r="VJA698" s="524"/>
      <c r="VJB698" s="524"/>
      <c r="VJC698" s="524"/>
      <c r="VJD698" s="524"/>
      <c r="VJE698" s="524"/>
      <c r="VJF698" s="524"/>
      <c r="VJG698" s="524"/>
      <c r="VJH698" s="524"/>
      <c r="VJI698" s="524"/>
      <c r="VJJ698" s="524"/>
      <c r="VJK698" s="524"/>
      <c r="VJL698" s="524"/>
      <c r="VJM698" s="524"/>
      <c r="VJN698" s="524"/>
      <c r="VJO698" s="524"/>
      <c r="VJP698" s="524"/>
      <c r="VJQ698" s="524"/>
      <c r="VJR698" s="524"/>
      <c r="VJS698" s="524"/>
      <c r="VJT698" s="524"/>
      <c r="VJU698" s="524"/>
      <c r="VJV698" s="524"/>
      <c r="VJW698" s="524"/>
      <c r="VJX698" s="524"/>
      <c r="VJY698" s="524"/>
      <c r="VJZ698" s="524"/>
      <c r="VKA698" s="524"/>
      <c r="VKB698" s="524"/>
      <c r="VKC698" s="524"/>
      <c r="VKD698" s="524"/>
      <c r="VKE698" s="524"/>
      <c r="VKF698" s="524"/>
      <c r="VKG698" s="524"/>
      <c r="VKH698" s="524"/>
      <c r="VKI698" s="524"/>
      <c r="VKJ698" s="524"/>
      <c r="VKK698" s="524"/>
      <c r="VKL698" s="524"/>
      <c r="VKM698" s="524"/>
      <c r="VKN698" s="524"/>
      <c r="VKO698" s="524"/>
      <c r="VKP698" s="524"/>
      <c r="VKQ698" s="524"/>
      <c r="VKR698" s="524"/>
      <c r="VKS698" s="524"/>
      <c r="VKT698" s="524"/>
      <c r="VKU698" s="524"/>
      <c r="VKV698" s="524"/>
      <c r="VKW698" s="524"/>
      <c r="VKX698" s="524"/>
      <c r="VKY698" s="524"/>
      <c r="VKZ698" s="524"/>
      <c r="VLA698" s="524"/>
      <c r="VLB698" s="524"/>
      <c r="VLC698" s="524"/>
      <c r="VLD698" s="524"/>
      <c r="VLE698" s="524"/>
      <c r="VLF698" s="524"/>
      <c r="VLG698" s="524"/>
      <c r="VLH698" s="524"/>
      <c r="VLI698" s="524"/>
      <c r="VLJ698" s="524"/>
      <c r="VLK698" s="524"/>
      <c r="VLL698" s="524"/>
      <c r="VLM698" s="524"/>
      <c r="VLN698" s="524"/>
      <c r="VLO698" s="524"/>
      <c r="VLP698" s="524"/>
      <c r="VLQ698" s="524"/>
      <c r="VLR698" s="524"/>
      <c r="VLS698" s="524"/>
      <c r="VLT698" s="524"/>
      <c r="VLU698" s="524"/>
      <c r="VLV698" s="524"/>
      <c r="VLW698" s="524"/>
      <c r="VLX698" s="524"/>
      <c r="VLY698" s="524"/>
      <c r="VLZ698" s="524"/>
      <c r="VMA698" s="524"/>
      <c r="VMB698" s="524"/>
      <c r="VMC698" s="524"/>
      <c r="VMD698" s="524"/>
      <c r="VME698" s="524"/>
      <c r="VMF698" s="524"/>
      <c r="VMG698" s="524"/>
      <c r="VMH698" s="524"/>
      <c r="VMI698" s="524"/>
      <c r="VMJ698" s="524"/>
      <c r="VMK698" s="524"/>
      <c r="VML698" s="524"/>
      <c r="VMM698" s="524"/>
      <c r="VMN698" s="524"/>
      <c r="VMO698" s="524"/>
      <c r="VMP698" s="524"/>
      <c r="VMQ698" s="524"/>
      <c r="VMR698" s="524"/>
      <c r="VMS698" s="524"/>
      <c r="VMT698" s="524"/>
      <c r="VMU698" s="524"/>
      <c r="VMV698" s="524"/>
      <c r="VMW698" s="524"/>
      <c r="VMX698" s="524"/>
      <c r="VMY698" s="524"/>
      <c r="VMZ698" s="524"/>
      <c r="VNA698" s="524"/>
      <c r="VNB698" s="524"/>
      <c r="VNC698" s="524"/>
      <c r="VND698" s="524"/>
      <c r="VNE698" s="524"/>
      <c r="VNF698" s="524"/>
      <c r="VNG698" s="524"/>
      <c r="VNH698" s="524"/>
      <c r="VNI698" s="524"/>
      <c r="VNJ698" s="524"/>
      <c r="VNK698" s="524"/>
      <c r="VNL698" s="524"/>
      <c r="VNM698" s="524"/>
      <c r="VNN698" s="524"/>
      <c r="VNO698" s="524"/>
      <c r="VNP698" s="524"/>
      <c r="VNQ698" s="524"/>
      <c r="VNR698" s="524"/>
      <c r="VNS698" s="524"/>
      <c r="VNT698" s="524"/>
      <c r="VNU698" s="524"/>
      <c r="VNV698" s="524"/>
      <c r="VNW698" s="524"/>
      <c r="VNX698" s="524"/>
      <c r="VNY698" s="524"/>
      <c r="VNZ698" s="524"/>
      <c r="VOA698" s="524"/>
      <c r="VOB698" s="524"/>
      <c r="VOC698" s="524"/>
      <c r="VOD698" s="524"/>
      <c r="VOE698" s="524"/>
      <c r="VOF698" s="524"/>
      <c r="VOG698" s="524"/>
      <c r="VOH698" s="524"/>
      <c r="VOI698" s="524"/>
      <c r="VOJ698" s="524"/>
      <c r="VOK698" s="524"/>
      <c r="VOL698" s="524"/>
      <c r="VOM698" s="524"/>
      <c r="VON698" s="524"/>
      <c r="VOO698" s="524"/>
      <c r="VOP698" s="524"/>
      <c r="VOQ698" s="524"/>
      <c r="VOR698" s="524"/>
      <c r="VOS698" s="524"/>
      <c r="VOT698" s="524"/>
      <c r="VOU698" s="524"/>
      <c r="VOV698" s="524"/>
      <c r="VOW698" s="524"/>
      <c r="VOX698" s="524"/>
      <c r="VOY698" s="524"/>
      <c r="VOZ698" s="524"/>
      <c r="VPA698" s="524"/>
      <c r="VPB698" s="524"/>
      <c r="VPC698" s="524"/>
      <c r="VPD698" s="524"/>
      <c r="VPE698" s="524"/>
      <c r="VPF698" s="524"/>
      <c r="VPG698" s="524"/>
      <c r="VPH698" s="524"/>
      <c r="VPI698" s="524"/>
      <c r="VPJ698" s="524"/>
      <c r="VPK698" s="524"/>
      <c r="VPL698" s="524"/>
      <c r="VPM698" s="524"/>
      <c r="VPN698" s="524"/>
      <c r="VPO698" s="524"/>
      <c r="VPP698" s="524"/>
      <c r="VPQ698" s="524"/>
      <c r="VPR698" s="524"/>
      <c r="VPS698" s="524"/>
      <c r="VPT698" s="524"/>
      <c r="VPU698" s="524"/>
      <c r="VPV698" s="524"/>
      <c r="VPW698" s="524"/>
      <c r="VPX698" s="524"/>
      <c r="VPY698" s="524"/>
      <c r="VPZ698" s="524"/>
      <c r="VQA698" s="524"/>
      <c r="VQB698" s="524"/>
      <c r="VQC698" s="524"/>
      <c r="VQD698" s="524"/>
      <c r="VQE698" s="524"/>
      <c r="VQF698" s="524"/>
      <c r="VQG698" s="524"/>
      <c r="VQH698" s="524"/>
      <c r="VQI698" s="524"/>
      <c r="VQJ698" s="524"/>
      <c r="VQK698" s="524"/>
      <c r="VQL698" s="524"/>
      <c r="VQM698" s="524"/>
      <c r="VQN698" s="524"/>
      <c r="VQO698" s="524"/>
      <c r="VQP698" s="524"/>
      <c r="VQQ698" s="524"/>
      <c r="VQR698" s="524"/>
      <c r="VQS698" s="524"/>
      <c r="VQT698" s="524"/>
      <c r="VQU698" s="524"/>
      <c r="VQV698" s="524"/>
      <c r="VQW698" s="524"/>
      <c r="VQX698" s="524"/>
      <c r="VQY698" s="524"/>
      <c r="VQZ698" s="524"/>
      <c r="VRA698" s="524"/>
      <c r="VRB698" s="524"/>
      <c r="VRC698" s="524"/>
      <c r="VRD698" s="524"/>
      <c r="VRE698" s="524"/>
      <c r="VRF698" s="524"/>
      <c r="VRG698" s="524"/>
      <c r="VRH698" s="524"/>
      <c r="VRI698" s="524"/>
      <c r="VRJ698" s="524"/>
      <c r="VRK698" s="524"/>
      <c r="VRL698" s="524"/>
      <c r="VRM698" s="524"/>
      <c r="VRN698" s="524"/>
      <c r="VRO698" s="524"/>
      <c r="VRP698" s="524"/>
      <c r="VRQ698" s="524"/>
      <c r="VRR698" s="524"/>
      <c r="VRS698" s="524"/>
      <c r="VRT698" s="524"/>
      <c r="VRU698" s="524"/>
      <c r="VRV698" s="524"/>
      <c r="VRW698" s="524"/>
      <c r="VRX698" s="524"/>
      <c r="VRY698" s="524"/>
      <c r="VRZ698" s="524"/>
      <c r="VSA698" s="524"/>
      <c r="VSB698" s="524"/>
      <c r="VSC698" s="524"/>
      <c r="VSD698" s="524"/>
      <c r="VSE698" s="524"/>
      <c r="VSF698" s="524"/>
      <c r="VSG698" s="524"/>
      <c r="VSH698" s="524"/>
      <c r="VSI698" s="524"/>
      <c r="VSJ698" s="524"/>
      <c r="VSK698" s="524"/>
      <c r="VSL698" s="524"/>
      <c r="VSM698" s="524"/>
      <c r="VSN698" s="524"/>
      <c r="VSO698" s="524"/>
      <c r="VSP698" s="524"/>
      <c r="VSQ698" s="524"/>
      <c r="VSR698" s="524"/>
      <c r="VSS698" s="524"/>
      <c r="VST698" s="524"/>
      <c r="VSU698" s="524"/>
      <c r="VSV698" s="524"/>
      <c r="VSW698" s="524"/>
      <c r="VSX698" s="524"/>
      <c r="VSY698" s="524"/>
      <c r="VSZ698" s="524"/>
      <c r="VTA698" s="524"/>
      <c r="VTB698" s="524"/>
      <c r="VTC698" s="524"/>
      <c r="VTD698" s="524"/>
      <c r="VTE698" s="524"/>
      <c r="VTF698" s="524"/>
      <c r="VTG698" s="524"/>
      <c r="VTH698" s="524"/>
      <c r="VTI698" s="524"/>
      <c r="VTJ698" s="524"/>
      <c r="VTK698" s="524"/>
      <c r="VTL698" s="524"/>
      <c r="VTM698" s="524"/>
      <c r="VTN698" s="524"/>
      <c r="VTO698" s="524"/>
      <c r="VTP698" s="524"/>
      <c r="VTQ698" s="524"/>
      <c r="VTR698" s="524"/>
      <c r="VTS698" s="524"/>
      <c r="VTT698" s="524"/>
      <c r="VTU698" s="524"/>
      <c r="VTV698" s="524"/>
      <c r="VTW698" s="524"/>
      <c r="VTX698" s="524"/>
      <c r="VTY698" s="524"/>
      <c r="VTZ698" s="524"/>
      <c r="VUA698" s="524"/>
      <c r="VUB698" s="524"/>
      <c r="VUC698" s="524"/>
      <c r="VUD698" s="524"/>
      <c r="VUE698" s="524"/>
      <c r="VUF698" s="524"/>
      <c r="VUG698" s="524"/>
      <c r="VUH698" s="524"/>
      <c r="VUI698" s="524"/>
      <c r="VUJ698" s="524"/>
      <c r="VUK698" s="524"/>
      <c r="VUL698" s="524"/>
      <c r="VUM698" s="524"/>
      <c r="VUN698" s="524"/>
      <c r="VUO698" s="524"/>
      <c r="VUP698" s="524"/>
      <c r="VUQ698" s="524"/>
      <c r="VUR698" s="524"/>
      <c r="VUS698" s="524"/>
      <c r="VUT698" s="524"/>
      <c r="VUU698" s="524"/>
      <c r="VUV698" s="524"/>
      <c r="VUW698" s="524"/>
      <c r="VUX698" s="524"/>
      <c r="VUY698" s="524"/>
      <c r="VUZ698" s="524"/>
      <c r="VVA698" s="524"/>
      <c r="VVB698" s="524"/>
      <c r="VVC698" s="524"/>
      <c r="VVD698" s="524"/>
      <c r="VVE698" s="524"/>
      <c r="VVF698" s="524"/>
      <c r="VVG698" s="524"/>
      <c r="VVH698" s="524"/>
      <c r="VVI698" s="524"/>
      <c r="VVJ698" s="524"/>
      <c r="VVK698" s="524"/>
      <c r="VVL698" s="524"/>
      <c r="VVM698" s="524"/>
      <c r="VVN698" s="524"/>
      <c r="VVO698" s="524"/>
      <c r="VVP698" s="524"/>
      <c r="VVQ698" s="524"/>
      <c r="VVR698" s="524"/>
      <c r="VVS698" s="524"/>
      <c r="VVT698" s="524"/>
      <c r="VVU698" s="524"/>
      <c r="VVV698" s="524"/>
      <c r="VVW698" s="524"/>
      <c r="VVX698" s="524"/>
      <c r="VVY698" s="524"/>
      <c r="VVZ698" s="524"/>
      <c r="VWA698" s="524"/>
      <c r="VWB698" s="524"/>
      <c r="VWC698" s="524"/>
      <c r="VWD698" s="524"/>
      <c r="VWE698" s="524"/>
      <c r="VWF698" s="524"/>
      <c r="VWG698" s="524"/>
      <c r="VWH698" s="524"/>
      <c r="VWI698" s="524"/>
      <c r="VWJ698" s="524"/>
      <c r="VWK698" s="524"/>
      <c r="VWL698" s="524"/>
      <c r="VWM698" s="524"/>
      <c r="VWN698" s="524"/>
      <c r="VWO698" s="524"/>
      <c r="VWP698" s="524"/>
      <c r="VWQ698" s="524"/>
      <c r="VWR698" s="524"/>
      <c r="VWS698" s="524"/>
      <c r="VWT698" s="524"/>
      <c r="VWU698" s="524"/>
      <c r="VWV698" s="524"/>
      <c r="VWW698" s="524"/>
      <c r="VWX698" s="524"/>
      <c r="VWY698" s="524"/>
      <c r="VWZ698" s="524"/>
      <c r="VXA698" s="524"/>
      <c r="VXB698" s="524"/>
      <c r="VXC698" s="524"/>
      <c r="VXD698" s="524"/>
      <c r="VXE698" s="524"/>
      <c r="VXF698" s="524"/>
      <c r="VXG698" s="524"/>
      <c r="VXH698" s="524"/>
      <c r="VXI698" s="524"/>
      <c r="VXJ698" s="524"/>
      <c r="VXK698" s="524"/>
      <c r="VXL698" s="524"/>
      <c r="VXM698" s="524"/>
      <c r="VXN698" s="524"/>
      <c r="VXO698" s="524"/>
      <c r="VXP698" s="524"/>
      <c r="VXQ698" s="524"/>
      <c r="VXR698" s="524"/>
      <c r="VXS698" s="524"/>
      <c r="VXT698" s="524"/>
      <c r="VXU698" s="524"/>
      <c r="VXV698" s="524"/>
      <c r="VXW698" s="524"/>
      <c r="VXX698" s="524"/>
      <c r="VXY698" s="524"/>
      <c r="VXZ698" s="524"/>
      <c r="VYA698" s="524"/>
      <c r="VYB698" s="524"/>
      <c r="VYC698" s="524"/>
      <c r="VYD698" s="524"/>
      <c r="VYE698" s="524"/>
      <c r="VYF698" s="524"/>
      <c r="VYG698" s="524"/>
      <c r="VYH698" s="524"/>
      <c r="VYI698" s="524"/>
      <c r="VYJ698" s="524"/>
      <c r="VYK698" s="524"/>
      <c r="VYL698" s="524"/>
      <c r="VYM698" s="524"/>
      <c r="VYN698" s="524"/>
      <c r="VYO698" s="524"/>
      <c r="VYP698" s="524"/>
      <c r="VYQ698" s="524"/>
      <c r="VYR698" s="524"/>
      <c r="VYS698" s="524"/>
      <c r="VYT698" s="524"/>
      <c r="VYU698" s="524"/>
      <c r="VYV698" s="524"/>
      <c r="VYW698" s="524"/>
      <c r="VYX698" s="524"/>
      <c r="VYY698" s="524"/>
      <c r="VYZ698" s="524"/>
      <c r="VZA698" s="524"/>
      <c r="VZB698" s="524"/>
      <c r="VZC698" s="524"/>
      <c r="VZD698" s="524"/>
      <c r="VZE698" s="524"/>
      <c r="VZF698" s="524"/>
      <c r="VZG698" s="524"/>
      <c r="VZH698" s="524"/>
      <c r="VZI698" s="524"/>
      <c r="VZJ698" s="524"/>
      <c r="VZK698" s="524"/>
      <c r="VZL698" s="524"/>
      <c r="VZM698" s="524"/>
      <c r="VZN698" s="524"/>
      <c r="VZO698" s="524"/>
      <c r="VZP698" s="524"/>
      <c r="VZQ698" s="524"/>
      <c r="VZR698" s="524"/>
      <c r="VZS698" s="524"/>
      <c r="VZT698" s="524"/>
      <c r="VZU698" s="524"/>
      <c r="VZV698" s="524"/>
      <c r="VZW698" s="524"/>
      <c r="VZX698" s="524"/>
      <c r="VZY698" s="524"/>
      <c r="VZZ698" s="524"/>
      <c r="WAA698" s="524"/>
      <c r="WAB698" s="524"/>
      <c r="WAC698" s="524"/>
      <c r="WAD698" s="524"/>
      <c r="WAE698" s="524"/>
      <c r="WAF698" s="524"/>
      <c r="WAG698" s="524"/>
      <c r="WAH698" s="524"/>
      <c r="WAI698" s="524"/>
      <c r="WAJ698" s="524"/>
      <c r="WAK698" s="524"/>
      <c r="WAL698" s="524"/>
      <c r="WAM698" s="524"/>
      <c r="WAN698" s="524"/>
      <c r="WAO698" s="524"/>
      <c r="WAP698" s="524"/>
      <c r="WAQ698" s="524"/>
      <c r="WAR698" s="524"/>
      <c r="WAS698" s="524"/>
      <c r="WAT698" s="524"/>
      <c r="WAU698" s="524"/>
      <c r="WAV698" s="524"/>
      <c r="WAW698" s="524"/>
      <c r="WAX698" s="524"/>
      <c r="WAY698" s="524"/>
      <c r="WAZ698" s="524"/>
      <c r="WBA698" s="524"/>
      <c r="WBB698" s="524"/>
      <c r="WBC698" s="524"/>
      <c r="WBD698" s="524"/>
      <c r="WBE698" s="524"/>
      <c r="WBF698" s="524"/>
      <c r="WBG698" s="524"/>
      <c r="WBH698" s="524"/>
      <c r="WBI698" s="524"/>
      <c r="WBJ698" s="524"/>
      <c r="WBK698" s="524"/>
      <c r="WBL698" s="524"/>
      <c r="WBM698" s="524"/>
      <c r="WBN698" s="524"/>
      <c r="WBO698" s="524"/>
      <c r="WBP698" s="524"/>
      <c r="WBQ698" s="524"/>
      <c r="WBR698" s="524"/>
      <c r="WBS698" s="524"/>
      <c r="WBT698" s="524"/>
      <c r="WBU698" s="524"/>
      <c r="WBV698" s="524"/>
      <c r="WBW698" s="524"/>
      <c r="WBX698" s="524"/>
      <c r="WBY698" s="524"/>
      <c r="WBZ698" s="524"/>
      <c r="WCA698" s="524"/>
      <c r="WCB698" s="524"/>
      <c r="WCC698" s="524"/>
      <c r="WCD698" s="524"/>
      <c r="WCE698" s="524"/>
      <c r="WCF698" s="524"/>
      <c r="WCG698" s="524"/>
      <c r="WCH698" s="524"/>
      <c r="WCI698" s="524"/>
      <c r="WCJ698" s="524"/>
      <c r="WCK698" s="524"/>
      <c r="WCL698" s="524"/>
      <c r="WCM698" s="524"/>
      <c r="WCN698" s="524"/>
      <c r="WCO698" s="524"/>
      <c r="WCP698" s="524"/>
      <c r="WCQ698" s="524"/>
      <c r="WCR698" s="524"/>
      <c r="WCS698" s="524"/>
      <c r="WCT698" s="524"/>
      <c r="WCU698" s="524"/>
      <c r="WCV698" s="524"/>
      <c r="WCW698" s="524"/>
      <c r="WCX698" s="524"/>
      <c r="WCY698" s="524"/>
      <c r="WCZ698" s="524"/>
      <c r="WDA698" s="524"/>
      <c r="WDB698" s="524"/>
      <c r="WDC698" s="524"/>
      <c r="WDD698" s="524"/>
      <c r="WDE698" s="524"/>
      <c r="WDF698" s="524"/>
      <c r="WDG698" s="524"/>
      <c r="WDH698" s="524"/>
      <c r="WDI698" s="524"/>
      <c r="WDJ698" s="524"/>
      <c r="WDK698" s="524"/>
      <c r="WDL698" s="524"/>
      <c r="WDM698" s="524"/>
      <c r="WDN698" s="524"/>
      <c r="WDO698" s="524"/>
      <c r="WDP698" s="524"/>
      <c r="WDQ698" s="524"/>
      <c r="WDR698" s="524"/>
      <c r="WDS698" s="524"/>
      <c r="WDT698" s="524"/>
      <c r="WDU698" s="524"/>
      <c r="WDV698" s="524"/>
      <c r="WDW698" s="524"/>
      <c r="WDX698" s="524"/>
      <c r="WDY698" s="524"/>
      <c r="WDZ698" s="524"/>
      <c r="WEA698" s="524"/>
      <c r="WEB698" s="524"/>
      <c r="WEC698" s="524"/>
      <c r="WED698" s="524"/>
      <c r="WEE698" s="524"/>
      <c r="WEF698" s="524"/>
      <c r="WEG698" s="524"/>
      <c r="WEH698" s="524"/>
      <c r="WEI698" s="524"/>
      <c r="WEJ698" s="524"/>
      <c r="WEK698" s="524"/>
      <c r="WEL698" s="524"/>
      <c r="WEM698" s="524"/>
      <c r="WEN698" s="524"/>
      <c r="WEO698" s="524"/>
      <c r="WEP698" s="524"/>
      <c r="WEQ698" s="524"/>
      <c r="WER698" s="524"/>
      <c r="WES698" s="524"/>
      <c r="WET698" s="524"/>
      <c r="WEU698" s="524"/>
      <c r="WEV698" s="524"/>
      <c r="WEW698" s="524"/>
      <c r="WEX698" s="524"/>
      <c r="WEY698" s="524"/>
      <c r="WEZ698" s="524"/>
      <c r="WFA698" s="524"/>
      <c r="WFB698" s="524"/>
      <c r="WFC698" s="524"/>
      <c r="WFD698" s="524"/>
      <c r="WFE698" s="524"/>
      <c r="WFF698" s="524"/>
      <c r="WFG698" s="524"/>
      <c r="WFH698" s="524"/>
      <c r="WFI698" s="524"/>
      <c r="WFJ698" s="524"/>
      <c r="WFK698" s="524"/>
      <c r="WFL698" s="524"/>
      <c r="WFM698" s="524"/>
      <c r="WFN698" s="524"/>
      <c r="WFO698" s="524"/>
      <c r="WFP698" s="524"/>
      <c r="WFQ698" s="524"/>
      <c r="WFR698" s="524"/>
      <c r="WFS698" s="524"/>
      <c r="WFT698" s="524"/>
      <c r="WFU698" s="524"/>
      <c r="WFV698" s="524"/>
      <c r="WFW698" s="524"/>
      <c r="WFX698" s="524"/>
      <c r="WFY698" s="524"/>
      <c r="WFZ698" s="524"/>
      <c r="WGA698" s="524"/>
      <c r="WGB698" s="524"/>
      <c r="WGC698" s="524"/>
      <c r="WGD698" s="524"/>
      <c r="WGE698" s="524"/>
      <c r="WGF698" s="524"/>
      <c r="WGG698" s="524"/>
      <c r="WGH698" s="524"/>
      <c r="WGI698" s="524"/>
      <c r="WGJ698" s="524"/>
      <c r="WGK698" s="524"/>
      <c r="WGL698" s="524"/>
      <c r="WGM698" s="524"/>
      <c r="WGN698" s="524"/>
      <c r="WGO698" s="524"/>
      <c r="WGP698" s="524"/>
      <c r="WGQ698" s="524"/>
      <c r="WGR698" s="524"/>
      <c r="WGS698" s="524"/>
      <c r="WGT698" s="524"/>
      <c r="WGU698" s="524"/>
      <c r="WGV698" s="524"/>
      <c r="WGW698" s="524"/>
      <c r="WGX698" s="524"/>
      <c r="WGY698" s="524"/>
      <c r="WGZ698" s="524"/>
      <c r="WHA698" s="524"/>
      <c r="WHB698" s="524"/>
      <c r="WHC698" s="524"/>
      <c r="WHD698" s="524"/>
      <c r="WHE698" s="524"/>
      <c r="WHF698" s="524"/>
      <c r="WHG698" s="524"/>
      <c r="WHH698" s="524"/>
      <c r="WHI698" s="524"/>
      <c r="WHJ698" s="524"/>
      <c r="WHK698" s="524"/>
      <c r="WHL698" s="524"/>
      <c r="WHM698" s="524"/>
      <c r="WHN698" s="524"/>
      <c r="WHO698" s="524"/>
      <c r="WHP698" s="524"/>
      <c r="WHQ698" s="524"/>
      <c r="WHR698" s="524"/>
      <c r="WHS698" s="524"/>
      <c r="WHT698" s="524"/>
      <c r="WHU698" s="524"/>
      <c r="WHV698" s="524"/>
      <c r="WHW698" s="524"/>
      <c r="WHX698" s="524"/>
      <c r="WHY698" s="524"/>
      <c r="WHZ698" s="524"/>
      <c r="WIA698" s="524"/>
      <c r="WIB698" s="524"/>
      <c r="WIC698" s="524"/>
      <c r="WID698" s="524"/>
      <c r="WIE698" s="524"/>
      <c r="WIF698" s="524"/>
      <c r="WIG698" s="524"/>
      <c r="WIH698" s="524"/>
      <c r="WII698" s="524"/>
      <c r="WIJ698" s="524"/>
      <c r="WIK698" s="524"/>
      <c r="WIL698" s="524"/>
      <c r="WIM698" s="524"/>
      <c r="WIN698" s="524"/>
      <c r="WIO698" s="524"/>
      <c r="WIP698" s="524"/>
      <c r="WIQ698" s="524"/>
      <c r="WIR698" s="524"/>
      <c r="WIS698" s="524"/>
      <c r="WIT698" s="524"/>
      <c r="WIU698" s="524"/>
      <c r="WIV698" s="524"/>
      <c r="WIW698" s="524"/>
      <c r="WIX698" s="524"/>
      <c r="WIY698" s="524"/>
      <c r="WIZ698" s="524"/>
      <c r="WJA698" s="524"/>
      <c r="WJB698" s="524"/>
      <c r="WJC698" s="524"/>
      <c r="WJD698" s="524"/>
      <c r="WJE698" s="524"/>
      <c r="WJF698" s="524"/>
      <c r="WJG698" s="524"/>
      <c r="WJH698" s="524"/>
      <c r="WJI698" s="524"/>
      <c r="WJJ698" s="524"/>
      <c r="WJK698" s="524"/>
      <c r="WJL698" s="524"/>
      <c r="WJM698" s="524"/>
      <c r="WJN698" s="524"/>
      <c r="WJO698" s="524"/>
      <c r="WJP698" s="524"/>
      <c r="WJQ698" s="524"/>
      <c r="WJR698" s="524"/>
      <c r="WJS698" s="524"/>
      <c r="WJT698" s="524"/>
      <c r="WJU698" s="524"/>
      <c r="WJV698" s="524"/>
      <c r="WJW698" s="524"/>
      <c r="WJX698" s="524"/>
      <c r="WJY698" s="524"/>
      <c r="WJZ698" s="524"/>
      <c r="WKA698" s="524"/>
      <c r="WKB698" s="524"/>
      <c r="WKC698" s="524"/>
      <c r="WKD698" s="524"/>
      <c r="WKE698" s="524"/>
      <c r="WKF698" s="524"/>
      <c r="WKG698" s="524"/>
      <c r="WKH698" s="524"/>
      <c r="WKI698" s="524"/>
      <c r="WKJ698" s="524"/>
      <c r="WKK698" s="524"/>
      <c r="WKL698" s="524"/>
      <c r="WKM698" s="524"/>
      <c r="WKN698" s="524"/>
      <c r="WKO698" s="524"/>
      <c r="WKP698" s="524"/>
      <c r="WKQ698" s="524"/>
      <c r="WKR698" s="524"/>
      <c r="WKS698" s="524"/>
      <c r="WKT698" s="524"/>
      <c r="WKU698" s="524"/>
      <c r="WKV698" s="524"/>
      <c r="WKW698" s="524"/>
      <c r="WKX698" s="524"/>
      <c r="WKY698" s="524"/>
      <c r="WKZ698" s="524"/>
      <c r="WLA698" s="524"/>
      <c r="WLB698" s="524"/>
      <c r="WLC698" s="524"/>
      <c r="WLD698" s="524"/>
      <c r="WLE698" s="524"/>
      <c r="WLF698" s="524"/>
      <c r="WLG698" s="524"/>
      <c r="WLH698" s="524"/>
      <c r="WLI698" s="524"/>
      <c r="WLJ698" s="524"/>
      <c r="WLK698" s="524"/>
      <c r="WLL698" s="524"/>
      <c r="WLM698" s="524"/>
      <c r="WLN698" s="524"/>
      <c r="WLO698" s="524"/>
      <c r="WLP698" s="524"/>
      <c r="WLQ698" s="524"/>
      <c r="WLR698" s="524"/>
      <c r="WLS698" s="524"/>
      <c r="WLT698" s="524"/>
      <c r="WLU698" s="524"/>
      <c r="WLV698" s="524"/>
      <c r="WLW698" s="524"/>
      <c r="WLX698" s="524"/>
      <c r="WLY698" s="524"/>
      <c r="WLZ698" s="524"/>
      <c r="WMA698" s="524"/>
      <c r="WMB698" s="524"/>
      <c r="WMC698" s="524"/>
      <c r="WMD698" s="524"/>
      <c r="WME698" s="524"/>
      <c r="WMF698" s="524"/>
      <c r="WMG698" s="524"/>
      <c r="WMH698" s="524"/>
      <c r="WMI698" s="524"/>
      <c r="WMJ698" s="524"/>
      <c r="WMK698" s="524"/>
      <c r="WML698" s="524"/>
      <c r="WMM698" s="524"/>
      <c r="WMN698" s="524"/>
      <c r="WMO698" s="524"/>
      <c r="WMP698" s="524"/>
      <c r="WMQ698" s="524"/>
      <c r="WMR698" s="524"/>
      <c r="WMS698" s="524"/>
      <c r="WMT698" s="524"/>
      <c r="WMU698" s="524"/>
      <c r="WMV698" s="524"/>
      <c r="WMW698" s="524"/>
      <c r="WMX698" s="524"/>
      <c r="WMY698" s="524"/>
      <c r="WMZ698" s="524"/>
      <c r="WNA698" s="524"/>
      <c r="WNB698" s="524"/>
      <c r="WNC698" s="524"/>
      <c r="WND698" s="524"/>
      <c r="WNE698" s="524"/>
      <c r="WNF698" s="524"/>
      <c r="WNG698" s="524"/>
      <c r="WNH698" s="524"/>
      <c r="WNI698" s="524"/>
      <c r="WNJ698" s="524"/>
      <c r="WNK698" s="524"/>
      <c r="WNL698" s="524"/>
      <c r="WNM698" s="524"/>
      <c r="WNN698" s="524"/>
      <c r="WNO698" s="524"/>
      <c r="WNP698" s="524"/>
      <c r="WNQ698" s="524"/>
      <c r="WNR698" s="524"/>
      <c r="WNS698" s="524"/>
      <c r="WNT698" s="524"/>
      <c r="WNU698" s="524"/>
      <c r="WNV698" s="524"/>
      <c r="WNW698" s="524"/>
      <c r="WNX698" s="524"/>
      <c r="WNY698" s="524"/>
      <c r="WNZ698" s="524"/>
      <c r="WOA698" s="524"/>
      <c r="WOB698" s="524"/>
      <c r="WOC698" s="524"/>
      <c r="WOD698" s="524"/>
      <c r="WOE698" s="524"/>
      <c r="WOF698" s="524"/>
      <c r="WOG698" s="524"/>
      <c r="WOH698" s="524"/>
      <c r="WOI698" s="524"/>
      <c r="WOJ698" s="524"/>
      <c r="WOK698" s="524"/>
      <c r="WOL698" s="524"/>
      <c r="WOM698" s="524"/>
      <c r="WON698" s="524"/>
      <c r="WOO698" s="524"/>
      <c r="WOP698" s="524"/>
      <c r="WOQ698" s="524"/>
      <c r="WOR698" s="524"/>
      <c r="WOS698" s="524"/>
      <c r="WOT698" s="524"/>
      <c r="WOU698" s="524"/>
      <c r="WOV698" s="524"/>
      <c r="WOW698" s="524"/>
      <c r="WOX698" s="524"/>
      <c r="WOY698" s="524"/>
      <c r="WOZ698" s="524"/>
      <c r="WPA698" s="524"/>
      <c r="WPB698" s="524"/>
      <c r="WPC698" s="524"/>
      <c r="WPD698" s="524"/>
      <c r="WPE698" s="524"/>
      <c r="WPF698" s="524"/>
      <c r="WPG698" s="524"/>
      <c r="WPH698" s="524"/>
      <c r="WPI698" s="524"/>
      <c r="WPJ698" s="524"/>
      <c r="WPK698" s="524"/>
      <c r="WPL698" s="524"/>
      <c r="WPM698" s="524"/>
      <c r="WPN698" s="524"/>
      <c r="WPO698" s="524"/>
      <c r="WPP698" s="524"/>
      <c r="WPQ698" s="524"/>
      <c r="WPR698" s="524"/>
      <c r="WPS698" s="524"/>
      <c r="WPT698" s="524"/>
      <c r="WPU698" s="524"/>
      <c r="WPV698" s="524"/>
      <c r="WPW698" s="524"/>
      <c r="WPX698" s="524"/>
      <c r="WPY698" s="524"/>
      <c r="WPZ698" s="524"/>
      <c r="WQA698" s="524"/>
      <c r="WQB698" s="524"/>
      <c r="WQC698" s="524"/>
      <c r="WQD698" s="524"/>
      <c r="WQE698" s="524"/>
      <c r="WQF698" s="524"/>
      <c r="WQG698" s="524"/>
      <c r="WQH698" s="524"/>
      <c r="WQI698" s="524"/>
      <c r="WQJ698" s="524"/>
      <c r="WQK698" s="524"/>
      <c r="WQL698" s="524"/>
      <c r="WQM698" s="524"/>
      <c r="WQN698" s="524"/>
      <c r="WQO698" s="524"/>
      <c r="WQP698" s="524"/>
      <c r="WQQ698" s="524"/>
      <c r="WQR698" s="524"/>
      <c r="WQS698" s="524"/>
      <c r="WQT698" s="524"/>
      <c r="WQU698" s="524"/>
      <c r="WQV698" s="524"/>
      <c r="WQW698" s="524"/>
      <c r="WQX698" s="524"/>
      <c r="WQY698" s="524"/>
      <c r="WQZ698" s="524"/>
      <c r="WRA698" s="524"/>
      <c r="WRB698" s="524"/>
      <c r="WRC698" s="524"/>
      <c r="WRD698" s="524"/>
      <c r="WRE698" s="524"/>
      <c r="WRF698" s="524"/>
      <c r="WRG698" s="524"/>
      <c r="WRH698" s="524"/>
      <c r="WRI698" s="524"/>
      <c r="WRJ698" s="524"/>
      <c r="WRK698" s="524"/>
      <c r="WRL698" s="524"/>
      <c r="WRM698" s="524"/>
      <c r="WRN698" s="524"/>
      <c r="WRO698" s="524"/>
      <c r="WRP698" s="524"/>
      <c r="WRQ698" s="524"/>
      <c r="WRR698" s="524"/>
      <c r="WRS698" s="524"/>
      <c r="WRT698" s="524"/>
      <c r="WRU698" s="524"/>
      <c r="WRV698" s="524"/>
      <c r="WRW698" s="524"/>
      <c r="WRX698" s="524"/>
      <c r="WRY698" s="524"/>
      <c r="WRZ698" s="524"/>
      <c r="WSA698" s="524"/>
      <c r="WSB698" s="524"/>
      <c r="WSC698" s="524"/>
      <c r="WSD698" s="524"/>
      <c r="WSE698" s="524"/>
      <c r="WSF698" s="524"/>
      <c r="WSG698" s="524"/>
      <c r="WSH698" s="524"/>
      <c r="WSI698" s="524"/>
      <c r="WSJ698" s="524"/>
      <c r="WSK698" s="524"/>
      <c r="WSL698" s="524"/>
      <c r="WSM698" s="524"/>
      <c r="WSN698" s="524"/>
      <c r="WSO698" s="524"/>
      <c r="WSP698" s="524"/>
      <c r="WSQ698" s="524"/>
      <c r="WSR698" s="524"/>
      <c r="WSS698" s="524"/>
      <c r="WST698" s="524"/>
      <c r="WSU698" s="524"/>
      <c r="WSV698" s="524"/>
      <c r="WSW698" s="524"/>
      <c r="WSX698" s="524"/>
      <c r="WSY698" s="524"/>
      <c r="WSZ698" s="524"/>
      <c r="WTA698" s="524"/>
      <c r="WTB698" s="524"/>
      <c r="WTC698" s="524"/>
      <c r="WTD698" s="524"/>
      <c r="WTE698" s="524"/>
      <c r="WTF698" s="524"/>
      <c r="WTG698" s="524"/>
      <c r="WTH698" s="524"/>
      <c r="WTI698" s="524"/>
      <c r="WTJ698" s="524"/>
      <c r="WTK698" s="524"/>
      <c r="WTL698" s="524"/>
      <c r="WTM698" s="524"/>
      <c r="WTN698" s="524"/>
      <c r="WTO698" s="524"/>
      <c r="WTP698" s="524"/>
      <c r="WTQ698" s="524"/>
      <c r="WTR698" s="524"/>
      <c r="WTS698" s="524"/>
      <c r="WTT698" s="524"/>
      <c r="WTU698" s="524"/>
      <c r="WTV698" s="524"/>
      <c r="WTW698" s="524"/>
      <c r="WTX698" s="524"/>
      <c r="WTY698" s="524"/>
      <c r="WTZ698" s="524"/>
      <c r="WUA698" s="524"/>
      <c r="WUB698" s="524"/>
      <c r="WUC698" s="524"/>
      <c r="WUD698" s="524"/>
      <c r="WUE698" s="524"/>
      <c r="WUF698" s="524"/>
      <c r="WUG698" s="524"/>
      <c r="WUH698" s="524"/>
      <c r="WUI698" s="524"/>
      <c r="WUJ698" s="524"/>
      <c r="WUK698" s="524"/>
      <c r="WUL698" s="524"/>
      <c r="WUM698" s="524"/>
      <c r="WUN698" s="524"/>
      <c r="WUO698" s="524"/>
      <c r="WUP698" s="524"/>
      <c r="WUQ698" s="524"/>
      <c r="WUR698" s="524"/>
      <c r="WUS698" s="524"/>
      <c r="WUT698" s="524"/>
      <c r="WUU698" s="524"/>
      <c r="WUV698" s="524"/>
      <c r="WUW698" s="524"/>
      <c r="WUX698" s="524"/>
      <c r="WUY698" s="524"/>
      <c r="WUZ698" s="524"/>
      <c r="WVA698" s="524"/>
      <c r="WVB698" s="524"/>
      <c r="WVC698" s="524"/>
      <c r="WVD698" s="524"/>
      <c r="WVE698" s="524"/>
      <c r="WVF698" s="524"/>
      <c r="WVG698" s="524"/>
      <c r="WVH698" s="524"/>
      <c r="WVI698" s="524"/>
      <c r="WVJ698" s="524"/>
      <c r="WVK698" s="524"/>
      <c r="WVL698" s="524"/>
      <c r="WVM698" s="524"/>
      <c r="WVN698" s="524"/>
      <c r="WVO698" s="524"/>
      <c r="WVP698" s="524"/>
      <c r="WVQ698" s="524"/>
      <c r="WVR698" s="524"/>
      <c r="WVS698" s="524"/>
      <c r="WVT698" s="524"/>
      <c r="WVU698" s="524"/>
      <c r="WVV698" s="524"/>
      <c r="WVW698" s="524"/>
      <c r="WVX698" s="524"/>
      <c r="WVY698" s="524"/>
      <c r="WVZ698" s="524"/>
      <c r="WWA698" s="524"/>
      <c r="WWB698" s="524"/>
      <c r="WWC698" s="524"/>
      <c r="WWD698" s="524"/>
      <c r="WWE698" s="524"/>
      <c r="WWF698" s="524"/>
      <c r="WWG698" s="524"/>
      <c r="WWH698" s="524"/>
      <c r="WWI698" s="524"/>
      <c r="WWJ698" s="524"/>
      <c r="WWK698" s="524"/>
      <c r="WWL698" s="524"/>
      <c r="WWM698" s="524"/>
      <c r="WWN698" s="524"/>
      <c r="WWO698" s="524"/>
      <c r="WWP698" s="524"/>
      <c r="WWQ698" s="524"/>
      <c r="WWR698" s="524"/>
      <c r="WWS698" s="524"/>
      <c r="WWT698" s="524"/>
      <c r="WWU698" s="524"/>
      <c r="WWV698" s="524"/>
      <c r="WWW698" s="524"/>
      <c r="WWX698" s="524"/>
      <c r="WWY698" s="524"/>
      <c r="WWZ698" s="524"/>
      <c r="WXA698" s="524"/>
      <c r="WXB698" s="524"/>
      <c r="WXC698" s="524"/>
      <c r="WXD698" s="524"/>
      <c r="WXE698" s="524"/>
      <c r="WXF698" s="524"/>
      <c r="WXG698" s="524"/>
      <c r="WXH698" s="524"/>
      <c r="WXI698" s="524"/>
      <c r="WXJ698" s="524"/>
      <c r="WXK698" s="524"/>
      <c r="WXL698" s="524"/>
      <c r="WXM698" s="524"/>
      <c r="WXN698" s="524"/>
      <c r="WXO698" s="524"/>
      <c r="WXP698" s="524"/>
      <c r="WXQ698" s="524"/>
      <c r="WXR698" s="524"/>
      <c r="WXS698" s="524"/>
      <c r="WXT698" s="524"/>
      <c r="WXU698" s="524"/>
      <c r="WXV698" s="524"/>
      <c r="WXW698" s="524"/>
      <c r="WXX698" s="524"/>
      <c r="WXY698" s="524"/>
      <c r="WXZ698" s="524"/>
      <c r="WYA698" s="524"/>
      <c r="WYB698" s="524"/>
      <c r="WYC698" s="524"/>
      <c r="WYD698" s="524"/>
      <c r="WYE698" s="524"/>
      <c r="WYF698" s="524"/>
      <c r="WYG698" s="524"/>
      <c r="WYH698" s="524"/>
      <c r="WYI698" s="524"/>
      <c r="WYJ698" s="524"/>
      <c r="WYK698" s="524"/>
      <c r="WYL698" s="524"/>
      <c r="WYM698" s="524"/>
      <c r="WYN698" s="524"/>
      <c r="WYO698" s="524"/>
      <c r="WYP698" s="524"/>
      <c r="WYQ698" s="524"/>
      <c r="WYR698" s="524"/>
      <c r="WYS698" s="524"/>
      <c r="WYT698" s="524"/>
      <c r="WYU698" s="524"/>
      <c r="WYV698" s="524"/>
      <c r="WYW698" s="524"/>
      <c r="WYX698" s="524"/>
      <c r="WYY698" s="524"/>
      <c r="WYZ698" s="524"/>
      <c r="WZA698" s="524"/>
      <c r="WZB698" s="524"/>
      <c r="WZC698" s="524"/>
      <c r="WZD698" s="524"/>
      <c r="WZE698" s="524"/>
      <c r="WZF698" s="524"/>
      <c r="WZG698" s="524"/>
      <c r="WZH698" s="524"/>
      <c r="WZI698" s="524"/>
      <c r="WZJ698" s="524"/>
      <c r="WZK698" s="524"/>
      <c r="WZL698" s="524"/>
      <c r="WZM698" s="524"/>
      <c r="WZN698" s="524"/>
      <c r="WZO698" s="524"/>
      <c r="WZP698" s="524"/>
      <c r="WZQ698" s="524"/>
      <c r="WZR698" s="524"/>
      <c r="WZS698" s="524"/>
      <c r="WZT698" s="524"/>
      <c r="WZU698" s="524"/>
      <c r="WZV698" s="524"/>
      <c r="WZW698" s="524"/>
      <c r="WZX698" s="524"/>
      <c r="WZY698" s="524"/>
      <c r="WZZ698" s="524"/>
      <c r="XAA698" s="524"/>
      <c r="XAB698" s="524"/>
      <c r="XAC698" s="524"/>
      <c r="XAD698" s="524"/>
      <c r="XAE698" s="524"/>
      <c r="XAF698" s="524"/>
      <c r="XAG698" s="524"/>
      <c r="XAH698" s="524"/>
      <c r="XAI698" s="524"/>
      <c r="XAJ698" s="524"/>
      <c r="XAK698" s="524"/>
      <c r="XAL698" s="524"/>
      <c r="XAM698" s="524"/>
      <c r="XAN698" s="524"/>
      <c r="XAO698" s="524"/>
      <c r="XAP698" s="524"/>
      <c r="XAQ698" s="524"/>
      <c r="XAR698" s="524"/>
      <c r="XAS698" s="524"/>
      <c r="XAT698" s="524"/>
      <c r="XAU698" s="524"/>
      <c r="XAV698" s="524"/>
      <c r="XAW698" s="524"/>
      <c r="XAX698" s="524"/>
      <c r="XAY698" s="524"/>
      <c r="XAZ698" s="524"/>
      <c r="XBA698" s="524"/>
      <c r="XBB698" s="524"/>
      <c r="XBC698" s="524"/>
      <c r="XBD698" s="524"/>
      <c r="XBE698" s="524"/>
      <c r="XBF698" s="524"/>
      <c r="XBG698" s="524"/>
      <c r="XBH698" s="524"/>
      <c r="XBI698" s="524"/>
      <c r="XBJ698" s="524"/>
      <c r="XBK698" s="524"/>
      <c r="XBL698" s="524"/>
      <c r="XBM698" s="524"/>
      <c r="XBN698" s="524"/>
      <c r="XBO698" s="524"/>
      <c r="XBP698" s="524"/>
      <c r="XBQ698" s="524"/>
      <c r="XBR698" s="524"/>
      <c r="XBS698" s="524"/>
      <c r="XBT698" s="524"/>
      <c r="XBU698" s="524"/>
      <c r="XBV698" s="524"/>
      <c r="XBW698" s="524"/>
      <c r="XBX698" s="524"/>
      <c r="XBY698" s="524"/>
      <c r="XBZ698" s="524"/>
      <c r="XCA698" s="524"/>
      <c r="XCB698" s="524"/>
      <c r="XCC698" s="524"/>
      <c r="XCD698" s="524"/>
      <c r="XCE698" s="524"/>
      <c r="XCF698" s="524"/>
      <c r="XCG698" s="524"/>
      <c r="XCH698" s="524"/>
      <c r="XCI698" s="524"/>
      <c r="XCJ698" s="524"/>
      <c r="XCK698" s="524"/>
      <c r="XCL698" s="524"/>
      <c r="XCM698" s="524"/>
      <c r="XCN698" s="524"/>
      <c r="XCO698" s="524"/>
      <c r="XCP698" s="524"/>
      <c r="XCQ698" s="524"/>
      <c r="XCR698" s="524"/>
      <c r="XCS698" s="524"/>
      <c r="XCT698" s="524"/>
      <c r="XCU698" s="524"/>
      <c r="XCV698" s="524"/>
      <c r="XCW698" s="524"/>
      <c r="XCX698" s="524"/>
      <c r="XCY698" s="524"/>
      <c r="XCZ698" s="524"/>
      <c r="XDA698" s="524"/>
      <c r="XDB698" s="524"/>
      <c r="XDC698" s="524"/>
      <c r="XDD698" s="524"/>
      <c r="XDE698" s="524"/>
      <c r="XDF698" s="524"/>
      <c r="XDG698" s="524"/>
      <c r="XDH698" s="524"/>
      <c r="XDI698" s="524"/>
      <c r="XDJ698" s="524"/>
      <c r="XDK698" s="524"/>
      <c r="XDL698" s="524"/>
      <c r="XDM698" s="524"/>
      <c r="XDN698" s="524"/>
      <c r="XDO698" s="524"/>
      <c r="XDP698" s="524"/>
      <c r="XDQ698" s="524"/>
      <c r="XDR698" s="524"/>
      <c r="XDS698" s="524"/>
      <c r="XDT698" s="524"/>
      <c r="XDU698" s="524"/>
      <c r="XDV698" s="524"/>
      <c r="XDW698" s="524"/>
      <c r="XDX698" s="524"/>
      <c r="XDY698" s="524"/>
      <c r="XDZ698" s="524"/>
      <c r="XEA698" s="524"/>
      <c r="XEB698" s="524"/>
      <c r="XEC698" s="524"/>
      <c r="XED698" s="524"/>
      <c r="XEE698" s="524"/>
      <c r="XEF698" s="524"/>
      <c r="XEG698" s="524"/>
      <c r="XEH698" s="524"/>
      <c r="XEI698" s="524"/>
      <c r="XEJ698" s="524"/>
      <c r="XEK698" s="524"/>
      <c r="XEL698" s="524"/>
      <c r="XEM698" s="524"/>
      <c r="XEN698" s="524"/>
      <c r="XEO698" s="524"/>
      <c r="XEP698" s="524"/>
      <c r="XEQ698" s="524"/>
      <c r="XER698" s="524"/>
      <c r="XES698" s="524"/>
      <c r="XET698" s="524"/>
      <c r="XEU698" s="524"/>
      <c r="XEV698" s="524"/>
      <c r="XEW698" s="524"/>
      <c r="XEX698" s="524"/>
      <c r="XEY698" s="524"/>
      <c r="XEZ698" s="524"/>
      <c r="XFA698" s="524"/>
      <c r="XFB698" s="524"/>
      <c r="XFC698" s="524"/>
    </row>
    <row r="699" spans="1:16383" s="537" customFormat="1" ht="15.95" customHeight="1">
      <c r="A699" s="751" t="s">
        <v>24</v>
      </c>
      <c r="B699" s="834">
        <v>696</v>
      </c>
      <c r="C699" s="751" t="s">
        <v>4144</v>
      </c>
      <c r="D699" s="751" t="s">
        <v>1937</v>
      </c>
      <c r="E699" s="887">
        <v>46140</v>
      </c>
      <c r="F699" s="751" t="s">
        <v>3330</v>
      </c>
      <c r="G699" s="751">
        <v>10</v>
      </c>
      <c r="H699" s="751" t="s">
        <v>1077</v>
      </c>
      <c r="I699" s="751" t="s">
        <v>1138</v>
      </c>
      <c r="J699" s="751" t="s">
        <v>4145</v>
      </c>
      <c r="K699" s="521"/>
      <c r="L699" s="751" t="s">
        <v>4146</v>
      </c>
      <c r="M699" s="751"/>
      <c r="N699" s="751"/>
      <c r="O699" s="521" t="s">
        <v>2083</v>
      </c>
      <c r="P699" s="888"/>
      <c r="Q699" s="888"/>
      <c r="R699" s="888"/>
      <c r="S699" s="529"/>
      <c r="T699" s="751"/>
      <c r="U699" s="751"/>
      <c r="V699" s="751"/>
      <c r="W699" s="751"/>
      <c r="X699" s="533" t="s">
        <v>32</v>
      </c>
      <c r="Y699" s="522"/>
      <c r="Z699" s="522"/>
      <c r="AA699" s="522"/>
      <c r="AB699" s="522"/>
      <c r="AC699" s="522"/>
      <c r="AD699" s="522"/>
      <c r="AE699" s="522"/>
      <c r="AF699" s="522"/>
      <c r="AG699" s="522"/>
      <c r="AH699" s="522"/>
      <c r="AI699" s="523"/>
      <c r="AJ699" s="523"/>
      <c r="AK699" s="523"/>
      <c r="AL699" s="523"/>
      <c r="AM699" s="522"/>
      <c r="AN699" s="522"/>
      <c r="AO699" s="886"/>
      <c r="AP699" s="896"/>
      <c r="AQ699" s="896"/>
      <c r="AR699" s="896"/>
      <c r="AS699" s="538"/>
      <c r="AT699" s="538"/>
      <c r="AU699" s="539"/>
      <c r="AV699" s="539"/>
      <c r="AW699" s="539"/>
      <c r="AX699" s="539"/>
      <c r="BB699" s="537">
        <f t="shared" si="31"/>
        <v>1</v>
      </c>
    </row>
    <row r="700" spans="1:16383" s="537" customFormat="1" ht="15.95" customHeight="1">
      <c r="A700" s="751" t="s">
        <v>24</v>
      </c>
      <c r="B700" s="834">
        <v>697</v>
      </c>
      <c r="C700" s="751" t="s">
        <v>4147</v>
      </c>
      <c r="D700" s="751" t="s">
        <v>374</v>
      </c>
      <c r="E700" s="887">
        <v>46140</v>
      </c>
      <c r="F700" s="751" t="s">
        <v>1501</v>
      </c>
      <c r="G700" s="751">
        <v>12</v>
      </c>
      <c r="H700" s="751" t="s">
        <v>1076</v>
      </c>
      <c r="I700" s="751" t="s">
        <v>3337</v>
      </c>
      <c r="J700" s="751"/>
      <c r="K700" s="521"/>
      <c r="L700" s="751" t="s">
        <v>4028</v>
      </c>
      <c r="M700" s="751"/>
      <c r="N700" s="751"/>
      <c r="O700" s="521" t="s">
        <v>4148</v>
      </c>
      <c r="P700" s="888"/>
      <c r="Q700" s="888"/>
      <c r="R700" s="888"/>
      <c r="S700" s="529"/>
      <c r="T700" s="751"/>
      <c r="U700" s="751"/>
      <c r="V700" s="751"/>
      <c r="W700" s="751"/>
      <c r="X700" s="533"/>
      <c r="Y700" s="522"/>
      <c r="Z700" s="522"/>
      <c r="AA700" s="522"/>
      <c r="AB700" s="522"/>
      <c r="AC700" s="522"/>
      <c r="AD700" s="522"/>
      <c r="AE700" s="522"/>
      <c r="AF700" s="522"/>
      <c r="AG700" s="522"/>
      <c r="AH700" s="522"/>
      <c r="AI700" s="523"/>
      <c r="AJ700" s="523"/>
      <c r="AK700" s="523"/>
      <c r="AL700" s="523"/>
      <c r="AM700" s="522"/>
      <c r="AN700" s="522"/>
      <c r="AO700" s="886"/>
      <c r="AP700" s="896"/>
      <c r="AQ700" s="896"/>
      <c r="AR700" s="896"/>
      <c r="AS700" s="538"/>
      <c r="AT700" s="538"/>
      <c r="AU700" s="539"/>
      <c r="AV700" s="539"/>
      <c r="AW700" s="539"/>
      <c r="AX700" s="539"/>
    </row>
    <row r="701" spans="1:16383" s="537" customFormat="1" ht="15.95" customHeight="1">
      <c r="A701" s="751" t="s">
        <v>24</v>
      </c>
      <c r="B701" s="834">
        <v>698</v>
      </c>
      <c r="C701" s="751" t="s">
        <v>4149</v>
      </c>
      <c r="D701" s="751" t="s">
        <v>374</v>
      </c>
      <c r="E701" s="887">
        <v>46141</v>
      </c>
      <c r="F701" s="751" t="s">
        <v>603</v>
      </c>
      <c r="G701" s="751">
        <v>12</v>
      </c>
      <c r="H701" s="751" t="s">
        <v>1076</v>
      </c>
      <c r="I701" s="751" t="s">
        <v>3337</v>
      </c>
      <c r="J701" s="751"/>
      <c r="K701" s="521"/>
      <c r="L701" s="751" t="s">
        <v>4028</v>
      </c>
      <c r="M701" s="751"/>
      <c r="N701" s="751"/>
      <c r="O701" s="521" t="s">
        <v>4148</v>
      </c>
      <c r="P701" s="888"/>
      <c r="Q701" s="888"/>
      <c r="R701" s="888"/>
      <c r="S701" s="529"/>
      <c r="T701" s="751"/>
      <c r="U701" s="751"/>
      <c r="V701" s="751"/>
      <c r="W701" s="751"/>
      <c r="X701" s="533"/>
      <c r="Y701" s="522"/>
      <c r="Z701" s="522"/>
      <c r="AA701" s="522"/>
      <c r="AB701" s="522"/>
      <c r="AC701" s="522"/>
      <c r="AD701" s="522"/>
      <c r="AE701" s="522"/>
      <c r="AF701" s="522"/>
      <c r="AG701" s="522"/>
      <c r="AH701" s="522"/>
      <c r="AI701" s="523"/>
      <c r="AJ701" s="523"/>
      <c r="AK701" s="523"/>
      <c r="AL701" s="523"/>
      <c r="AM701" s="522"/>
      <c r="AN701" s="522"/>
      <c r="AO701" s="886"/>
      <c r="AP701" s="896"/>
      <c r="AQ701" s="896"/>
      <c r="AR701" s="896"/>
      <c r="AS701" s="538"/>
      <c r="AT701" s="538"/>
      <c r="AU701" s="539"/>
      <c r="AV701" s="539"/>
      <c r="AW701" s="539"/>
      <c r="AX701" s="539"/>
    </row>
    <row r="702" spans="1:16383" s="537" customFormat="1" ht="15.6" customHeight="1">
      <c r="A702" s="751" t="s">
        <v>24</v>
      </c>
      <c r="B702" s="834">
        <v>699</v>
      </c>
      <c r="C702" s="751" t="s">
        <v>4144</v>
      </c>
      <c r="D702" s="751" t="s">
        <v>1937</v>
      </c>
      <c r="E702" s="887">
        <v>46141</v>
      </c>
      <c r="F702" s="751" t="s">
        <v>3330</v>
      </c>
      <c r="G702" s="751">
        <v>10</v>
      </c>
      <c r="H702" s="751" t="s">
        <v>1077</v>
      </c>
      <c r="I702" s="751" t="s">
        <v>1138</v>
      </c>
      <c r="J702" s="751" t="s">
        <v>4145</v>
      </c>
      <c r="K702" s="521"/>
      <c r="L702" s="751" t="s">
        <v>4146</v>
      </c>
      <c r="M702" s="751"/>
      <c r="N702" s="751"/>
      <c r="O702" s="521" t="s">
        <v>2083</v>
      </c>
      <c r="P702" s="888"/>
      <c r="Q702" s="888"/>
      <c r="R702" s="888"/>
      <c r="S702" s="529"/>
      <c r="T702" s="751"/>
      <c r="U702" s="751"/>
      <c r="V702" s="751"/>
      <c r="W702" s="751"/>
      <c r="X702" s="533" t="s">
        <v>32</v>
      </c>
      <c r="Y702" s="522"/>
      <c r="Z702" s="522"/>
      <c r="AA702" s="522"/>
      <c r="AB702" s="522"/>
      <c r="AC702" s="522"/>
      <c r="AD702" s="522"/>
      <c r="AE702" s="522"/>
      <c r="AF702" s="522"/>
      <c r="AG702" s="522"/>
      <c r="AH702" s="522"/>
      <c r="AI702" s="523"/>
      <c r="AJ702" s="523"/>
      <c r="AK702" s="523"/>
      <c r="AL702" s="523"/>
      <c r="AM702" s="522"/>
      <c r="AN702" s="522"/>
      <c r="AO702" s="886"/>
      <c r="AP702" s="896"/>
      <c r="AQ702" s="896"/>
      <c r="AR702" s="896"/>
      <c r="AS702" s="538"/>
      <c r="AT702" s="538"/>
      <c r="AU702" s="539"/>
      <c r="AV702" s="539"/>
      <c r="AW702" s="539"/>
      <c r="AX702" s="539"/>
      <c r="BB702" s="537">
        <f t="shared" ref="BB702:BB704" si="40">IF(E702&gt;1,1,"")</f>
        <v>1</v>
      </c>
    </row>
    <row r="703" spans="1:16383" s="537" customFormat="1" ht="15.6" customHeight="1">
      <c r="A703" s="751" t="s">
        <v>24</v>
      </c>
      <c r="B703" s="834">
        <v>700</v>
      </c>
      <c r="C703" s="751" t="s">
        <v>4102</v>
      </c>
      <c r="D703" s="751" t="s">
        <v>1937</v>
      </c>
      <c r="E703" s="887">
        <v>46141</v>
      </c>
      <c r="F703" s="751" t="s">
        <v>181</v>
      </c>
      <c r="G703" s="751">
        <v>10</v>
      </c>
      <c r="H703" s="751" t="s">
        <v>1077</v>
      </c>
      <c r="I703" s="751" t="s">
        <v>1138</v>
      </c>
      <c r="J703" s="521"/>
      <c r="K703" s="521"/>
      <c r="L703" s="751" t="s">
        <v>4103</v>
      </c>
      <c r="M703" s="751"/>
      <c r="N703" s="751"/>
      <c r="O703" s="521" t="s">
        <v>4104</v>
      </c>
      <c r="P703" s="888"/>
      <c r="Q703" s="888"/>
      <c r="R703" s="888"/>
      <c r="S703" s="529"/>
      <c r="T703" s="751"/>
      <c r="U703" s="751"/>
      <c r="V703" s="751"/>
      <c r="W703" s="751"/>
      <c r="X703" s="533" t="s">
        <v>32</v>
      </c>
      <c r="Y703" s="522"/>
      <c r="Z703" s="522"/>
      <c r="AA703" s="522"/>
      <c r="AB703" s="522"/>
      <c r="AC703" s="522"/>
      <c r="AD703" s="522"/>
      <c r="AE703" s="522"/>
      <c r="AF703" s="522"/>
      <c r="AG703" s="522"/>
      <c r="AH703" s="522"/>
      <c r="AI703" s="523"/>
      <c r="AJ703" s="523"/>
      <c r="AK703" s="523"/>
      <c r="AL703" s="523"/>
      <c r="AM703" s="522"/>
      <c r="AN703" s="522"/>
      <c r="AO703" s="886"/>
      <c r="AP703" s="896"/>
      <c r="AQ703" s="896"/>
      <c r="AR703" s="896"/>
      <c r="AS703" s="538"/>
      <c r="AT703" s="538"/>
      <c r="AU703" s="539"/>
      <c r="AV703" s="539"/>
      <c r="AW703" s="539"/>
      <c r="AX703" s="539"/>
      <c r="BB703" s="537">
        <f t="shared" si="40"/>
        <v>1</v>
      </c>
    </row>
    <row r="704" spans="1:16383" s="537" customFormat="1" ht="15.6" customHeight="1">
      <c r="A704" s="751" t="s">
        <v>24</v>
      </c>
      <c r="B704" s="834">
        <v>701</v>
      </c>
      <c r="C704" s="751" t="s">
        <v>4102</v>
      </c>
      <c r="D704" s="751" t="s">
        <v>1937</v>
      </c>
      <c r="E704" s="887">
        <v>46142</v>
      </c>
      <c r="F704" s="751" t="s">
        <v>181</v>
      </c>
      <c r="G704" s="751">
        <v>10</v>
      </c>
      <c r="H704" s="751" t="s">
        <v>1077</v>
      </c>
      <c r="I704" s="751" t="s">
        <v>1138</v>
      </c>
      <c r="J704" s="521"/>
      <c r="K704" s="521"/>
      <c r="L704" s="751" t="s">
        <v>4103</v>
      </c>
      <c r="M704" s="751"/>
      <c r="N704" s="751"/>
      <c r="O704" s="521" t="s">
        <v>4104</v>
      </c>
      <c r="P704" s="888"/>
      <c r="Q704" s="888"/>
      <c r="R704" s="888"/>
      <c r="S704" s="529"/>
      <c r="T704" s="751"/>
      <c r="U704" s="751"/>
      <c r="V704" s="751"/>
      <c r="W704" s="751"/>
      <c r="X704" s="533" t="s">
        <v>32</v>
      </c>
      <c r="Y704" s="522"/>
      <c r="Z704" s="522"/>
      <c r="AA704" s="522"/>
      <c r="AB704" s="522"/>
      <c r="AC704" s="522"/>
      <c r="AD704" s="522"/>
      <c r="AE704" s="522"/>
      <c r="AF704" s="522"/>
      <c r="AG704" s="522"/>
      <c r="AH704" s="522"/>
      <c r="AI704" s="523"/>
      <c r="AJ704" s="523"/>
      <c r="AK704" s="523"/>
      <c r="AL704" s="523"/>
      <c r="AM704" s="522"/>
      <c r="AN704" s="522"/>
      <c r="AO704" s="886"/>
      <c r="AP704" s="896"/>
      <c r="AQ704" s="896"/>
      <c r="AR704" s="896"/>
      <c r="AS704" s="538"/>
      <c r="AT704" s="538"/>
      <c r="AU704" s="539"/>
      <c r="AV704" s="539"/>
      <c r="AW704" s="539"/>
      <c r="AX704" s="539"/>
      <c r="BB704" s="537">
        <f t="shared" si="40"/>
        <v>1</v>
      </c>
    </row>
    <row r="705" spans="1:54" s="703" customFormat="1" ht="15.6" customHeight="1">
      <c r="A705" s="583" t="s">
        <v>24</v>
      </c>
      <c r="B705" s="834">
        <v>702</v>
      </c>
      <c r="C705" s="583" t="s">
        <v>4150</v>
      </c>
      <c r="D705" s="583" t="s">
        <v>43</v>
      </c>
      <c r="E705" s="592">
        <v>46142</v>
      </c>
      <c r="F705" s="583" t="s">
        <v>4151</v>
      </c>
      <c r="G705" s="583">
        <v>12</v>
      </c>
      <c r="H705" s="583" t="s">
        <v>1721</v>
      </c>
      <c r="I705" s="583" t="s">
        <v>1638</v>
      </c>
      <c r="J705" s="583"/>
      <c r="K705" s="583"/>
      <c r="L705" s="583" t="s">
        <v>4123</v>
      </c>
      <c r="M705" s="583"/>
      <c r="N705" s="583"/>
      <c r="O705" s="215" t="s">
        <v>2050</v>
      </c>
      <c r="P705" s="593"/>
      <c r="Q705" s="593"/>
      <c r="R705" s="593"/>
      <c r="S705" s="583"/>
      <c r="T705" s="583"/>
      <c r="U705" s="583"/>
      <c r="V705" s="583"/>
      <c r="W705" s="583"/>
      <c r="X705" s="533"/>
      <c r="Y705" s="533"/>
      <c r="Z705" s="533"/>
      <c r="AA705" s="533"/>
      <c r="AB705" s="533"/>
      <c r="AC705" s="533"/>
      <c r="AD705" s="533"/>
      <c r="AE705" s="533"/>
      <c r="AF705" s="533"/>
      <c r="AG705" s="533"/>
      <c r="AH705" s="533"/>
      <c r="AI705" s="584"/>
      <c r="AJ705" s="584"/>
      <c r="AK705" s="584"/>
      <c r="AL705" s="584"/>
      <c r="AM705" s="533"/>
      <c r="AN705" s="533"/>
      <c r="AO705" s="533"/>
      <c r="AP705" s="594"/>
      <c r="AQ705" s="594"/>
      <c r="AR705" s="594"/>
      <c r="AS705" s="701"/>
      <c r="AT705" s="701"/>
      <c r="AU705" s="702"/>
      <c r="AV705" s="702"/>
      <c r="AW705" s="702"/>
      <c r="AX705" s="702"/>
    </row>
    <row r="706" spans="1:54" s="72" customFormat="1" ht="15" customHeight="1">
      <c r="A706" s="834" t="s">
        <v>24</v>
      </c>
      <c r="B706" s="834">
        <v>703</v>
      </c>
      <c r="C706" s="834" t="s">
        <v>4152</v>
      </c>
      <c r="D706" s="834" t="s">
        <v>406</v>
      </c>
      <c r="E706" s="852">
        <v>46144</v>
      </c>
      <c r="F706" s="834" t="s">
        <v>1611</v>
      </c>
      <c r="G706" s="834">
        <v>37</v>
      </c>
      <c r="H706" s="834" t="s">
        <v>1077</v>
      </c>
      <c r="I706" s="834" t="s">
        <v>1138</v>
      </c>
      <c r="J706" s="136"/>
      <c r="K706" s="136" t="s">
        <v>3058</v>
      </c>
      <c r="L706" s="136" t="s">
        <v>4036</v>
      </c>
      <c r="M706" s="834"/>
      <c r="N706" s="848"/>
      <c r="O706" s="848" t="s">
        <v>3743</v>
      </c>
      <c r="P706" s="848"/>
      <c r="Q706" s="848"/>
      <c r="R706" s="89"/>
      <c r="S706" s="834"/>
      <c r="T706" s="834"/>
      <c r="U706" s="834"/>
      <c r="V706" s="834"/>
      <c r="W706" s="840"/>
      <c r="X706" s="834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108"/>
      <c r="AJ706" s="108"/>
      <c r="AK706" s="108"/>
      <c r="AL706" s="108"/>
      <c r="AM706" s="80"/>
      <c r="AN706" s="80"/>
      <c r="AO706" s="840"/>
      <c r="AP706" s="851"/>
      <c r="AQ706" s="851"/>
      <c r="AR706" s="851"/>
      <c r="AS706" s="540"/>
      <c r="AT706" s="540"/>
      <c r="AU706" s="541"/>
      <c r="AV706" s="541"/>
      <c r="AW706" s="541"/>
      <c r="AX706" s="541"/>
    </row>
    <row r="707" spans="1:54" s="553" customFormat="1" ht="15.6" customHeight="1">
      <c r="A707" s="751" t="s">
        <v>24</v>
      </c>
      <c r="B707" s="834">
        <v>704</v>
      </c>
      <c r="C707" s="751" t="s">
        <v>4153</v>
      </c>
      <c r="D707" s="751" t="s">
        <v>34</v>
      </c>
      <c r="E707" s="887">
        <v>46144</v>
      </c>
      <c r="F707" s="751" t="s">
        <v>927</v>
      </c>
      <c r="G707" s="751">
        <v>16</v>
      </c>
      <c r="H707" s="751" t="s">
        <v>1721</v>
      </c>
      <c r="I707" s="751" t="s">
        <v>1638</v>
      </c>
      <c r="J707" s="751"/>
      <c r="K707" s="521" t="s">
        <v>3058</v>
      </c>
      <c r="L707" s="521" t="s">
        <v>4154</v>
      </c>
      <c r="M707" s="521"/>
      <c r="N707" s="521"/>
      <c r="O707" s="521" t="s">
        <v>2050</v>
      </c>
      <c r="P707" s="888"/>
      <c r="Q707" s="888"/>
      <c r="R707" s="888"/>
      <c r="S707" s="529"/>
      <c r="T707" s="751"/>
      <c r="U707" s="751"/>
      <c r="V707" s="751"/>
      <c r="W707" s="751"/>
      <c r="X707" s="533" t="s">
        <v>32</v>
      </c>
      <c r="Y707" s="522"/>
      <c r="Z707" s="522"/>
      <c r="AA707" s="522"/>
      <c r="AB707" s="522"/>
      <c r="AC707" s="522"/>
      <c r="AD707" s="522"/>
      <c r="AE707" s="522"/>
      <c r="AF707" s="522"/>
      <c r="AG707" s="522"/>
      <c r="AH707" s="522"/>
      <c r="AI707" s="523"/>
      <c r="AJ707" s="523"/>
      <c r="AK707" s="523"/>
      <c r="AL707" s="523"/>
      <c r="AM707" s="522"/>
      <c r="AN707" s="522"/>
      <c r="AO707" s="886"/>
      <c r="AP707" s="896"/>
      <c r="AQ707" s="896"/>
      <c r="AR707" s="896"/>
      <c r="AS707" s="896"/>
      <c r="AT707" s="896"/>
      <c r="AU707" s="897"/>
      <c r="AV707" s="897"/>
      <c r="AW707" s="897"/>
      <c r="AX707" s="897"/>
      <c r="AY707" s="886"/>
      <c r="AZ707" s="886"/>
      <c r="BA707" s="886"/>
      <c r="BB707" s="886">
        <f>IF(E707&gt;1,1,"")</f>
        <v>1</v>
      </c>
    </row>
    <row r="708" spans="1:54" s="533" customFormat="1" ht="18" customHeight="1">
      <c r="A708" s="583" t="s">
        <v>24</v>
      </c>
      <c r="B708" s="834">
        <v>705</v>
      </c>
      <c r="C708" s="533" t="s">
        <v>4155</v>
      </c>
      <c r="D708" s="583" t="s">
        <v>630</v>
      </c>
      <c r="E708" s="592">
        <v>46144</v>
      </c>
      <c r="F708" s="583" t="s">
        <v>187</v>
      </c>
      <c r="G708" s="583">
        <v>12</v>
      </c>
      <c r="H708" s="583" t="s">
        <v>1077</v>
      </c>
      <c r="I708" s="583" t="s">
        <v>1138</v>
      </c>
      <c r="J708" s="533" t="s">
        <v>4156</v>
      </c>
      <c r="K708" s="583"/>
      <c r="L708" s="583" t="s">
        <v>4157</v>
      </c>
      <c r="M708" s="583"/>
      <c r="N708" s="583"/>
      <c r="O708" s="593" t="s">
        <v>4158</v>
      </c>
      <c r="P708" s="593"/>
      <c r="Q708" s="593"/>
      <c r="R708" s="593"/>
      <c r="S708" s="583"/>
      <c r="T708" s="583"/>
      <c r="U708" s="583"/>
      <c r="V708" s="583"/>
      <c r="W708" s="583"/>
      <c r="X708" s="583"/>
      <c r="AI708" s="584"/>
      <c r="AJ708" s="584"/>
      <c r="AK708" s="584"/>
      <c r="AL708" s="584"/>
      <c r="AP708" s="594"/>
      <c r="AQ708" s="594"/>
      <c r="AR708" s="594"/>
      <c r="AS708" s="594"/>
      <c r="AT708" s="594"/>
      <c r="AU708" s="742"/>
      <c r="AV708" s="742"/>
      <c r="AW708" s="742"/>
      <c r="AX708" s="742"/>
    </row>
    <row r="709" spans="1:54" s="72" customFormat="1" ht="15.6" customHeight="1">
      <c r="A709" s="136" t="s">
        <v>24</v>
      </c>
      <c r="B709" s="834">
        <v>706</v>
      </c>
      <c r="C709" s="834" t="s">
        <v>4095</v>
      </c>
      <c r="D709" s="834" t="s">
        <v>43</v>
      </c>
      <c r="E709" s="852">
        <v>46146</v>
      </c>
      <c r="F709" s="834" t="s">
        <v>1626</v>
      </c>
      <c r="G709" s="834">
        <v>13</v>
      </c>
      <c r="H709" s="834" t="s">
        <v>1077</v>
      </c>
      <c r="I709" s="834" t="s">
        <v>1138</v>
      </c>
      <c r="J709" s="834" t="s">
        <v>4159</v>
      </c>
      <c r="K709" s="136"/>
      <c r="L709" s="834"/>
      <c r="M709" s="834"/>
      <c r="N709" s="834"/>
      <c r="O709" s="848" t="s">
        <v>3743</v>
      </c>
      <c r="P709" s="848"/>
      <c r="Q709" s="848"/>
      <c r="R709" s="848"/>
      <c r="S709" s="89"/>
      <c r="T709" s="834"/>
      <c r="U709" s="834"/>
      <c r="V709" s="834"/>
      <c r="W709" s="834"/>
      <c r="X709" s="834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108"/>
      <c r="AJ709" s="108"/>
      <c r="AK709" s="108"/>
      <c r="AL709" s="108"/>
      <c r="AM709" s="80"/>
      <c r="AN709" s="80"/>
      <c r="AO709" s="840"/>
      <c r="AP709" s="851"/>
      <c r="AQ709" s="851"/>
      <c r="AR709" s="851"/>
      <c r="AS709" s="540"/>
      <c r="AT709" s="540"/>
      <c r="AU709" s="541"/>
      <c r="AV709" s="541"/>
      <c r="AW709" s="541"/>
      <c r="AX709" s="541"/>
      <c r="BB709" s="72">
        <f t="shared" ref="BB709" si="41">IF(E709&gt;1,1,"")</f>
        <v>1</v>
      </c>
    </row>
    <row r="710" spans="1:54" s="72" customFormat="1" ht="15" customHeight="1">
      <c r="A710" s="834" t="s">
        <v>24</v>
      </c>
      <c r="B710" s="834">
        <v>707</v>
      </c>
      <c r="C710" s="834" t="s">
        <v>4160</v>
      </c>
      <c r="D710" s="834" t="s">
        <v>374</v>
      </c>
      <c r="E710" s="852">
        <v>46146</v>
      </c>
      <c r="F710" s="834" t="s">
        <v>4161</v>
      </c>
      <c r="G710" s="834">
        <v>10</v>
      </c>
      <c r="H710" s="834" t="s">
        <v>1076</v>
      </c>
      <c r="I710" s="834" t="s">
        <v>3337</v>
      </c>
      <c r="J710" s="834" t="s">
        <v>4162</v>
      </c>
      <c r="K710" s="136"/>
      <c r="L710" s="834"/>
      <c r="M710" s="834"/>
      <c r="N710" s="834"/>
      <c r="O710" s="848" t="s">
        <v>4163</v>
      </c>
      <c r="P710" s="848"/>
      <c r="Q710" s="848"/>
      <c r="R710" s="848"/>
      <c r="S710" s="89"/>
      <c r="T710" s="834"/>
      <c r="U710" s="834"/>
      <c r="V710" s="834"/>
      <c r="W710" s="834"/>
      <c r="X710" s="834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108"/>
      <c r="AJ710" s="108"/>
      <c r="AK710" s="108"/>
      <c r="AL710" s="108"/>
      <c r="AM710" s="80"/>
      <c r="AN710" s="80"/>
      <c r="AO710" s="840"/>
      <c r="AP710" s="851"/>
      <c r="AQ710" s="851"/>
      <c r="AR710" s="851"/>
      <c r="AS710" s="540"/>
      <c r="AT710" s="540"/>
      <c r="AU710" s="541"/>
      <c r="AV710" s="541"/>
      <c r="AW710" s="541"/>
      <c r="AX710" s="541"/>
      <c r="BB710" s="72">
        <f t="shared" ref="BB710:BB769" si="42">IF(E710&gt;1,1,"")</f>
        <v>1</v>
      </c>
    </row>
    <row r="711" spans="1:54" s="72" customFormat="1" ht="15.6" customHeight="1">
      <c r="A711" s="834" t="s">
        <v>24</v>
      </c>
      <c r="B711" s="834">
        <v>708</v>
      </c>
      <c r="C711" s="834" t="s">
        <v>4164</v>
      </c>
      <c r="D711" s="834" t="s">
        <v>384</v>
      </c>
      <c r="E711" s="852">
        <v>46146</v>
      </c>
      <c r="F711" s="834" t="s">
        <v>4161</v>
      </c>
      <c r="G711" s="834">
        <v>10</v>
      </c>
      <c r="H711" s="834" t="s">
        <v>1076</v>
      </c>
      <c r="I711" s="834" t="s">
        <v>3337</v>
      </c>
      <c r="J711" s="834" t="s">
        <v>4162</v>
      </c>
      <c r="K711" s="136"/>
      <c r="L711" s="834"/>
      <c r="M711" s="834"/>
      <c r="N711" s="834"/>
      <c r="O711" s="848" t="s">
        <v>4163</v>
      </c>
      <c r="P711" s="848"/>
      <c r="Q711" s="848"/>
      <c r="R711" s="848"/>
      <c r="S711" s="89"/>
      <c r="T711" s="834"/>
      <c r="U711" s="834"/>
      <c r="V711" s="834"/>
      <c r="W711" s="834"/>
      <c r="X711" s="834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108"/>
      <c r="AJ711" s="108"/>
      <c r="AK711" s="108"/>
      <c r="AL711" s="108"/>
      <c r="AM711" s="80"/>
      <c r="AN711" s="80"/>
      <c r="AO711" s="840"/>
      <c r="AP711" s="851"/>
      <c r="AQ711" s="851"/>
      <c r="AR711" s="851"/>
      <c r="AS711" s="540"/>
      <c r="AT711" s="540"/>
      <c r="AU711" s="541"/>
      <c r="AV711" s="541"/>
      <c r="AW711" s="541"/>
      <c r="AX711" s="541"/>
      <c r="BB711" s="72">
        <f t="shared" si="42"/>
        <v>1</v>
      </c>
    </row>
    <row r="712" spans="1:54" s="537" customFormat="1" ht="15.6" customHeight="1">
      <c r="A712" s="751" t="s">
        <v>24</v>
      </c>
      <c r="B712" s="834">
        <v>709</v>
      </c>
      <c r="C712" s="751" t="s">
        <v>4144</v>
      </c>
      <c r="D712" s="751" t="s">
        <v>1937</v>
      </c>
      <c r="E712" s="887">
        <v>46147</v>
      </c>
      <c r="F712" s="751" t="s">
        <v>3330</v>
      </c>
      <c r="G712" s="751">
        <v>10</v>
      </c>
      <c r="H712" s="751" t="s">
        <v>1077</v>
      </c>
      <c r="I712" s="751" t="s">
        <v>1138</v>
      </c>
      <c r="J712" s="751" t="s">
        <v>4145</v>
      </c>
      <c r="K712" s="521"/>
      <c r="L712" s="751" t="s">
        <v>4146</v>
      </c>
      <c r="M712" s="751"/>
      <c r="N712" s="751"/>
      <c r="O712" s="521" t="s">
        <v>2083</v>
      </c>
      <c r="P712" s="888"/>
      <c r="Q712" s="888"/>
      <c r="R712" s="888"/>
      <c r="S712" s="529"/>
      <c r="T712" s="751"/>
      <c r="U712" s="751"/>
      <c r="V712" s="751"/>
      <c r="W712" s="751"/>
      <c r="X712" s="533" t="s">
        <v>32</v>
      </c>
      <c r="Y712" s="522"/>
      <c r="Z712" s="522"/>
      <c r="AA712" s="522"/>
      <c r="AB712" s="522"/>
      <c r="AC712" s="522"/>
      <c r="AD712" s="522"/>
      <c r="AE712" s="522"/>
      <c r="AF712" s="522"/>
      <c r="AG712" s="522"/>
      <c r="AH712" s="522"/>
      <c r="AI712" s="523"/>
      <c r="AJ712" s="523"/>
      <c r="AK712" s="523"/>
      <c r="AL712" s="523"/>
      <c r="AM712" s="522"/>
      <c r="AN712" s="522"/>
      <c r="AO712" s="886"/>
      <c r="AP712" s="896"/>
      <c r="AQ712" s="896"/>
      <c r="AR712" s="896"/>
      <c r="AS712" s="538"/>
      <c r="AT712" s="538"/>
      <c r="AU712" s="539"/>
      <c r="AV712" s="539"/>
      <c r="AW712" s="539"/>
      <c r="AX712" s="539"/>
      <c r="BB712" s="537">
        <f>IF(E712&gt;1,1,"")</f>
        <v>1</v>
      </c>
    </row>
    <row r="713" spans="1:54" s="703" customFormat="1" ht="15" customHeight="1">
      <c r="A713" s="583" t="s">
        <v>24</v>
      </c>
      <c r="B713" s="834">
        <v>710</v>
      </c>
      <c r="C713" s="583" t="s">
        <v>4165</v>
      </c>
      <c r="D713" s="583" t="s">
        <v>64</v>
      </c>
      <c r="E713" s="592">
        <v>46147</v>
      </c>
      <c r="F713" s="583" t="s">
        <v>927</v>
      </c>
      <c r="G713" s="583">
        <v>13</v>
      </c>
      <c r="H713" s="583" t="s">
        <v>1077</v>
      </c>
      <c r="I713" s="583" t="s">
        <v>1138</v>
      </c>
      <c r="J713" s="584"/>
      <c r="K713" s="583"/>
      <c r="L713" s="700"/>
      <c r="M713" s="583"/>
      <c r="N713" s="583"/>
      <c r="O713" s="593" t="s">
        <v>3743</v>
      </c>
      <c r="P713" s="593"/>
      <c r="Q713" s="593"/>
      <c r="R713" s="593"/>
      <c r="S713" s="583"/>
      <c r="T713" s="583"/>
      <c r="U713" s="583"/>
      <c r="V713" s="583"/>
      <c r="W713" s="583"/>
      <c r="X713" s="533" t="s">
        <v>32</v>
      </c>
      <c r="Y713" s="533"/>
      <c r="Z713" s="533"/>
      <c r="AA713" s="533"/>
      <c r="AB713" s="533"/>
      <c r="AC713" s="533"/>
      <c r="AD713" s="533"/>
      <c r="AE713" s="533"/>
      <c r="AF713" s="533"/>
      <c r="AG713" s="533"/>
      <c r="AH713" s="533"/>
      <c r="AI713" s="584"/>
      <c r="AJ713" s="584"/>
      <c r="AK713" s="584"/>
      <c r="AL713" s="584"/>
      <c r="AM713" s="533"/>
      <c r="AN713" s="533"/>
      <c r="AO713" s="533"/>
      <c r="AP713" s="594"/>
      <c r="AQ713" s="594"/>
      <c r="AR713" s="594"/>
      <c r="AS713" s="701"/>
      <c r="AT713" s="701"/>
      <c r="AU713" s="702"/>
      <c r="AV713" s="702"/>
      <c r="AW713" s="702"/>
      <c r="AX713" s="702"/>
      <c r="BB713" s="703">
        <f>IF(E713&gt;1,1,"")</f>
        <v>1</v>
      </c>
    </row>
    <row r="714" spans="1:54" s="703" customFormat="1" ht="15.6" customHeight="1">
      <c r="A714" s="583" t="s">
        <v>24</v>
      </c>
      <c r="B714" s="834">
        <v>711</v>
      </c>
      <c r="C714" s="583" t="s">
        <v>4165</v>
      </c>
      <c r="D714" s="583" t="s">
        <v>64</v>
      </c>
      <c r="E714" s="592">
        <v>46148</v>
      </c>
      <c r="F714" s="583" t="s">
        <v>927</v>
      </c>
      <c r="G714" s="583">
        <v>13</v>
      </c>
      <c r="H714" s="583" t="s">
        <v>1077</v>
      </c>
      <c r="I714" s="583" t="s">
        <v>1138</v>
      </c>
      <c r="J714" s="584"/>
      <c r="K714" s="583"/>
      <c r="L714" s="700"/>
      <c r="M714" s="583"/>
      <c r="N714" s="583"/>
      <c r="O714" s="593" t="s">
        <v>3743</v>
      </c>
      <c r="P714" s="593"/>
      <c r="Q714" s="593"/>
      <c r="R714" s="593"/>
      <c r="S714" s="583"/>
      <c r="T714" s="583"/>
      <c r="U714" s="583"/>
      <c r="V714" s="583"/>
      <c r="W714" s="583"/>
      <c r="X714" s="533" t="s">
        <v>32</v>
      </c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84"/>
      <c r="AJ714" s="584"/>
      <c r="AK714" s="584"/>
      <c r="AL714" s="584"/>
      <c r="AM714" s="533"/>
      <c r="AN714" s="533"/>
      <c r="AO714" s="533"/>
      <c r="AP714" s="594"/>
      <c r="AQ714" s="594"/>
      <c r="AR714" s="594"/>
      <c r="AS714" s="701"/>
      <c r="AT714" s="701"/>
      <c r="AU714" s="702"/>
      <c r="AV714" s="702"/>
      <c r="AW714" s="702"/>
      <c r="AX714" s="702"/>
      <c r="BB714" s="703">
        <f t="shared" ref="BB714" si="43">IF(E714&gt;1,1,"")</f>
        <v>1</v>
      </c>
    </row>
    <row r="715" spans="1:54" s="72" customFormat="1" ht="15.6" customHeight="1">
      <c r="A715" s="834" t="s">
        <v>24</v>
      </c>
      <c r="B715" s="834">
        <v>712</v>
      </c>
      <c r="C715" s="834" t="s">
        <v>4166</v>
      </c>
      <c r="D715" s="834" t="s">
        <v>4167</v>
      </c>
      <c r="E715" s="852">
        <v>46148</v>
      </c>
      <c r="F715" s="834" t="s">
        <v>126</v>
      </c>
      <c r="G715" s="834">
        <v>18</v>
      </c>
      <c r="H715" s="834" t="s">
        <v>127</v>
      </c>
      <c r="I715" s="834" t="s">
        <v>28</v>
      </c>
      <c r="J715" s="834"/>
      <c r="K715" s="136"/>
      <c r="L715" s="834"/>
      <c r="M715" s="834"/>
      <c r="N715" s="834"/>
      <c r="O715" s="136" t="s">
        <v>4168</v>
      </c>
      <c r="P715" s="848"/>
      <c r="Q715" s="848"/>
      <c r="R715" s="848"/>
      <c r="S715" s="89"/>
      <c r="T715" s="834"/>
      <c r="U715" s="834"/>
      <c r="V715" s="834"/>
      <c r="W715" s="834"/>
      <c r="X715" s="834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108"/>
      <c r="AJ715" s="108"/>
      <c r="AK715" s="108"/>
      <c r="AL715" s="108"/>
      <c r="AM715" s="80"/>
      <c r="AN715" s="80"/>
      <c r="AO715" s="840"/>
      <c r="AP715" s="851"/>
      <c r="AQ715" s="851"/>
      <c r="AR715" s="851"/>
      <c r="AS715" s="540"/>
      <c r="AT715" s="540"/>
      <c r="AU715" s="541"/>
      <c r="AV715" s="541"/>
      <c r="AW715" s="541"/>
      <c r="AX715" s="541"/>
      <c r="BB715" s="72">
        <f t="shared" si="42"/>
        <v>1</v>
      </c>
    </row>
    <row r="716" spans="1:54" s="72" customFormat="1" ht="15.6" customHeight="1">
      <c r="A716" s="136" t="s">
        <v>24</v>
      </c>
      <c r="B716" s="834">
        <v>713</v>
      </c>
      <c r="C716" s="834" t="s">
        <v>4169</v>
      </c>
      <c r="D716" s="834" t="s">
        <v>1641</v>
      </c>
      <c r="E716" s="852">
        <v>46148</v>
      </c>
      <c r="F716" s="834" t="s">
        <v>2295</v>
      </c>
      <c r="G716" s="834">
        <v>13</v>
      </c>
      <c r="H716" s="834" t="s">
        <v>1077</v>
      </c>
      <c r="I716" s="834" t="s">
        <v>1138</v>
      </c>
      <c r="J716" s="834"/>
      <c r="K716" s="136"/>
      <c r="L716" s="834"/>
      <c r="M716" s="834"/>
      <c r="N716" s="834"/>
      <c r="O716" s="848" t="s">
        <v>4170</v>
      </c>
      <c r="P716" s="848"/>
      <c r="Q716" s="848"/>
      <c r="R716" s="848"/>
      <c r="S716" s="89"/>
      <c r="T716" s="834"/>
      <c r="U716" s="834"/>
      <c r="V716" s="834"/>
      <c r="W716" s="834"/>
      <c r="X716" s="834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108"/>
      <c r="AJ716" s="108"/>
      <c r="AK716" s="108"/>
      <c r="AL716" s="108"/>
      <c r="AM716" s="80"/>
      <c r="AN716" s="80"/>
      <c r="AO716" s="840"/>
      <c r="AP716" s="851"/>
      <c r="AQ716" s="851"/>
      <c r="AR716" s="851"/>
      <c r="AS716" s="540"/>
      <c r="AT716" s="540"/>
      <c r="AU716" s="541"/>
      <c r="AV716" s="541"/>
      <c r="AW716" s="541"/>
      <c r="AX716" s="541"/>
    </row>
    <row r="717" spans="1:54" s="537" customFormat="1" ht="15.6" customHeight="1">
      <c r="A717" s="751" t="s">
        <v>24</v>
      </c>
      <c r="B717" s="834">
        <v>714</v>
      </c>
      <c r="C717" s="751" t="s">
        <v>4144</v>
      </c>
      <c r="D717" s="751" t="s">
        <v>1937</v>
      </c>
      <c r="E717" s="887">
        <v>46149</v>
      </c>
      <c r="F717" s="751" t="s">
        <v>3330</v>
      </c>
      <c r="G717" s="751">
        <v>10</v>
      </c>
      <c r="H717" s="751" t="s">
        <v>1077</v>
      </c>
      <c r="I717" s="751" t="s">
        <v>1138</v>
      </c>
      <c r="J717" s="751" t="s">
        <v>4145</v>
      </c>
      <c r="K717" s="521"/>
      <c r="L717" s="751" t="s">
        <v>4146</v>
      </c>
      <c r="M717" s="751"/>
      <c r="N717" s="751"/>
      <c r="O717" s="521" t="s">
        <v>2083</v>
      </c>
      <c r="P717" s="888"/>
      <c r="Q717" s="888"/>
      <c r="R717" s="888"/>
      <c r="S717" s="529"/>
      <c r="T717" s="751"/>
      <c r="U717" s="751"/>
      <c r="V717" s="751"/>
      <c r="W717" s="751"/>
      <c r="X717" s="533" t="s">
        <v>32</v>
      </c>
      <c r="Y717" s="522"/>
      <c r="Z717" s="522"/>
      <c r="AA717" s="522"/>
      <c r="AB717" s="522"/>
      <c r="AC717" s="522"/>
      <c r="AD717" s="522"/>
      <c r="AE717" s="522"/>
      <c r="AF717" s="522"/>
      <c r="AG717" s="522"/>
      <c r="AH717" s="522"/>
      <c r="AI717" s="523"/>
      <c r="AJ717" s="523"/>
      <c r="AK717" s="523"/>
      <c r="AL717" s="523"/>
      <c r="AM717" s="522"/>
      <c r="AN717" s="522"/>
      <c r="AO717" s="886"/>
      <c r="AP717" s="896"/>
      <c r="AQ717" s="896"/>
      <c r="AR717" s="896"/>
      <c r="AS717" s="538"/>
      <c r="AT717" s="538"/>
      <c r="AU717" s="539"/>
      <c r="AV717" s="539"/>
      <c r="AW717" s="539"/>
      <c r="AX717" s="539"/>
      <c r="BB717" s="537">
        <f t="shared" ref="BB717" si="44">IF(E717&gt;1,1,"")</f>
        <v>1</v>
      </c>
    </row>
    <row r="718" spans="1:54" s="72" customFormat="1">
      <c r="A718" s="751" t="s">
        <v>24</v>
      </c>
      <c r="B718" s="834">
        <v>715</v>
      </c>
      <c r="C718" s="834" t="s">
        <v>4171</v>
      </c>
      <c r="D718" s="834" t="s">
        <v>1641</v>
      </c>
      <c r="E718" s="852">
        <v>46149</v>
      </c>
      <c r="F718" s="834" t="s">
        <v>1642</v>
      </c>
      <c r="G718" s="834">
        <v>15</v>
      </c>
      <c r="H718" s="751" t="s">
        <v>1077</v>
      </c>
      <c r="I718" s="751" t="s">
        <v>1138</v>
      </c>
      <c r="J718" s="834"/>
      <c r="K718" s="136"/>
      <c r="L718" s="834"/>
      <c r="M718" s="834"/>
      <c r="N718" s="834"/>
      <c r="O718" s="848" t="s">
        <v>3743</v>
      </c>
      <c r="P718" s="848"/>
      <c r="Q718" s="848"/>
      <c r="R718" s="848"/>
      <c r="S718" s="89"/>
      <c r="T718" s="834"/>
      <c r="U718" s="834"/>
      <c r="V718" s="834"/>
      <c r="W718" s="834"/>
      <c r="X718" s="834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108"/>
      <c r="AJ718" s="108"/>
      <c r="AK718" s="108"/>
      <c r="AL718" s="108"/>
      <c r="AM718" s="80"/>
      <c r="AN718" s="80"/>
      <c r="AO718" s="840"/>
      <c r="AP718" s="851"/>
      <c r="AQ718" s="851"/>
      <c r="AR718" s="851"/>
      <c r="AS718" s="540"/>
      <c r="AT718" s="540"/>
      <c r="AU718" s="541"/>
      <c r="AV718" s="541"/>
      <c r="AW718" s="541"/>
      <c r="AX718" s="541"/>
    </row>
    <row r="719" spans="1:54" s="72" customFormat="1">
      <c r="A719" s="751" t="s">
        <v>24</v>
      </c>
      <c r="B719" s="834">
        <v>716</v>
      </c>
      <c r="C719" s="834" t="s">
        <v>4172</v>
      </c>
      <c r="D719" s="834" t="s">
        <v>64</v>
      </c>
      <c r="E719" s="852">
        <v>46210</v>
      </c>
      <c r="F719" s="834" t="s">
        <v>439</v>
      </c>
      <c r="G719" s="834">
        <v>36</v>
      </c>
      <c r="H719" s="751" t="s">
        <v>3056</v>
      </c>
      <c r="I719" s="751" t="s">
        <v>47</v>
      </c>
      <c r="J719" s="834"/>
      <c r="K719" s="136"/>
      <c r="L719" s="834"/>
      <c r="M719" s="834"/>
      <c r="N719" s="834"/>
      <c r="O719" s="848" t="s">
        <v>3743</v>
      </c>
      <c r="P719" s="848"/>
      <c r="Q719" s="848"/>
      <c r="R719" s="848"/>
      <c r="S719" s="89"/>
      <c r="T719" s="834"/>
      <c r="U719" s="834"/>
      <c r="V719" s="834"/>
      <c r="W719" s="834"/>
      <c r="X719" s="834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108"/>
      <c r="AJ719" s="108"/>
      <c r="AK719" s="108"/>
      <c r="AL719" s="108"/>
      <c r="AM719" s="80"/>
      <c r="AN719" s="80"/>
      <c r="AO719" s="840"/>
      <c r="AP719" s="851"/>
      <c r="AQ719" s="851"/>
      <c r="AR719" s="851"/>
      <c r="AS719" s="540"/>
      <c r="AT719" s="540"/>
      <c r="AU719" s="541"/>
      <c r="AV719" s="541"/>
      <c r="AW719" s="541"/>
      <c r="AX719" s="541"/>
    </row>
    <row r="720" spans="1:54" s="537" customFormat="1">
      <c r="A720" s="751" t="s">
        <v>24</v>
      </c>
      <c r="B720" s="834">
        <v>717</v>
      </c>
      <c r="C720" s="751" t="s">
        <v>4173</v>
      </c>
      <c r="D720" s="751" t="s">
        <v>606</v>
      </c>
      <c r="E720" s="887">
        <v>46151</v>
      </c>
      <c r="F720" s="751" t="s">
        <v>4174</v>
      </c>
      <c r="G720" s="751">
        <v>13</v>
      </c>
      <c r="H720" s="751" t="s">
        <v>1076</v>
      </c>
      <c r="I720" s="751" t="s">
        <v>3337</v>
      </c>
      <c r="J720" s="751"/>
      <c r="K720" s="521"/>
      <c r="L720" s="751"/>
      <c r="M720" s="751"/>
      <c r="N720" s="751"/>
      <c r="O720" s="888"/>
      <c r="P720" s="888"/>
      <c r="Q720" s="888"/>
      <c r="R720" s="888"/>
      <c r="S720" s="529"/>
      <c r="T720" s="751"/>
      <c r="U720" s="751"/>
      <c r="V720" s="751"/>
      <c r="W720" s="751"/>
      <c r="X720" s="751"/>
      <c r="Y720" s="522"/>
      <c r="Z720" s="522"/>
      <c r="AA720" s="522"/>
      <c r="AB720" s="522"/>
      <c r="AC720" s="522"/>
      <c r="AD720" s="522"/>
      <c r="AE720" s="522"/>
      <c r="AF720" s="522"/>
      <c r="AG720" s="522"/>
      <c r="AH720" s="522"/>
      <c r="AI720" s="523"/>
      <c r="AJ720" s="523"/>
      <c r="AK720" s="523"/>
      <c r="AL720" s="523"/>
      <c r="AM720" s="522"/>
      <c r="AN720" s="522"/>
      <c r="AO720" s="886"/>
      <c r="AP720" s="896"/>
      <c r="AQ720" s="896"/>
      <c r="AR720" s="896"/>
      <c r="AS720" s="538"/>
      <c r="AT720" s="538"/>
      <c r="AU720" s="539"/>
      <c r="AV720" s="539"/>
      <c r="AW720" s="539"/>
      <c r="AX720" s="539"/>
    </row>
    <row r="721" spans="1:54" s="537" customFormat="1">
      <c r="A721" s="751" t="s">
        <v>24</v>
      </c>
      <c r="B721" s="834">
        <v>718</v>
      </c>
      <c r="C721" s="751" t="s">
        <v>4175</v>
      </c>
      <c r="D721" s="751" t="s">
        <v>102</v>
      </c>
      <c r="E721" s="887">
        <v>46151</v>
      </c>
      <c r="F721" s="751" t="s">
        <v>4174</v>
      </c>
      <c r="G721" s="751">
        <v>13</v>
      </c>
      <c r="H721" s="751" t="s">
        <v>1076</v>
      </c>
      <c r="I721" s="751" t="s">
        <v>3337</v>
      </c>
      <c r="J721" s="751"/>
      <c r="K721" s="521"/>
      <c r="L721" s="751"/>
      <c r="M721" s="751"/>
      <c r="N721" s="751"/>
      <c r="O721" s="888"/>
      <c r="P721" s="888"/>
      <c r="Q721" s="888"/>
      <c r="R721" s="888"/>
      <c r="S721" s="529"/>
      <c r="T721" s="751"/>
      <c r="U721" s="751"/>
      <c r="V721" s="751"/>
      <c r="W721" s="751"/>
      <c r="X721" s="751"/>
      <c r="Y721" s="522"/>
      <c r="Z721" s="522"/>
      <c r="AA721" s="522"/>
      <c r="AB721" s="522"/>
      <c r="AC721" s="522"/>
      <c r="AD721" s="522"/>
      <c r="AE721" s="522"/>
      <c r="AF721" s="522"/>
      <c r="AG721" s="522"/>
      <c r="AH721" s="522"/>
      <c r="AI721" s="523"/>
      <c r="AJ721" s="523"/>
      <c r="AK721" s="523"/>
      <c r="AL721" s="523"/>
      <c r="AM721" s="522"/>
      <c r="AN721" s="522"/>
      <c r="AO721" s="886"/>
      <c r="AP721" s="896"/>
      <c r="AQ721" s="896"/>
      <c r="AR721" s="896"/>
      <c r="AS721" s="538"/>
      <c r="AT721" s="538"/>
      <c r="AU721" s="539"/>
      <c r="AV721" s="539"/>
      <c r="AW721" s="539"/>
      <c r="AX721" s="539"/>
    </row>
    <row r="722" spans="1:54" s="72" customFormat="1" ht="16.5" customHeight="1">
      <c r="A722" s="834" t="s">
        <v>24</v>
      </c>
      <c r="B722" s="834">
        <v>719</v>
      </c>
      <c r="C722" s="751" t="s">
        <v>4034</v>
      </c>
      <c r="D722" s="834" t="s">
        <v>50</v>
      </c>
      <c r="E722" s="852">
        <v>46150</v>
      </c>
      <c r="F722" s="834" t="s">
        <v>4176</v>
      </c>
      <c r="G722" s="834">
        <v>12</v>
      </c>
      <c r="H722" s="834" t="s">
        <v>3056</v>
      </c>
      <c r="I722" s="834" t="s">
        <v>47</v>
      </c>
      <c r="J722" s="136"/>
      <c r="K722" s="136"/>
      <c r="L722" s="136" t="s">
        <v>4177</v>
      </c>
      <c r="M722" s="136"/>
      <c r="N722" s="136"/>
      <c r="O722" s="136" t="s">
        <v>4178</v>
      </c>
      <c r="P722" s="848"/>
      <c r="Q722" s="848"/>
      <c r="R722" s="848"/>
      <c r="S722" s="89"/>
      <c r="T722" s="834"/>
      <c r="U722" s="834"/>
      <c r="V722" s="834"/>
      <c r="W722" s="834"/>
      <c r="X722" s="834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108"/>
      <c r="AJ722" s="108"/>
      <c r="AK722" s="108"/>
      <c r="AL722" s="108"/>
      <c r="AM722" s="80"/>
      <c r="AN722" s="80"/>
      <c r="AO722" s="840"/>
      <c r="AP722" s="851"/>
      <c r="AQ722" s="851"/>
      <c r="AR722" s="851"/>
      <c r="AS722" s="540"/>
      <c r="AT722" s="540"/>
      <c r="AU722" s="541"/>
      <c r="AV722" s="541"/>
      <c r="AW722" s="541"/>
      <c r="AX722" s="541"/>
      <c r="BB722" s="72">
        <f t="shared" ref="BB722" si="45">IF(E722&gt;1,1,"")</f>
        <v>1</v>
      </c>
    </row>
    <row r="723" spans="1:54" s="72" customFormat="1">
      <c r="A723" s="751" t="s">
        <v>24</v>
      </c>
      <c r="B723" s="834">
        <v>720</v>
      </c>
      <c r="C723" s="834" t="s">
        <v>4179</v>
      </c>
      <c r="D723" s="834" t="s">
        <v>606</v>
      </c>
      <c r="E723" s="852">
        <v>46150</v>
      </c>
      <c r="F723" s="834" t="s">
        <v>1342</v>
      </c>
      <c r="G723" s="834">
        <v>15</v>
      </c>
      <c r="H723" s="751" t="s">
        <v>1077</v>
      </c>
      <c r="I723" s="751" t="s">
        <v>1138</v>
      </c>
      <c r="J723" s="699" t="s">
        <v>4180</v>
      </c>
      <c r="K723" s="136"/>
      <c r="L723" s="834"/>
      <c r="M723" s="834"/>
      <c r="N723" s="834"/>
      <c r="O723" s="848" t="s">
        <v>4170</v>
      </c>
      <c r="P723" s="848"/>
      <c r="Q723" s="848"/>
      <c r="R723" s="848"/>
      <c r="S723" s="89"/>
      <c r="T723" s="834"/>
      <c r="U723" s="834"/>
      <c r="V723" s="834"/>
      <c r="W723" s="834"/>
      <c r="X723" s="834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108"/>
      <c r="AJ723" s="108"/>
      <c r="AK723" s="108"/>
      <c r="AL723" s="108"/>
      <c r="AM723" s="80"/>
      <c r="AN723" s="80"/>
      <c r="AO723" s="840"/>
      <c r="AP723" s="851"/>
      <c r="AQ723" s="851"/>
      <c r="AR723" s="851"/>
      <c r="AS723" s="540"/>
      <c r="AT723" s="540"/>
      <c r="AU723" s="541"/>
      <c r="AV723" s="541"/>
      <c r="AW723" s="541"/>
      <c r="AX723" s="541"/>
    </row>
    <row r="724" spans="1:54" s="537" customFormat="1" ht="16.5" customHeight="1">
      <c r="A724" s="751" t="s">
        <v>24</v>
      </c>
      <c r="B724" s="834">
        <v>721</v>
      </c>
      <c r="C724" s="751" t="s">
        <v>4181</v>
      </c>
      <c r="D724" s="751" t="s">
        <v>4182</v>
      </c>
      <c r="E724" s="887">
        <v>46151</v>
      </c>
      <c r="F724" s="751" t="s">
        <v>1342</v>
      </c>
      <c r="G724" s="751">
        <v>12</v>
      </c>
      <c r="H724" s="751" t="s">
        <v>1721</v>
      </c>
      <c r="I724" s="751" t="s">
        <v>1638</v>
      </c>
      <c r="J724" s="521"/>
      <c r="K724" s="521"/>
      <c r="L724" s="521"/>
      <c r="M724" s="521"/>
      <c r="N724" s="521"/>
      <c r="O724" s="521" t="s">
        <v>4183</v>
      </c>
      <c r="P724" s="888"/>
      <c r="Q724" s="888"/>
      <c r="R724" s="888"/>
      <c r="S724" s="529"/>
      <c r="T724" s="751"/>
      <c r="U724" s="751"/>
      <c r="V724" s="751"/>
      <c r="W724" s="751"/>
      <c r="X724" s="751"/>
      <c r="Y724" s="522"/>
      <c r="Z724" s="522"/>
      <c r="AA724" s="522"/>
      <c r="AB724" s="522"/>
      <c r="AC724" s="522"/>
      <c r="AD724" s="522"/>
      <c r="AE724" s="522"/>
      <c r="AF724" s="522"/>
      <c r="AG724" s="522"/>
      <c r="AH724" s="522"/>
      <c r="AI724" s="523"/>
      <c r="AJ724" s="523"/>
      <c r="AK724" s="523"/>
      <c r="AL724" s="523"/>
      <c r="AM724" s="522"/>
      <c r="AN724" s="522"/>
      <c r="AO724" s="886"/>
      <c r="AP724" s="896"/>
      <c r="AQ724" s="896"/>
      <c r="AR724" s="896"/>
      <c r="AS724" s="538"/>
      <c r="AT724" s="538"/>
      <c r="AU724" s="539"/>
      <c r="AV724" s="539"/>
      <c r="AW724" s="539"/>
      <c r="AX724" s="539"/>
    </row>
    <row r="725" spans="1:54" s="72" customFormat="1" ht="15.6" customHeight="1">
      <c r="A725" s="834" t="s">
        <v>24</v>
      </c>
      <c r="B725" s="834">
        <v>722</v>
      </c>
      <c r="C725" s="834" t="s">
        <v>4184</v>
      </c>
      <c r="D725" s="834" t="s">
        <v>34</v>
      </c>
      <c r="E725" s="852">
        <v>46151</v>
      </c>
      <c r="F725" s="834" t="s">
        <v>4138</v>
      </c>
      <c r="G725" s="834">
        <v>24</v>
      </c>
      <c r="H725" s="834" t="s">
        <v>1077</v>
      </c>
      <c r="I725" s="834" t="s">
        <v>1138</v>
      </c>
      <c r="J725" s="834"/>
      <c r="K725" s="136" t="s">
        <v>3063</v>
      </c>
      <c r="L725" s="834" t="s">
        <v>2319</v>
      </c>
      <c r="M725" s="834"/>
      <c r="N725" s="834"/>
      <c r="O725" s="98" t="s">
        <v>4135</v>
      </c>
      <c r="P725" s="848"/>
      <c r="Q725" s="848"/>
      <c r="R725" s="848"/>
      <c r="S725" s="89"/>
      <c r="T725" s="834"/>
      <c r="U725" s="834"/>
      <c r="V725" s="834"/>
      <c r="W725" s="834"/>
      <c r="X725" s="834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108"/>
      <c r="AJ725" s="108"/>
      <c r="AK725" s="108"/>
      <c r="AL725" s="108"/>
      <c r="AM725" s="80"/>
      <c r="AN725" s="80"/>
      <c r="AO725" s="840"/>
      <c r="AP725" s="851"/>
      <c r="AQ725" s="851"/>
      <c r="AR725" s="851"/>
      <c r="AS725" s="540"/>
      <c r="AT725" s="540"/>
      <c r="AU725" s="541"/>
      <c r="AV725" s="541"/>
      <c r="AW725" s="541"/>
      <c r="AX725" s="541"/>
      <c r="BB725" s="72">
        <f t="shared" si="42"/>
        <v>1</v>
      </c>
    </row>
    <row r="726" spans="1:54" s="72" customFormat="1" ht="15.6" customHeight="1">
      <c r="A726" s="834" t="s">
        <v>24</v>
      </c>
      <c r="B726" s="834">
        <v>723</v>
      </c>
      <c r="C726" s="834" t="s">
        <v>4185</v>
      </c>
      <c r="D726" s="834" t="s">
        <v>83</v>
      </c>
      <c r="E726" s="852">
        <v>46151</v>
      </c>
      <c r="F726" s="834" t="s">
        <v>718</v>
      </c>
      <c r="G726" s="834">
        <v>17</v>
      </c>
      <c r="H726" s="834" t="s">
        <v>1076</v>
      </c>
      <c r="I726" s="834" t="s">
        <v>3337</v>
      </c>
      <c r="J726" s="98" t="s">
        <v>4186</v>
      </c>
      <c r="K726" s="136"/>
      <c r="L726" s="98" t="s">
        <v>4187</v>
      </c>
      <c r="M726" s="834"/>
      <c r="N726" s="834"/>
      <c r="O726" s="848" t="s">
        <v>4170</v>
      </c>
      <c r="P726" s="848"/>
      <c r="Q726" s="848"/>
      <c r="R726" s="848"/>
      <c r="S726" s="89"/>
      <c r="T726" s="834"/>
      <c r="U726" s="834"/>
      <c r="V726" s="834"/>
      <c r="W726" s="834"/>
      <c r="X726" s="834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108"/>
      <c r="AJ726" s="108"/>
      <c r="AK726" s="108"/>
      <c r="AL726" s="108"/>
      <c r="AM726" s="80"/>
      <c r="AN726" s="80"/>
      <c r="AO726" s="840"/>
      <c r="AP726" s="851"/>
      <c r="AQ726" s="851"/>
      <c r="AR726" s="851"/>
      <c r="AS726" s="540"/>
      <c r="AT726" s="540"/>
      <c r="AU726" s="541"/>
      <c r="AV726" s="541"/>
      <c r="AW726" s="541"/>
      <c r="AX726" s="541"/>
      <c r="BB726" s="72">
        <f t="shared" si="42"/>
        <v>1</v>
      </c>
    </row>
    <row r="727" spans="1:54" s="729" customFormat="1" ht="15.6" customHeight="1">
      <c r="A727" s="215" t="s">
        <v>24</v>
      </c>
      <c r="B727" s="834">
        <v>724</v>
      </c>
      <c r="C727" s="215" t="s">
        <v>3663</v>
      </c>
      <c r="D727" s="215" t="s">
        <v>4188</v>
      </c>
      <c r="E727" s="619">
        <v>46151</v>
      </c>
      <c r="F727" s="215" t="s">
        <v>110</v>
      </c>
      <c r="G727" s="215">
        <v>10</v>
      </c>
      <c r="H727" s="215" t="s">
        <v>1721</v>
      </c>
      <c r="I727" s="215" t="s">
        <v>1638</v>
      </c>
      <c r="J727" s="215" t="s">
        <v>4189</v>
      </c>
      <c r="K727" s="215"/>
      <c r="L727" s="215"/>
      <c r="M727" s="215"/>
      <c r="N727" s="215"/>
      <c r="O727" s="103"/>
      <c r="P727" s="103"/>
      <c r="Q727" s="103"/>
      <c r="R727" s="103"/>
      <c r="S727" s="215"/>
      <c r="T727" s="215"/>
      <c r="U727" s="215"/>
      <c r="V727" s="215"/>
      <c r="W727" s="215"/>
      <c r="X727" s="215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110"/>
      <c r="AJ727" s="110"/>
      <c r="AK727" s="110"/>
      <c r="AL727" s="110"/>
      <c r="AM727" s="91"/>
      <c r="AN727" s="91"/>
      <c r="AO727" s="91"/>
      <c r="AP727" s="726"/>
      <c r="AQ727" s="726"/>
      <c r="AR727" s="726"/>
      <c r="AS727" s="727"/>
      <c r="AT727" s="727"/>
      <c r="AU727" s="728"/>
      <c r="AV727" s="728"/>
      <c r="AW727" s="728"/>
      <c r="AX727" s="728"/>
    </row>
    <row r="728" spans="1:54" s="72" customFormat="1" ht="15.6" customHeight="1">
      <c r="A728" s="136" t="s">
        <v>24</v>
      </c>
      <c r="B728" s="834">
        <v>725</v>
      </c>
      <c r="C728" s="834" t="s">
        <v>4190</v>
      </c>
      <c r="D728" s="834" t="s">
        <v>606</v>
      </c>
      <c r="E728" s="852">
        <v>46151</v>
      </c>
      <c r="F728" s="834" t="s">
        <v>1342</v>
      </c>
      <c r="G728" s="834">
        <v>12</v>
      </c>
      <c r="H728" s="834" t="s">
        <v>1077</v>
      </c>
      <c r="I728" s="834" t="s">
        <v>1138</v>
      </c>
      <c r="J728" s="98"/>
      <c r="K728" s="136"/>
      <c r="L728" s="98"/>
      <c r="M728" s="834"/>
      <c r="N728" s="834"/>
      <c r="O728" s="848" t="s">
        <v>3743</v>
      </c>
      <c r="P728" s="848"/>
      <c r="Q728" s="848"/>
      <c r="R728" s="848"/>
      <c r="S728" s="89"/>
      <c r="T728" s="834"/>
      <c r="U728" s="834"/>
      <c r="V728" s="834"/>
      <c r="W728" s="834"/>
      <c r="X728" s="834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108"/>
      <c r="AJ728" s="108"/>
      <c r="AK728" s="108"/>
      <c r="AL728" s="108"/>
      <c r="AM728" s="80"/>
      <c r="AN728" s="80"/>
      <c r="AO728" s="840"/>
      <c r="AP728" s="851"/>
      <c r="AQ728" s="851"/>
      <c r="AR728" s="851"/>
      <c r="AS728" s="540"/>
      <c r="AT728" s="540"/>
      <c r="AU728" s="541"/>
      <c r="AV728" s="541"/>
      <c r="AW728" s="541"/>
      <c r="AX728" s="541"/>
      <c r="BB728" s="72">
        <f t="shared" si="42"/>
        <v>1</v>
      </c>
    </row>
    <row r="729" spans="1:54" s="537" customFormat="1" ht="15.6" customHeight="1">
      <c r="A729" s="521" t="s">
        <v>24</v>
      </c>
      <c r="B729" s="834">
        <v>726</v>
      </c>
      <c r="C729" s="751" t="s">
        <v>4191</v>
      </c>
      <c r="D729" s="751" t="s">
        <v>99</v>
      </c>
      <c r="E729" s="887">
        <v>46151</v>
      </c>
      <c r="F729" s="751" t="s">
        <v>646</v>
      </c>
      <c r="G729" s="751">
        <v>8</v>
      </c>
      <c r="H729" s="751" t="s">
        <v>1077</v>
      </c>
      <c r="I729" s="751" t="s">
        <v>1138</v>
      </c>
      <c r="J729" s="730" t="s">
        <v>4192</v>
      </c>
      <c r="K729" s="521"/>
      <c r="L729" s="558"/>
      <c r="M729" s="751"/>
      <c r="N729" s="751"/>
      <c r="O729" s="888" t="s">
        <v>3743</v>
      </c>
      <c r="P729" s="888"/>
      <c r="Q729" s="888"/>
      <c r="R729" s="888"/>
      <c r="S729" s="529"/>
      <c r="T729" s="751"/>
      <c r="U729" s="751"/>
      <c r="V729" s="751"/>
      <c r="W729" s="751"/>
      <c r="X729" s="751"/>
      <c r="Y729" s="522"/>
      <c r="Z729" s="522"/>
      <c r="AA729" s="522"/>
      <c r="AB729" s="522"/>
      <c r="AC729" s="522"/>
      <c r="AD729" s="522"/>
      <c r="AE729" s="522"/>
      <c r="AF729" s="522"/>
      <c r="AG729" s="522"/>
      <c r="AH729" s="522"/>
      <c r="AI729" s="523"/>
      <c r="AJ729" s="523"/>
      <c r="AK729" s="523"/>
      <c r="AL729" s="523"/>
      <c r="AM729" s="522"/>
      <c r="AN729" s="522"/>
      <c r="AO729" s="886"/>
      <c r="AP729" s="896"/>
      <c r="AQ729" s="896"/>
      <c r="AR729" s="896"/>
      <c r="AS729" s="538"/>
      <c r="AT729" s="538"/>
      <c r="AU729" s="539"/>
      <c r="AV729" s="539"/>
      <c r="AW729" s="539"/>
      <c r="AX729" s="539"/>
    </row>
    <row r="730" spans="1:54" s="72" customFormat="1">
      <c r="A730" s="751" t="s">
        <v>24</v>
      </c>
      <c r="B730" s="834">
        <v>727</v>
      </c>
      <c r="C730" s="834" t="s">
        <v>4193</v>
      </c>
      <c r="D730" s="834" t="s">
        <v>43</v>
      </c>
      <c r="E730" s="852">
        <v>46151</v>
      </c>
      <c r="F730" s="834" t="s">
        <v>646</v>
      </c>
      <c r="G730" s="834">
        <v>11</v>
      </c>
      <c r="H730" s="751" t="s">
        <v>1077</v>
      </c>
      <c r="I730" s="751" t="s">
        <v>1138</v>
      </c>
      <c r="J730" s="834" t="s">
        <v>4194</v>
      </c>
      <c r="K730" s="136"/>
      <c r="L730" s="834"/>
      <c r="M730" s="834"/>
      <c r="N730" s="834"/>
      <c r="O730" s="848" t="s">
        <v>3743</v>
      </c>
      <c r="P730" s="848"/>
      <c r="Q730" s="848"/>
      <c r="R730" s="848"/>
      <c r="S730" s="89"/>
      <c r="T730" s="834"/>
      <c r="U730" s="834"/>
      <c r="V730" s="834"/>
      <c r="W730" s="834"/>
      <c r="X730" s="834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108"/>
      <c r="AJ730" s="108"/>
      <c r="AK730" s="108"/>
      <c r="AL730" s="108"/>
      <c r="AM730" s="80"/>
      <c r="AN730" s="80"/>
      <c r="AO730" s="840"/>
      <c r="AP730" s="851"/>
      <c r="AQ730" s="851"/>
      <c r="AR730" s="851"/>
      <c r="AS730" s="540"/>
      <c r="AT730" s="540"/>
      <c r="AU730" s="541"/>
      <c r="AV730" s="541"/>
      <c r="AW730" s="541"/>
      <c r="AX730" s="541"/>
    </row>
    <row r="731" spans="1:54" s="72" customFormat="1">
      <c r="A731" s="751" t="s">
        <v>24</v>
      </c>
      <c r="B731" s="834">
        <v>728</v>
      </c>
      <c r="C731" s="834" t="s">
        <v>4195</v>
      </c>
      <c r="D731" s="834" t="s">
        <v>43</v>
      </c>
      <c r="E731" s="852">
        <v>46151</v>
      </c>
      <c r="F731" s="834" t="s">
        <v>3867</v>
      </c>
      <c r="G731" s="834">
        <v>15</v>
      </c>
      <c r="H731" s="751" t="s">
        <v>1077</v>
      </c>
      <c r="I731" s="751" t="s">
        <v>1138</v>
      </c>
      <c r="J731" s="834" t="s">
        <v>4194</v>
      </c>
      <c r="K731" s="136"/>
      <c r="L731" s="834"/>
      <c r="M731" s="834"/>
      <c r="N731" s="834"/>
      <c r="O731" s="848" t="s">
        <v>3743</v>
      </c>
      <c r="P731" s="848"/>
      <c r="Q731" s="848"/>
      <c r="R731" s="848"/>
      <c r="S731" s="89"/>
      <c r="T731" s="834"/>
      <c r="U731" s="834"/>
      <c r="V731" s="834"/>
      <c r="W731" s="834"/>
      <c r="X731" s="834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108"/>
      <c r="AJ731" s="108"/>
      <c r="AK731" s="108"/>
      <c r="AL731" s="108"/>
      <c r="AM731" s="80"/>
      <c r="AN731" s="80"/>
      <c r="AO731" s="840"/>
      <c r="AP731" s="851"/>
      <c r="AQ731" s="851"/>
      <c r="AR731" s="851"/>
      <c r="AS731" s="540"/>
      <c r="AT731" s="540"/>
      <c r="AU731" s="541"/>
      <c r="AV731" s="541"/>
      <c r="AW731" s="541"/>
      <c r="AX731" s="541"/>
    </row>
    <row r="732" spans="1:54" s="72" customFormat="1">
      <c r="A732" s="751" t="s">
        <v>24</v>
      </c>
      <c r="B732" s="834">
        <v>729</v>
      </c>
      <c r="C732" s="834" t="s">
        <v>4196</v>
      </c>
      <c r="D732" s="834" t="s">
        <v>43</v>
      </c>
      <c r="E732" s="852">
        <v>46151</v>
      </c>
      <c r="F732" s="834" t="s">
        <v>398</v>
      </c>
      <c r="G732" s="834">
        <v>11</v>
      </c>
      <c r="H732" s="834" t="s">
        <v>1721</v>
      </c>
      <c r="I732" s="834" t="s">
        <v>1638</v>
      </c>
      <c r="J732" s="834"/>
      <c r="K732" s="136"/>
      <c r="L732" s="834"/>
      <c r="M732" s="834"/>
      <c r="N732" s="834"/>
      <c r="O732" s="848" t="s">
        <v>4197</v>
      </c>
      <c r="P732" s="848"/>
      <c r="Q732" s="848"/>
      <c r="R732" s="848"/>
      <c r="S732" s="89"/>
      <c r="T732" s="834"/>
      <c r="U732" s="834"/>
      <c r="V732" s="834"/>
      <c r="W732" s="834"/>
      <c r="X732" s="834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108"/>
      <c r="AJ732" s="108"/>
      <c r="AK732" s="108"/>
      <c r="AL732" s="108"/>
      <c r="AM732" s="80"/>
      <c r="AN732" s="80"/>
      <c r="AO732" s="840"/>
      <c r="AP732" s="851"/>
      <c r="AQ732" s="851"/>
      <c r="AR732" s="851"/>
      <c r="AS732" s="540"/>
      <c r="AT732" s="540"/>
      <c r="AU732" s="541"/>
      <c r="AV732" s="541"/>
      <c r="AW732" s="541"/>
      <c r="AX732" s="541"/>
    </row>
    <row r="733" spans="1:54" s="72" customFormat="1">
      <c r="A733" s="751" t="s">
        <v>24</v>
      </c>
      <c r="B733" s="834">
        <v>730</v>
      </c>
      <c r="C733" s="834" t="s">
        <v>4198</v>
      </c>
      <c r="D733" s="834" t="s">
        <v>34</v>
      </c>
      <c r="E733" s="852">
        <v>46151</v>
      </c>
      <c r="F733" s="834" t="s">
        <v>4199</v>
      </c>
      <c r="G733" s="834">
        <v>11</v>
      </c>
      <c r="H733" s="834" t="s">
        <v>3056</v>
      </c>
      <c r="I733" s="834" t="s">
        <v>47</v>
      </c>
      <c r="J733" s="834"/>
      <c r="K733" s="136"/>
      <c r="L733" s="834"/>
      <c r="M733" s="834"/>
      <c r="N733" s="834"/>
      <c r="O733" s="848" t="s">
        <v>2083</v>
      </c>
      <c r="P733" s="848"/>
      <c r="Q733" s="848"/>
      <c r="R733" s="848"/>
      <c r="S733" s="89"/>
      <c r="T733" s="834"/>
      <c r="U733" s="834"/>
      <c r="V733" s="834"/>
      <c r="W733" s="834"/>
      <c r="X733" s="834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108"/>
      <c r="AJ733" s="108"/>
      <c r="AK733" s="108"/>
      <c r="AL733" s="108"/>
      <c r="AM733" s="80"/>
      <c r="AN733" s="80"/>
      <c r="AO733" s="840"/>
      <c r="AP733" s="851"/>
      <c r="AQ733" s="851"/>
      <c r="AR733" s="851"/>
      <c r="AS733" s="540"/>
      <c r="AT733" s="540"/>
      <c r="AU733" s="541"/>
      <c r="AV733" s="541"/>
      <c r="AW733" s="541"/>
      <c r="AX733" s="541"/>
    </row>
    <row r="734" spans="1:54" s="537" customFormat="1" ht="15.6" customHeight="1">
      <c r="A734" s="751" t="s">
        <v>24</v>
      </c>
      <c r="B734" s="834">
        <v>731</v>
      </c>
      <c r="C734" s="751" t="s">
        <v>4200</v>
      </c>
      <c r="D734" s="751" t="s">
        <v>882</v>
      </c>
      <c r="E734" s="887">
        <v>46153</v>
      </c>
      <c r="F734" s="751" t="s">
        <v>202</v>
      </c>
      <c r="G734" s="751">
        <v>25</v>
      </c>
      <c r="H734" s="751" t="s">
        <v>3056</v>
      </c>
      <c r="I734" s="751" t="s">
        <v>47</v>
      </c>
      <c r="J734" s="751"/>
      <c r="K734" s="521"/>
      <c r="L734" s="751"/>
      <c r="M734" s="751"/>
      <c r="N734" s="751"/>
      <c r="O734" s="888" t="s">
        <v>2579</v>
      </c>
      <c r="P734" s="888"/>
      <c r="Q734" s="888"/>
      <c r="R734" s="888"/>
      <c r="S734" s="529"/>
      <c r="T734" s="751"/>
      <c r="U734" s="751"/>
      <c r="V734" s="751"/>
      <c r="W734" s="751"/>
      <c r="X734" s="751"/>
      <c r="Y734" s="522"/>
      <c r="Z734" s="522"/>
      <c r="AA734" s="522"/>
      <c r="AB734" s="522"/>
      <c r="AC734" s="522"/>
      <c r="AD734" s="522"/>
      <c r="AE734" s="522"/>
      <c r="AF734" s="522"/>
      <c r="AG734" s="522"/>
      <c r="AH734" s="522"/>
      <c r="AI734" s="523"/>
      <c r="AJ734" s="523"/>
      <c r="AK734" s="523"/>
      <c r="AL734" s="523"/>
      <c r="AM734" s="522"/>
      <c r="AN734" s="522"/>
      <c r="AO734" s="886"/>
      <c r="AP734" s="896"/>
      <c r="AQ734" s="896"/>
      <c r="AR734" s="896"/>
      <c r="AS734" s="538"/>
      <c r="AT734" s="538"/>
      <c r="AU734" s="539"/>
      <c r="AV734" s="539"/>
      <c r="AW734" s="539"/>
      <c r="AX734" s="539"/>
      <c r="BB734" s="537">
        <f t="shared" si="42"/>
        <v>1</v>
      </c>
    </row>
    <row r="735" spans="1:54" s="72" customFormat="1" ht="15.6" customHeight="1">
      <c r="A735" s="136" t="s">
        <v>24</v>
      </c>
      <c r="B735" s="834">
        <v>732</v>
      </c>
      <c r="C735" s="834" t="s">
        <v>4201</v>
      </c>
      <c r="D735" s="834" t="s">
        <v>43</v>
      </c>
      <c r="E735" s="852">
        <v>46153</v>
      </c>
      <c r="F735" s="834" t="s">
        <v>1626</v>
      </c>
      <c r="G735" s="834">
        <v>15</v>
      </c>
      <c r="H735" s="834" t="s">
        <v>1077</v>
      </c>
      <c r="I735" s="834" t="s">
        <v>1138</v>
      </c>
      <c r="J735" s="834" t="s">
        <v>4159</v>
      </c>
      <c r="K735" s="136"/>
      <c r="L735" s="834"/>
      <c r="M735" s="834"/>
      <c r="N735" s="834"/>
      <c r="O735" s="848" t="s">
        <v>3743</v>
      </c>
      <c r="P735" s="848"/>
      <c r="Q735" s="848"/>
      <c r="R735" s="848"/>
      <c r="S735" s="89"/>
      <c r="T735" s="834"/>
      <c r="U735" s="834"/>
      <c r="V735" s="834"/>
      <c r="W735" s="834"/>
      <c r="X735" s="834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108"/>
      <c r="AJ735" s="108"/>
      <c r="AK735" s="108"/>
      <c r="AL735" s="108"/>
      <c r="AM735" s="80"/>
      <c r="AN735" s="80"/>
      <c r="AO735" s="840"/>
      <c r="AP735" s="851"/>
      <c r="AQ735" s="851"/>
      <c r="AR735" s="851"/>
      <c r="AS735" s="540"/>
      <c r="AT735" s="540"/>
      <c r="AU735" s="541"/>
      <c r="AV735" s="541"/>
      <c r="AW735" s="541"/>
      <c r="AX735" s="541"/>
      <c r="BB735" s="72">
        <f t="shared" ref="BB735" si="46">IF(E735&gt;1,1,"")</f>
        <v>1</v>
      </c>
    </row>
    <row r="736" spans="1:54" s="537" customFormat="1" ht="15.6" customHeight="1">
      <c r="A736" s="751" t="s">
        <v>24</v>
      </c>
      <c r="B736" s="834">
        <v>733</v>
      </c>
      <c r="C736" s="751"/>
      <c r="D736" s="751" t="s">
        <v>4202</v>
      </c>
      <c r="E736" s="887">
        <v>46153</v>
      </c>
      <c r="F736" s="751" t="s">
        <v>3734</v>
      </c>
      <c r="G736" s="751" t="s">
        <v>4203</v>
      </c>
      <c r="H736" s="751" t="s">
        <v>1077</v>
      </c>
      <c r="I736" s="751" t="s">
        <v>1138</v>
      </c>
      <c r="J736" s="751" t="s">
        <v>4204</v>
      </c>
      <c r="K736" s="521"/>
      <c r="L736" s="751"/>
      <c r="M736" s="751"/>
      <c r="N736" s="751"/>
      <c r="O736" s="888"/>
      <c r="P736" s="888"/>
      <c r="Q736" s="888"/>
      <c r="R736" s="888"/>
      <c r="S736" s="529"/>
      <c r="T736" s="751"/>
      <c r="U736" s="751"/>
      <c r="V736" s="751"/>
      <c r="W736" s="751"/>
      <c r="X736" s="751"/>
      <c r="Y736" s="522"/>
      <c r="Z736" s="522"/>
      <c r="AA736" s="522"/>
      <c r="AB736" s="522"/>
      <c r="AC736" s="522"/>
      <c r="AD736" s="522"/>
      <c r="AE736" s="522"/>
      <c r="AF736" s="522"/>
      <c r="AG736" s="522"/>
      <c r="AH736" s="522"/>
      <c r="AI736" s="523"/>
      <c r="AJ736" s="523"/>
      <c r="AK736" s="523"/>
      <c r="AL736" s="523"/>
      <c r="AM736" s="522"/>
      <c r="AN736" s="522"/>
      <c r="AO736" s="886"/>
      <c r="AP736" s="896"/>
      <c r="AQ736" s="896"/>
      <c r="AR736" s="896"/>
      <c r="AS736" s="538"/>
      <c r="AT736" s="538"/>
      <c r="AU736" s="539"/>
      <c r="AV736" s="539"/>
      <c r="AW736" s="539"/>
      <c r="AX736" s="539"/>
      <c r="BB736" s="537">
        <f t="shared" si="42"/>
        <v>1</v>
      </c>
    </row>
    <row r="737" spans="1:16383" s="524" customFormat="1" ht="15.6" customHeight="1">
      <c r="A737" s="521" t="s">
        <v>24</v>
      </c>
      <c r="B737" s="834">
        <v>734</v>
      </c>
      <c r="C737" s="751" t="s">
        <v>4205</v>
      </c>
      <c r="D737" s="751" t="s">
        <v>3741</v>
      </c>
      <c r="E737" s="887">
        <v>46153</v>
      </c>
      <c r="F737" s="751" t="s">
        <v>202</v>
      </c>
      <c r="G737" s="751">
        <v>20</v>
      </c>
      <c r="H737" s="751" t="s">
        <v>3056</v>
      </c>
      <c r="I737" s="751" t="s">
        <v>47</v>
      </c>
      <c r="J737" s="751" t="s">
        <v>4206</v>
      </c>
      <c r="K737" s="521"/>
      <c r="L737" s="751" t="s">
        <v>4028</v>
      </c>
      <c r="M737" s="751"/>
      <c r="N737" s="751"/>
      <c r="O737" s="888" t="s">
        <v>3743</v>
      </c>
      <c r="P737" s="888"/>
      <c r="Q737" s="888"/>
      <c r="R737" s="888"/>
      <c r="S737" s="529"/>
      <c r="T737" s="751"/>
      <c r="U737" s="751"/>
      <c r="V737" s="751"/>
      <c r="W737" s="751"/>
      <c r="X737" s="533" t="s">
        <v>32</v>
      </c>
      <c r="Y737" s="522"/>
      <c r="Z737" s="522"/>
      <c r="AA737" s="522"/>
      <c r="AB737" s="522"/>
      <c r="AC737" s="522"/>
      <c r="AD737" s="522"/>
      <c r="AE737" s="522"/>
      <c r="AF737" s="522"/>
      <c r="AG737" s="522"/>
      <c r="AH737" s="522"/>
      <c r="AI737" s="523"/>
      <c r="AJ737" s="523"/>
      <c r="AK737" s="523"/>
      <c r="AL737" s="523"/>
      <c r="AM737" s="522"/>
      <c r="AN737" s="522"/>
      <c r="AO737" s="889"/>
      <c r="AP737" s="890"/>
      <c r="AQ737" s="890"/>
      <c r="AR737" s="890"/>
      <c r="AS737" s="525"/>
      <c r="AT737" s="525"/>
      <c r="AU737" s="526"/>
      <c r="AV737" s="526"/>
      <c r="AW737" s="526"/>
      <c r="AX737" s="526"/>
      <c r="BB737" s="524">
        <f>IF(E737&gt;1,1,"")</f>
        <v>1</v>
      </c>
    </row>
    <row r="738" spans="1:16383" s="745" customFormat="1" ht="15.6" customHeight="1">
      <c r="A738" s="743" t="s">
        <v>24</v>
      </c>
      <c r="B738" s="834">
        <v>735</v>
      </c>
      <c r="C738" s="894" t="s">
        <v>4207</v>
      </c>
      <c r="D738" s="745" t="s">
        <v>4208</v>
      </c>
      <c r="E738" s="921">
        <v>46155</v>
      </c>
      <c r="F738" s="894" t="s">
        <v>3330</v>
      </c>
      <c r="G738" s="745">
        <v>12</v>
      </c>
      <c r="H738" s="894" t="s">
        <v>1077</v>
      </c>
      <c r="I738" s="894" t="s">
        <v>1138</v>
      </c>
      <c r="J738" s="743"/>
      <c r="K738" s="894"/>
      <c r="L738" s="894"/>
      <c r="M738" s="894"/>
      <c r="N738" s="922"/>
      <c r="O738" s="743" t="s">
        <v>2083</v>
      </c>
      <c r="P738" s="922"/>
      <c r="Q738" s="922"/>
      <c r="R738" s="744"/>
      <c r="S738" s="894"/>
      <c r="T738" s="894"/>
      <c r="U738" s="894"/>
      <c r="V738" s="894"/>
      <c r="W738" s="746"/>
      <c r="X738" s="744"/>
      <c r="Y738" s="744"/>
      <c r="Z738" s="744"/>
      <c r="AA738" s="744"/>
      <c r="AB738" s="744"/>
      <c r="AC738" s="744"/>
      <c r="AD738" s="744"/>
      <c r="AE738" s="744"/>
      <c r="AF738" s="744"/>
      <c r="AG738" s="744"/>
      <c r="AH738" s="744"/>
      <c r="AI738" s="744"/>
      <c r="AJ738" s="744"/>
      <c r="AK738" s="744"/>
      <c r="AL738" s="744"/>
      <c r="AM738" s="744"/>
      <c r="AN738" s="923"/>
      <c r="AO738" s="923"/>
      <c r="AP738" s="923"/>
      <c r="AQ738" s="923"/>
      <c r="AR738" s="747"/>
      <c r="AS738" s="747"/>
      <c r="AT738" s="748"/>
      <c r="AU738" s="748"/>
      <c r="AV738" s="748"/>
      <c r="AW738" s="748"/>
      <c r="AX738" s="747"/>
      <c r="AY738" s="747"/>
      <c r="AZ738" s="747"/>
      <c r="BA738" s="747"/>
      <c r="BB738" s="747"/>
      <c r="BC738" s="747"/>
      <c r="BD738" s="747"/>
      <c r="BE738" s="747"/>
      <c r="BF738" s="747"/>
      <c r="BG738" s="747"/>
      <c r="BH738" s="747"/>
      <c r="BI738" s="747"/>
      <c r="BJ738" s="747"/>
      <c r="BK738" s="747"/>
      <c r="BL738" s="747"/>
      <c r="BM738" s="747"/>
      <c r="BN738" s="747"/>
      <c r="BO738" s="747"/>
      <c r="BP738" s="747"/>
      <c r="BQ738" s="747"/>
      <c r="BR738" s="747"/>
      <c r="BS738" s="747"/>
      <c r="BT738" s="747"/>
      <c r="BU738" s="747"/>
      <c r="BV738" s="747"/>
      <c r="BW738" s="747"/>
      <c r="BX738" s="747"/>
      <c r="BY738" s="747"/>
      <c r="BZ738" s="747"/>
      <c r="CA738" s="747"/>
      <c r="CB738" s="747"/>
      <c r="CC738" s="747"/>
      <c r="CD738" s="747"/>
      <c r="CE738" s="747"/>
      <c r="CF738" s="747"/>
      <c r="CG738" s="747"/>
      <c r="CH738" s="747"/>
      <c r="CI738" s="747"/>
      <c r="CJ738" s="747"/>
      <c r="CK738" s="747"/>
      <c r="CL738" s="747"/>
      <c r="CM738" s="747"/>
      <c r="CN738" s="747"/>
      <c r="CO738" s="747"/>
      <c r="CP738" s="747"/>
      <c r="CQ738" s="747"/>
      <c r="CR738" s="747"/>
      <c r="CS738" s="747"/>
      <c r="CT738" s="747"/>
      <c r="CU738" s="747"/>
      <c r="CV738" s="747"/>
      <c r="CW738" s="747"/>
      <c r="CX738" s="747"/>
      <c r="CY738" s="747"/>
      <c r="CZ738" s="747"/>
      <c r="DA738" s="747"/>
      <c r="DB738" s="747"/>
      <c r="DC738" s="747"/>
      <c r="DD738" s="747"/>
      <c r="DE738" s="747"/>
      <c r="DF738" s="747"/>
      <c r="DG738" s="747"/>
      <c r="DH738" s="747"/>
      <c r="DI738" s="747"/>
      <c r="DJ738" s="747"/>
      <c r="DK738" s="747"/>
      <c r="DL738" s="747"/>
      <c r="DM738" s="747"/>
      <c r="DN738" s="747"/>
      <c r="DO738" s="747"/>
      <c r="DP738" s="747"/>
      <c r="DQ738" s="747"/>
      <c r="DR738" s="747"/>
      <c r="DS738" s="747"/>
      <c r="DT738" s="747"/>
      <c r="DU738" s="747"/>
      <c r="DV738" s="747"/>
      <c r="DW738" s="747"/>
      <c r="DX738" s="747"/>
      <c r="DY738" s="747"/>
      <c r="DZ738" s="747"/>
      <c r="EA738" s="747"/>
      <c r="EB738" s="747"/>
      <c r="EC738" s="747"/>
      <c r="ED738" s="747"/>
      <c r="EE738" s="747"/>
      <c r="EF738" s="747"/>
      <c r="EG738" s="747"/>
      <c r="EH738" s="747"/>
      <c r="EI738" s="747"/>
      <c r="EJ738" s="747"/>
      <c r="EK738" s="747"/>
      <c r="EL738" s="747"/>
      <c r="EM738" s="747"/>
      <c r="EN738" s="747"/>
      <c r="EO738" s="747"/>
      <c r="EP738" s="747"/>
      <c r="EQ738" s="747"/>
      <c r="ER738" s="747"/>
      <c r="ES738" s="747"/>
      <c r="ET738" s="747"/>
      <c r="EU738" s="747"/>
      <c r="EV738" s="747"/>
      <c r="EW738" s="747"/>
      <c r="EX738" s="747"/>
      <c r="EY738" s="747"/>
      <c r="EZ738" s="747"/>
      <c r="FA738" s="747"/>
      <c r="FB738" s="747"/>
      <c r="FC738" s="747"/>
      <c r="FD738" s="747"/>
      <c r="FE738" s="747"/>
      <c r="FF738" s="747"/>
      <c r="FG738" s="747"/>
      <c r="FH738" s="747"/>
      <c r="FI738" s="747"/>
      <c r="FJ738" s="747"/>
      <c r="FK738" s="747"/>
      <c r="FL738" s="747"/>
      <c r="FM738" s="747"/>
      <c r="FN738" s="747"/>
      <c r="FO738" s="747"/>
      <c r="FP738" s="747"/>
      <c r="FQ738" s="747"/>
      <c r="FR738" s="747"/>
      <c r="FS738" s="747"/>
      <c r="FT738" s="747"/>
      <c r="FU738" s="747"/>
      <c r="FV738" s="747"/>
      <c r="FW738" s="747"/>
      <c r="FX738" s="747"/>
      <c r="FY738" s="747"/>
      <c r="FZ738" s="747"/>
      <c r="GA738" s="747"/>
      <c r="GB738" s="747"/>
      <c r="GC738" s="747"/>
      <c r="GD738" s="747"/>
      <c r="GE738" s="747"/>
      <c r="GF738" s="747"/>
      <c r="GG738" s="747"/>
      <c r="GH738" s="747"/>
      <c r="GI738" s="747"/>
      <c r="GJ738" s="747"/>
      <c r="GK738" s="747"/>
      <c r="GL738" s="747"/>
      <c r="GM738" s="747"/>
      <c r="GN738" s="747"/>
      <c r="GO738" s="747"/>
      <c r="GP738" s="747"/>
      <c r="GQ738" s="747"/>
      <c r="GR738" s="747"/>
      <c r="GS738" s="747"/>
      <c r="GT738" s="747"/>
      <c r="GU738" s="747"/>
      <c r="GV738" s="747"/>
      <c r="GW738" s="747"/>
      <c r="GX738" s="747"/>
      <c r="GY738" s="747"/>
      <c r="GZ738" s="747"/>
      <c r="HA738" s="747"/>
      <c r="HB738" s="747"/>
      <c r="HC738" s="747"/>
      <c r="HD738" s="747"/>
      <c r="HE738" s="747"/>
      <c r="HF738" s="747"/>
      <c r="HG738" s="747"/>
      <c r="HH738" s="747"/>
      <c r="HI738" s="747"/>
      <c r="HJ738" s="747"/>
      <c r="HK738" s="747"/>
      <c r="HL738" s="747"/>
      <c r="HM738" s="747"/>
      <c r="HN738" s="747"/>
      <c r="HO738" s="747"/>
      <c r="HP738" s="747"/>
      <c r="HQ738" s="747"/>
      <c r="HR738" s="747"/>
      <c r="HS738" s="747"/>
      <c r="HT738" s="747"/>
      <c r="HU738" s="747"/>
      <c r="HV738" s="747"/>
      <c r="HW738" s="747"/>
      <c r="HX738" s="747"/>
      <c r="HY738" s="747"/>
      <c r="HZ738" s="747"/>
      <c r="IA738" s="747"/>
      <c r="IB738" s="747"/>
      <c r="IC738" s="747"/>
      <c r="ID738" s="747"/>
      <c r="IE738" s="747"/>
      <c r="IF738" s="747"/>
      <c r="IG738" s="747"/>
      <c r="IH738" s="747"/>
      <c r="II738" s="747"/>
      <c r="IJ738" s="747"/>
      <c r="IK738" s="747"/>
      <c r="IL738" s="747"/>
      <c r="IM738" s="747"/>
      <c r="IN738" s="747"/>
      <c r="IO738" s="747"/>
      <c r="IP738" s="747"/>
      <c r="IQ738" s="747"/>
      <c r="IR738" s="747"/>
      <c r="IS738" s="747"/>
      <c r="IT738" s="747"/>
      <c r="IU738" s="747"/>
      <c r="IV738" s="747"/>
      <c r="IW738" s="747"/>
      <c r="IX738" s="747"/>
      <c r="IY738" s="747"/>
      <c r="IZ738" s="747"/>
      <c r="JA738" s="747"/>
      <c r="JB738" s="747"/>
      <c r="JC738" s="747"/>
      <c r="JD738" s="747"/>
      <c r="JE738" s="747"/>
      <c r="JF738" s="747"/>
      <c r="JG738" s="747"/>
      <c r="JH738" s="747"/>
      <c r="JI738" s="747"/>
      <c r="JJ738" s="747"/>
      <c r="JK738" s="747"/>
      <c r="JL738" s="747"/>
      <c r="JM738" s="747"/>
      <c r="JN738" s="747"/>
      <c r="JO738" s="747"/>
      <c r="JP738" s="747"/>
      <c r="JQ738" s="747"/>
      <c r="JR738" s="747"/>
      <c r="JS738" s="747"/>
      <c r="JT738" s="747"/>
      <c r="JU738" s="747"/>
      <c r="JV738" s="747"/>
      <c r="JW738" s="747"/>
      <c r="JX738" s="747"/>
      <c r="JY738" s="747"/>
      <c r="JZ738" s="747"/>
      <c r="KA738" s="747"/>
      <c r="KB738" s="747"/>
      <c r="KC738" s="747"/>
      <c r="KD738" s="747"/>
      <c r="KE738" s="747"/>
      <c r="KF738" s="747"/>
      <c r="KG738" s="747"/>
      <c r="KH738" s="747"/>
      <c r="KI738" s="747"/>
      <c r="KJ738" s="747"/>
      <c r="KK738" s="747"/>
      <c r="KL738" s="747"/>
      <c r="KM738" s="747"/>
      <c r="KN738" s="747"/>
      <c r="KO738" s="747"/>
      <c r="KP738" s="747"/>
      <c r="KQ738" s="747"/>
      <c r="KR738" s="747"/>
      <c r="KS738" s="747"/>
      <c r="KT738" s="747"/>
      <c r="KU738" s="747"/>
      <c r="KV738" s="747"/>
      <c r="KW738" s="747"/>
      <c r="KX738" s="747"/>
      <c r="KY738" s="747"/>
      <c r="KZ738" s="747"/>
      <c r="LA738" s="747"/>
      <c r="LB738" s="747"/>
      <c r="LC738" s="747"/>
      <c r="LD738" s="747"/>
      <c r="LE738" s="747"/>
      <c r="LF738" s="747"/>
      <c r="LG738" s="747"/>
      <c r="LH738" s="747"/>
      <c r="LI738" s="747"/>
      <c r="LJ738" s="747"/>
      <c r="LK738" s="747"/>
      <c r="LL738" s="747"/>
      <c r="LM738" s="747"/>
      <c r="LN738" s="747"/>
      <c r="LO738" s="747"/>
      <c r="LP738" s="747"/>
      <c r="LQ738" s="747"/>
      <c r="LR738" s="747"/>
      <c r="LS738" s="747"/>
      <c r="LT738" s="747"/>
      <c r="LU738" s="747"/>
      <c r="LV738" s="747"/>
      <c r="LW738" s="747"/>
      <c r="LX738" s="747"/>
      <c r="LY738" s="747"/>
      <c r="LZ738" s="747"/>
      <c r="MA738" s="747"/>
      <c r="MB738" s="747"/>
      <c r="MC738" s="747"/>
      <c r="MD738" s="747"/>
      <c r="ME738" s="747"/>
      <c r="MF738" s="747"/>
      <c r="MG738" s="747"/>
      <c r="MH738" s="747"/>
      <c r="MI738" s="747"/>
      <c r="MJ738" s="747"/>
      <c r="MK738" s="747"/>
      <c r="ML738" s="747"/>
      <c r="MM738" s="747"/>
      <c r="MN738" s="747"/>
      <c r="MO738" s="747"/>
      <c r="MP738" s="747"/>
      <c r="MQ738" s="747"/>
      <c r="MR738" s="747"/>
      <c r="MS738" s="747"/>
      <c r="MT738" s="747"/>
      <c r="MU738" s="747"/>
      <c r="MV738" s="747"/>
      <c r="MW738" s="747"/>
      <c r="MX738" s="747"/>
      <c r="MY738" s="747"/>
      <c r="MZ738" s="747"/>
      <c r="NA738" s="747"/>
      <c r="NB738" s="747"/>
      <c r="NC738" s="747"/>
      <c r="ND738" s="747"/>
      <c r="NE738" s="747"/>
      <c r="NF738" s="747"/>
      <c r="NG738" s="747"/>
      <c r="NH738" s="747"/>
      <c r="NI738" s="747"/>
      <c r="NJ738" s="747"/>
      <c r="NK738" s="747"/>
      <c r="NL738" s="747"/>
      <c r="NM738" s="747"/>
      <c r="NN738" s="747"/>
      <c r="NO738" s="747"/>
      <c r="NP738" s="747"/>
      <c r="NQ738" s="747"/>
      <c r="NR738" s="747"/>
      <c r="NS738" s="747"/>
      <c r="NT738" s="747"/>
      <c r="NU738" s="747"/>
      <c r="NV738" s="747"/>
      <c r="NW738" s="747"/>
      <c r="NX738" s="747"/>
      <c r="NY738" s="747"/>
      <c r="NZ738" s="747"/>
      <c r="OA738" s="747"/>
      <c r="OB738" s="747"/>
      <c r="OC738" s="747"/>
      <c r="OD738" s="747"/>
      <c r="OE738" s="747"/>
      <c r="OF738" s="747"/>
      <c r="OG738" s="747"/>
      <c r="OH738" s="747"/>
      <c r="OI738" s="747"/>
      <c r="OJ738" s="747"/>
      <c r="OK738" s="747"/>
      <c r="OL738" s="747"/>
      <c r="OM738" s="747"/>
      <c r="ON738" s="747"/>
      <c r="OO738" s="747"/>
      <c r="OP738" s="747"/>
      <c r="OQ738" s="747"/>
      <c r="OR738" s="747"/>
      <c r="OS738" s="747"/>
      <c r="OT738" s="747"/>
      <c r="OU738" s="747"/>
      <c r="OV738" s="747"/>
      <c r="OW738" s="747"/>
      <c r="OX738" s="747"/>
      <c r="OY738" s="747"/>
      <c r="OZ738" s="747"/>
      <c r="PA738" s="747"/>
      <c r="PB738" s="747"/>
      <c r="PC738" s="747"/>
      <c r="PD738" s="747"/>
      <c r="PE738" s="747"/>
      <c r="PF738" s="747"/>
      <c r="PG738" s="747"/>
      <c r="PH738" s="747"/>
      <c r="PI738" s="747"/>
      <c r="PJ738" s="747"/>
      <c r="PK738" s="747"/>
      <c r="PL738" s="747"/>
      <c r="PM738" s="747"/>
      <c r="PN738" s="747"/>
      <c r="PO738" s="747"/>
      <c r="PP738" s="747"/>
      <c r="PQ738" s="747"/>
      <c r="PR738" s="747"/>
      <c r="PS738" s="747"/>
      <c r="PT738" s="747"/>
      <c r="PU738" s="747"/>
      <c r="PV738" s="747"/>
      <c r="PW738" s="747"/>
      <c r="PX738" s="747"/>
      <c r="PY738" s="747"/>
      <c r="PZ738" s="747"/>
      <c r="QA738" s="747"/>
      <c r="QB738" s="747"/>
      <c r="QC738" s="747"/>
      <c r="QD738" s="747"/>
      <c r="QE738" s="747"/>
      <c r="QF738" s="747"/>
      <c r="QG738" s="747"/>
      <c r="QH738" s="747"/>
      <c r="QI738" s="747"/>
      <c r="QJ738" s="747"/>
      <c r="QK738" s="747"/>
      <c r="QL738" s="747"/>
      <c r="QM738" s="747"/>
      <c r="QN738" s="747"/>
      <c r="QO738" s="747"/>
      <c r="QP738" s="747"/>
      <c r="QQ738" s="747"/>
      <c r="QR738" s="747"/>
      <c r="QS738" s="747"/>
      <c r="QT738" s="747"/>
      <c r="QU738" s="747"/>
      <c r="QV738" s="747"/>
      <c r="QW738" s="747"/>
      <c r="QX738" s="747"/>
      <c r="QY738" s="747"/>
      <c r="QZ738" s="747"/>
      <c r="RA738" s="747"/>
      <c r="RB738" s="747"/>
      <c r="RC738" s="747"/>
      <c r="RD738" s="747"/>
      <c r="RE738" s="747"/>
      <c r="RF738" s="747"/>
      <c r="RG738" s="747"/>
      <c r="RH738" s="747"/>
      <c r="RI738" s="747"/>
      <c r="RJ738" s="747"/>
      <c r="RK738" s="747"/>
      <c r="RL738" s="747"/>
      <c r="RM738" s="747"/>
      <c r="RN738" s="747"/>
      <c r="RO738" s="747"/>
      <c r="RP738" s="747"/>
      <c r="RQ738" s="747"/>
      <c r="RR738" s="747"/>
      <c r="RS738" s="747"/>
      <c r="RT738" s="747"/>
      <c r="RU738" s="747"/>
      <c r="RV738" s="747"/>
      <c r="RW738" s="747"/>
      <c r="RX738" s="747"/>
      <c r="RY738" s="747"/>
      <c r="RZ738" s="747"/>
      <c r="SA738" s="747"/>
      <c r="SB738" s="747"/>
      <c r="SC738" s="747"/>
      <c r="SD738" s="747"/>
      <c r="SE738" s="747"/>
      <c r="SF738" s="747"/>
      <c r="SG738" s="747"/>
      <c r="SH738" s="747"/>
      <c r="SI738" s="747"/>
      <c r="SJ738" s="747"/>
      <c r="SK738" s="747"/>
      <c r="SL738" s="747"/>
      <c r="SM738" s="747"/>
      <c r="SN738" s="747"/>
      <c r="SO738" s="747"/>
      <c r="SP738" s="747"/>
      <c r="SQ738" s="747"/>
      <c r="SR738" s="747"/>
      <c r="SS738" s="747"/>
      <c r="ST738" s="747"/>
      <c r="SU738" s="747"/>
      <c r="SV738" s="747"/>
      <c r="SW738" s="747"/>
      <c r="SX738" s="747"/>
      <c r="SY738" s="747"/>
      <c r="SZ738" s="747"/>
      <c r="TA738" s="747"/>
      <c r="TB738" s="747"/>
      <c r="TC738" s="747"/>
      <c r="TD738" s="747"/>
      <c r="TE738" s="747"/>
      <c r="TF738" s="747"/>
      <c r="TG738" s="747"/>
      <c r="TH738" s="747"/>
      <c r="TI738" s="747"/>
      <c r="TJ738" s="747"/>
      <c r="TK738" s="747"/>
      <c r="TL738" s="747"/>
      <c r="TM738" s="747"/>
      <c r="TN738" s="747"/>
      <c r="TO738" s="747"/>
      <c r="TP738" s="747"/>
      <c r="TQ738" s="747"/>
      <c r="TR738" s="747"/>
      <c r="TS738" s="747"/>
      <c r="TT738" s="747"/>
      <c r="TU738" s="747"/>
      <c r="TV738" s="747"/>
      <c r="TW738" s="747"/>
      <c r="TX738" s="747"/>
      <c r="TY738" s="747"/>
      <c r="TZ738" s="747"/>
      <c r="UA738" s="747"/>
      <c r="UB738" s="747"/>
      <c r="UC738" s="747"/>
      <c r="UD738" s="747"/>
      <c r="UE738" s="747"/>
      <c r="UF738" s="747"/>
      <c r="UG738" s="747"/>
      <c r="UH738" s="747"/>
      <c r="UI738" s="747"/>
      <c r="UJ738" s="747"/>
      <c r="UK738" s="747"/>
      <c r="UL738" s="747"/>
      <c r="UM738" s="747"/>
      <c r="UN738" s="747"/>
      <c r="UO738" s="747"/>
      <c r="UP738" s="747"/>
      <c r="UQ738" s="747"/>
      <c r="UR738" s="747"/>
      <c r="US738" s="747"/>
      <c r="UT738" s="747"/>
      <c r="UU738" s="747"/>
      <c r="UV738" s="747"/>
      <c r="UW738" s="747"/>
      <c r="UX738" s="747"/>
      <c r="UY738" s="747"/>
      <c r="UZ738" s="747"/>
      <c r="VA738" s="747"/>
      <c r="VB738" s="747"/>
      <c r="VC738" s="747"/>
      <c r="VD738" s="747"/>
      <c r="VE738" s="747"/>
      <c r="VF738" s="747"/>
      <c r="VG738" s="747"/>
      <c r="VH738" s="747"/>
      <c r="VI738" s="747"/>
      <c r="VJ738" s="747"/>
      <c r="VK738" s="747"/>
      <c r="VL738" s="747"/>
      <c r="VM738" s="747"/>
      <c r="VN738" s="747"/>
      <c r="VO738" s="747"/>
      <c r="VP738" s="747"/>
      <c r="VQ738" s="747"/>
      <c r="VR738" s="747"/>
      <c r="VS738" s="747"/>
      <c r="VT738" s="747"/>
      <c r="VU738" s="747"/>
      <c r="VV738" s="747"/>
      <c r="VW738" s="747"/>
      <c r="VX738" s="747"/>
      <c r="VY738" s="747"/>
      <c r="VZ738" s="747"/>
      <c r="WA738" s="747"/>
      <c r="WB738" s="747"/>
      <c r="WC738" s="747"/>
      <c r="WD738" s="747"/>
      <c r="WE738" s="747"/>
      <c r="WF738" s="747"/>
      <c r="WG738" s="747"/>
      <c r="WH738" s="747"/>
      <c r="WI738" s="747"/>
      <c r="WJ738" s="747"/>
      <c r="WK738" s="747"/>
      <c r="WL738" s="747"/>
      <c r="WM738" s="747"/>
      <c r="WN738" s="747"/>
      <c r="WO738" s="747"/>
      <c r="WP738" s="747"/>
      <c r="WQ738" s="747"/>
      <c r="WR738" s="747"/>
      <c r="WS738" s="747"/>
      <c r="WT738" s="747"/>
      <c r="WU738" s="747"/>
      <c r="WV738" s="747"/>
      <c r="WW738" s="747"/>
      <c r="WX738" s="747"/>
      <c r="WY738" s="747"/>
      <c r="WZ738" s="747"/>
      <c r="XA738" s="747"/>
      <c r="XB738" s="747"/>
      <c r="XC738" s="747"/>
      <c r="XD738" s="747"/>
      <c r="XE738" s="747"/>
      <c r="XF738" s="747"/>
      <c r="XG738" s="747"/>
      <c r="XH738" s="747"/>
      <c r="XI738" s="747"/>
      <c r="XJ738" s="747"/>
      <c r="XK738" s="747"/>
      <c r="XL738" s="747"/>
      <c r="XM738" s="747"/>
      <c r="XN738" s="747"/>
      <c r="XO738" s="747"/>
      <c r="XP738" s="747"/>
      <c r="XQ738" s="747"/>
      <c r="XR738" s="747"/>
      <c r="XS738" s="747"/>
      <c r="XT738" s="747"/>
      <c r="XU738" s="747"/>
      <c r="XV738" s="747"/>
      <c r="XW738" s="747"/>
      <c r="XX738" s="747"/>
      <c r="XY738" s="747"/>
      <c r="XZ738" s="747"/>
      <c r="YA738" s="747"/>
      <c r="YB738" s="747"/>
      <c r="YC738" s="747"/>
      <c r="YD738" s="747"/>
      <c r="YE738" s="747"/>
      <c r="YF738" s="747"/>
      <c r="YG738" s="747"/>
      <c r="YH738" s="747"/>
      <c r="YI738" s="747"/>
      <c r="YJ738" s="747"/>
      <c r="YK738" s="747"/>
      <c r="YL738" s="747"/>
      <c r="YM738" s="747"/>
      <c r="YN738" s="747"/>
      <c r="YO738" s="747"/>
      <c r="YP738" s="747"/>
      <c r="YQ738" s="747"/>
      <c r="YR738" s="747"/>
      <c r="YS738" s="747"/>
      <c r="YT738" s="747"/>
      <c r="YU738" s="747"/>
      <c r="YV738" s="747"/>
      <c r="YW738" s="747"/>
      <c r="YX738" s="747"/>
      <c r="YY738" s="747"/>
      <c r="YZ738" s="747"/>
      <c r="ZA738" s="747"/>
      <c r="ZB738" s="747"/>
      <c r="ZC738" s="747"/>
      <c r="ZD738" s="747"/>
      <c r="ZE738" s="747"/>
      <c r="ZF738" s="747"/>
      <c r="ZG738" s="747"/>
      <c r="ZH738" s="747"/>
      <c r="ZI738" s="747"/>
      <c r="ZJ738" s="747"/>
      <c r="ZK738" s="747"/>
      <c r="ZL738" s="747"/>
      <c r="ZM738" s="747"/>
      <c r="ZN738" s="747"/>
      <c r="ZO738" s="747"/>
      <c r="ZP738" s="747"/>
      <c r="ZQ738" s="747"/>
      <c r="ZR738" s="747"/>
      <c r="ZS738" s="747"/>
      <c r="ZT738" s="747"/>
      <c r="ZU738" s="747"/>
      <c r="ZV738" s="747"/>
      <c r="ZW738" s="747"/>
      <c r="ZX738" s="747"/>
      <c r="ZY738" s="747"/>
      <c r="ZZ738" s="747"/>
      <c r="AAA738" s="747"/>
      <c r="AAB738" s="747"/>
      <c r="AAC738" s="747"/>
      <c r="AAD738" s="747"/>
      <c r="AAE738" s="747"/>
      <c r="AAF738" s="747"/>
      <c r="AAG738" s="747"/>
      <c r="AAH738" s="747"/>
      <c r="AAI738" s="747"/>
      <c r="AAJ738" s="747"/>
      <c r="AAK738" s="747"/>
      <c r="AAL738" s="747"/>
      <c r="AAM738" s="747"/>
      <c r="AAN738" s="747"/>
      <c r="AAO738" s="747"/>
      <c r="AAP738" s="747"/>
      <c r="AAQ738" s="747"/>
      <c r="AAR738" s="747"/>
      <c r="AAS738" s="747"/>
      <c r="AAT738" s="747"/>
      <c r="AAU738" s="747"/>
      <c r="AAV738" s="747"/>
      <c r="AAW738" s="747"/>
      <c r="AAX738" s="747"/>
      <c r="AAY738" s="747"/>
      <c r="AAZ738" s="747"/>
      <c r="ABA738" s="747"/>
      <c r="ABB738" s="747"/>
      <c r="ABC738" s="747"/>
      <c r="ABD738" s="747"/>
      <c r="ABE738" s="747"/>
      <c r="ABF738" s="747"/>
      <c r="ABG738" s="747"/>
      <c r="ABH738" s="747"/>
      <c r="ABI738" s="747"/>
      <c r="ABJ738" s="747"/>
      <c r="ABK738" s="747"/>
      <c r="ABL738" s="747"/>
      <c r="ABM738" s="747"/>
      <c r="ABN738" s="747"/>
      <c r="ABO738" s="747"/>
      <c r="ABP738" s="747"/>
      <c r="ABQ738" s="747"/>
      <c r="ABR738" s="747"/>
      <c r="ABS738" s="747"/>
      <c r="ABT738" s="747"/>
      <c r="ABU738" s="747"/>
      <c r="ABV738" s="747"/>
      <c r="ABW738" s="747"/>
      <c r="ABX738" s="747"/>
      <c r="ABY738" s="747"/>
      <c r="ABZ738" s="747"/>
      <c r="ACA738" s="747"/>
      <c r="ACB738" s="747"/>
      <c r="ACC738" s="747"/>
      <c r="ACD738" s="747"/>
      <c r="ACE738" s="747"/>
      <c r="ACF738" s="747"/>
      <c r="ACG738" s="747"/>
      <c r="ACH738" s="747"/>
      <c r="ACI738" s="747"/>
      <c r="ACJ738" s="747"/>
      <c r="ACK738" s="747"/>
      <c r="ACL738" s="747"/>
      <c r="ACM738" s="747"/>
      <c r="ACN738" s="747"/>
      <c r="ACO738" s="747"/>
      <c r="ACP738" s="747"/>
      <c r="ACQ738" s="747"/>
      <c r="ACR738" s="747"/>
      <c r="ACS738" s="747"/>
      <c r="ACT738" s="747"/>
      <c r="ACU738" s="747"/>
      <c r="ACV738" s="747"/>
      <c r="ACW738" s="747"/>
      <c r="ACX738" s="747"/>
      <c r="ACY738" s="747"/>
      <c r="ACZ738" s="747"/>
      <c r="ADA738" s="747"/>
      <c r="ADB738" s="747"/>
      <c r="ADC738" s="747"/>
      <c r="ADD738" s="747"/>
      <c r="ADE738" s="747"/>
      <c r="ADF738" s="747"/>
      <c r="ADG738" s="747"/>
      <c r="ADH738" s="747"/>
      <c r="ADI738" s="747"/>
      <c r="ADJ738" s="747"/>
      <c r="ADK738" s="747"/>
      <c r="ADL738" s="747"/>
      <c r="ADM738" s="747"/>
      <c r="ADN738" s="747"/>
      <c r="ADO738" s="747"/>
      <c r="ADP738" s="747"/>
      <c r="ADQ738" s="747"/>
      <c r="ADR738" s="747"/>
      <c r="ADS738" s="747"/>
      <c r="ADT738" s="747"/>
      <c r="ADU738" s="747"/>
      <c r="ADV738" s="747"/>
      <c r="ADW738" s="747"/>
      <c r="ADX738" s="747"/>
      <c r="ADY738" s="747"/>
      <c r="ADZ738" s="747"/>
      <c r="AEA738" s="747"/>
      <c r="AEB738" s="747"/>
      <c r="AEC738" s="747"/>
      <c r="AED738" s="747"/>
      <c r="AEE738" s="747"/>
      <c r="AEF738" s="747"/>
      <c r="AEG738" s="747"/>
      <c r="AEH738" s="747"/>
      <c r="AEI738" s="747"/>
      <c r="AEJ738" s="747"/>
      <c r="AEK738" s="747"/>
      <c r="AEL738" s="747"/>
      <c r="AEM738" s="747"/>
      <c r="AEN738" s="747"/>
      <c r="AEO738" s="747"/>
      <c r="AEP738" s="747"/>
      <c r="AEQ738" s="747"/>
      <c r="AER738" s="747"/>
      <c r="AES738" s="747"/>
      <c r="AET738" s="747"/>
      <c r="AEU738" s="747"/>
      <c r="AEV738" s="747"/>
      <c r="AEW738" s="747"/>
      <c r="AEX738" s="747"/>
      <c r="AEY738" s="747"/>
      <c r="AEZ738" s="747"/>
      <c r="AFA738" s="747"/>
      <c r="AFB738" s="747"/>
      <c r="AFC738" s="747"/>
      <c r="AFD738" s="747"/>
      <c r="AFE738" s="747"/>
      <c r="AFF738" s="747"/>
      <c r="AFG738" s="747"/>
      <c r="AFH738" s="747"/>
      <c r="AFI738" s="747"/>
      <c r="AFJ738" s="747"/>
      <c r="AFK738" s="747"/>
      <c r="AFL738" s="747"/>
      <c r="AFM738" s="747"/>
      <c r="AFN738" s="747"/>
      <c r="AFO738" s="747"/>
      <c r="AFP738" s="747"/>
      <c r="AFQ738" s="747"/>
      <c r="AFR738" s="747"/>
      <c r="AFS738" s="747"/>
      <c r="AFT738" s="747"/>
      <c r="AFU738" s="747"/>
      <c r="AFV738" s="747"/>
      <c r="AFW738" s="747"/>
      <c r="AFX738" s="747"/>
      <c r="AFY738" s="747"/>
      <c r="AFZ738" s="747"/>
      <c r="AGA738" s="747"/>
      <c r="AGB738" s="747"/>
      <c r="AGC738" s="747"/>
      <c r="AGD738" s="747"/>
      <c r="AGE738" s="747"/>
      <c r="AGF738" s="747"/>
      <c r="AGG738" s="747"/>
      <c r="AGH738" s="747"/>
      <c r="AGI738" s="747"/>
      <c r="AGJ738" s="747"/>
      <c r="AGK738" s="747"/>
      <c r="AGL738" s="747"/>
      <c r="AGM738" s="747"/>
      <c r="AGN738" s="747"/>
      <c r="AGO738" s="747"/>
      <c r="AGP738" s="747"/>
      <c r="AGQ738" s="747"/>
      <c r="AGR738" s="747"/>
      <c r="AGS738" s="747"/>
      <c r="AGT738" s="747"/>
      <c r="AGU738" s="747"/>
      <c r="AGV738" s="747"/>
      <c r="AGW738" s="747"/>
      <c r="AGX738" s="747"/>
      <c r="AGY738" s="747"/>
      <c r="AGZ738" s="747"/>
      <c r="AHA738" s="747"/>
      <c r="AHB738" s="747"/>
      <c r="AHC738" s="747"/>
      <c r="AHD738" s="747"/>
      <c r="AHE738" s="747"/>
      <c r="AHF738" s="747"/>
      <c r="AHG738" s="747"/>
      <c r="AHH738" s="747"/>
      <c r="AHI738" s="747"/>
      <c r="AHJ738" s="747"/>
      <c r="AHK738" s="747"/>
      <c r="AHL738" s="747"/>
      <c r="AHM738" s="747"/>
      <c r="AHN738" s="747"/>
      <c r="AHO738" s="747"/>
      <c r="AHP738" s="747"/>
      <c r="AHQ738" s="747"/>
      <c r="AHR738" s="747"/>
      <c r="AHS738" s="747"/>
      <c r="AHT738" s="747"/>
      <c r="AHU738" s="747"/>
      <c r="AHV738" s="747"/>
      <c r="AHW738" s="747"/>
      <c r="AHX738" s="747"/>
      <c r="AHY738" s="747"/>
      <c r="AHZ738" s="747"/>
      <c r="AIA738" s="747"/>
      <c r="AIB738" s="747"/>
      <c r="AIC738" s="747"/>
      <c r="AID738" s="747"/>
      <c r="AIE738" s="747"/>
      <c r="AIF738" s="747"/>
      <c r="AIG738" s="747"/>
      <c r="AIH738" s="747"/>
      <c r="AII738" s="747"/>
      <c r="AIJ738" s="747"/>
      <c r="AIK738" s="747"/>
      <c r="AIL738" s="747"/>
      <c r="AIM738" s="747"/>
      <c r="AIN738" s="747"/>
      <c r="AIO738" s="747"/>
      <c r="AIP738" s="747"/>
      <c r="AIQ738" s="747"/>
      <c r="AIR738" s="747"/>
      <c r="AIS738" s="747"/>
      <c r="AIT738" s="747"/>
      <c r="AIU738" s="747"/>
      <c r="AIV738" s="747"/>
      <c r="AIW738" s="747"/>
      <c r="AIX738" s="747"/>
      <c r="AIY738" s="747"/>
      <c r="AIZ738" s="747"/>
      <c r="AJA738" s="747"/>
      <c r="AJB738" s="747"/>
      <c r="AJC738" s="747"/>
      <c r="AJD738" s="747"/>
      <c r="AJE738" s="747"/>
      <c r="AJF738" s="747"/>
      <c r="AJG738" s="747"/>
      <c r="AJH738" s="747"/>
      <c r="AJI738" s="747"/>
      <c r="AJJ738" s="747"/>
      <c r="AJK738" s="747"/>
      <c r="AJL738" s="747"/>
      <c r="AJM738" s="747"/>
      <c r="AJN738" s="747"/>
      <c r="AJO738" s="747"/>
      <c r="AJP738" s="747"/>
      <c r="AJQ738" s="747"/>
      <c r="AJR738" s="747"/>
      <c r="AJS738" s="747"/>
      <c r="AJT738" s="747"/>
      <c r="AJU738" s="747"/>
      <c r="AJV738" s="747"/>
      <c r="AJW738" s="747"/>
      <c r="AJX738" s="747"/>
      <c r="AJY738" s="747"/>
      <c r="AJZ738" s="747"/>
      <c r="AKA738" s="747"/>
      <c r="AKB738" s="747"/>
      <c r="AKC738" s="747"/>
      <c r="AKD738" s="747"/>
      <c r="AKE738" s="747"/>
      <c r="AKF738" s="747"/>
      <c r="AKG738" s="747"/>
      <c r="AKH738" s="747"/>
      <c r="AKI738" s="747"/>
      <c r="AKJ738" s="747"/>
      <c r="AKK738" s="747"/>
      <c r="AKL738" s="747"/>
      <c r="AKM738" s="747"/>
      <c r="AKN738" s="747"/>
      <c r="AKO738" s="747"/>
      <c r="AKP738" s="747"/>
      <c r="AKQ738" s="747"/>
      <c r="AKR738" s="747"/>
      <c r="AKS738" s="747"/>
      <c r="AKT738" s="747"/>
      <c r="AKU738" s="747"/>
      <c r="AKV738" s="747"/>
      <c r="AKW738" s="747"/>
      <c r="AKX738" s="747"/>
      <c r="AKY738" s="747"/>
      <c r="AKZ738" s="747"/>
      <c r="ALA738" s="747"/>
      <c r="ALB738" s="747"/>
      <c r="ALC738" s="747"/>
      <c r="ALD738" s="747"/>
      <c r="ALE738" s="747"/>
      <c r="ALF738" s="747"/>
      <c r="ALG738" s="747"/>
      <c r="ALH738" s="747"/>
      <c r="ALI738" s="747"/>
      <c r="ALJ738" s="747"/>
      <c r="ALK738" s="747"/>
      <c r="ALL738" s="747"/>
      <c r="ALM738" s="747"/>
      <c r="ALN738" s="747"/>
      <c r="ALO738" s="747"/>
      <c r="ALP738" s="747"/>
      <c r="ALQ738" s="747"/>
      <c r="ALR738" s="747"/>
      <c r="ALS738" s="747"/>
      <c r="ALT738" s="747"/>
      <c r="ALU738" s="747"/>
      <c r="ALV738" s="747"/>
      <c r="ALW738" s="747"/>
      <c r="ALX738" s="747"/>
      <c r="ALY738" s="747"/>
      <c r="ALZ738" s="747"/>
      <c r="AMA738" s="747"/>
      <c r="AMB738" s="747"/>
      <c r="AMC738" s="747"/>
      <c r="AMD738" s="747"/>
      <c r="AME738" s="747"/>
      <c r="AMF738" s="747"/>
      <c r="AMG738" s="747"/>
      <c r="AMH738" s="747"/>
      <c r="AMI738" s="747"/>
      <c r="AMJ738" s="747"/>
      <c r="AMK738" s="747"/>
      <c r="AML738" s="747"/>
      <c r="AMM738" s="747"/>
      <c r="AMN738" s="747"/>
      <c r="AMO738" s="747"/>
      <c r="AMP738" s="747"/>
      <c r="AMQ738" s="747"/>
      <c r="AMR738" s="747"/>
      <c r="AMS738" s="747"/>
      <c r="AMT738" s="747"/>
      <c r="AMU738" s="747"/>
      <c r="AMV738" s="747"/>
      <c r="AMW738" s="747"/>
      <c r="AMX738" s="747"/>
      <c r="AMY738" s="747"/>
      <c r="AMZ738" s="747"/>
      <c r="ANA738" s="747"/>
      <c r="ANB738" s="747"/>
      <c r="ANC738" s="747"/>
      <c r="AND738" s="747"/>
      <c r="ANE738" s="747"/>
      <c r="ANF738" s="747"/>
      <c r="ANG738" s="747"/>
      <c r="ANH738" s="747"/>
      <c r="ANI738" s="747"/>
      <c r="ANJ738" s="747"/>
      <c r="ANK738" s="747"/>
      <c r="ANL738" s="747"/>
      <c r="ANM738" s="747"/>
      <c r="ANN738" s="747"/>
      <c r="ANO738" s="747"/>
      <c r="ANP738" s="747"/>
      <c r="ANQ738" s="747"/>
      <c r="ANR738" s="747"/>
      <c r="ANS738" s="747"/>
      <c r="ANT738" s="747"/>
      <c r="ANU738" s="747"/>
      <c r="ANV738" s="747"/>
      <c r="ANW738" s="747"/>
      <c r="ANX738" s="747"/>
      <c r="ANY738" s="747"/>
      <c r="ANZ738" s="747"/>
      <c r="AOA738" s="747"/>
      <c r="AOB738" s="747"/>
      <c r="AOC738" s="747"/>
      <c r="AOD738" s="747"/>
      <c r="AOE738" s="747"/>
      <c r="AOF738" s="747"/>
      <c r="AOG738" s="747"/>
      <c r="AOH738" s="747"/>
      <c r="AOI738" s="747"/>
      <c r="AOJ738" s="747"/>
      <c r="AOK738" s="747"/>
      <c r="AOL738" s="747"/>
      <c r="AOM738" s="747"/>
      <c r="AON738" s="747"/>
      <c r="AOO738" s="747"/>
      <c r="AOP738" s="747"/>
      <c r="AOQ738" s="747"/>
      <c r="AOR738" s="747"/>
      <c r="AOS738" s="747"/>
      <c r="AOT738" s="747"/>
      <c r="AOU738" s="747"/>
      <c r="AOV738" s="747"/>
      <c r="AOW738" s="747"/>
      <c r="AOX738" s="747"/>
      <c r="AOY738" s="747"/>
      <c r="AOZ738" s="747"/>
      <c r="APA738" s="747"/>
      <c r="APB738" s="747"/>
      <c r="APC738" s="747"/>
      <c r="APD738" s="747"/>
      <c r="APE738" s="747"/>
      <c r="APF738" s="747"/>
      <c r="APG738" s="747"/>
      <c r="APH738" s="747"/>
      <c r="API738" s="747"/>
      <c r="APJ738" s="747"/>
      <c r="APK738" s="747"/>
      <c r="APL738" s="747"/>
      <c r="APM738" s="747"/>
      <c r="APN738" s="747"/>
      <c r="APO738" s="747"/>
      <c r="APP738" s="747"/>
      <c r="APQ738" s="747"/>
      <c r="APR738" s="747"/>
      <c r="APS738" s="747"/>
      <c r="APT738" s="747"/>
      <c r="APU738" s="747"/>
      <c r="APV738" s="747"/>
      <c r="APW738" s="747"/>
      <c r="APX738" s="747"/>
      <c r="APY738" s="747"/>
      <c r="APZ738" s="747"/>
      <c r="AQA738" s="747"/>
      <c r="AQB738" s="747"/>
      <c r="AQC738" s="747"/>
      <c r="AQD738" s="747"/>
      <c r="AQE738" s="747"/>
      <c r="AQF738" s="747"/>
      <c r="AQG738" s="747"/>
      <c r="AQH738" s="747"/>
      <c r="AQI738" s="747"/>
      <c r="AQJ738" s="747"/>
      <c r="AQK738" s="747"/>
      <c r="AQL738" s="747"/>
      <c r="AQM738" s="747"/>
      <c r="AQN738" s="747"/>
      <c r="AQO738" s="747"/>
      <c r="AQP738" s="747"/>
      <c r="AQQ738" s="747"/>
      <c r="AQR738" s="747"/>
      <c r="AQS738" s="747"/>
      <c r="AQT738" s="747"/>
      <c r="AQU738" s="747"/>
      <c r="AQV738" s="747"/>
      <c r="AQW738" s="747"/>
      <c r="AQX738" s="747"/>
      <c r="AQY738" s="747"/>
      <c r="AQZ738" s="747"/>
      <c r="ARA738" s="747"/>
      <c r="ARB738" s="747"/>
      <c r="ARC738" s="747"/>
      <c r="ARD738" s="747"/>
      <c r="ARE738" s="747"/>
      <c r="ARF738" s="747"/>
      <c r="ARG738" s="747"/>
      <c r="ARH738" s="747"/>
      <c r="ARI738" s="747"/>
      <c r="ARJ738" s="747"/>
      <c r="ARK738" s="747"/>
      <c r="ARL738" s="747"/>
      <c r="ARM738" s="747"/>
      <c r="ARN738" s="747"/>
      <c r="ARO738" s="747"/>
      <c r="ARP738" s="747"/>
      <c r="ARQ738" s="747"/>
      <c r="ARR738" s="747"/>
      <c r="ARS738" s="747"/>
      <c r="ART738" s="747"/>
      <c r="ARU738" s="747"/>
      <c r="ARV738" s="747"/>
      <c r="ARW738" s="747"/>
      <c r="ARX738" s="747"/>
      <c r="ARY738" s="747"/>
      <c r="ARZ738" s="747"/>
      <c r="ASA738" s="747"/>
      <c r="ASB738" s="747"/>
      <c r="ASC738" s="747"/>
      <c r="ASD738" s="747"/>
      <c r="ASE738" s="747"/>
      <c r="ASF738" s="747"/>
      <c r="ASG738" s="747"/>
      <c r="ASH738" s="747"/>
      <c r="ASI738" s="747"/>
      <c r="ASJ738" s="747"/>
      <c r="ASK738" s="747"/>
      <c r="ASL738" s="747"/>
      <c r="ASM738" s="747"/>
      <c r="ASN738" s="747"/>
      <c r="ASO738" s="747"/>
      <c r="ASP738" s="747"/>
      <c r="ASQ738" s="747"/>
      <c r="ASR738" s="747"/>
      <c r="ASS738" s="747"/>
      <c r="AST738" s="747"/>
      <c r="ASU738" s="747"/>
      <c r="ASV738" s="747"/>
      <c r="ASW738" s="747"/>
      <c r="ASX738" s="747"/>
      <c r="ASY738" s="747"/>
      <c r="ASZ738" s="747"/>
      <c r="ATA738" s="747"/>
      <c r="ATB738" s="747"/>
      <c r="ATC738" s="747"/>
      <c r="ATD738" s="747"/>
      <c r="ATE738" s="747"/>
      <c r="ATF738" s="747"/>
      <c r="ATG738" s="747"/>
      <c r="ATH738" s="747"/>
      <c r="ATI738" s="747"/>
      <c r="ATJ738" s="747"/>
      <c r="ATK738" s="747"/>
      <c r="ATL738" s="747"/>
      <c r="ATM738" s="747"/>
      <c r="ATN738" s="747"/>
      <c r="ATO738" s="747"/>
      <c r="ATP738" s="747"/>
      <c r="ATQ738" s="747"/>
      <c r="ATR738" s="747"/>
      <c r="ATS738" s="747"/>
      <c r="ATT738" s="747"/>
      <c r="ATU738" s="747"/>
      <c r="ATV738" s="747"/>
      <c r="ATW738" s="747"/>
      <c r="ATX738" s="747"/>
      <c r="ATY738" s="747"/>
      <c r="ATZ738" s="747"/>
      <c r="AUA738" s="747"/>
      <c r="AUB738" s="747"/>
      <c r="AUC738" s="747"/>
      <c r="AUD738" s="747"/>
      <c r="AUE738" s="747"/>
      <c r="AUF738" s="747"/>
      <c r="AUG738" s="747"/>
      <c r="AUH738" s="747"/>
      <c r="AUI738" s="747"/>
      <c r="AUJ738" s="747"/>
      <c r="AUK738" s="747"/>
      <c r="AUL738" s="747"/>
      <c r="AUM738" s="747"/>
      <c r="AUN738" s="747"/>
      <c r="AUO738" s="747"/>
      <c r="AUP738" s="747"/>
      <c r="AUQ738" s="747"/>
      <c r="AUR738" s="747"/>
      <c r="AUS738" s="747"/>
      <c r="AUT738" s="747"/>
      <c r="AUU738" s="747"/>
      <c r="AUV738" s="747"/>
      <c r="AUW738" s="747"/>
      <c r="AUX738" s="747"/>
      <c r="AUY738" s="747"/>
      <c r="AUZ738" s="747"/>
      <c r="AVA738" s="747"/>
      <c r="AVB738" s="747"/>
      <c r="AVC738" s="747"/>
      <c r="AVD738" s="747"/>
      <c r="AVE738" s="747"/>
      <c r="AVF738" s="747"/>
      <c r="AVG738" s="747"/>
      <c r="AVH738" s="747"/>
      <c r="AVI738" s="747"/>
      <c r="AVJ738" s="747"/>
      <c r="AVK738" s="747"/>
      <c r="AVL738" s="747"/>
      <c r="AVM738" s="747"/>
      <c r="AVN738" s="747"/>
      <c r="AVO738" s="747"/>
      <c r="AVP738" s="747"/>
      <c r="AVQ738" s="747"/>
      <c r="AVR738" s="747"/>
      <c r="AVS738" s="747"/>
      <c r="AVT738" s="747"/>
      <c r="AVU738" s="747"/>
      <c r="AVV738" s="747"/>
      <c r="AVW738" s="747"/>
      <c r="AVX738" s="747"/>
      <c r="AVY738" s="747"/>
      <c r="AVZ738" s="747"/>
      <c r="AWA738" s="747"/>
      <c r="AWB738" s="747"/>
      <c r="AWC738" s="747"/>
      <c r="AWD738" s="747"/>
      <c r="AWE738" s="747"/>
      <c r="AWF738" s="747"/>
      <c r="AWG738" s="747"/>
      <c r="AWH738" s="747"/>
      <c r="AWI738" s="747"/>
      <c r="AWJ738" s="747"/>
      <c r="AWK738" s="747"/>
      <c r="AWL738" s="747"/>
      <c r="AWM738" s="747"/>
      <c r="AWN738" s="747"/>
      <c r="AWO738" s="747"/>
      <c r="AWP738" s="747"/>
      <c r="AWQ738" s="747"/>
      <c r="AWR738" s="747"/>
      <c r="AWS738" s="747"/>
      <c r="AWT738" s="747"/>
      <c r="AWU738" s="747"/>
      <c r="AWV738" s="747"/>
      <c r="AWW738" s="747"/>
      <c r="AWX738" s="747"/>
      <c r="AWY738" s="747"/>
      <c r="AWZ738" s="747"/>
      <c r="AXA738" s="747"/>
      <c r="AXB738" s="747"/>
      <c r="AXC738" s="747"/>
      <c r="AXD738" s="747"/>
      <c r="AXE738" s="747"/>
      <c r="AXF738" s="747"/>
      <c r="AXG738" s="747"/>
      <c r="AXH738" s="747"/>
      <c r="AXI738" s="747"/>
      <c r="AXJ738" s="747"/>
      <c r="AXK738" s="747"/>
      <c r="AXL738" s="747"/>
      <c r="AXM738" s="747"/>
      <c r="AXN738" s="747"/>
      <c r="AXO738" s="747"/>
      <c r="AXP738" s="747"/>
      <c r="AXQ738" s="747"/>
      <c r="AXR738" s="747"/>
      <c r="AXS738" s="747"/>
      <c r="AXT738" s="747"/>
      <c r="AXU738" s="747"/>
      <c r="AXV738" s="747"/>
      <c r="AXW738" s="747"/>
      <c r="AXX738" s="747"/>
      <c r="AXY738" s="747"/>
      <c r="AXZ738" s="747"/>
      <c r="AYA738" s="747"/>
      <c r="AYB738" s="747"/>
      <c r="AYC738" s="747"/>
      <c r="AYD738" s="747"/>
      <c r="AYE738" s="747"/>
      <c r="AYF738" s="747"/>
      <c r="AYG738" s="747"/>
      <c r="AYH738" s="747"/>
      <c r="AYI738" s="747"/>
      <c r="AYJ738" s="747"/>
      <c r="AYK738" s="747"/>
      <c r="AYL738" s="747"/>
      <c r="AYM738" s="747"/>
      <c r="AYN738" s="747"/>
      <c r="AYO738" s="747"/>
      <c r="AYP738" s="747"/>
      <c r="AYQ738" s="747"/>
      <c r="AYR738" s="747"/>
      <c r="AYS738" s="747"/>
      <c r="AYT738" s="747"/>
      <c r="AYU738" s="747"/>
      <c r="AYV738" s="747"/>
      <c r="AYW738" s="747"/>
      <c r="AYX738" s="747"/>
      <c r="AYY738" s="747"/>
      <c r="AYZ738" s="747"/>
      <c r="AZA738" s="747"/>
      <c r="AZB738" s="747"/>
      <c r="AZC738" s="747"/>
      <c r="AZD738" s="747"/>
      <c r="AZE738" s="747"/>
      <c r="AZF738" s="747"/>
      <c r="AZG738" s="747"/>
      <c r="AZH738" s="747"/>
      <c r="AZI738" s="747"/>
      <c r="AZJ738" s="747"/>
      <c r="AZK738" s="747"/>
      <c r="AZL738" s="747"/>
      <c r="AZM738" s="747"/>
      <c r="AZN738" s="747"/>
      <c r="AZO738" s="747"/>
      <c r="AZP738" s="747"/>
      <c r="AZQ738" s="747"/>
      <c r="AZR738" s="747"/>
      <c r="AZS738" s="747"/>
      <c r="AZT738" s="747"/>
      <c r="AZU738" s="747"/>
      <c r="AZV738" s="747"/>
      <c r="AZW738" s="747"/>
      <c r="AZX738" s="747"/>
      <c r="AZY738" s="747"/>
      <c r="AZZ738" s="747"/>
      <c r="BAA738" s="747"/>
      <c r="BAB738" s="747"/>
      <c r="BAC738" s="747"/>
      <c r="BAD738" s="747"/>
      <c r="BAE738" s="747"/>
      <c r="BAF738" s="747"/>
      <c r="BAG738" s="747"/>
      <c r="BAH738" s="747"/>
      <c r="BAI738" s="747"/>
      <c r="BAJ738" s="747"/>
      <c r="BAK738" s="747"/>
      <c r="BAL738" s="747"/>
      <c r="BAM738" s="747"/>
      <c r="BAN738" s="747"/>
      <c r="BAO738" s="747"/>
      <c r="BAP738" s="747"/>
      <c r="BAQ738" s="747"/>
      <c r="BAR738" s="747"/>
      <c r="BAS738" s="747"/>
      <c r="BAT738" s="747"/>
      <c r="BAU738" s="747"/>
      <c r="BAV738" s="747"/>
      <c r="BAW738" s="747"/>
      <c r="BAX738" s="747"/>
      <c r="BAY738" s="747"/>
      <c r="BAZ738" s="747"/>
      <c r="BBA738" s="747"/>
      <c r="BBB738" s="747"/>
      <c r="BBC738" s="747"/>
      <c r="BBD738" s="747"/>
      <c r="BBE738" s="747"/>
      <c r="BBF738" s="747"/>
      <c r="BBG738" s="747"/>
      <c r="BBH738" s="747"/>
      <c r="BBI738" s="747"/>
      <c r="BBJ738" s="747"/>
      <c r="BBK738" s="747"/>
      <c r="BBL738" s="747"/>
      <c r="BBM738" s="747"/>
      <c r="BBN738" s="747"/>
      <c r="BBO738" s="747"/>
      <c r="BBP738" s="747"/>
      <c r="BBQ738" s="747"/>
      <c r="BBR738" s="747"/>
      <c r="BBS738" s="747"/>
      <c r="BBT738" s="747"/>
      <c r="BBU738" s="747"/>
      <c r="BBV738" s="747"/>
      <c r="BBW738" s="747"/>
      <c r="BBX738" s="747"/>
      <c r="BBY738" s="747"/>
      <c r="BBZ738" s="747"/>
      <c r="BCA738" s="747"/>
      <c r="BCB738" s="747"/>
      <c r="BCC738" s="747"/>
      <c r="BCD738" s="747"/>
      <c r="BCE738" s="747"/>
      <c r="BCF738" s="747"/>
      <c r="BCG738" s="747"/>
      <c r="BCH738" s="747"/>
      <c r="BCI738" s="747"/>
      <c r="BCJ738" s="747"/>
      <c r="BCK738" s="747"/>
      <c r="BCL738" s="747"/>
      <c r="BCM738" s="747"/>
      <c r="BCN738" s="747"/>
      <c r="BCO738" s="747"/>
      <c r="BCP738" s="747"/>
      <c r="BCQ738" s="747"/>
      <c r="BCR738" s="747"/>
      <c r="BCS738" s="747"/>
      <c r="BCT738" s="747"/>
      <c r="BCU738" s="747"/>
      <c r="BCV738" s="747"/>
      <c r="BCW738" s="747"/>
      <c r="BCX738" s="747"/>
      <c r="BCY738" s="747"/>
      <c r="BCZ738" s="747"/>
      <c r="BDA738" s="747"/>
      <c r="BDB738" s="747"/>
      <c r="BDC738" s="747"/>
      <c r="BDD738" s="747"/>
      <c r="BDE738" s="747"/>
      <c r="BDF738" s="747"/>
      <c r="BDG738" s="747"/>
      <c r="BDH738" s="747"/>
      <c r="BDI738" s="747"/>
      <c r="BDJ738" s="747"/>
      <c r="BDK738" s="747"/>
      <c r="BDL738" s="747"/>
      <c r="BDM738" s="747"/>
      <c r="BDN738" s="747"/>
      <c r="BDO738" s="747"/>
      <c r="BDP738" s="747"/>
      <c r="BDQ738" s="747"/>
      <c r="BDR738" s="747"/>
      <c r="BDS738" s="747"/>
      <c r="BDT738" s="747"/>
      <c r="BDU738" s="747"/>
      <c r="BDV738" s="747"/>
      <c r="BDW738" s="747"/>
      <c r="BDX738" s="747"/>
      <c r="BDY738" s="747"/>
      <c r="BDZ738" s="747"/>
      <c r="BEA738" s="747"/>
      <c r="BEB738" s="747"/>
      <c r="BEC738" s="747"/>
      <c r="BED738" s="747"/>
      <c r="BEE738" s="747"/>
      <c r="BEF738" s="747"/>
      <c r="BEG738" s="747"/>
      <c r="BEH738" s="747"/>
      <c r="BEI738" s="747"/>
      <c r="BEJ738" s="747"/>
      <c r="BEK738" s="747"/>
      <c r="BEL738" s="747"/>
      <c r="BEM738" s="747"/>
      <c r="BEN738" s="747"/>
      <c r="BEO738" s="747"/>
      <c r="BEP738" s="747"/>
      <c r="BEQ738" s="747"/>
      <c r="BER738" s="747"/>
      <c r="BES738" s="747"/>
      <c r="BET738" s="747"/>
      <c r="BEU738" s="747"/>
      <c r="BEV738" s="747"/>
      <c r="BEW738" s="747"/>
      <c r="BEX738" s="747"/>
      <c r="BEY738" s="747"/>
      <c r="BEZ738" s="747"/>
      <c r="BFA738" s="747"/>
      <c r="BFB738" s="747"/>
      <c r="BFC738" s="747"/>
      <c r="BFD738" s="747"/>
      <c r="BFE738" s="747"/>
      <c r="BFF738" s="747"/>
      <c r="BFG738" s="747"/>
      <c r="BFH738" s="747"/>
      <c r="BFI738" s="747"/>
      <c r="BFJ738" s="747"/>
      <c r="BFK738" s="747"/>
      <c r="BFL738" s="747"/>
      <c r="BFM738" s="747"/>
      <c r="BFN738" s="747"/>
      <c r="BFO738" s="747"/>
      <c r="BFP738" s="747"/>
      <c r="BFQ738" s="747"/>
      <c r="BFR738" s="747"/>
      <c r="BFS738" s="747"/>
      <c r="BFT738" s="747"/>
      <c r="BFU738" s="747"/>
      <c r="BFV738" s="747"/>
      <c r="BFW738" s="747"/>
      <c r="BFX738" s="747"/>
      <c r="BFY738" s="747"/>
      <c r="BFZ738" s="747"/>
      <c r="BGA738" s="747"/>
      <c r="BGB738" s="747"/>
      <c r="BGC738" s="747"/>
      <c r="BGD738" s="747"/>
      <c r="BGE738" s="747"/>
      <c r="BGF738" s="747"/>
      <c r="BGG738" s="747"/>
      <c r="BGH738" s="747"/>
      <c r="BGI738" s="747"/>
      <c r="BGJ738" s="747"/>
      <c r="BGK738" s="747"/>
      <c r="BGL738" s="747"/>
      <c r="BGM738" s="747"/>
      <c r="BGN738" s="747"/>
      <c r="BGO738" s="747"/>
      <c r="BGP738" s="747"/>
      <c r="BGQ738" s="747"/>
      <c r="BGR738" s="747"/>
      <c r="BGS738" s="747"/>
      <c r="BGT738" s="747"/>
      <c r="BGU738" s="747"/>
      <c r="BGV738" s="747"/>
      <c r="BGW738" s="747"/>
      <c r="BGX738" s="747"/>
      <c r="BGY738" s="747"/>
      <c r="BGZ738" s="747"/>
      <c r="BHA738" s="747"/>
      <c r="BHB738" s="747"/>
      <c r="BHC738" s="747"/>
      <c r="BHD738" s="747"/>
      <c r="BHE738" s="747"/>
      <c r="BHF738" s="747"/>
      <c r="BHG738" s="747"/>
      <c r="BHH738" s="747"/>
      <c r="BHI738" s="747"/>
      <c r="BHJ738" s="747"/>
      <c r="BHK738" s="747"/>
      <c r="BHL738" s="747"/>
      <c r="BHM738" s="747"/>
      <c r="BHN738" s="747"/>
      <c r="BHO738" s="747"/>
      <c r="BHP738" s="747"/>
      <c r="BHQ738" s="747"/>
      <c r="BHR738" s="747"/>
      <c r="BHS738" s="747"/>
      <c r="BHT738" s="747"/>
      <c r="BHU738" s="747"/>
      <c r="BHV738" s="747"/>
      <c r="BHW738" s="747"/>
      <c r="BHX738" s="747"/>
      <c r="BHY738" s="747"/>
      <c r="BHZ738" s="747"/>
      <c r="BIA738" s="747"/>
      <c r="BIB738" s="747"/>
      <c r="BIC738" s="747"/>
      <c r="BID738" s="747"/>
      <c r="BIE738" s="747"/>
      <c r="BIF738" s="747"/>
      <c r="BIG738" s="747"/>
      <c r="BIH738" s="747"/>
      <c r="BII738" s="747"/>
      <c r="BIJ738" s="747"/>
      <c r="BIK738" s="747"/>
      <c r="BIL738" s="747"/>
      <c r="BIM738" s="747"/>
      <c r="BIN738" s="747"/>
      <c r="BIO738" s="747"/>
      <c r="BIP738" s="747"/>
      <c r="BIQ738" s="747"/>
      <c r="BIR738" s="747"/>
      <c r="BIS738" s="747"/>
      <c r="BIT738" s="747"/>
      <c r="BIU738" s="747"/>
      <c r="BIV738" s="747"/>
      <c r="BIW738" s="747"/>
      <c r="BIX738" s="747"/>
      <c r="BIY738" s="747"/>
      <c r="BIZ738" s="747"/>
      <c r="BJA738" s="747"/>
      <c r="BJB738" s="747"/>
      <c r="BJC738" s="747"/>
      <c r="BJD738" s="747"/>
      <c r="BJE738" s="747"/>
      <c r="BJF738" s="747"/>
      <c r="BJG738" s="747"/>
      <c r="BJH738" s="747"/>
      <c r="BJI738" s="747"/>
      <c r="BJJ738" s="747"/>
      <c r="BJK738" s="747"/>
      <c r="BJL738" s="747"/>
      <c r="BJM738" s="747"/>
      <c r="BJN738" s="747"/>
      <c r="BJO738" s="747"/>
      <c r="BJP738" s="747"/>
      <c r="BJQ738" s="747"/>
      <c r="BJR738" s="747"/>
      <c r="BJS738" s="747"/>
      <c r="BJT738" s="747"/>
      <c r="BJU738" s="747"/>
      <c r="BJV738" s="747"/>
      <c r="BJW738" s="747"/>
      <c r="BJX738" s="747"/>
      <c r="BJY738" s="747"/>
      <c r="BJZ738" s="747"/>
      <c r="BKA738" s="747"/>
      <c r="BKB738" s="747"/>
      <c r="BKC738" s="747"/>
      <c r="BKD738" s="747"/>
      <c r="BKE738" s="747"/>
      <c r="BKF738" s="747"/>
      <c r="BKG738" s="747"/>
      <c r="BKH738" s="747"/>
      <c r="BKI738" s="747"/>
      <c r="BKJ738" s="747"/>
      <c r="BKK738" s="747"/>
      <c r="BKL738" s="747"/>
      <c r="BKM738" s="747"/>
      <c r="BKN738" s="747"/>
      <c r="BKO738" s="747"/>
      <c r="BKP738" s="747"/>
      <c r="BKQ738" s="747"/>
      <c r="BKR738" s="747"/>
      <c r="BKS738" s="747"/>
      <c r="BKT738" s="747"/>
      <c r="BKU738" s="747"/>
      <c r="BKV738" s="747"/>
      <c r="BKW738" s="747"/>
      <c r="BKX738" s="747"/>
      <c r="BKY738" s="747"/>
      <c r="BKZ738" s="747"/>
      <c r="BLA738" s="747"/>
      <c r="BLB738" s="747"/>
      <c r="BLC738" s="747"/>
      <c r="BLD738" s="747"/>
      <c r="BLE738" s="747"/>
      <c r="BLF738" s="747"/>
      <c r="BLG738" s="747"/>
      <c r="BLH738" s="747"/>
      <c r="BLI738" s="747"/>
      <c r="BLJ738" s="747"/>
      <c r="BLK738" s="747"/>
      <c r="BLL738" s="747"/>
      <c r="BLM738" s="747"/>
      <c r="BLN738" s="747"/>
      <c r="BLO738" s="747"/>
      <c r="BLP738" s="747"/>
      <c r="BLQ738" s="747"/>
      <c r="BLR738" s="747"/>
      <c r="BLS738" s="747"/>
      <c r="BLT738" s="747"/>
      <c r="BLU738" s="747"/>
      <c r="BLV738" s="747"/>
      <c r="BLW738" s="747"/>
      <c r="BLX738" s="747"/>
      <c r="BLY738" s="747"/>
      <c r="BLZ738" s="747"/>
      <c r="BMA738" s="747"/>
      <c r="BMB738" s="747"/>
      <c r="BMC738" s="747"/>
      <c r="BMD738" s="747"/>
      <c r="BME738" s="747"/>
      <c r="BMF738" s="747"/>
      <c r="BMG738" s="747"/>
      <c r="BMH738" s="747"/>
      <c r="BMI738" s="747"/>
      <c r="BMJ738" s="747"/>
      <c r="BMK738" s="747"/>
      <c r="BML738" s="747"/>
      <c r="BMM738" s="747"/>
      <c r="BMN738" s="747"/>
      <c r="BMO738" s="747"/>
      <c r="BMP738" s="747"/>
      <c r="BMQ738" s="747"/>
      <c r="BMR738" s="747"/>
      <c r="BMS738" s="747"/>
      <c r="BMT738" s="747"/>
      <c r="BMU738" s="747"/>
      <c r="BMV738" s="747"/>
      <c r="BMW738" s="747"/>
      <c r="BMX738" s="747"/>
      <c r="BMY738" s="747"/>
      <c r="BMZ738" s="747"/>
      <c r="BNA738" s="747"/>
      <c r="BNB738" s="747"/>
      <c r="BNC738" s="747"/>
      <c r="BND738" s="747"/>
      <c r="BNE738" s="747"/>
      <c r="BNF738" s="747"/>
      <c r="BNG738" s="747"/>
      <c r="BNH738" s="747"/>
      <c r="BNI738" s="747"/>
      <c r="BNJ738" s="747"/>
      <c r="BNK738" s="747"/>
      <c r="BNL738" s="747"/>
      <c r="BNM738" s="747"/>
      <c r="BNN738" s="747"/>
      <c r="BNO738" s="747"/>
      <c r="BNP738" s="747"/>
      <c r="BNQ738" s="747"/>
      <c r="BNR738" s="747"/>
      <c r="BNS738" s="747"/>
      <c r="BNT738" s="747"/>
      <c r="BNU738" s="747"/>
      <c r="BNV738" s="747"/>
      <c r="BNW738" s="747"/>
      <c r="BNX738" s="747"/>
      <c r="BNY738" s="747"/>
      <c r="BNZ738" s="747"/>
      <c r="BOA738" s="747"/>
      <c r="BOB738" s="747"/>
      <c r="BOC738" s="747"/>
      <c r="BOD738" s="747"/>
      <c r="BOE738" s="747"/>
      <c r="BOF738" s="747"/>
      <c r="BOG738" s="747"/>
      <c r="BOH738" s="747"/>
      <c r="BOI738" s="747"/>
      <c r="BOJ738" s="747"/>
      <c r="BOK738" s="747"/>
      <c r="BOL738" s="747"/>
      <c r="BOM738" s="747"/>
      <c r="BON738" s="747"/>
      <c r="BOO738" s="747"/>
      <c r="BOP738" s="747"/>
      <c r="BOQ738" s="747"/>
      <c r="BOR738" s="747"/>
      <c r="BOS738" s="747"/>
      <c r="BOT738" s="747"/>
      <c r="BOU738" s="747"/>
      <c r="BOV738" s="747"/>
      <c r="BOW738" s="747"/>
      <c r="BOX738" s="747"/>
      <c r="BOY738" s="747"/>
      <c r="BOZ738" s="747"/>
      <c r="BPA738" s="747"/>
      <c r="BPB738" s="747"/>
      <c r="BPC738" s="747"/>
      <c r="BPD738" s="747"/>
      <c r="BPE738" s="747"/>
      <c r="BPF738" s="747"/>
      <c r="BPG738" s="747"/>
      <c r="BPH738" s="747"/>
      <c r="BPI738" s="747"/>
      <c r="BPJ738" s="747"/>
      <c r="BPK738" s="747"/>
      <c r="BPL738" s="747"/>
      <c r="BPM738" s="747"/>
      <c r="BPN738" s="747"/>
      <c r="BPO738" s="747"/>
      <c r="BPP738" s="747"/>
      <c r="BPQ738" s="747"/>
      <c r="BPR738" s="747"/>
      <c r="BPS738" s="747"/>
      <c r="BPT738" s="747"/>
      <c r="BPU738" s="747"/>
      <c r="BPV738" s="747"/>
      <c r="BPW738" s="747"/>
      <c r="BPX738" s="747"/>
      <c r="BPY738" s="747"/>
      <c r="BPZ738" s="747"/>
      <c r="BQA738" s="747"/>
      <c r="BQB738" s="747"/>
      <c r="BQC738" s="747"/>
      <c r="BQD738" s="747"/>
      <c r="BQE738" s="747"/>
      <c r="BQF738" s="747"/>
      <c r="BQG738" s="747"/>
      <c r="BQH738" s="747"/>
      <c r="BQI738" s="747"/>
      <c r="BQJ738" s="747"/>
      <c r="BQK738" s="747"/>
      <c r="BQL738" s="747"/>
      <c r="BQM738" s="747"/>
      <c r="BQN738" s="747"/>
      <c r="BQO738" s="747"/>
      <c r="BQP738" s="747"/>
      <c r="BQQ738" s="747"/>
      <c r="BQR738" s="747"/>
      <c r="BQS738" s="747"/>
      <c r="BQT738" s="747"/>
      <c r="BQU738" s="747"/>
      <c r="BQV738" s="747"/>
      <c r="BQW738" s="747"/>
      <c r="BQX738" s="747"/>
      <c r="BQY738" s="747"/>
      <c r="BQZ738" s="747"/>
      <c r="BRA738" s="747"/>
      <c r="BRB738" s="747"/>
      <c r="BRC738" s="747"/>
      <c r="BRD738" s="747"/>
      <c r="BRE738" s="747"/>
      <c r="BRF738" s="747"/>
      <c r="BRG738" s="747"/>
      <c r="BRH738" s="747"/>
      <c r="BRI738" s="747"/>
      <c r="BRJ738" s="747"/>
      <c r="BRK738" s="747"/>
      <c r="BRL738" s="747"/>
      <c r="BRM738" s="747"/>
      <c r="BRN738" s="747"/>
      <c r="BRO738" s="747"/>
      <c r="BRP738" s="747"/>
      <c r="BRQ738" s="747"/>
      <c r="BRR738" s="747"/>
      <c r="BRS738" s="747"/>
      <c r="BRT738" s="747"/>
      <c r="BRU738" s="747"/>
      <c r="BRV738" s="747"/>
      <c r="BRW738" s="747"/>
      <c r="BRX738" s="747"/>
      <c r="BRY738" s="747"/>
      <c r="BRZ738" s="747"/>
      <c r="BSA738" s="747"/>
      <c r="BSB738" s="747"/>
      <c r="BSC738" s="747"/>
      <c r="BSD738" s="747"/>
      <c r="BSE738" s="747"/>
      <c r="BSF738" s="747"/>
      <c r="BSG738" s="747"/>
      <c r="BSH738" s="747"/>
      <c r="BSI738" s="747"/>
      <c r="BSJ738" s="747"/>
      <c r="BSK738" s="747"/>
      <c r="BSL738" s="747"/>
      <c r="BSM738" s="747"/>
      <c r="BSN738" s="747"/>
      <c r="BSO738" s="747"/>
      <c r="BSP738" s="747"/>
      <c r="BSQ738" s="747"/>
      <c r="BSR738" s="747"/>
      <c r="BSS738" s="747"/>
      <c r="BST738" s="747"/>
      <c r="BSU738" s="747"/>
      <c r="BSV738" s="747"/>
      <c r="BSW738" s="747"/>
      <c r="BSX738" s="747"/>
      <c r="BSY738" s="747"/>
      <c r="BSZ738" s="747"/>
      <c r="BTA738" s="747"/>
      <c r="BTB738" s="747"/>
      <c r="BTC738" s="747"/>
      <c r="BTD738" s="747"/>
      <c r="BTE738" s="747"/>
      <c r="BTF738" s="747"/>
      <c r="BTG738" s="747"/>
      <c r="BTH738" s="747"/>
      <c r="BTI738" s="747"/>
      <c r="BTJ738" s="747"/>
      <c r="BTK738" s="747"/>
      <c r="BTL738" s="747"/>
      <c r="BTM738" s="747"/>
      <c r="BTN738" s="747"/>
      <c r="BTO738" s="747"/>
      <c r="BTP738" s="747"/>
      <c r="BTQ738" s="747"/>
      <c r="BTR738" s="747"/>
      <c r="BTS738" s="747"/>
      <c r="BTT738" s="747"/>
      <c r="BTU738" s="747"/>
      <c r="BTV738" s="747"/>
      <c r="BTW738" s="747"/>
      <c r="BTX738" s="747"/>
      <c r="BTY738" s="747"/>
      <c r="BTZ738" s="747"/>
      <c r="BUA738" s="747"/>
      <c r="BUB738" s="747"/>
      <c r="BUC738" s="747"/>
      <c r="BUD738" s="747"/>
      <c r="BUE738" s="747"/>
      <c r="BUF738" s="747"/>
      <c r="BUG738" s="747"/>
      <c r="BUH738" s="747"/>
      <c r="BUI738" s="747"/>
      <c r="BUJ738" s="747"/>
      <c r="BUK738" s="747"/>
      <c r="BUL738" s="747"/>
      <c r="BUM738" s="747"/>
      <c r="BUN738" s="747"/>
      <c r="BUO738" s="747"/>
      <c r="BUP738" s="747"/>
      <c r="BUQ738" s="747"/>
      <c r="BUR738" s="747"/>
      <c r="BUS738" s="747"/>
      <c r="BUT738" s="747"/>
      <c r="BUU738" s="747"/>
      <c r="BUV738" s="747"/>
      <c r="BUW738" s="747"/>
      <c r="BUX738" s="747"/>
      <c r="BUY738" s="747"/>
      <c r="BUZ738" s="747"/>
      <c r="BVA738" s="747"/>
      <c r="BVB738" s="747"/>
      <c r="BVC738" s="747"/>
      <c r="BVD738" s="747"/>
      <c r="BVE738" s="747"/>
      <c r="BVF738" s="747"/>
      <c r="BVG738" s="747"/>
      <c r="BVH738" s="747"/>
      <c r="BVI738" s="747"/>
      <c r="BVJ738" s="747"/>
      <c r="BVK738" s="747"/>
      <c r="BVL738" s="747"/>
      <c r="BVM738" s="747"/>
      <c r="BVN738" s="747"/>
      <c r="BVO738" s="747"/>
      <c r="BVP738" s="747"/>
      <c r="BVQ738" s="747"/>
      <c r="BVR738" s="747"/>
      <c r="BVS738" s="747"/>
      <c r="BVT738" s="747"/>
      <c r="BVU738" s="747"/>
      <c r="BVV738" s="747"/>
      <c r="BVW738" s="747"/>
      <c r="BVX738" s="747"/>
      <c r="BVY738" s="747"/>
      <c r="BVZ738" s="747"/>
      <c r="BWA738" s="747"/>
      <c r="BWB738" s="747"/>
      <c r="BWC738" s="747"/>
      <c r="BWD738" s="747"/>
      <c r="BWE738" s="747"/>
      <c r="BWF738" s="747"/>
      <c r="BWG738" s="747"/>
      <c r="BWH738" s="747"/>
      <c r="BWI738" s="747"/>
      <c r="BWJ738" s="747"/>
      <c r="BWK738" s="747"/>
      <c r="BWL738" s="747"/>
      <c r="BWM738" s="747"/>
      <c r="BWN738" s="747"/>
      <c r="BWO738" s="747"/>
      <c r="BWP738" s="747"/>
      <c r="BWQ738" s="747"/>
      <c r="BWR738" s="747"/>
      <c r="BWS738" s="747"/>
      <c r="BWT738" s="747"/>
      <c r="BWU738" s="747"/>
      <c r="BWV738" s="747"/>
      <c r="BWW738" s="747"/>
      <c r="BWX738" s="747"/>
      <c r="BWY738" s="747"/>
      <c r="BWZ738" s="747"/>
      <c r="BXA738" s="747"/>
      <c r="BXB738" s="747"/>
      <c r="BXC738" s="747"/>
      <c r="BXD738" s="747"/>
      <c r="BXE738" s="747"/>
      <c r="BXF738" s="747"/>
      <c r="BXG738" s="747"/>
      <c r="BXH738" s="747"/>
      <c r="BXI738" s="747"/>
      <c r="BXJ738" s="747"/>
      <c r="BXK738" s="747"/>
      <c r="BXL738" s="747"/>
      <c r="BXM738" s="747"/>
      <c r="BXN738" s="747"/>
      <c r="BXO738" s="747"/>
      <c r="BXP738" s="747"/>
      <c r="BXQ738" s="747"/>
      <c r="BXR738" s="747"/>
      <c r="BXS738" s="747"/>
      <c r="BXT738" s="747"/>
      <c r="BXU738" s="747"/>
      <c r="BXV738" s="747"/>
      <c r="BXW738" s="747"/>
      <c r="BXX738" s="747"/>
      <c r="BXY738" s="747"/>
      <c r="BXZ738" s="747"/>
      <c r="BYA738" s="747"/>
      <c r="BYB738" s="747"/>
      <c r="BYC738" s="747"/>
      <c r="BYD738" s="747"/>
      <c r="BYE738" s="747"/>
      <c r="BYF738" s="747"/>
      <c r="BYG738" s="747"/>
      <c r="BYH738" s="747"/>
      <c r="BYI738" s="747"/>
      <c r="BYJ738" s="747"/>
      <c r="BYK738" s="747"/>
      <c r="BYL738" s="747"/>
      <c r="BYM738" s="747"/>
      <c r="BYN738" s="747"/>
      <c r="BYO738" s="747"/>
      <c r="BYP738" s="747"/>
      <c r="BYQ738" s="747"/>
      <c r="BYR738" s="747"/>
      <c r="BYS738" s="747"/>
      <c r="BYT738" s="747"/>
      <c r="BYU738" s="747"/>
      <c r="BYV738" s="747"/>
      <c r="BYW738" s="747"/>
      <c r="BYX738" s="747"/>
      <c r="BYY738" s="747"/>
      <c r="BYZ738" s="747"/>
      <c r="BZA738" s="747"/>
      <c r="BZB738" s="747"/>
      <c r="BZC738" s="747"/>
      <c r="BZD738" s="747"/>
      <c r="BZE738" s="747"/>
      <c r="BZF738" s="747"/>
      <c r="BZG738" s="747"/>
      <c r="BZH738" s="747"/>
      <c r="BZI738" s="747"/>
      <c r="BZJ738" s="747"/>
      <c r="BZK738" s="747"/>
      <c r="BZL738" s="747"/>
      <c r="BZM738" s="747"/>
      <c r="BZN738" s="747"/>
      <c r="BZO738" s="747"/>
      <c r="BZP738" s="747"/>
      <c r="BZQ738" s="747"/>
      <c r="BZR738" s="747"/>
      <c r="BZS738" s="747"/>
      <c r="BZT738" s="747"/>
      <c r="BZU738" s="747"/>
      <c r="BZV738" s="747"/>
      <c r="BZW738" s="747"/>
      <c r="BZX738" s="747"/>
      <c r="BZY738" s="747"/>
      <c r="BZZ738" s="747"/>
      <c r="CAA738" s="747"/>
      <c r="CAB738" s="747"/>
      <c r="CAC738" s="747"/>
      <c r="CAD738" s="747"/>
      <c r="CAE738" s="747"/>
      <c r="CAF738" s="747"/>
      <c r="CAG738" s="747"/>
      <c r="CAH738" s="747"/>
      <c r="CAI738" s="747"/>
      <c r="CAJ738" s="747"/>
      <c r="CAK738" s="747"/>
      <c r="CAL738" s="747"/>
      <c r="CAM738" s="747"/>
      <c r="CAN738" s="747"/>
      <c r="CAO738" s="747"/>
      <c r="CAP738" s="747"/>
      <c r="CAQ738" s="747"/>
      <c r="CAR738" s="747"/>
      <c r="CAS738" s="747"/>
      <c r="CAT738" s="747"/>
      <c r="CAU738" s="747"/>
      <c r="CAV738" s="747"/>
      <c r="CAW738" s="747"/>
      <c r="CAX738" s="747"/>
      <c r="CAY738" s="747"/>
      <c r="CAZ738" s="747"/>
      <c r="CBA738" s="747"/>
      <c r="CBB738" s="747"/>
      <c r="CBC738" s="747"/>
      <c r="CBD738" s="747"/>
      <c r="CBE738" s="747"/>
      <c r="CBF738" s="747"/>
      <c r="CBG738" s="747"/>
      <c r="CBH738" s="747"/>
      <c r="CBI738" s="747"/>
      <c r="CBJ738" s="747"/>
      <c r="CBK738" s="747"/>
      <c r="CBL738" s="747"/>
      <c r="CBM738" s="747"/>
      <c r="CBN738" s="747"/>
      <c r="CBO738" s="747"/>
      <c r="CBP738" s="747"/>
      <c r="CBQ738" s="747"/>
      <c r="CBR738" s="747"/>
      <c r="CBS738" s="747"/>
      <c r="CBT738" s="747"/>
      <c r="CBU738" s="747"/>
      <c r="CBV738" s="747"/>
      <c r="CBW738" s="747"/>
      <c r="CBX738" s="747"/>
      <c r="CBY738" s="747"/>
      <c r="CBZ738" s="747"/>
      <c r="CCA738" s="747"/>
      <c r="CCB738" s="747"/>
      <c r="CCC738" s="747"/>
      <c r="CCD738" s="747"/>
      <c r="CCE738" s="747"/>
      <c r="CCF738" s="747"/>
      <c r="CCG738" s="747"/>
      <c r="CCH738" s="747"/>
      <c r="CCI738" s="747"/>
      <c r="CCJ738" s="747"/>
      <c r="CCK738" s="747"/>
      <c r="CCL738" s="747"/>
      <c r="CCM738" s="747"/>
      <c r="CCN738" s="747"/>
      <c r="CCO738" s="747"/>
      <c r="CCP738" s="747"/>
      <c r="CCQ738" s="747"/>
      <c r="CCR738" s="747"/>
      <c r="CCS738" s="747"/>
      <c r="CCT738" s="747"/>
      <c r="CCU738" s="747"/>
      <c r="CCV738" s="747"/>
      <c r="CCW738" s="747"/>
      <c r="CCX738" s="747"/>
      <c r="CCY738" s="747"/>
      <c r="CCZ738" s="747"/>
      <c r="CDA738" s="747"/>
      <c r="CDB738" s="747"/>
      <c r="CDC738" s="747"/>
      <c r="CDD738" s="747"/>
      <c r="CDE738" s="747"/>
      <c r="CDF738" s="747"/>
      <c r="CDG738" s="747"/>
      <c r="CDH738" s="747"/>
      <c r="CDI738" s="747"/>
      <c r="CDJ738" s="747"/>
      <c r="CDK738" s="747"/>
      <c r="CDL738" s="747"/>
      <c r="CDM738" s="747"/>
      <c r="CDN738" s="747"/>
      <c r="CDO738" s="747"/>
      <c r="CDP738" s="747"/>
      <c r="CDQ738" s="747"/>
      <c r="CDR738" s="747"/>
      <c r="CDS738" s="747"/>
      <c r="CDT738" s="747"/>
      <c r="CDU738" s="747"/>
      <c r="CDV738" s="747"/>
      <c r="CDW738" s="747"/>
      <c r="CDX738" s="747"/>
      <c r="CDY738" s="747"/>
      <c r="CDZ738" s="747"/>
      <c r="CEA738" s="747"/>
      <c r="CEB738" s="747"/>
      <c r="CEC738" s="747"/>
      <c r="CED738" s="747"/>
      <c r="CEE738" s="747"/>
      <c r="CEF738" s="747"/>
      <c r="CEG738" s="747"/>
      <c r="CEH738" s="747"/>
      <c r="CEI738" s="747"/>
      <c r="CEJ738" s="747"/>
      <c r="CEK738" s="747"/>
      <c r="CEL738" s="747"/>
      <c r="CEM738" s="747"/>
      <c r="CEN738" s="747"/>
      <c r="CEO738" s="747"/>
      <c r="CEP738" s="747"/>
      <c r="CEQ738" s="747"/>
      <c r="CER738" s="747"/>
      <c r="CES738" s="747"/>
      <c r="CET738" s="747"/>
      <c r="CEU738" s="747"/>
      <c r="CEV738" s="747"/>
      <c r="CEW738" s="747"/>
      <c r="CEX738" s="747"/>
      <c r="CEY738" s="747"/>
      <c r="CEZ738" s="747"/>
      <c r="CFA738" s="747"/>
      <c r="CFB738" s="747"/>
      <c r="CFC738" s="747"/>
      <c r="CFD738" s="747"/>
      <c r="CFE738" s="747"/>
      <c r="CFF738" s="747"/>
      <c r="CFG738" s="747"/>
      <c r="CFH738" s="747"/>
      <c r="CFI738" s="747"/>
      <c r="CFJ738" s="747"/>
      <c r="CFK738" s="747"/>
      <c r="CFL738" s="747"/>
      <c r="CFM738" s="747"/>
      <c r="CFN738" s="747"/>
      <c r="CFO738" s="747"/>
      <c r="CFP738" s="747"/>
      <c r="CFQ738" s="747"/>
      <c r="CFR738" s="747"/>
      <c r="CFS738" s="747"/>
      <c r="CFT738" s="747"/>
      <c r="CFU738" s="747"/>
      <c r="CFV738" s="747"/>
      <c r="CFW738" s="747"/>
      <c r="CFX738" s="747"/>
      <c r="CFY738" s="747"/>
      <c r="CFZ738" s="747"/>
      <c r="CGA738" s="747"/>
      <c r="CGB738" s="747"/>
      <c r="CGC738" s="747"/>
      <c r="CGD738" s="747"/>
      <c r="CGE738" s="747"/>
      <c r="CGF738" s="747"/>
      <c r="CGG738" s="747"/>
      <c r="CGH738" s="747"/>
      <c r="CGI738" s="747"/>
      <c r="CGJ738" s="747"/>
      <c r="CGK738" s="747"/>
      <c r="CGL738" s="747"/>
      <c r="CGM738" s="747"/>
      <c r="CGN738" s="747"/>
      <c r="CGO738" s="747"/>
      <c r="CGP738" s="747"/>
      <c r="CGQ738" s="747"/>
      <c r="CGR738" s="747"/>
      <c r="CGS738" s="747"/>
      <c r="CGT738" s="747"/>
      <c r="CGU738" s="747"/>
      <c r="CGV738" s="747"/>
      <c r="CGW738" s="747"/>
      <c r="CGX738" s="747"/>
      <c r="CGY738" s="747"/>
      <c r="CGZ738" s="747"/>
      <c r="CHA738" s="747"/>
      <c r="CHB738" s="747"/>
      <c r="CHC738" s="747"/>
      <c r="CHD738" s="747"/>
      <c r="CHE738" s="747"/>
      <c r="CHF738" s="747"/>
      <c r="CHG738" s="747"/>
      <c r="CHH738" s="747"/>
      <c r="CHI738" s="747"/>
      <c r="CHJ738" s="747"/>
      <c r="CHK738" s="747"/>
      <c r="CHL738" s="747"/>
      <c r="CHM738" s="747"/>
      <c r="CHN738" s="747"/>
      <c r="CHO738" s="747"/>
      <c r="CHP738" s="747"/>
      <c r="CHQ738" s="747"/>
      <c r="CHR738" s="747"/>
      <c r="CHS738" s="747"/>
      <c r="CHT738" s="747"/>
      <c r="CHU738" s="747"/>
      <c r="CHV738" s="747"/>
      <c r="CHW738" s="747"/>
      <c r="CHX738" s="747"/>
      <c r="CHY738" s="747"/>
      <c r="CHZ738" s="747"/>
      <c r="CIA738" s="747"/>
      <c r="CIB738" s="747"/>
      <c r="CIC738" s="747"/>
      <c r="CID738" s="747"/>
      <c r="CIE738" s="747"/>
      <c r="CIF738" s="747"/>
      <c r="CIG738" s="747"/>
      <c r="CIH738" s="747"/>
      <c r="CII738" s="747"/>
      <c r="CIJ738" s="747"/>
      <c r="CIK738" s="747"/>
      <c r="CIL738" s="747"/>
      <c r="CIM738" s="747"/>
      <c r="CIN738" s="747"/>
      <c r="CIO738" s="747"/>
      <c r="CIP738" s="747"/>
      <c r="CIQ738" s="747"/>
      <c r="CIR738" s="747"/>
      <c r="CIS738" s="747"/>
      <c r="CIT738" s="747"/>
      <c r="CIU738" s="747"/>
      <c r="CIV738" s="747"/>
      <c r="CIW738" s="747"/>
      <c r="CIX738" s="747"/>
      <c r="CIY738" s="747"/>
      <c r="CIZ738" s="747"/>
      <c r="CJA738" s="747"/>
      <c r="CJB738" s="747"/>
      <c r="CJC738" s="747"/>
      <c r="CJD738" s="747"/>
      <c r="CJE738" s="747"/>
      <c r="CJF738" s="747"/>
      <c r="CJG738" s="747"/>
      <c r="CJH738" s="747"/>
      <c r="CJI738" s="747"/>
      <c r="CJJ738" s="747"/>
      <c r="CJK738" s="747"/>
      <c r="CJL738" s="747"/>
      <c r="CJM738" s="747"/>
      <c r="CJN738" s="747"/>
      <c r="CJO738" s="747"/>
      <c r="CJP738" s="747"/>
      <c r="CJQ738" s="747"/>
      <c r="CJR738" s="747"/>
      <c r="CJS738" s="747"/>
      <c r="CJT738" s="747"/>
      <c r="CJU738" s="747"/>
      <c r="CJV738" s="747"/>
      <c r="CJW738" s="747"/>
      <c r="CJX738" s="747"/>
      <c r="CJY738" s="747"/>
      <c r="CJZ738" s="747"/>
      <c r="CKA738" s="747"/>
      <c r="CKB738" s="747"/>
      <c r="CKC738" s="747"/>
      <c r="CKD738" s="747"/>
      <c r="CKE738" s="747"/>
      <c r="CKF738" s="747"/>
      <c r="CKG738" s="747"/>
      <c r="CKH738" s="747"/>
      <c r="CKI738" s="747"/>
      <c r="CKJ738" s="747"/>
      <c r="CKK738" s="747"/>
      <c r="CKL738" s="747"/>
      <c r="CKM738" s="747"/>
      <c r="CKN738" s="747"/>
      <c r="CKO738" s="747"/>
      <c r="CKP738" s="747"/>
      <c r="CKQ738" s="747"/>
      <c r="CKR738" s="747"/>
      <c r="CKS738" s="747"/>
      <c r="CKT738" s="747"/>
      <c r="CKU738" s="747"/>
      <c r="CKV738" s="747"/>
      <c r="CKW738" s="747"/>
      <c r="CKX738" s="747"/>
      <c r="CKY738" s="747"/>
      <c r="CKZ738" s="747"/>
      <c r="CLA738" s="747"/>
      <c r="CLB738" s="747"/>
      <c r="CLC738" s="747"/>
      <c r="CLD738" s="747"/>
      <c r="CLE738" s="747"/>
      <c r="CLF738" s="747"/>
      <c r="CLG738" s="747"/>
      <c r="CLH738" s="747"/>
      <c r="CLI738" s="747"/>
      <c r="CLJ738" s="747"/>
      <c r="CLK738" s="747"/>
      <c r="CLL738" s="747"/>
      <c r="CLM738" s="747"/>
      <c r="CLN738" s="747"/>
      <c r="CLO738" s="747"/>
      <c r="CLP738" s="747"/>
      <c r="CLQ738" s="747"/>
      <c r="CLR738" s="747"/>
      <c r="CLS738" s="747"/>
      <c r="CLT738" s="747"/>
      <c r="CLU738" s="747"/>
      <c r="CLV738" s="747"/>
      <c r="CLW738" s="747"/>
      <c r="CLX738" s="747"/>
      <c r="CLY738" s="747"/>
      <c r="CLZ738" s="747"/>
      <c r="CMA738" s="747"/>
      <c r="CMB738" s="747"/>
      <c r="CMC738" s="747"/>
      <c r="CMD738" s="747"/>
      <c r="CME738" s="747"/>
      <c r="CMF738" s="747"/>
      <c r="CMG738" s="747"/>
      <c r="CMH738" s="747"/>
      <c r="CMI738" s="747"/>
      <c r="CMJ738" s="747"/>
      <c r="CMK738" s="747"/>
      <c r="CML738" s="747"/>
      <c r="CMM738" s="747"/>
      <c r="CMN738" s="747"/>
      <c r="CMO738" s="747"/>
      <c r="CMP738" s="747"/>
      <c r="CMQ738" s="747"/>
      <c r="CMR738" s="747"/>
      <c r="CMS738" s="747"/>
      <c r="CMT738" s="747"/>
      <c r="CMU738" s="747"/>
      <c r="CMV738" s="747"/>
      <c r="CMW738" s="747"/>
      <c r="CMX738" s="747"/>
      <c r="CMY738" s="747"/>
      <c r="CMZ738" s="747"/>
      <c r="CNA738" s="747"/>
      <c r="CNB738" s="747"/>
      <c r="CNC738" s="747"/>
      <c r="CND738" s="747"/>
      <c r="CNE738" s="747"/>
      <c r="CNF738" s="747"/>
      <c r="CNG738" s="747"/>
      <c r="CNH738" s="747"/>
      <c r="CNI738" s="747"/>
      <c r="CNJ738" s="747"/>
      <c r="CNK738" s="747"/>
      <c r="CNL738" s="747"/>
      <c r="CNM738" s="747"/>
      <c r="CNN738" s="747"/>
      <c r="CNO738" s="747"/>
      <c r="CNP738" s="747"/>
      <c r="CNQ738" s="747"/>
      <c r="CNR738" s="747"/>
      <c r="CNS738" s="747"/>
      <c r="CNT738" s="747"/>
      <c r="CNU738" s="747"/>
      <c r="CNV738" s="747"/>
      <c r="CNW738" s="747"/>
      <c r="CNX738" s="747"/>
      <c r="CNY738" s="747"/>
      <c r="CNZ738" s="747"/>
      <c r="COA738" s="747"/>
      <c r="COB738" s="747"/>
      <c r="COC738" s="747"/>
      <c r="COD738" s="747"/>
      <c r="COE738" s="747"/>
      <c r="COF738" s="747"/>
      <c r="COG738" s="747"/>
      <c r="COH738" s="747"/>
      <c r="COI738" s="747"/>
      <c r="COJ738" s="747"/>
      <c r="COK738" s="747"/>
      <c r="COL738" s="747"/>
      <c r="COM738" s="747"/>
      <c r="CON738" s="747"/>
      <c r="COO738" s="747"/>
      <c r="COP738" s="747"/>
      <c r="COQ738" s="747"/>
      <c r="COR738" s="747"/>
      <c r="COS738" s="747"/>
      <c r="COT738" s="747"/>
      <c r="COU738" s="747"/>
      <c r="COV738" s="747"/>
      <c r="COW738" s="747"/>
      <c r="COX738" s="747"/>
      <c r="COY738" s="747"/>
      <c r="COZ738" s="747"/>
      <c r="CPA738" s="747"/>
      <c r="CPB738" s="747"/>
      <c r="CPC738" s="747"/>
      <c r="CPD738" s="747"/>
      <c r="CPE738" s="747"/>
      <c r="CPF738" s="747"/>
      <c r="CPG738" s="747"/>
      <c r="CPH738" s="747"/>
      <c r="CPI738" s="747"/>
      <c r="CPJ738" s="747"/>
      <c r="CPK738" s="747"/>
      <c r="CPL738" s="747"/>
      <c r="CPM738" s="747"/>
      <c r="CPN738" s="747"/>
      <c r="CPO738" s="747"/>
      <c r="CPP738" s="747"/>
      <c r="CPQ738" s="747"/>
      <c r="CPR738" s="747"/>
      <c r="CPS738" s="747"/>
      <c r="CPT738" s="747"/>
      <c r="CPU738" s="747"/>
      <c r="CPV738" s="747"/>
      <c r="CPW738" s="747"/>
      <c r="CPX738" s="747"/>
      <c r="CPY738" s="747"/>
      <c r="CPZ738" s="747"/>
      <c r="CQA738" s="747"/>
      <c r="CQB738" s="747"/>
      <c r="CQC738" s="747"/>
      <c r="CQD738" s="747"/>
      <c r="CQE738" s="747"/>
      <c r="CQF738" s="747"/>
      <c r="CQG738" s="747"/>
      <c r="CQH738" s="747"/>
      <c r="CQI738" s="747"/>
      <c r="CQJ738" s="747"/>
      <c r="CQK738" s="747"/>
      <c r="CQL738" s="747"/>
      <c r="CQM738" s="747"/>
      <c r="CQN738" s="747"/>
      <c r="CQO738" s="747"/>
      <c r="CQP738" s="747"/>
      <c r="CQQ738" s="747"/>
      <c r="CQR738" s="747"/>
      <c r="CQS738" s="747"/>
      <c r="CQT738" s="747"/>
      <c r="CQU738" s="747"/>
      <c r="CQV738" s="747"/>
      <c r="CQW738" s="747"/>
      <c r="CQX738" s="747"/>
      <c r="CQY738" s="747"/>
      <c r="CQZ738" s="747"/>
      <c r="CRA738" s="747"/>
      <c r="CRB738" s="747"/>
      <c r="CRC738" s="747"/>
      <c r="CRD738" s="747"/>
      <c r="CRE738" s="747"/>
      <c r="CRF738" s="747"/>
      <c r="CRG738" s="747"/>
      <c r="CRH738" s="747"/>
      <c r="CRI738" s="747"/>
      <c r="CRJ738" s="747"/>
      <c r="CRK738" s="747"/>
      <c r="CRL738" s="747"/>
      <c r="CRM738" s="747"/>
      <c r="CRN738" s="747"/>
      <c r="CRO738" s="747"/>
      <c r="CRP738" s="747"/>
      <c r="CRQ738" s="747"/>
      <c r="CRR738" s="747"/>
      <c r="CRS738" s="747"/>
      <c r="CRT738" s="747"/>
      <c r="CRU738" s="747"/>
      <c r="CRV738" s="747"/>
      <c r="CRW738" s="747"/>
      <c r="CRX738" s="747"/>
      <c r="CRY738" s="747"/>
      <c r="CRZ738" s="747"/>
      <c r="CSA738" s="747"/>
      <c r="CSB738" s="747"/>
      <c r="CSC738" s="747"/>
      <c r="CSD738" s="747"/>
      <c r="CSE738" s="747"/>
      <c r="CSF738" s="747"/>
      <c r="CSG738" s="747"/>
      <c r="CSH738" s="747"/>
      <c r="CSI738" s="747"/>
      <c r="CSJ738" s="747"/>
      <c r="CSK738" s="747"/>
      <c r="CSL738" s="747"/>
      <c r="CSM738" s="747"/>
      <c r="CSN738" s="747"/>
      <c r="CSO738" s="747"/>
      <c r="CSP738" s="747"/>
      <c r="CSQ738" s="747"/>
      <c r="CSR738" s="747"/>
      <c r="CSS738" s="747"/>
      <c r="CST738" s="747"/>
      <c r="CSU738" s="747"/>
      <c r="CSV738" s="747"/>
      <c r="CSW738" s="747"/>
      <c r="CSX738" s="747"/>
      <c r="CSY738" s="747"/>
      <c r="CSZ738" s="747"/>
      <c r="CTA738" s="747"/>
      <c r="CTB738" s="747"/>
      <c r="CTC738" s="747"/>
      <c r="CTD738" s="747"/>
      <c r="CTE738" s="747"/>
      <c r="CTF738" s="747"/>
      <c r="CTG738" s="747"/>
      <c r="CTH738" s="747"/>
      <c r="CTI738" s="747"/>
      <c r="CTJ738" s="747"/>
      <c r="CTK738" s="747"/>
      <c r="CTL738" s="747"/>
      <c r="CTM738" s="747"/>
      <c r="CTN738" s="747"/>
      <c r="CTO738" s="747"/>
      <c r="CTP738" s="747"/>
      <c r="CTQ738" s="747"/>
      <c r="CTR738" s="747"/>
      <c r="CTS738" s="747"/>
      <c r="CTT738" s="747"/>
      <c r="CTU738" s="747"/>
      <c r="CTV738" s="747"/>
      <c r="CTW738" s="747"/>
      <c r="CTX738" s="747"/>
      <c r="CTY738" s="747"/>
      <c r="CTZ738" s="747"/>
      <c r="CUA738" s="747"/>
      <c r="CUB738" s="747"/>
      <c r="CUC738" s="747"/>
      <c r="CUD738" s="747"/>
      <c r="CUE738" s="747"/>
      <c r="CUF738" s="747"/>
      <c r="CUG738" s="747"/>
      <c r="CUH738" s="747"/>
      <c r="CUI738" s="747"/>
      <c r="CUJ738" s="747"/>
      <c r="CUK738" s="747"/>
      <c r="CUL738" s="747"/>
      <c r="CUM738" s="747"/>
      <c r="CUN738" s="747"/>
      <c r="CUO738" s="747"/>
      <c r="CUP738" s="747"/>
      <c r="CUQ738" s="747"/>
      <c r="CUR738" s="747"/>
      <c r="CUS738" s="747"/>
      <c r="CUT738" s="747"/>
      <c r="CUU738" s="747"/>
      <c r="CUV738" s="747"/>
      <c r="CUW738" s="747"/>
      <c r="CUX738" s="747"/>
      <c r="CUY738" s="747"/>
      <c r="CUZ738" s="747"/>
      <c r="CVA738" s="747"/>
      <c r="CVB738" s="747"/>
      <c r="CVC738" s="747"/>
      <c r="CVD738" s="747"/>
      <c r="CVE738" s="747"/>
      <c r="CVF738" s="747"/>
      <c r="CVG738" s="747"/>
      <c r="CVH738" s="747"/>
      <c r="CVI738" s="747"/>
      <c r="CVJ738" s="747"/>
      <c r="CVK738" s="747"/>
      <c r="CVL738" s="747"/>
      <c r="CVM738" s="747"/>
      <c r="CVN738" s="747"/>
      <c r="CVO738" s="747"/>
      <c r="CVP738" s="747"/>
      <c r="CVQ738" s="747"/>
      <c r="CVR738" s="747"/>
      <c r="CVS738" s="747"/>
      <c r="CVT738" s="747"/>
      <c r="CVU738" s="747"/>
      <c r="CVV738" s="747"/>
      <c r="CVW738" s="747"/>
      <c r="CVX738" s="747"/>
      <c r="CVY738" s="747"/>
      <c r="CVZ738" s="747"/>
      <c r="CWA738" s="747"/>
      <c r="CWB738" s="747"/>
      <c r="CWC738" s="747"/>
      <c r="CWD738" s="747"/>
      <c r="CWE738" s="747"/>
      <c r="CWF738" s="747"/>
      <c r="CWG738" s="747"/>
      <c r="CWH738" s="747"/>
      <c r="CWI738" s="747"/>
      <c r="CWJ738" s="747"/>
      <c r="CWK738" s="747"/>
      <c r="CWL738" s="747"/>
      <c r="CWM738" s="747"/>
      <c r="CWN738" s="747"/>
      <c r="CWO738" s="747"/>
      <c r="CWP738" s="747"/>
      <c r="CWQ738" s="747"/>
      <c r="CWR738" s="747"/>
      <c r="CWS738" s="747"/>
      <c r="CWT738" s="747"/>
      <c r="CWU738" s="747"/>
      <c r="CWV738" s="747"/>
      <c r="CWW738" s="747"/>
      <c r="CWX738" s="747"/>
      <c r="CWY738" s="747"/>
      <c r="CWZ738" s="747"/>
      <c r="CXA738" s="747"/>
      <c r="CXB738" s="747"/>
      <c r="CXC738" s="747"/>
      <c r="CXD738" s="747"/>
      <c r="CXE738" s="747"/>
      <c r="CXF738" s="747"/>
      <c r="CXG738" s="747"/>
      <c r="CXH738" s="747"/>
      <c r="CXI738" s="747"/>
      <c r="CXJ738" s="747"/>
      <c r="CXK738" s="747"/>
      <c r="CXL738" s="747"/>
      <c r="CXM738" s="747"/>
      <c r="CXN738" s="747"/>
      <c r="CXO738" s="747"/>
      <c r="CXP738" s="747"/>
      <c r="CXQ738" s="747"/>
      <c r="CXR738" s="747"/>
      <c r="CXS738" s="747"/>
      <c r="CXT738" s="747"/>
      <c r="CXU738" s="747"/>
      <c r="CXV738" s="747"/>
      <c r="CXW738" s="747"/>
      <c r="CXX738" s="747"/>
      <c r="CXY738" s="747"/>
      <c r="CXZ738" s="747"/>
      <c r="CYA738" s="747"/>
      <c r="CYB738" s="747"/>
      <c r="CYC738" s="747"/>
      <c r="CYD738" s="747"/>
      <c r="CYE738" s="747"/>
      <c r="CYF738" s="747"/>
      <c r="CYG738" s="747"/>
      <c r="CYH738" s="747"/>
      <c r="CYI738" s="747"/>
      <c r="CYJ738" s="747"/>
      <c r="CYK738" s="747"/>
      <c r="CYL738" s="747"/>
      <c r="CYM738" s="747"/>
      <c r="CYN738" s="747"/>
      <c r="CYO738" s="747"/>
      <c r="CYP738" s="747"/>
      <c r="CYQ738" s="747"/>
      <c r="CYR738" s="747"/>
      <c r="CYS738" s="747"/>
      <c r="CYT738" s="747"/>
      <c r="CYU738" s="747"/>
      <c r="CYV738" s="747"/>
      <c r="CYW738" s="747"/>
      <c r="CYX738" s="747"/>
      <c r="CYY738" s="747"/>
      <c r="CYZ738" s="747"/>
      <c r="CZA738" s="747"/>
      <c r="CZB738" s="747"/>
      <c r="CZC738" s="747"/>
      <c r="CZD738" s="747"/>
      <c r="CZE738" s="747"/>
      <c r="CZF738" s="747"/>
      <c r="CZG738" s="747"/>
      <c r="CZH738" s="747"/>
      <c r="CZI738" s="747"/>
      <c r="CZJ738" s="747"/>
      <c r="CZK738" s="747"/>
      <c r="CZL738" s="747"/>
      <c r="CZM738" s="747"/>
      <c r="CZN738" s="747"/>
      <c r="CZO738" s="747"/>
      <c r="CZP738" s="747"/>
      <c r="CZQ738" s="747"/>
      <c r="CZR738" s="747"/>
      <c r="CZS738" s="747"/>
      <c r="CZT738" s="747"/>
      <c r="CZU738" s="747"/>
      <c r="CZV738" s="747"/>
      <c r="CZW738" s="747"/>
      <c r="CZX738" s="747"/>
      <c r="CZY738" s="747"/>
      <c r="CZZ738" s="747"/>
      <c r="DAA738" s="747"/>
      <c r="DAB738" s="747"/>
      <c r="DAC738" s="747"/>
      <c r="DAD738" s="747"/>
      <c r="DAE738" s="747"/>
      <c r="DAF738" s="747"/>
      <c r="DAG738" s="747"/>
      <c r="DAH738" s="747"/>
      <c r="DAI738" s="747"/>
      <c r="DAJ738" s="747"/>
      <c r="DAK738" s="747"/>
      <c r="DAL738" s="747"/>
      <c r="DAM738" s="747"/>
      <c r="DAN738" s="747"/>
      <c r="DAO738" s="747"/>
      <c r="DAP738" s="747"/>
      <c r="DAQ738" s="747"/>
      <c r="DAR738" s="747"/>
      <c r="DAS738" s="747"/>
      <c r="DAT738" s="747"/>
      <c r="DAU738" s="747"/>
      <c r="DAV738" s="747"/>
      <c r="DAW738" s="747"/>
      <c r="DAX738" s="747"/>
      <c r="DAY738" s="747"/>
      <c r="DAZ738" s="747"/>
      <c r="DBA738" s="747"/>
      <c r="DBB738" s="747"/>
      <c r="DBC738" s="747"/>
      <c r="DBD738" s="747"/>
      <c r="DBE738" s="747"/>
      <c r="DBF738" s="747"/>
      <c r="DBG738" s="747"/>
      <c r="DBH738" s="747"/>
      <c r="DBI738" s="747"/>
      <c r="DBJ738" s="747"/>
      <c r="DBK738" s="747"/>
      <c r="DBL738" s="747"/>
      <c r="DBM738" s="747"/>
      <c r="DBN738" s="747"/>
      <c r="DBO738" s="747"/>
      <c r="DBP738" s="747"/>
      <c r="DBQ738" s="747"/>
      <c r="DBR738" s="747"/>
      <c r="DBS738" s="747"/>
      <c r="DBT738" s="747"/>
      <c r="DBU738" s="747"/>
      <c r="DBV738" s="747"/>
      <c r="DBW738" s="747"/>
      <c r="DBX738" s="747"/>
      <c r="DBY738" s="747"/>
      <c r="DBZ738" s="747"/>
      <c r="DCA738" s="747"/>
      <c r="DCB738" s="747"/>
      <c r="DCC738" s="747"/>
      <c r="DCD738" s="747"/>
      <c r="DCE738" s="747"/>
      <c r="DCF738" s="747"/>
      <c r="DCG738" s="747"/>
      <c r="DCH738" s="747"/>
      <c r="DCI738" s="747"/>
      <c r="DCJ738" s="747"/>
      <c r="DCK738" s="747"/>
      <c r="DCL738" s="747"/>
      <c r="DCM738" s="747"/>
      <c r="DCN738" s="747"/>
      <c r="DCO738" s="747"/>
      <c r="DCP738" s="747"/>
      <c r="DCQ738" s="747"/>
      <c r="DCR738" s="747"/>
      <c r="DCS738" s="747"/>
      <c r="DCT738" s="747"/>
      <c r="DCU738" s="747"/>
      <c r="DCV738" s="747"/>
      <c r="DCW738" s="747"/>
      <c r="DCX738" s="747"/>
      <c r="DCY738" s="747"/>
      <c r="DCZ738" s="747"/>
      <c r="DDA738" s="747"/>
      <c r="DDB738" s="747"/>
      <c r="DDC738" s="747"/>
      <c r="DDD738" s="747"/>
      <c r="DDE738" s="747"/>
      <c r="DDF738" s="747"/>
      <c r="DDG738" s="747"/>
      <c r="DDH738" s="747"/>
      <c r="DDI738" s="747"/>
      <c r="DDJ738" s="747"/>
      <c r="DDK738" s="747"/>
      <c r="DDL738" s="747"/>
      <c r="DDM738" s="747"/>
      <c r="DDN738" s="747"/>
      <c r="DDO738" s="747"/>
      <c r="DDP738" s="747"/>
      <c r="DDQ738" s="747"/>
      <c r="DDR738" s="747"/>
      <c r="DDS738" s="747"/>
      <c r="DDT738" s="747"/>
      <c r="DDU738" s="747"/>
      <c r="DDV738" s="747"/>
      <c r="DDW738" s="747"/>
      <c r="DDX738" s="747"/>
      <c r="DDY738" s="747"/>
      <c r="DDZ738" s="747"/>
      <c r="DEA738" s="747"/>
      <c r="DEB738" s="747"/>
      <c r="DEC738" s="747"/>
      <c r="DED738" s="747"/>
      <c r="DEE738" s="747"/>
      <c r="DEF738" s="747"/>
      <c r="DEG738" s="747"/>
      <c r="DEH738" s="747"/>
      <c r="DEI738" s="747"/>
      <c r="DEJ738" s="747"/>
      <c r="DEK738" s="747"/>
      <c r="DEL738" s="747"/>
      <c r="DEM738" s="747"/>
      <c r="DEN738" s="747"/>
      <c r="DEO738" s="747"/>
      <c r="DEP738" s="747"/>
      <c r="DEQ738" s="747"/>
      <c r="DER738" s="747"/>
      <c r="DES738" s="747"/>
      <c r="DET738" s="747"/>
      <c r="DEU738" s="747"/>
      <c r="DEV738" s="747"/>
      <c r="DEW738" s="747"/>
      <c r="DEX738" s="747"/>
      <c r="DEY738" s="747"/>
      <c r="DEZ738" s="747"/>
      <c r="DFA738" s="747"/>
      <c r="DFB738" s="747"/>
      <c r="DFC738" s="747"/>
      <c r="DFD738" s="747"/>
      <c r="DFE738" s="747"/>
      <c r="DFF738" s="747"/>
      <c r="DFG738" s="747"/>
      <c r="DFH738" s="747"/>
      <c r="DFI738" s="747"/>
      <c r="DFJ738" s="747"/>
      <c r="DFK738" s="747"/>
      <c r="DFL738" s="747"/>
      <c r="DFM738" s="747"/>
      <c r="DFN738" s="747"/>
      <c r="DFO738" s="747"/>
      <c r="DFP738" s="747"/>
      <c r="DFQ738" s="747"/>
      <c r="DFR738" s="747"/>
      <c r="DFS738" s="747"/>
      <c r="DFT738" s="747"/>
      <c r="DFU738" s="747"/>
      <c r="DFV738" s="747"/>
      <c r="DFW738" s="747"/>
      <c r="DFX738" s="747"/>
      <c r="DFY738" s="747"/>
      <c r="DFZ738" s="747"/>
      <c r="DGA738" s="747"/>
      <c r="DGB738" s="747"/>
      <c r="DGC738" s="747"/>
      <c r="DGD738" s="747"/>
      <c r="DGE738" s="747"/>
      <c r="DGF738" s="747"/>
      <c r="DGG738" s="747"/>
      <c r="DGH738" s="747"/>
      <c r="DGI738" s="747"/>
      <c r="DGJ738" s="747"/>
      <c r="DGK738" s="747"/>
      <c r="DGL738" s="747"/>
      <c r="DGM738" s="747"/>
      <c r="DGN738" s="747"/>
      <c r="DGO738" s="747"/>
      <c r="DGP738" s="747"/>
      <c r="DGQ738" s="747"/>
      <c r="DGR738" s="747"/>
      <c r="DGS738" s="747"/>
      <c r="DGT738" s="747"/>
      <c r="DGU738" s="747"/>
      <c r="DGV738" s="747"/>
      <c r="DGW738" s="747"/>
      <c r="DGX738" s="747"/>
      <c r="DGY738" s="747"/>
      <c r="DGZ738" s="747"/>
      <c r="DHA738" s="747"/>
      <c r="DHB738" s="747"/>
      <c r="DHC738" s="747"/>
      <c r="DHD738" s="747"/>
      <c r="DHE738" s="747"/>
      <c r="DHF738" s="747"/>
      <c r="DHG738" s="747"/>
      <c r="DHH738" s="747"/>
      <c r="DHI738" s="747"/>
      <c r="DHJ738" s="747"/>
      <c r="DHK738" s="747"/>
      <c r="DHL738" s="747"/>
      <c r="DHM738" s="747"/>
      <c r="DHN738" s="747"/>
      <c r="DHO738" s="747"/>
      <c r="DHP738" s="747"/>
      <c r="DHQ738" s="747"/>
      <c r="DHR738" s="747"/>
      <c r="DHS738" s="747"/>
      <c r="DHT738" s="747"/>
      <c r="DHU738" s="747"/>
      <c r="DHV738" s="747"/>
      <c r="DHW738" s="747"/>
      <c r="DHX738" s="747"/>
      <c r="DHY738" s="747"/>
      <c r="DHZ738" s="747"/>
      <c r="DIA738" s="747"/>
      <c r="DIB738" s="747"/>
      <c r="DIC738" s="747"/>
      <c r="DID738" s="747"/>
      <c r="DIE738" s="747"/>
      <c r="DIF738" s="747"/>
      <c r="DIG738" s="747"/>
      <c r="DIH738" s="747"/>
      <c r="DII738" s="747"/>
      <c r="DIJ738" s="747"/>
      <c r="DIK738" s="747"/>
      <c r="DIL738" s="747"/>
      <c r="DIM738" s="747"/>
      <c r="DIN738" s="747"/>
      <c r="DIO738" s="747"/>
      <c r="DIP738" s="747"/>
      <c r="DIQ738" s="747"/>
      <c r="DIR738" s="747"/>
      <c r="DIS738" s="747"/>
      <c r="DIT738" s="747"/>
      <c r="DIU738" s="747"/>
      <c r="DIV738" s="747"/>
      <c r="DIW738" s="747"/>
      <c r="DIX738" s="747"/>
      <c r="DIY738" s="747"/>
      <c r="DIZ738" s="747"/>
      <c r="DJA738" s="747"/>
      <c r="DJB738" s="747"/>
      <c r="DJC738" s="747"/>
      <c r="DJD738" s="747"/>
      <c r="DJE738" s="747"/>
      <c r="DJF738" s="747"/>
      <c r="DJG738" s="747"/>
      <c r="DJH738" s="747"/>
      <c r="DJI738" s="747"/>
      <c r="DJJ738" s="747"/>
      <c r="DJK738" s="747"/>
      <c r="DJL738" s="747"/>
      <c r="DJM738" s="747"/>
      <c r="DJN738" s="747"/>
      <c r="DJO738" s="747"/>
      <c r="DJP738" s="747"/>
      <c r="DJQ738" s="747"/>
      <c r="DJR738" s="747"/>
      <c r="DJS738" s="747"/>
      <c r="DJT738" s="747"/>
      <c r="DJU738" s="747"/>
      <c r="DJV738" s="747"/>
      <c r="DJW738" s="747"/>
      <c r="DJX738" s="747"/>
      <c r="DJY738" s="747"/>
      <c r="DJZ738" s="747"/>
      <c r="DKA738" s="747"/>
      <c r="DKB738" s="747"/>
      <c r="DKC738" s="747"/>
      <c r="DKD738" s="747"/>
      <c r="DKE738" s="747"/>
      <c r="DKF738" s="747"/>
      <c r="DKG738" s="747"/>
      <c r="DKH738" s="747"/>
      <c r="DKI738" s="747"/>
      <c r="DKJ738" s="747"/>
      <c r="DKK738" s="747"/>
      <c r="DKL738" s="747"/>
      <c r="DKM738" s="747"/>
      <c r="DKN738" s="747"/>
      <c r="DKO738" s="747"/>
      <c r="DKP738" s="747"/>
      <c r="DKQ738" s="747"/>
      <c r="DKR738" s="747"/>
      <c r="DKS738" s="747"/>
      <c r="DKT738" s="747"/>
      <c r="DKU738" s="747"/>
      <c r="DKV738" s="747"/>
      <c r="DKW738" s="747"/>
      <c r="DKX738" s="747"/>
      <c r="DKY738" s="747"/>
      <c r="DKZ738" s="747"/>
      <c r="DLA738" s="747"/>
      <c r="DLB738" s="747"/>
      <c r="DLC738" s="747"/>
      <c r="DLD738" s="747"/>
      <c r="DLE738" s="747"/>
      <c r="DLF738" s="747"/>
      <c r="DLG738" s="747"/>
      <c r="DLH738" s="747"/>
      <c r="DLI738" s="747"/>
      <c r="DLJ738" s="747"/>
      <c r="DLK738" s="747"/>
      <c r="DLL738" s="747"/>
      <c r="DLM738" s="747"/>
      <c r="DLN738" s="747"/>
      <c r="DLO738" s="747"/>
      <c r="DLP738" s="747"/>
      <c r="DLQ738" s="747"/>
      <c r="DLR738" s="747"/>
      <c r="DLS738" s="747"/>
      <c r="DLT738" s="747"/>
      <c r="DLU738" s="747"/>
      <c r="DLV738" s="747"/>
      <c r="DLW738" s="747"/>
      <c r="DLX738" s="747"/>
      <c r="DLY738" s="747"/>
      <c r="DLZ738" s="747"/>
      <c r="DMA738" s="747"/>
      <c r="DMB738" s="747"/>
      <c r="DMC738" s="747"/>
      <c r="DMD738" s="747"/>
      <c r="DME738" s="747"/>
      <c r="DMF738" s="747"/>
      <c r="DMG738" s="747"/>
      <c r="DMH738" s="747"/>
      <c r="DMI738" s="747"/>
      <c r="DMJ738" s="747"/>
      <c r="DMK738" s="747"/>
      <c r="DML738" s="747"/>
      <c r="DMM738" s="747"/>
      <c r="DMN738" s="747"/>
      <c r="DMO738" s="747"/>
      <c r="DMP738" s="747"/>
      <c r="DMQ738" s="747"/>
      <c r="DMR738" s="747"/>
      <c r="DMS738" s="747"/>
      <c r="DMT738" s="747"/>
      <c r="DMU738" s="747"/>
      <c r="DMV738" s="747"/>
      <c r="DMW738" s="747"/>
      <c r="DMX738" s="747"/>
      <c r="DMY738" s="747"/>
      <c r="DMZ738" s="747"/>
      <c r="DNA738" s="747"/>
      <c r="DNB738" s="747"/>
      <c r="DNC738" s="747"/>
      <c r="DND738" s="747"/>
      <c r="DNE738" s="747"/>
      <c r="DNF738" s="747"/>
      <c r="DNG738" s="747"/>
      <c r="DNH738" s="747"/>
      <c r="DNI738" s="747"/>
      <c r="DNJ738" s="747"/>
      <c r="DNK738" s="747"/>
      <c r="DNL738" s="747"/>
      <c r="DNM738" s="747"/>
      <c r="DNN738" s="747"/>
      <c r="DNO738" s="747"/>
      <c r="DNP738" s="747"/>
      <c r="DNQ738" s="747"/>
      <c r="DNR738" s="747"/>
      <c r="DNS738" s="747"/>
      <c r="DNT738" s="747"/>
      <c r="DNU738" s="747"/>
      <c r="DNV738" s="747"/>
      <c r="DNW738" s="747"/>
      <c r="DNX738" s="747"/>
      <c r="DNY738" s="747"/>
      <c r="DNZ738" s="747"/>
      <c r="DOA738" s="747"/>
      <c r="DOB738" s="747"/>
      <c r="DOC738" s="747"/>
      <c r="DOD738" s="747"/>
      <c r="DOE738" s="747"/>
      <c r="DOF738" s="747"/>
      <c r="DOG738" s="747"/>
      <c r="DOH738" s="747"/>
      <c r="DOI738" s="747"/>
      <c r="DOJ738" s="747"/>
      <c r="DOK738" s="747"/>
      <c r="DOL738" s="747"/>
      <c r="DOM738" s="747"/>
      <c r="DON738" s="747"/>
      <c r="DOO738" s="747"/>
      <c r="DOP738" s="747"/>
      <c r="DOQ738" s="747"/>
      <c r="DOR738" s="747"/>
      <c r="DOS738" s="747"/>
      <c r="DOT738" s="747"/>
      <c r="DOU738" s="747"/>
      <c r="DOV738" s="747"/>
      <c r="DOW738" s="747"/>
      <c r="DOX738" s="747"/>
      <c r="DOY738" s="747"/>
      <c r="DOZ738" s="747"/>
      <c r="DPA738" s="747"/>
      <c r="DPB738" s="747"/>
      <c r="DPC738" s="747"/>
      <c r="DPD738" s="747"/>
      <c r="DPE738" s="747"/>
      <c r="DPF738" s="747"/>
      <c r="DPG738" s="747"/>
      <c r="DPH738" s="747"/>
      <c r="DPI738" s="747"/>
      <c r="DPJ738" s="747"/>
      <c r="DPK738" s="747"/>
      <c r="DPL738" s="747"/>
      <c r="DPM738" s="747"/>
      <c r="DPN738" s="747"/>
      <c r="DPO738" s="747"/>
      <c r="DPP738" s="747"/>
      <c r="DPQ738" s="747"/>
      <c r="DPR738" s="747"/>
      <c r="DPS738" s="747"/>
      <c r="DPT738" s="747"/>
      <c r="DPU738" s="747"/>
      <c r="DPV738" s="747"/>
      <c r="DPW738" s="747"/>
      <c r="DPX738" s="747"/>
      <c r="DPY738" s="747"/>
      <c r="DPZ738" s="747"/>
      <c r="DQA738" s="747"/>
      <c r="DQB738" s="747"/>
      <c r="DQC738" s="747"/>
      <c r="DQD738" s="747"/>
      <c r="DQE738" s="747"/>
      <c r="DQF738" s="747"/>
      <c r="DQG738" s="747"/>
      <c r="DQH738" s="747"/>
      <c r="DQI738" s="747"/>
      <c r="DQJ738" s="747"/>
      <c r="DQK738" s="747"/>
      <c r="DQL738" s="747"/>
      <c r="DQM738" s="747"/>
      <c r="DQN738" s="747"/>
      <c r="DQO738" s="747"/>
      <c r="DQP738" s="747"/>
      <c r="DQQ738" s="747"/>
      <c r="DQR738" s="747"/>
      <c r="DQS738" s="747"/>
      <c r="DQT738" s="747"/>
      <c r="DQU738" s="747"/>
      <c r="DQV738" s="747"/>
      <c r="DQW738" s="747"/>
      <c r="DQX738" s="747"/>
      <c r="DQY738" s="747"/>
      <c r="DQZ738" s="747"/>
      <c r="DRA738" s="747"/>
      <c r="DRB738" s="747"/>
      <c r="DRC738" s="747"/>
      <c r="DRD738" s="747"/>
      <c r="DRE738" s="747"/>
      <c r="DRF738" s="747"/>
      <c r="DRG738" s="747"/>
      <c r="DRH738" s="747"/>
      <c r="DRI738" s="747"/>
      <c r="DRJ738" s="747"/>
      <c r="DRK738" s="747"/>
      <c r="DRL738" s="747"/>
      <c r="DRM738" s="747"/>
      <c r="DRN738" s="747"/>
      <c r="DRO738" s="747"/>
      <c r="DRP738" s="747"/>
      <c r="DRQ738" s="747"/>
      <c r="DRR738" s="747"/>
      <c r="DRS738" s="747"/>
      <c r="DRT738" s="747"/>
      <c r="DRU738" s="747"/>
      <c r="DRV738" s="747"/>
      <c r="DRW738" s="747"/>
      <c r="DRX738" s="747"/>
      <c r="DRY738" s="747"/>
      <c r="DRZ738" s="747"/>
      <c r="DSA738" s="747"/>
      <c r="DSB738" s="747"/>
      <c r="DSC738" s="747"/>
      <c r="DSD738" s="747"/>
      <c r="DSE738" s="747"/>
      <c r="DSF738" s="747"/>
      <c r="DSG738" s="747"/>
      <c r="DSH738" s="747"/>
      <c r="DSI738" s="747"/>
      <c r="DSJ738" s="747"/>
      <c r="DSK738" s="747"/>
      <c r="DSL738" s="747"/>
      <c r="DSM738" s="747"/>
      <c r="DSN738" s="747"/>
      <c r="DSO738" s="747"/>
      <c r="DSP738" s="747"/>
      <c r="DSQ738" s="747"/>
      <c r="DSR738" s="747"/>
      <c r="DSS738" s="747"/>
      <c r="DST738" s="747"/>
      <c r="DSU738" s="747"/>
      <c r="DSV738" s="747"/>
      <c r="DSW738" s="747"/>
      <c r="DSX738" s="747"/>
      <c r="DSY738" s="747"/>
      <c r="DSZ738" s="747"/>
      <c r="DTA738" s="747"/>
      <c r="DTB738" s="747"/>
      <c r="DTC738" s="747"/>
      <c r="DTD738" s="747"/>
      <c r="DTE738" s="747"/>
      <c r="DTF738" s="747"/>
      <c r="DTG738" s="747"/>
      <c r="DTH738" s="747"/>
      <c r="DTI738" s="747"/>
      <c r="DTJ738" s="747"/>
      <c r="DTK738" s="747"/>
      <c r="DTL738" s="747"/>
      <c r="DTM738" s="747"/>
      <c r="DTN738" s="747"/>
      <c r="DTO738" s="747"/>
      <c r="DTP738" s="747"/>
      <c r="DTQ738" s="747"/>
      <c r="DTR738" s="747"/>
      <c r="DTS738" s="747"/>
      <c r="DTT738" s="747"/>
      <c r="DTU738" s="747"/>
      <c r="DTV738" s="747"/>
      <c r="DTW738" s="747"/>
      <c r="DTX738" s="747"/>
      <c r="DTY738" s="747"/>
      <c r="DTZ738" s="747"/>
      <c r="DUA738" s="747"/>
      <c r="DUB738" s="747"/>
      <c r="DUC738" s="747"/>
      <c r="DUD738" s="747"/>
      <c r="DUE738" s="747"/>
      <c r="DUF738" s="747"/>
      <c r="DUG738" s="747"/>
      <c r="DUH738" s="747"/>
      <c r="DUI738" s="747"/>
      <c r="DUJ738" s="747"/>
      <c r="DUK738" s="747"/>
      <c r="DUL738" s="747"/>
      <c r="DUM738" s="747"/>
      <c r="DUN738" s="747"/>
      <c r="DUO738" s="747"/>
      <c r="DUP738" s="747"/>
      <c r="DUQ738" s="747"/>
      <c r="DUR738" s="747"/>
      <c r="DUS738" s="747"/>
      <c r="DUT738" s="747"/>
      <c r="DUU738" s="747"/>
      <c r="DUV738" s="747"/>
      <c r="DUW738" s="747"/>
      <c r="DUX738" s="747"/>
      <c r="DUY738" s="747"/>
      <c r="DUZ738" s="747"/>
      <c r="DVA738" s="747"/>
      <c r="DVB738" s="747"/>
      <c r="DVC738" s="747"/>
      <c r="DVD738" s="747"/>
      <c r="DVE738" s="747"/>
      <c r="DVF738" s="747"/>
      <c r="DVG738" s="747"/>
      <c r="DVH738" s="747"/>
      <c r="DVI738" s="747"/>
      <c r="DVJ738" s="747"/>
      <c r="DVK738" s="747"/>
      <c r="DVL738" s="747"/>
      <c r="DVM738" s="747"/>
      <c r="DVN738" s="747"/>
      <c r="DVO738" s="747"/>
      <c r="DVP738" s="747"/>
      <c r="DVQ738" s="747"/>
      <c r="DVR738" s="747"/>
      <c r="DVS738" s="747"/>
      <c r="DVT738" s="747"/>
      <c r="DVU738" s="747"/>
      <c r="DVV738" s="747"/>
      <c r="DVW738" s="747"/>
      <c r="DVX738" s="747"/>
      <c r="DVY738" s="747"/>
      <c r="DVZ738" s="747"/>
      <c r="DWA738" s="747"/>
      <c r="DWB738" s="747"/>
      <c r="DWC738" s="747"/>
      <c r="DWD738" s="747"/>
      <c r="DWE738" s="747"/>
      <c r="DWF738" s="747"/>
      <c r="DWG738" s="747"/>
      <c r="DWH738" s="747"/>
      <c r="DWI738" s="747"/>
      <c r="DWJ738" s="747"/>
      <c r="DWK738" s="747"/>
      <c r="DWL738" s="747"/>
      <c r="DWM738" s="747"/>
      <c r="DWN738" s="747"/>
      <c r="DWO738" s="747"/>
      <c r="DWP738" s="747"/>
      <c r="DWQ738" s="747"/>
      <c r="DWR738" s="747"/>
      <c r="DWS738" s="747"/>
      <c r="DWT738" s="747"/>
      <c r="DWU738" s="747"/>
      <c r="DWV738" s="747"/>
      <c r="DWW738" s="747"/>
      <c r="DWX738" s="747"/>
      <c r="DWY738" s="747"/>
      <c r="DWZ738" s="747"/>
      <c r="DXA738" s="747"/>
      <c r="DXB738" s="747"/>
      <c r="DXC738" s="747"/>
      <c r="DXD738" s="747"/>
      <c r="DXE738" s="747"/>
      <c r="DXF738" s="747"/>
      <c r="DXG738" s="747"/>
      <c r="DXH738" s="747"/>
      <c r="DXI738" s="747"/>
      <c r="DXJ738" s="747"/>
      <c r="DXK738" s="747"/>
      <c r="DXL738" s="747"/>
      <c r="DXM738" s="747"/>
      <c r="DXN738" s="747"/>
      <c r="DXO738" s="747"/>
      <c r="DXP738" s="747"/>
      <c r="DXQ738" s="747"/>
      <c r="DXR738" s="747"/>
      <c r="DXS738" s="747"/>
      <c r="DXT738" s="747"/>
      <c r="DXU738" s="747"/>
      <c r="DXV738" s="747"/>
      <c r="DXW738" s="747"/>
      <c r="DXX738" s="747"/>
      <c r="DXY738" s="747"/>
      <c r="DXZ738" s="747"/>
      <c r="DYA738" s="747"/>
      <c r="DYB738" s="747"/>
      <c r="DYC738" s="747"/>
      <c r="DYD738" s="747"/>
      <c r="DYE738" s="747"/>
      <c r="DYF738" s="747"/>
      <c r="DYG738" s="747"/>
      <c r="DYH738" s="747"/>
      <c r="DYI738" s="747"/>
      <c r="DYJ738" s="747"/>
      <c r="DYK738" s="747"/>
      <c r="DYL738" s="747"/>
      <c r="DYM738" s="747"/>
      <c r="DYN738" s="747"/>
      <c r="DYO738" s="747"/>
      <c r="DYP738" s="747"/>
      <c r="DYQ738" s="747"/>
      <c r="DYR738" s="747"/>
      <c r="DYS738" s="747"/>
      <c r="DYT738" s="747"/>
      <c r="DYU738" s="747"/>
      <c r="DYV738" s="747"/>
      <c r="DYW738" s="747"/>
      <c r="DYX738" s="747"/>
      <c r="DYY738" s="747"/>
      <c r="DYZ738" s="747"/>
      <c r="DZA738" s="747"/>
      <c r="DZB738" s="747"/>
      <c r="DZC738" s="747"/>
      <c r="DZD738" s="747"/>
      <c r="DZE738" s="747"/>
      <c r="DZF738" s="747"/>
      <c r="DZG738" s="747"/>
      <c r="DZH738" s="747"/>
      <c r="DZI738" s="747"/>
      <c r="DZJ738" s="747"/>
      <c r="DZK738" s="747"/>
      <c r="DZL738" s="747"/>
      <c r="DZM738" s="747"/>
      <c r="DZN738" s="747"/>
      <c r="DZO738" s="747"/>
      <c r="DZP738" s="747"/>
      <c r="DZQ738" s="747"/>
      <c r="DZR738" s="747"/>
      <c r="DZS738" s="747"/>
      <c r="DZT738" s="747"/>
      <c r="DZU738" s="747"/>
      <c r="DZV738" s="747"/>
      <c r="DZW738" s="747"/>
      <c r="DZX738" s="747"/>
      <c r="DZY738" s="747"/>
      <c r="DZZ738" s="747"/>
      <c r="EAA738" s="747"/>
      <c r="EAB738" s="747"/>
      <c r="EAC738" s="747"/>
      <c r="EAD738" s="747"/>
      <c r="EAE738" s="747"/>
      <c r="EAF738" s="747"/>
      <c r="EAG738" s="747"/>
      <c r="EAH738" s="747"/>
      <c r="EAI738" s="747"/>
      <c r="EAJ738" s="747"/>
      <c r="EAK738" s="747"/>
      <c r="EAL738" s="747"/>
      <c r="EAM738" s="747"/>
      <c r="EAN738" s="747"/>
      <c r="EAO738" s="747"/>
      <c r="EAP738" s="747"/>
      <c r="EAQ738" s="747"/>
      <c r="EAR738" s="747"/>
      <c r="EAS738" s="747"/>
      <c r="EAT738" s="747"/>
      <c r="EAU738" s="747"/>
      <c r="EAV738" s="747"/>
      <c r="EAW738" s="747"/>
      <c r="EAX738" s="747"/>
      <c r="EAY738" s="747"/>
      <c r="EAZ738" s="747"/>
      <c r="EBA738" s="747"/>
      <c r="EBB738" s="747"/>
      <c r="EBC738" s="747"/>
      <c r="EBD738" s="747"/>
      <c r="EBE738" s="747"/>
      <c r="EBF738" s="747"/>
      <c r="EBG738" s="747"/>
      <c r="EBH738" s="747"/>
      <c r="EBI738" s="747"/>
      <c r="EBJ738" s="747"/>
      <c r="EBK738" s="747"/>
      <c r="EBL738" s="747"/>
      <c r="EBM738" s="747"/>
      <c r="EBN738" s="747"/>
      <c r="EBO738" s="747"/>
      <c r="EBP738" s="747"/>
      <c r="EBQ738" s="747"/>
      <c r="EBR738" s="747"/>
      <c r="EBS738" s="747"/>
      <c r="EBT738" s="747"/>
      <c r="EBU738" s="747"/>
      <c r="EBV738" s="747"/>
      <c r="EBW738" s="747"/>
      <c r="EBX738" s="747"/>
      <c r="EBY738" s="747"/>
      <c r="EBZ738" s="747"/>
      <c r="ECA738" s="747"/>
      <c r="ECB738" s="747"/>
      <c r="ECC738" s="747"/>
      <c r="ECD738" s="747"/>
      <c r="ECE738" s="747"/>
      <c r="ECF738" s="747"/>
      <c r="ECG738" s="747"/>
      <c r="ECH738" s="747"/>
      <c r="ECI738" s="747"/>
      <c r="ECJ738" s="747"/>
      <c r="ECK738" s="747"/>
      <c r="ECL738" s="747"/>
      <c r="ECM738" s="747"/>
      <c r="ECN738" s="747"/>
      <c r="ECO738" s="747"/>
      <c r="ECP738" s="747"/>
      <c r="ECQ738" s="747"/>
      <c r="ECR738" s="747"/>
      <c r="ECS738" s="747"/>
      <c r="ECT738" s="747"/>
      <c r="ECU738" s="747"/>
      <c r="ECV738" s="747"/>
      <c r="ECW738" s="747"/>
      <c r="ECX738" s="747"/>
      <c r="ECY738" s="747"/>
      <c r="ECZ738" s="747"/>
      <c r="EDA738" s="747"/>
      <c r="EDB738" s="747"/>
      <c r="EDC738" s="747"/>
      <c r="EDD738" s="747"/>
      <c r="EDE738" s="747"/>
      <c r="EDF738" s="747"/>
      <c r="EDG738" s="747"/>
      <c r="EDH738" s="747"/>
      <c r="EDI738" s="747"/>
      <c r="EDJ738" s="747"/>
      <c r="EDK738" s="747"/>
      <c r="EDL738" s="747"/>
      <c r="EDM738" s="747"/>
      <c r="EDN738" s="747"/>
      <c r="EDO738" s="747"/>
      <c r="EDP738" s="747"/>
      <c r="EDQ738" s="747"/>
      <c r="EDR738" s="747"/>
      <c r="EDS738" s="747"/>
      <c r="EDT738" s="747"/>
      <c r="EDU738" s="747"/>
      <c r="EDV738" s="747"/>
      <c r="EDW738" s="747"/>
      <c r="EDX738" s="747"/>
      <c r="EDY738" s="747"/>
      <c r="EDZ738" s="747"/>
      <c r="EEA738" s="747"/>
      <c r="EEB738" s="747"/>
      <c r="EEC738" s="747"/>
      <c r="EED738" s="747"/>
      <c r="EEE738" s="747"/>
      <c r="EEF738" s="747"/>
      <c r="EEG738" s="747"/>
      <c r="EEH738" s="747"/>
      <c r="EEI738" s="747"/>
      <c r="EEJ738" s="747"/>
      <c r="EEK738" s="747"/>
      <c r="EEL738" s="747"/>
      <c r="EEM738" s="747"/>
      <c r="EEN738" s="747"/>
      <c r="EEO738" s="747"/>
      <c r="EEP738" s="747"/>
      <c r="EEQ738" s="747"/>
      <c r="EER738" s="747"/>
      <c r="EES738" s="747"/>
      <c r="EET738" s="747"/>
      <c r="EEU738" s="747"/>
      <c r="EEV738" s="747"/>
      <c r="EEW738" s="747"/>
      <c r="EEX738" s="747"/>
      <c r="EEY738" s="747"/>
      <c r="EEZ738" s="747"/>
      <c r="EFA738" s="747"/>
      <c r="EFB738" s="747"/>
      <c r="EFC738" s="747"/>
      <c r="EFD738" s="747"/>
      <c r="EFE738" s="747"/>
      <c r="EFF738" s="747"/>
      <c r="EFG738" s="747"/>
      <c r="EFH738" s="747"/>
      <c r="EFI738" s="747"/>
      <c r="EFJ738" s="747"/>
      <c r="EFK738" s="747"/>
      <c r="EFL738" s="747"/>
      <c r="EFM738" s="747"/>
      <c r="EFN738" s="747"/>
      <c r="EFO738" s="747"/>
      <c r="EFP738" s="747"/>
      <c r="EFQ738" s="747"/>
      <c r="EFR738" s="747"/>
      <c r="EFS738" s="747"/>
      <c r="EFT738" s="747"/>
      <c r="EFU738" s="747"/>
      <c r="EFV738" s="747"/>
      <c r="EFW738" s="747"/>
      <c r="EFX738" s="747"/>
      <c r="EFY738" s="747"/>
      <c r="EFZ738" s="747"/>
      <c r="EGA738" s="747"/>
      <c r="EGB738" s="747"/>
      <c r="EGC738" s="747"/>
      <c r="EGD738" s="747"/>
      <c r="EGE738" s="747"/>
      <c r="EGF738" s="747"/>
      <c r="EGG738" s="747"/>
      <c r="EGH738" s="747"/>
      <c r="EGI738" s="747"/>
      <c r="EGJ738" s="747"/>
      <c r="EGK738" s="747"/>
      <c r="EGL738" s="747"/>
      <c r="EGM738" s="747"/>
      <c r="EGN738" s="747"/>
      <c r="EGO738" s="747"/>
      <c r="EGP738" s="747"/>
      <c r="EGQ738" s="747"/>
      <c r="EGR738" s="747"/>
      <c r="EGS738" s="747"/>
      <c r="EGT738" s="747"/>
      <c r="EGU738" s="747"/>
      <c r="EGV738" s="747"/>
      <c r="EGW738" s="747"/>
      <c r="EGX738" s="747"/>
      <c r="EGY738" s="747"/>
      <c r="EGZ738" s="747"/>
      <c r="EHA738" s="747"/>
      <c r="EHB738" s="747"/>
      <c r="EHC738" s="747"/>
      <c r="EHD738" s="747"/>
      <c r="EHE738" s="747"/>
      <c r="EHF738" s="747"/>
      <c r="EHG738" s="747"/>
      <c r="EHH738" s="747"/>
      <c r="EHI738" s="747"/>
      <c r="EHJ738" s="747"/>
      <c r="EHK738" s="747"/>
      <c r="EHL738" s="747"/>
      <c r="EHM738" s="747"/>
      <c r="EHN738" s="747"/>
      <c r="EHO738" s="747"/>
      <c r="EHP738" s="747"/>
      <c r="EHQ738" s="747"/>
      <c r="EHR738" s="747"/>
      <c r="EHS738" s="747"/>
      <c r="EHT738" s="747"/>
      <c r="EHU738" s="747"/>
      <c r="EHV738" s="747"/>
      <c r="EHW738" s="747"/>
      <c r="EHX738" s="747"/>
      <c r="EHY738" s="747"/>
      <c r="EHZ738" s="747"/>
      <c r="EIA738" s="747"/>
      <c r="EIB738" s="747"/>
      <c r="EIC738" s="747"/>
      <c r="EID738" s="747"/>
      <c r="EIE738" s="747"/>
      <c r="EIF738" s="747"/>
      <c r="EIG738" s="747"/>
      <c r="EIH738" s="747"/>
      <c r="EII738" s="747"/>
      <c r="EIJ738" s="747"/>
      <c r="EIK738" s="747"/>
      <c r="EIL738" s="747"/>
      <c r="EIM738" s="747"/>
      <c r="EIN738" s="747"/>
      <c r="EIO738" s="747"/>
      <c r="EIP738" s="747"/>
      <c r="EIQ738" s="747"/>
      <c r="EIR738" s="747"/>
      <c r="EIS738" s="747"/>
      <c r="EIT738" s="747"/>
      <c r="EIU738" s="747"/>
      <c r="EIV738" s="747"/>
      <c r="EIW738" s="747"/>
      <c r="EIX738" s="747"/>
      <c r="EIY738" s="747"/>
      <c r="EIZ738" s="747"/>
      <c r="EJA738" s="747"/>
      <c r="EJB738" s="747"/>
      <c r="EJC738" s="747"/>
      <c r="EJD738" s="747"/>
      <c r="EJE738" s="747"/>
      <c r="EJF738" s="747"/>
      <c r="EJG738" s="747"/>
      <c r="EJH738" s="747"/>
      <c r="EJI738" s="747"/>
      <c r="EJJ738" s="747"/>
      <c r="EJK738" s="747"/>
      <c r="EJL738" s="747"/>
      <c r="EJM738" s="747"/>
      <c r="EJN738" s="747"/>
      <c r="EJO738" s="747"/>
      <c r="EJP738" s="747"/>
      <c r="EJQ738" s="747"/>
      <c r="EJR738" s="747"/>
      <c r="EJS738" s="747"/>
      <c r="EJT738" s="747"/>
      <c r="EJU738" s="747"/>
      <c r="EJV738" s="747"/>
      <c r="EJW738" s="747"/>
      <c r="EJX738" s="747"/>
      <c r="EJY738" s="747"/>
      <c r="EJZ738" s="747"/>
      <c r="EKA738" s="747"/>
      <c r="EKB738" s="747"/>
      <c r="EKC738" s="747"/>
      <c r="EKD738" s="747"/>
      <c r="EKE738" s="747"/>
      <c r="EKF738" s="747"/>
      <c r="EKG738" s="747"/>
      <c r="EKH738" s="747"/>
      <c r="EKI738" s="747"/>
      <c r="EKJ738" s="747"/>
      <c r="EKK738" s="747"/>
      <c r="EKL738" s="747"/>
      <c r="EKM738" s="747"/>
      <c r="EKN738" s="747"/>
      <c r="EKO738" s="747"/>
      <c r="EKP738" s="747"/>
      <c r="EKQ738" s="747"/>
      <c r="EKR738" s="747"/>
      <c r="EKS738" s="747"/>
      <c r="EKT738" s="747"/>
      <c r="EKU738" s="747"/>
      <c r="EKV738" s="747"/>
      <c r="EKW738" s="747"/>
      <c r="EKX738" s="747"/>
      <c r="EKY738" s="747"/>
      <c r="EKZ738" s="747"/>
      <c r="ELA738" s="747"/>
      <c r="ELB738" s="747"/>
      <c r="ELC738" s="747"/>
      <c r="ELD738" s="747"/>
      <c r="ELE738" s="747"/>
      <c r="ELF738" s="747"/>
      <c r="ELG738" s="747"/>
      <c r="ELH738" s="747"/>
      <c r="ELI738" s="747"/>
      <c r="ELJ738" s="747"/>
      <c r="ELK738" s="747"/>
      <c r="ELL738" s="747"/>
      <c r="ELM738" s="747"/>
      <c r="ELN738" s="747"/>
      <c r="ELO738" s="747"/>
      <c r="ELP738" s="747"/>
      <c r="ELQ738" s="747"/>
      <c r="ELR738" s="747"/>
      <c r="ELS738" s="747"/>
      <c r="ELT738" s="747"/>
      <c r="ELU738" s="747"/>
      <c r="ELV738" s="747"/>
      <c r="ELW738" s="747"/>
      <c r="ELX738" s="747"/>
      <c r="ELY738" s="747"/>
      <c r="ELZ738" s="747"/>
      <c r="EMA738" s="747"/>
      <c r="EMB738" s="747"/>
      <c r="EMC738" s="747"/>
      <c r="EMD738" s="747"/>
      <c r="EME738" s="747"/>
      <c r="EMF738" s="747"/>
      <c r="EMG738" s="747"/>
      <c r="EMH738" s="747"/>
      <c r="EMI738" s="747"/>
      <c r="EMJ738" s="747"/>
      <c r="EMK738" s="747"/>
      <c r="EML738" s="747"/>
      <c r="EMM738" s="747"/>
      <c r="EMN738" s="747"/>
      <c r="EMO738" s="747"/>
      <c r="EMP738" s="747"/>
      <c r="EMQ738" s="747"/>
      <c r="EMR738" s="747"/>
      <c r="EMS738" s="747"/>
      <c r="EMT738" s="747"/>
      <c r="EMU738" s="747"/>
      <c r="EMV738" s="747"/>
      <c r="EMW738" s="747"/>
      <c r="EMX738" s="747"/>
      <c r="EMY738" s="747"/>
      <c r="EMZ738" s="747"/>
      <c r="ENA738" s="747"/>
      <c r="ENB738" s="747"/>
      <c r="ENC738" s="747"/>
      <c r="END738" s="747"/>
      <c r="ENE738" s="747"/>
      <c r="ENF738" s="747"/>
      <c r="ENG738" s="747"/>
      <c r="ENH738" s="747"/>
      <c r="ENI738" s="747"/>
      <c r="ENJ738" s="747"/>
      <c r="ENK738" s="747"/>
      <c r="ENL738" s="747"/>
      <c r="ENM738" s="747"/>
      <c r="ENN738" s="747"/>
      <c r="ENO738" s="747"/>
      <c r="ENP738" s="747"/>
      <c r="ENQ738" s="747"/>
      <c r="ENR738" s="747"/>
      <c r="ENS738" s="747"/>
      <c r="ENT738" s="747"/>
      <c r="ENU738" s="747"/>
      <c r="ENV738" s="747"/>
      <c r="ENW738" s="747"/>
      <c r="ENX738" s="747"/>
      <c r="ENY738" s="747"/>
      <c r="ENZ738" s="747"/>
      <c r="EOA738" s="747"/>
      <c r="EOB738" s="747"/>
      <c r="EOC738" s="747"/>
      <c r="EOD738" s="747"/>
      <c r="EOE738" s="747"/>
      <c r="EOF738" s="747"/>
      <c r="EOG738" s="747"/>
      <c r="EOH738" s="747"/>
      <c r="EOI738" s="747"/>
      <c r="EOJ738" s="747"/>
      <c r="EOK738" s="747"/>
      <c r="EOL738" s="747"/>
      <c r="EOM738" s="747"/>
      <c r="EON738" s="747"/>
      <c r="EOO738" s="747"/>
      <c r="EOP738" s="747"/>
      <c r="EOQ738" s="747"/>
      <c r="EOR738" s="747"/>
      <c r="EOS738" s="747"/>
      <c r="EOT738" s="747"/>
      <c r="EOU738" s="747"/>
      <c r="EOV738" s="747"/>
      <c r="EOW738" s="747"/>
      <c r="EOX738" s="747"/>
      <c r="EOY738" s="747"/>
      <c r="EOZ738" s="747"/>
      <c r="EPA738" s="747"/>
      <c r="EPB738" s="747"/>
      <c r="EPC738" s="747"/>
      <c r="EPD738" s="747"/>
      <c r="EPE738" s="747"/>
      <c r="EPF738" s="747"/>
      <c r="EPG738" s="747"/>
      <c r="EPH738" s="747"/>
      <c r="EPI738" s="747"/>
      <c r="EPJ738" s="747"/>
      <c r="EPK738" s="747"/>
      <c r="EPL738" s="747"/>
      <c r="EPM738" s="747"/>
      <c r="EPN738" s="747"/>
      <c r="EPO738" s="747"/>
      <c r="EPP738" s="747"/>
      <c r="EPQ738" s="747"/>
      <c r="EPR738" s="747"/>
      <c r="EPS738" s="747"/>
      <c r="EPT738" s="747"/>
      <c r="EPU738" s="747"/>
      <c r="EPV738" s="747"/>
      <c r="EPW738" s="747"/>
      <c r="EPX738" s="747"/>
      <c r="EPY738" s="747"/>
      <c r="EPZ738" s="747"/>
      <c r="EQA738" s="747"/>
      <c r="EQB738" s="747"/>
      <c r="EQC738" s="747"/>
      <c r="EQD738" s="747"/>
      <c r="EQE738" s="747"/>
      <c r="EQF738" s="747"/>
      <c r="EQG738" s="747"/>
      <c r="EQH738" s="747"/>
      <c r="EQI738" s="747"/>
      <c r="EQJ738" s="747"/>
      <c r="EQK738" s="747"/>
      <c r="EQL738" s="747"/>
      <c r="EQM738" s="747"/>
      <c r="EQN738" s="747"/>
      <c r="EQO738" s="747"/>
      <c r="EQP738" s="747"/>
      <c r="EQQ738" s="747"/>
      <c r="EQR738" s="747"/>
      <c r="EQS738" s="747"/>
      <c r="EQT738" s="747"/>
      <c r="EQU738" s="747"/>
      <c r="EQV738" s="747"/>
      <c r="EQW738" s="747"/>
      <c r="EQX738" s="747"/>
      <c r="EQY738" s="747"/>
      <c r="EQZ738" s="747"/>
      <c r="ERA738" s="747"/>
      <c r="ERB738" s="747"/>
      <c r="ERC738" s="747"/>
      <c r="ERD738" s="747"/>
      <c r="ERE738" s="747"/>
      <c r="ERF738" s="747"/>
      <c r="ERG738" s="747"/>
      <c r="ERH738" s="747"/>
      <c r="ERI738" s="747"/>
      <c r="ERJ738" s="747"/>
      <c r="ERK738" s="747"/>
      <c r="ERL738" s="747"/>
      <c r="ERM738" s="747"/>
      <c r="ERN738" s="747"/>
      <c r="ERO738" s="747"/>
      <c r="ERP738" s="747"/>
      <c r="ERQ738" s="747"/>
      <c r="ERR738" s="747"/>
      <c r="ERS738" s="747"/>
      <c r="ERT738" s="747"/>
      <c r="ERU738" s="747"/>
      <c r="ERV738" s="747"/>
      <c r="ERW738" s="747"/>
      <c r="ERX738" s="747"/>
      <c r="ERY738" s="747"/>
      <c r="ERZ738" s="747"/>
      <c r="ESA738" s="747"/>
      <c r="ESB738" s="747"/>
      <c r="ESC738" s="747"/>
      <c r="ESD738" s="747"/>
      <c r="ESE738" s="747"/>
      <c r="ESF738" s="747"/>
      <c r="ESG738" s="747"/>
      <c r="ESH738" s="747"/>
      <c r="ESI738" s="747"/>
      <c r="ESJ738" s="747"/>
      <c r="ESK738" s="747"/>
      <c r="ESL738" s="747"/>
      <c r="ESM738" s="747"/>
      <c r="ESN738" s="747"/>
      <c r="ESO738" s="747"/>
      <c r="ESP738" s="747"/>
      <c r="ESQ738" s="747"/>
      <c r="ESR738" s="747"/>
      <c r="ESS738" s="747"/>
      <c r="EST738" s="747"/>
      <c r="ESU738" s="747"/>
      <c r="ESV738" s="747"/>
      <c r="ESW738" s="747"/>
      <c r="ESX738" s="747"/>
      <c r="ESY738" s="747"/>
      <c r="ESZ738" s="747"/>
      <c r="ETA738" s="747"/>
      <c r="ETB738" s="747"/>
      <c r="ETC738" s="747"/>
      <c r="ETD738" s="747"/>
      <c r="ETE738" s="747"/>
      <c r="ETF738" s="747"/>
      <c r="ETG738" s="747"/>
      <c r="ETH738" s="747"/>
      <c r="ETI738" s="747"/>
      <c r="ETJ738" s="747"/>
      <c r="ETK738" s="747"/>
      <c r="ETL738" s="747"/>
      <c r="ETM738" s="747"/>
      <c r="ETN738" s="747"/>
      <c r="ETO738" s="747"/>
      <c r="ETP738" s="747"/>
      <c r="ETQ738" s="747"/>
      <c r="ETR738" s="747"/>
      <c r="ETS738" s="747"/>
      <c r="ETT738" s="747"/>
      <c r="ETU738" s="747"/>
      <c r="ETV738" s="747"/>
      <c r="ETW738" s="747"/>
      <c r="ETX738" s="747"/>
      <c r="ETY738" s="747"/>
      <c r="ETZ738" s="747"/>
      <c r="EUA738" s="747"/>
      <c r="EUB738" s="747"/>
      <c r="EUC738" s="747"/>
      <c r="EUD738" s="747"/>
      <c r="EUE738" s="747"/>
      <c r="EUF738" s="747"/>
      <c r="EUG738" s="747"/>
      <c r="EUH738" s="747"/>
      <c r="EUI738" s="747"/>
      <c r="EUJ738" s="747"/>
      <c r="EUK738" s="747"/>
      <c r="EUL738" s="747"/>
      <c r="EUM738" s="747"/>
      <c r="EUN738" s="747"/>
      <c r="EUO738" s="747"/>
      <c r="EUP738" s="747"/>
      <c r="EUQ738" s="747"/>
      <c r="EUR738" s="747"/>
      <c r="EUS738" s="747"/>
      <c r="EUT738" s="747"/>
      <c r="EUU738" s="747"/>
      <c r="EUV738" s="747"/>
      <c r="EUW738" s="747"/>
      <c r="EUX738" s="747"/>
      <c r="EUY738" s="747"/>
      <c r="EUZ738" s="747"/>
      <c r="EVA738" s="747"/>
      <c r="EVB738" s="747"/>
      <c r="EVC738" s="747"/>
      <c r="EVD738" s="747"/>
      <c r="EVE738" s="747"/>
      <c r="EVF738" s="747"/>
      <c r="EVG738" s="747"/>
      <c r="EVH738" s="747"/>
      <c r="EVI738" s="747"/>
      <c r="EVJ738" s="747"/>
      <c r="EVK738" s="747"/>
      <c r="EVL738" s="747"/>
      <c r="EVM738" s="747"/>
      <c r="EVN738" s="747"/>
      <c r="EVO738" s="747"/>
      <c r="EVP738" s="747"/>
      <c r="EVQ738" s="747"/>
      <c r="EVR738" s="747"/>
      <c r="EVS738" s="747"/>
      <c r="EVT738" s="747"/>
      <c r="EVU738" s="747"/>
      <c r="EVV738" s="747"/>
      <c r="EVW738" s="747"/>
      <c r="EVX738" s="747"/>
      <c r="EVY738" s="747"/>
      <c r="EVZ738" s="747"/>
      <c r="EWA738" s="747"/>
      <c r="EWB738" s="747"/>
      <c r="EWC738" s="747"/>
      <c r="EWD738" s="747"/>
      <c r="EWE738" s="747"/>
      <c r="EWF738" s="747"/>
      <c r="EWG738" s="747"/>
      <c r="EWH738" s="747"/>
      <c r="EWI738" s="747"/>
      <c r="EWJ738" s="747"/>
      <c r="EWK738" s="747"/>
      <c r="EWL738" s="747"/>
      <c r="EWM738" s="747"/>
      <c r="EWN738" s="747"/>
      <c r="EWO738" s="747"/>
      <c r="EWP738" s="747"/>
      <c r="EWQ738" s="747"/>
      <c r="EWR738" s="747"/>
      <c r="EWS738" s="747"/>
      <c r="EWT738" s="747"/>
      <c r="EWU738" s="747"/>
      <c r="EWV738" s="747"/>
      <c r="EWW738" s="747"/>
      <c r="EWX738" s="747"/>
      <c r="EWY738" s="747"/>
      <c r="EWZ738" s="747"/>
      <c r="EXA738" s="747"/>
      <c r="EXB738" s="747"/>
      <c r="EXC738" s="747"/>
      <c r="EXD738" s="747"/>
      <c r="EXE738" s="747"/>
      <c r="EXF738" s="747"/>
      <c r="EXG738" s="747"/>
      <c r="EXH738" s="747"/>
      <c r="EXI738" s="747"/>
      <c r="EXJ738" s="747"/>
      <c r="EXK738" s="747"/>
      <c r="EXL738" s="747"/>
      <c r="EXM738" s="747"/>
      <c r="EXN738" s="747"/>
      <c r="EXO738" s="747"/>
      <c r="EXP738" s="747"/>
      <c r="EXQ738" s="747"/>
      <c r="EXR738" s="747"/>
      <c r="EXS738" s="747"/>
      <c r="EXT738" s="747"/>
      <c r="EXU738" s="747"/>
      <c r="EXV738" s="747"/>
      <c r="EXW738" s="747"/>
      <c r="EXX738" s="747"/>
      <c r="EXY738" s="747"/>
      <c r="EXZ738" s="747"/>
      <c r="EYA738" s="747"/>
      <c r="EYB738" s="747"/>
      <c r="EYC738" s="747"/>
      <c r="EYD738" s="747"/>
      <c r="EYE738" s="747"/>
      <c r="EYF738" s="747"/>
      <c r="EYG738" s="747"/>
      <c r="EYH738" s="747"/>
      <c r="EYI738" s="747"/>
      <c r="EYJ738" s="747"/>
      <c r="EYK738" s="747"/>
      <c r="EYL738" s="747"/>
      <c r="EYM738" s="747"/>
      <c r="EYN738" s="747"/>
      <c r="EYO738" s="747"/>
      <c r="EYP738" s="747"/>
      <c r="EYQ738" s="747"/>
      <c r="EYR738" s="747"/>
      <c r="EYS738" s="747"/>
      <c r="EYT738" s="747"/>
      <c r="EYU738" s="747"/>
      <c r="EYV738" s="747"/>
      <c r="EYW738" s="747"/>
      <c r="EYX738" s="747"/>
      <c r="EYY738" s="747"/>
      <c r="EYZ738" s="747"/>
      <c r="EZA738" s="747"/>
      <c r="EZB738" s="747"/>
      <c r="EZC738" s="747"/>
      <c r="EZD738" s="747"/>
      <c r="EZE738" s="747"/>
      <c r="EZF738" s="747"/>
      <c r="EZG738" s="747"/>
      <c r="EZH738" s="747"/>
      <c r="EZI738" s="747"/>
      <c r="EZJ738" s="747"/>
      <c r="EZK738" s="747"/>
      <c r="EZL738" s="747"/>
      <c r="EZM738" s="747"/>
      <c r="EZN738" s="747"/>
      <c r="EZO738" s="747"/>
      <c r="EZP738" s="747"/>
      <c r="EZQ738" s="747"/>
      <c r="EZR738" s="747"/>
      <c r="EZS738" s="747"/>
      <c r="EZT738" s="747"/>
      <c r="EZU738" s="747"/>
      <c r="EZV738" s="747"/>
      <c r="EZW738" s="747"/>
      <c r="EZX738" s="747"/>
      <c r="EZY738" s="747"/>
      <c r="EZZ738" s="747"/>
      <c r="FAA738" s="747"/>
      <c r="FAB738" s="747"/>
      <c r="FAC738" s="747"/>
      <c r="FAD738" s="747"/>
      <c r="FAE738" s="747"/>
      <c r="FAF738" s="747"/>
      <c r="FAG738" s="747"/>
      <c r="FAH738" s="747"/>
      <c r="FAI738" s="747"/>
      <c r="FAJ738" s="747"/>
      <c r="FAK738" s="747"/>
      <c r="FAL738" s="747"/>
      <c r="FAM738" s="747"/>
      <c r="FAN738" s="747"/>
      <c r="FAO738" s="747"/>
      <c r="FAP738" s="747"/>
      <c r="FAQ738" s="747"/>
      <c r="FAR738" s="747"/>
      <c r="FAS738" s="747"/>
      <c r="FAT738" s="747"/>
      <c r="FAU738" s="747"/>
      <c r="FAV738" s="747"/>
      <c r="FAW738" s="747"/>
      <c r="FAX738" s="747"/>
      <c r="FAY738" s="747"/>
      <c r="FAZ738" s="747"/>
      <c r="FBA738" s="747"/>
      <c r="FBB738" s="747"/>
      <c r="FBC738" s="747"/>
      <c r="FBD738" s="747"/>
      <c r="FBE738" s="747"/>
      <c r="FBF738" s="747"/>
      <c r="FBG738" s="747"/>
      <c r="FBH738" s="747"/>
      <c r="FBI738" s="747"/>
      <c r="FBJ738" s="747"/>
      <c r="FBK738" s="747"/>
      <c r="FBL738" s="747"/>
      <c r="FBM738" s="747"/>
      <c r="FBN738" s="747"/>
      <c r="FBO738" s="747"/>
      <c r="FBP738" s="747"/>
      <c r="FBQ738" s="747"/>
      <c r="FBR738" s="747"/>
      <c r="FBS738" s="747"/>
      <c r="FBT738" s="747"/>
      <c r="FBU738" s="747"/>
      <c r="FBV738" s="747"/>
      <c r="FBW738" s="747"/>
      <c r="FBX738" s="747"/>
      <c r="FBY738" s="747"/>
      <c r="FBZ738" s="747"/>
      <c r="FCA738" s="747"/>
      <c r="FCB738" s="747"/>
      <c r="FCC738" s="747"/>
      <c r="FCD738" s="747"/>
      <c r="FCE738" s="747"/>
      <c r="FCF738" s="747"/>
      <c r="FCG738" s="747"/>
      <c r="FCH738" s="747"/>
      <c r="FCI738" s="747"/>
      <c r="FCJ738" s="747"/>
      <c r="FCK738" s="747"/>
      <c r="FCL738" s="747"/>
      <c r="FCM738" s="747"/>
      <c r="FCN738" s="747"/>
      <c r="FCO738" s="747"/>
      <c r="FCP738" s="747"/>
      <c r="FCQ738" s="747"/>
      <c r="FCR738" s="747"/>
      <c r="FCS738" s="747"/>
      <c r="FCT738" s="747"/>
      <c r="FCU738" s="747"/>
      <c r="FCV738" s="747"/>
      <c r="FCW738" s="747"/>
      <c r="FCX738" s="747"/>
      <c r="FCY738" s="747"/>
      <c r="FCZ738" s="747"/>
      <c r="FDA738" s="747"/>
      <c r="FDB738" s="747"/>
      <c r="FDC738" s="747"/>
      <c r="FDD738" s="747"/>
      <c r="FDE738" s="747"/>
      <c r="FDF738" s="747"/>
      <c r="FDG738" s="747"/>
      <c r="FDH738" s="747"/>
      <c r="FDI738" s="747"/>
      <c r="FDJ738" s="747"/>
      <c r="FDK738" s="747"/>
      <c r="FDL738" s="747"/>
      <c r="FDM738" s="747"/>
      <c r="FDN738" s="747"/>
      <c r="FDO738" s="747"/>
      <c r="FDP738" s="747"/>
      <c r="FDQ738" s="747"/>
      <c r="FDR738" s="747"/>
      <c r="FDS738" s="747"/>
      <c r="FDT738" s="747"/>
      <c r="FDU738" s="747"/>
      <c r="FDV738" s="747"/>
      <c r="FDW738" s="747"/>
      <c r="FDX738" s="747"/>
      <c r="FDY738" s="747"/>
      <c r="FDZ738" s="747"/>
      <c r="FEA738" s="747"/>
      <c r="FEB738" s="747"/>
      <c r="FEC738" s="747"/>
      <c r="FED738" s="747"/>
      <c r="FEE738" s="747"/>
      <c r="FEF738" s="747"/>
      <c r="FEG738" s="747"/>
      <c r="FEH738" s="747"/>
      <c r="FEI738" s="747"/>
      <c r="FEJ738" s="747"/>
      <c r="FEK738" s="747"/>
      <c r="FEL738" s="747"/>
      <c r="FEM738" s="747"/>
      <c r="FEN738" s="747"/>
      <c r="FEO738" s="747"/>
      <c r="FEP738" s="747"/>
      <c r="FEQ738" s="747"/>
      <c r="FER738" s="747"/>
      <c r="FES738" s="747"/>
      <c r="FET738" s="747"/>
      <c r="FEU738" s="747"/>
      <c r="FEV738" s="747"/>
      <c r="FEW738" s="747"/>
      <c r="FEX738" s="747"/>
      <c r="FEY738" s="747"/>
      <c r="FEZ738" s="747"/>
      <c r="FFA738" s="747"/>
      <c r="FFB738" s="747"/>
      <c r="FFC738" s="747"/>
      <c r="FFD738" s="747"/>
      <c r="FFE738" s="747"/>
      <c r="FFF738" s="747"/>
      <c r="FFG738" s="747"/>
      <c r="FFH738" s="747"/>
      <c r="FFI738" s="747"/>
      <c r="FFJ738" s="747"/>
      <c r="FFK738" s="747"/>
      <c r="FFL738" s="747"/>
      <c r="FFM738" s="747"/>
      <c r="FFN738" s="747"/>
      <c r="FFO738" s="747"/>
      <c r="FFP738" s="747"/>
      <c r="FFQ738" s="747"/>
      <c r="FFR738" s="747"/>
      <c r="FFS738" s="747"/>
      <c r="FFT738" s="747"/>
      <c r="FFU738" s="747"/>
      <c r="FFV738" s="747"/>
      <c r="FFW738" s="747"/>
      <c r="FFX738" s="747"/>
      <c r="FFY738" s="747"/>
      <c r="FFZ738" s="747"/>
      <c r="FGA738" s="747"/>
      <c r="FGB738" s="747"/>
      <c r="FGC738" s="747"/>
      <c r="FGD738" s="747"/>
      <c r="FGE738" s="747"/>
      <c r="FGF738" s="747"/>
      <c r="FGG738" s="747"/>
      <c r="FGH738" s="747"/>
      <c r="FGI738" s="747"/>
      <c r="FGJ738" s="747"/>
      <c r="FGK738" s="747"/>
      <c r="FGL738" s="747"/>
      <c r="FGM738" s="747"/>
      <c r="FGN738" s="747"/>
      <c r="FGO738" s="747"/>
      <c r="FGP738" s="747"/>
      <c r="FGQ738" s="747"/>
      <c r="FGR738" s="747"/>
      <c r="FGS738" s="747"/>
      <c r="FGT738" s="747"/>
      <c r="FGU738" s="747"/>
      <c r="FGV738" s="747"/>
      <c r="FGW738" s="747"/>
      <c r="FGX738" s="747"/>
      <c r="FGY738" s="747"/>
      <c r="FGZ738" s="747"/>
      <c r="FHA738" s="747"/>
      <c r="FHB738" s="747"/>
      <c r="FHC738" s="747"/>
      <c r="FHD738" s="747"/>
      <c r="FHE738" s="747"/>
      <c r="FHF738" s="747"/>
      <c r="FHG738" s="747"/>
      <c r="FHH738" s="747"/>
      <c r="FHI738" s="747"/>
      <c r="FHJ738" s="747"/>
      <c r="FHK738" s="747"/>
      <c r="FHL738" s="747"/>
      <c r="FHM738" s="747"/>
      <c r="FHN738" s="747"/>
      <c r="FHO738" s="747"/>
      <c r="FHP738" s="747"/>
      <c r="FHQ738" s="747"/>
      <c r="FHR738" s="747"/>
      <c r="FHS738" s="747"/>
      <c r="FHT738" s="747"/>
      <c r="FHU738" s="747"/>
      <c r="FHV738" s="747"/>
      <c r="FHW738" s="747"/>
      <c r="FHX738" s="747"/>
      <c r="FHY738" s="747"/>
      <c r="FHZ738" s="747"/>
      <c r="FIA738" s="747"/>
      <c r="FIB738" s="747"/>
      <c r="FIC738" s="747"/>
      <c r="FID738" s="747"/>
      <c r="FIE738" s="747"/>
      <c r="FIF738" s="747"/>
      <c r="FIG738" s="747"/>
      <c r="FIH738" s="747"/>
      <c r="FII738" s="747"/>
      <c r="FIJ738" s="747"/>
      <c r="FIK738" s="747"/>
      <c r="FIL738" s="747"/>
      <c r="FIM738" s="747"/>
      <c r="FIN738" s="747"/>
      <c r="FIO738" s="747"/>
      <c r="FIP738" s="747"/>
      <c r="FIQ738" s="747"/>
      <c r="FIR738" s="747"/>
      <c r="FIS738" s="747"/>
      <c r="FIT738" s="747"/>
      <c r="FIU738" s="747"/>
      <c r="FIV738" s="747"/>
      <c r="FIW738" s="747"/>
      <c r="FIX738" s="747"/>
      <c r="FIY738" s="747"/>
      <c r="FIZ738" s="747"/>
      <c r="FJA738" s="747"/>
      <c r="FJB738" s="747"/>
      <c r="FJC738" s="747"/>
      <c r="FJD738" s="747"/>
      <c r="FJE738" s="747"/>
      <c r="FJF738" s="747"/>
      <c r="FJG738" s="747"/>
      <c r="FJH738" s="747"/>
      <c r="FJI738" s="747"/>
      <c r="FJJ738" s="747"/>
      <c r="FJK738" s="747"/>
      <c r="FJL738" s="747"/>
      <c r="FJM738" s="747"/>
      <c r="FJN738" s="747"/>
      <c r="FJO738" s="747"/>
      <c r="FJP738" s="747"/>
      <c r="FJQ738" s="747"/>
      <c r="FJR738" s="747"/>
      <c r="FJS738" s="747"/>
      <c r="FJT738" s="747"/>
      <c r="FJU738" s="747"/>
      <c r="FJV738" s="747"/>
      <c r="FJW738" s="747"/>
      <c r="FJX738" s="747"/>
      <c r="FJY738" s="747"/>
      <c r="FJZ738" s="747"/>
      <c r="FKA738" s="747"/>
      <c r="FKB738" s="747"/>
      <c r="FKC738" s="747"/>
      <c r="FKD738" s="747"/>
      <c r="FKE738" s="747"/>
      <c r="FKF738" s="747"/>
      <c r="FKG738" s="747"/>
      <c r="FKH738" s="747"/>
      <c r="FKI738" s="747"/>
      <c r="FKJ738" s="747"/>
      <c r="FKK738" s="747"/>
      <c r="FKL738" s="747"/>
      <c r="FKM738" s="747"/>
      <c r="FKN738" s="747"/>
      <c r="FKO738" s="747"/>
      <c r="FKP738" s="747"/>
      <c r="FKQ738" s="747"/>
      <c r="FKR738" s="747"/>
      <c r="FKS738" s="747"/>
      <c r="FKT738" s="747"/>
      <c r="FKU738" s="747"/>
      <c r="FKV738" s="747"/>
      <c r="FKW738" s="747"/>
      <c r="FKX738" s="747"/>
      <c r="FKY738" s="747"/>
      <c r="FKZ738" s="747"/>
      <c r="FLA738" s="747"/>
      <c r="FLB738" s="747"/>
      <c r="FLC738" s="747"/>
      <c r="FLD738" s="747"/>
      <c r="FLE738" s="747"/>
      <c r="FLF738" s="747"/>
      <c r="FLG738" s="747"/>
      <c r="FLH738" s="747"/>
      <c r="FLI738" s="747"/>
      <c r="FLJ738" s="747"/>
      <c r="FLK738" s="747"/>
      <c r="FLL738" s="747"/>
      <c r="FLM738" s="747"/>
      <c r="FLN738" s="747"/>
      <c r="FLO738" s="747"/>
      <c r="FLP738" s="747"/>
      <c r="FLQ738" s="747"/>
      <c r="FLR738" s="747"/>
      <c r="FLS738" s="747"/>
      <c r="FLT738" s="747"/>
      <c r="FLU738" s="747"/>
      <c r="FLV738" s="747"/>
      <c r="FLW738" s="747"/>
      <c r="FLX738" s="747"/>
      <c r="FLY738" s="747"/>
      <c r="FLZ738" s="747"/>
      <c r="FMA738" s="747"/>
      <c r="FMB738" s="747"/>
      <c r="FMC738" s="747"/>
      <c r="FMD738" s="747"/>
      <c r="FME738" s="747"/>
      <c r="FMF738" s="747"/>
      <c r="FMG738" s="747"/>
      <c r="FMH738" s="747"/>
      <c r="FMI738" s="747"/>
      <c r="FMJ738" s="747"/>
      <c r="FMK738" s="747"/>
      <c r="FML738" s="747"/>
      <c r="FMM738" s="747"/>
      <c r="FMN738" s="747"/>
      <c r="FMO738" s="747"/>
      <c r="FMP738" s="747"/>
      <c r="FMQ738" s="747"/>
      <c r="FMR738" s="747"/>
      <c r="FMS738" s="747"/>
      <c r="FMT738" s="747"/>
      <c r="FMU738" s="747"/>
      <c r="FMV738" s="747"/>
      <c r="FMW738" s="747"/>
      <c r="FMX738" s="747"/>
      <c r="FMY738" s="747"/>
      <c r="FMZ738" s="747"/>
      <c r="FNA738" s="747"/>
      <c r="FNB738" s="747"/>
      <c r="FNC738" s="747"/>
      <c r="FND738" s="747"/>
      <c r="FNE738" s="747"/>
      <c r="FNF738" s="747"/>
      <c r="FNG738" s="747"/>
      <c r="FNH738" s="747"/>
      <c r="FNI738" s="747"/>
      <c r="FNJ738" s="747"/>
      <c r="FNK738" s="747"/>
      <c r="FNL738" s="747"/>
      <c r="FNM738" s="747"/>
      <c r="FNN738" s="747"/>
      <c r="FNO738" s="747"/>
      <c r="FNP738" s="747"/>
      <c r="FNQ738" s="747"/>
      <c r="FNR738" s="747"/>
      <c r="FNS738" s="747"/>
      <c r="FNT738" s="747"/>
      <c r="FNU738" s="747"/>
      <c r="FNV738" s="747"/>
      <c r="FNW738" s="747"/>
      <c r="FNX738" s="747"/>
      <c r="FNY738" s="747"/>
      <c r="FNZ738" s="747"/>
      <c r="FOA738" s="747"/>
      <c r="FOB738" s="747"/>
      <c r="FOC738" s="747"/>
      <c r="FOD738" s="747"/>
      <c r="FOE738" s="747"/>
      <c r="FOF738" s="747"/>
      <c r="FOG738" s="747"/>
      <c r="FOH738" s="747"/>
      <c r="FOI738" s="747"/>
      <c r="FOJ738" s="747"/>
      <c r="FOK738" s="747"/>
      <c r="FOL738" s="747"/>
      <c r="FOM738" s="747"/>
      <c r="FON738" s="747"/>
      <c r="FOO738" s="747"/>
      <c r="FOP738" s="747"/>
      <c r="FOQ738" s="747"/>
      <c r="FOR738" s="747"/>
      <c r="FOS738" s="747"/>
      <c r="FOT738" s="747"/>
      <c r="FOU738" s="747"/>
      <c r="FOV738" s="747"/>
      <c r="FOW738" s="747"/>
      <c r="FOX738" s="747"/>
      <c r="FOY738" s="747"/>
      <c r="FOZ738" s="747"/>
      <c r="FPA738" s="747"/>
      <c r="FPB738" s="747"/>
      <c r="FPC738" s="747"/>
      <c r="FPD738" s="747"/>
      <c r="FPE738" s="747"/>
      <c r="FPF738" s="747"/>
      <c r="FPG738" s="747"/>
      <c r="FPH738" s="747"/>
      <c r="FPI738" s="747"/>
      <c r="FPJ738" s="747"/>
      <c r="FPK738" s="747"/>
      <c r="FPL738" s="747"/>
      <c r="FPM738" s="747"/>
      <c r="FPN738" s="747"/>
      <c r="FPO738" s="747"/>
      <c r="FPP738" s="747"/>
      <c r="FPQ738" s="747"/>
      <c r="FPR738" s="747"/>
      <c r="FPS738" s="747"/>
      <c r="FPT738" s="747"/>
      <c r="FPU738" s="747"/>
      <c r="FPV738" s="747"/>
      <c r="FPW738" s="747"/>
      <c r="FPX738" s="747"/>
      <c r="FPY738" s="747"/>
      <c r="FPZ738" s="747"/>
      <c r="FQA738" s="747"/>
      <c r="FQB738" s="747"/>
      <c r="FQC738" s="747"/>
      <c r="FQD738" s="747"/>
      <c r="FQE738" s="747"/>
      <c r="FQF738" s="747"/>
      <c r="FQG738" s="747"/>
      <c r="FQH738" s="747"/>
      <c r="FQI738" s="747"/>
      <c r="FQJ738" s="747"/>
      <c r="FQK738" s="747"/>
      <c r="FQL738" s="747"/>
      <c r="FQM738" s="747"/>
      <c r="FQN738" s="747"/>
      <c r="FQO738" s="747"/>
      <c r="FQP738" s="747"/>
      <c r="FQQ738" s="747"/>
      <c r="FQR738" s="747"/>
      <c r="FQS738" s="747"/>
      <c r="FQT738" s="747"/>
      <c r="FQU738" s="747"/>
      <c r="FQV738" s="747"/>
      <c r="FQW738" s="747"/>
      <c r="FQX738" s="747"/>
      <c r="FQY738" s="747"/>
      <c r="FQZ738" s="747"/>
      <c r="FRA738" s="747"/>
      <c r="FRB738" s="747"/>
      <c r="FRC738" s="747"/>
      <c r="FRD738" s="747"/>
      <c r="FRE738" s="747"/>
      <c r="FRF738" s="747"/>
      <c r="FRG738" s="747"/>
      <c r="FRH738" s="747"/>
      <c r="FRI738" s="747"/>
      <c r="FRJ738" s="747"/>
      <c r="FRK738" s="747"/>
      <c r="FRL738" s="747"/>
      <c r="FRM738" s="747"/>
      <c r="FRN738" s="747"/>
      <c r="FRO738" s="747"/>
      <c r="FRP738" s="747"/>
      <c r="FRQ738" s="747"/>
      <c r="FRR738" s="747"/>
      <c r="FRS738" s="747"/>
      <c r="FRT738" s="747"/>
      <c r="FRU738" s="747"/>
      <c r="FRV738" s="747"/>
      <c r="FRW738" s="747"/>
      <c r="FRX738" s="747"/>
      <c r="FRY738" s="747"/>
      <c r="FRZ738" s="747"/>
      <c r="FSA738" s="747"/>
      <c r="FSB738" s="747"/>
      <c r="FSC738" s="747"/>
      <c r="FSD738" s="747"/>
      <c r="FSE738" s="747"/>
      <c r="FSF738" s="747"/>
      <c r="FSG738" s="747"/>
      <c r="FSH738" s="747"/>
      <c r="FSI738" s="747"/>
      <c r="FSJ738" s="747"/>
      <c r="FSK738" s="747"/>
      <c r="FSL738" s="747"/>
      <c r="FSM738" s="747"/>
      <c r="FSN738" s="747"/>
      <c r="FSO738" s="747"/>
      <c r="FSP738" s="747"/>
      <c r="FSQ738" s="747"/>
      <c r="FSR738" s="747"/>
      <c r="FSS738" s="747"/>
      <c r="FST738" s="747"/>
      <c r="FSU738" s="747"/>
      <c r="FSV738" s="747"/>
      <c r="FSW738" s="747"/>
      <c r="FSX738" s="747"/>
      <c r="FSY738" s="747"/>
      <c r="FSZ738" s="747"/>
      <c r="FTA738" s="747"/>
      <c r="FTB738" s="747"/>
      <c r="FTC738" s="747"/>
      <c r="FTD738" s="747"/>
      <c r="FTE738" s="747"/>
      <c r="FTF738" s="747"/>
      <c r="FTG738" s="747"/>
      <c r="FTH738" s="747"/>
      <c r="FTI738" s="747"/>
      <c r="FTJ738" s="747"/>
      <c r="FTK738" s="747"/>
      <c r="FTL738" s="747"/>
      <c r="FTM738" s="747"/>
      <c r="FTN738" s="747"/>
      <c r="FTO738" s="747"/>
      <c r="FTP738" s="747"/>
      <c r="FTQ738" s="747"/>
      <c r="FTR738" s="747"/>
      <c r="FTS738" s="747"/>
      <c r="FTT738" s="747"/>
      <c r="FTU738" s="747"/>
      <c r="FTV738" s="747"/>
      <c r="FTW738" s="747"/>
      <c r="FTX738" s="747"/>
      <c r="FTY738" s="747"/>
      <c r="FTZ738" s="747"/>
      <c r="FUA738" s="747"/>
      <c r="FUB738" s="747"/>
      <c r="FUC738" s="747"/>
      <c r="FUD738" s="747"/>
      <c r="FUE738" s="747"/>
      <c r="FUF738" s="747"/>
      <c r="FUG738" s="747"/>
      <c r="FUH738" s="747"/>
      <c r="FUI738" s="747"/>
      <c r="FUJ738" s="747"/>
      <c r="FUK738" s="747"/>
      <c r="FUL738" s="747"/>
      <c r="FUM738" s="747"/>
      <c r="FUN738" s="747"/>
      <c r="FUO738" s="747"/>
      <c r="FUP738" s="747"/>
      <c r="FUQ738" s="747"/>
      <c r="FUR738" s="747"/>
      <c r="FUS738" s="747"/>
      <c r="FUT738" s="747"/>
      <c r="FUU738" s="747"/>
      <c r="FUV738" s="747"/>
      <c r="FUW738" s="747"/>
      <c r="FUX738" s="747"/>
      <c r="FUY738" s="747"/>
      <c r="FUZ738" s="747"/>
      <c r="FVA738" s="747"/>
      <c r="FVB738" s="747"/>
      <c r="FVC738" s="747"/>
      <c r="FVD738" s="747"/>
      <c r="FVE738" s="747"/>
      <c r="FVF738" s="747"/>
      <c r="FVG738" s="747"/>
      <c r="FVH738" s="747"/>
      <c r="FVI738" s="747"/>
      <c r="FVJ738" s="747"/>
      <c r="FVK738" s="747"/>
      <c r="FVL738" s="747"/>
      <c r="FVM738" s="747"/>
      <c r="FVN738" s="747"/>
      <c r="FVO738" s="747"/>
      <c r="FVP738" s="747"/>
      <c r="FVQ738" s="747"/>
      <c r="FVR738" s="747"/>
      <c r="FVS738" s="747"/>
      <c r="FVT738" s="747"/>
      <c r="FVU738" s="747"/>
      <c r="FVV738" s="747"/>
      <c r="FVW738" s="747"/>
      <c r="FVX738" s="747"/>
      <c r="FVY738" s="747"/>
      <c r="FVZ738" s="747"/>
      <c r="FWA738" s="747"/>
      <c r="FWB738" s="747"/>
      <c r="FWC738" s="747"/>
      <c r="FWD738" s="747"/>
      <c r="FWE738" s="747"/>
      <c r="FWF738" s="747"/>
      <c r="FWG738" s="747"/>
      <c r="FWH738" s="747"/>
      <c r="FWI738" s="747"/>
      <c r="FWJ738" s="747"/>
      <c r="FWK738" s="747"/>
      <c r="FWL738" s="747"/>
      <c r="FWM738" s="747"/>
      <c r="FWN738" s="747"/>
      <c r="FWO738" s="747"/>
      <c r="FWP738" s="747"/>
      <c r="FWQ738" s="747"/>
      <c r="FWR738" s="747"/>
      <c r="FWS738" s="747"/>
      <c r="FWT738" s="747"/>
      <c r="FWU738" s="747"/>
      <c r="FWV738" s="747"/>
      <c r="FWW738" s="747"/>
      <c r="FWX738" s="747"/>
      <c r="FWY738" s="747"/>
      <c r="FWZ738" s="747"/>
      <c r="FXA738" s="747"/>
      <c r="FXB738" s="747"/>
      <c r="FXC738" s="747"/>
      <c r="FXD738" s="747"/>
      <c r="FXE738" s="747"/>
      <c r="FXF738" s="747"/>
      <c r="FXG738" s="747"/>
      <c r="FXH738" s="747"/>
      <c r="FXI738" s="747"/>
      <c r="FXJ738" s="747"/>
      <c r="FXK738" s="747"/>
      <c r="FXL738" s="747"/>
      <c r="FXM738" s="747"/>
      <c r="FXN738" s="747"/>
      <c r="FXO738" s="747"/>
      <c r="FXP738" s="747"/>
      <c r="FXQ738" s="747"/>
      <c r="FXR738" s="747"/>
      <c r="FXS738" s="747"/>
      <c r="FXT738" s="747"/>
      <c r="FXU738" s="747"/>
      <c r="FXV738" s="747"/>
      <c r="FXW738" s="747"/>
      <c r="FXX738" s="747"/>
      <c r="FXY738" s="747"/>
      <c r="FXZ738" s="747"/>
      <c r="FYA738" s="747"/>
      <c r="FYB738" s="747"/>
      <c r="FYC738" s="747"/>
      <c r="FYD738" s="747"/>
      <c r="FYE738" s="747"/>
      <c r="FYF738" s="747"/>
      <c r="FYG738" s="747"/>
      <c r="FYH738" s="747"/>
      <c r="FYI738" s="747"/>
      <c r="FYJ738" s="747"/>
      <c r="FYK738" s="747"/>
      <c r="FYL738" s="747"/>
      <c r="FYM738" s="747"/>
      <c r="FYN738" s="747"/>
      <c r="FYO738" s="747"/>
      <c r="FYP738" s="747"/>
      <c r="FYQ738" s="747"/>
      <c r="FYR738" s="747"/>
      <c r="FYS738" s="747"/>
      <c r="FYT738" s="747"/>
      <c r="FYU738" s="747"/>
      <c r="FYV738" s="747"/>
      <c r="FYW738" s="747"/>
      <c r="FYX738" s="747"/>
      <c r="FYY738" s="747"/>
      <c r="FYZ738" s="747"/>
      <c r="FZA738" s="747"/>
      <c r="FZB738" s="747"/>
      <c r="FZC738" s="747"/>
      <c r="FZD738" s="747"/>
      <c r="FZE738" s="747"/>
      <c r="FZF738" s="747"/>
      <c r="FZG738" s="747"/>
      <c r="FZH738" s="747"/>
      <c r="FZI738" s="747"/>
      <c r="FZJ738" s="747"/>
      <c r="FZK738" s="747"/>
      <c r="FZL738" s="747"/>
      <c r="FZM738" s="747"/>
      <c r="FZN738" s="747"/>
      <c r="FZO738" s="747"/>
      <c r="FZP738" s="747"/>
      <c r="FZQ738" s="747"/>
      <c r="FZR738" s="747"/>
      <c r="FZS738" s="747"/>
      <c r="FZT738" s="747"/>
      <c r="FZU738" s="747"/>
      <c r="FZV738" s="747"/>
      <c r="FZW738" s="747"/>
      <c r="FZX738" s="747"/>
      <c r="FZY738" s="747"/>
      <c r="FZZ738" s="747"/>
      <c r="GAA738" s="747"/>
      <c r="GAB738" s="747"/>
      <c r="GAC738" s="747"/>
      <c r="GAD738" s="747"/>
      <c r="GAE738" s="747"/>
      <c r="GAF738" s="747"/>
      <c r="GAG738" s="747"/>
      <c r="GAH738" s="747"/>
      <c r="GAI738" s="747"/>
      <c r="GAJ738" s="747"/>
      <c r="GAK738" s="747"/>
      <c r="GAL738" s="747"/>
      <c r="GAM738" s="747"/>
      <c r="GAN738" s="747"/>
      <c r="GAO738" s="747"/>
      <c r="GAP738" s="747"/>
      <c r="GAQ738" s="747"/>
      <c r="GAR738" s="747"/>
      <c r="GAS738" s="747"/>
      <c r="GAT738" s="747"/>
      <c r="GAU738" s="747"/>
      <c r="GAV738" s="747"/>
      <c r="GAW738" s="747"/>
      <c r="GAX738" s="747"/>
      <c r="GAY738" s="747"/>
      <c r="GAZ738" s="747"/>
      <c r="GBA738" s="747"/>
      <c r="GBB738" s="747"/>
      <c r="GBC738" s="747"/>
      <c r="GBD738" s="747"/>
      <c r="GBE738" s="747"/>
      <c r="GBF738" s="747"/>
      <c r="GBG738" s="747"/>
      <c r="GBH738" s="747"/>
      <c r="GBI738" s="747"/>
      <c r="GBJ738" s="747"/>
      <c r="GBK738" s="747"/>
      <c r="GBL738" s="747"/>
      <c r="GBM738" s="747"/>
      <c r="GBN738" s="747"/>
      <c r="GBO738" s="747"/>
      <c r="GBP738" s="747"/>
      <c r="GBQ738" s="747"/>
      <c r="GBR738" s="747"/>
      <c r="GBS738" s="747"/>
      <c r="GBT738" s="747"/>
      <c r="GBU738" s="747"/>
      <c r="GBV738" s="747"/>
      <c r="GBW738" s="747"/>
      <c r="GBX738" s="747"/>
      <c r="GBY738" s="747"/>
      <c r="GBZ738" s="747"/>
      <c r="GCA738" s="747"/>
      <c r="GCB738" s="747"/>
      <c r="GCC738" s="747"/>
      <c r="GCD738" s="747"/>
      <c r="GCE738" s="747"/>
      <c r="GCF738" s="747"/>
      <c r="GCG738" s="747"/>
      <c r="GCH738" s="747"/>
      <c r="GCI738" s="747"/>
      <c r="GCJ738" s="747"/>
      <c r="GCK738" s="747"/>
      <c r="GCL738" s="747"/>
      <c r="GCM738" s="747"/>
      <c r="GCN738" s="747"/>
      <c r="GCO738" s="747"/>
      <c r="GCP738" s="747"/>
      <c r="GCQ738" s="747"/>
      <c r="GCR738" s="747"/>
      <c r="GCS738" s="747"/>
      <c r="GCT738" s="747"/>
      <c r="GCU738" s="747"/>
      <c r="GCV738" s="747"/>
      <c r="GCW738" s="747"/>
      <c r="GCX738" s="747"/>
      <c r="GCY738" s="747"/>
      <c r="GCZ738" s="747"/>
      <c r="GDA738" s="747"/>
      <c r="GDB738" s="747"/>
      <c r="GDC738" s="747"/>
      <c r="GDD738" s="747"/>
      <c r="GDE738" s="747"/>
      <c r="GDF738" s="747"/>
      <c r="GDG738" s="747"/>
      <c r="GDH738" s="747"/>
      <c r="GDI738" s="747"/>
      <c r="GDJ738" s="747"/>
      <c r="GDK738" s="747"/>
      <c r="GDL738" s="747"/>
      <c r="GDM738" s="747"/>
      <c r="GDN738" s="747"/>
      <c r="GDO738" s="747"/>
      <c r="GDP738" s="747"/>
      <c r="GDQ738" s="747"/>
      <c r="GDR738" s="747"/>
      <c r="GDS738" s="747"/>
      <c r="GDT738" s="747"/>
      <c r="GDU738" s="747"/>
      <c r="GDV738" s="747"/>
      <c r="GDW738" s="747"/>
      <c r="GDX738" s="747"/>
      <c r="GDY738" s="747"/>
      <c r="GDZ738" s="747"/>
      <c r="GEA738" s="747"/>
      <c r="GEB738" s="747"/>
      <c r="GEC738" s="747"/>
      <c r="GED738" s="747"/>
      <c r="GEE738" s="747"/>
      <c r="GEF738" s="747"/>
      <c r="GEG738" s="747"/>
      <c r="GEH738" s="747"/>
      <c r="GEI738" s="747"/>
      <c r="GEJ738" s="747"/>
      <c r="GEK738" s="747"/>
      <c r="GEL738" s="747"/>
      <c r="GEM738" s="747"/>
      <c r="GEN738" s="747"/>
      <c r="GEO738" s="747"/>
      <c r="GEP738" s="747"/>
      <c r="GEQ738" s="747"/>
      <c r="GER738" s="747"/>
      <c r="GES738" s="747"/>
      <c r="GET738" s="747"/>
      <c r="GEU738" s="747"/>
      <c r="GEV738" s="747"/>
      <c r="GEW738" s="747"/>
      <c r="GEX738" s="747"/>
      <c r="GEY738" s="747"/>
      <c r="GEZ738" s="747"/>
      <c r="GFA738" s="747"/>
      <c r="GFB738" s="747"/>
      <c r="GFC738" s="747"/>
      <c r="GFD738" s="747"/>
      <c r="GFE738" s="747"/>
      <c r="GFF738" s="747"/>
      <c r="GFG738" s="747"/>
      <c r="GFH738" s="747"/>
      <c r="GFI738" s="747"/>
      <c r="GFJ738" s="747"/>
      <c r="GFK738" s="747"/>
      <c r="GFL738" s="747"/>
      <c r="GFM738" s="747"/>
      <c r="GFN738" s="747"/>
      <c r="GFO738" s="747"/>
      <c r="GFP738" s="747"/>
      <c r="GFQ738" s="747"/>
      <c r="GFR738" s="747"/>
      <c r="GFS738" s="747"/>
      <c r="GFT738" s="747"/>
      <c r="GFU738" s="747"/>
      <c r="GFV738" s="747"/>
      <c r="GFW738" s="747"/>
      <c r="GFX738" s="747"/>
      <c r="GFY738" s="747"/>
      <c r="GFZ738" s="747"/>
      <c r="GGA738" s="747"/>
      <c r="GGB738" s="747"/>
      <c r="GGC738" s="747"/>
      <c r="GGD738" s="747"/>
      <c r="GGE738" s="747"/>
      <c r="GGF738" s="747"/>
      <c r="GGG738" s="747"/>
      <c r="GGH738" s="747"/>
      <c r="GGI738" s="747"/>
      <c r="GGJ738" s="747"/>
      <c r="GGK738" s="747"/>
      <c r="GGL738" s="747"/>
      <c r="GGM738" s="747"/>
      <c r="GGN738" s="747"/>
      <c r="GGO738" s="747"/>
      <c r="GGP738" s="747"/>
      <c r="GGQ738" s="747"/>
      <c r="GGR738" s="747"/>
      <c r="GGS738" s="747"/>
      <c r="GGT738" s="747"/>
      <c r="GGU738" s="747"/>
      <c r="GGV738" s="747"/>
      <c r="GGW738" s="747"/>
      <c r="GGX738" s="747"/>
      <c r="GGY738" s="747"/>
      <c r="GGZ738" s="747"/>
      <c r="GHA738" s="747"/>
      <c r="GHB738" s="747"/>
      <c r="GHC738" s="747"/>
      <c r="GHD738" s="747"/>
      <c r="GHE738" s="747"/>
      <c r="GHF738" s="747"/>
      <c r="GHG738" s="747"/>
      <c r="GHH738" s="747"/>
      <c r="GHI738" s="747"/>
      <c r="GHJ738" s="747"/>
      <c r="GHK738" s="747"/>
      <c r="GHL738" s="747"/>
      <c r="GHM738" s="747"/>
      <c r="GHN738" s="747"/>
      <c r="GHO738" s="747"/>
      <c r="GHP738" s="747"/>
      <c r="GHQ738" s="747"/>
      <c r="GHR738" s="747"/>
      <c r="GHS738" s="747"/>
      <c r="GHT738" s="747"/>
      <c r="GHU738" s="747"/>
      <c r="GHV738" s="747"/>
      <c r="GHW738" s="747"/>
      <c r="GHX738" s="747"/>
      <c r="GHY738" s="747"/>
      <c r="GHZ738" s="747"/>
      <c r="GIA738" s="747"/>
      <c r="GIB738" s="747"/>
      <c r="GIC738" s="747"/>
      <c r="GID738" s="747"/>
      <c r="GIE738" s="747"/>
      <c r="GIF738" s="747"/>
      <c r="GIG738" s="747"/>
      <c r="GIH738" s="747"/>
      <c r="GII738" s="747"/>
      <c r="GIJ738" s="747"/>
      <c r="GIK738" s="747"/>
      <c r="GIL738" s="747"/>
      <c r="GIM738" s="747"/>
      <c r="GIN738" s="747"/>
      <c r="GIO738" s="747"/>
      <c r="GIP738" s="747"/>
      <c r="GIQ738" s="747"/>
      <c r="GIR738" s="747"/>
      <c r="GIS738" s="747"/>
      <c r="GIT738" s="747"/>
      <c r="GIU738" s="747"/>
      <c r="GIV738" s="747"/>
      <c r="GIW738" s="747"/>
      <c r="GIX738" s="747"/>
      <c r="GIY738" s="747"/>
      <c r="GIZ738" s="747"/>
      <c r="GJA738" s="747"/>
      <c r="GJB738" s="747"/>
      <c r="GJC738" s="747"/>
      <c r="GJD738" s="747"/>
      <c r="GJE738" s="747"/>
      <c r="GJF738" s="747"/>
      <c r="GJG738" s="747"/>
      <c r="GJH738" s="747"/>
      <c r="GJI738" s="747"/>
      <c r="GJJ738" s="747"/>
      <c r="GJK738" s="747"/>
      <c r="GJL738" s="747"/>
      <c r="GJM738" s="747"/>
      <c r="GJN738" s="747"/>
      <c r="GJO738" s="747"/>
      <c r="GJP738" s="747"/>
      <c r="GJQ738" s="747"/>
      <c r="GJR738" s="747"/>
      <c r="GJS738" s="747"/>
      <c r="GJT738" s="747"/>
      <c r="GJU738" s="747"/>
      <c r="GJV738" s="747"/>
      <c r="GJW738" s="747"/>
      <c r="GJX738" s="747"/>
      <c r="GJY738" s="747"/>
      <c r="GJZ738" s="747"/>
      <c r="GKA738" s="747"/>
      <c r="GKB738" s="747"/>
      <c r="GKC738" s="747"/>
      <c r="GKD738" s="747"/>
      <c r="GKE738" s="747"/>
      <c r="GKF738" s="747"/>
      <c r="GKG738" s="747"/>
      <c r="GKH738" s="747"/>
      <c r="GKI738" s="747"/>
      <c r="GKJ738" s="747"/>
      <c r="GKK738" s="747"/>
      <c r="GKL738" s="747"/>
      <c r="GKM738" s="747"/>
      <c r="GKN738" s="747"/>
      <c r="GKO738" s="747"/>
      <c r="GKP738" s="747"/>
      <c r="GKQ738" s="747"/>
      <c r="GKR738" s="747"/>
      <c r="GKS738" s="747"/>
      <c r="GKT738" s="747"/>
      <c r="GKU738" s="747"/>
      <c r="GKV738" s="747"/>
      <c r="GKW738" s="747"/>
      <c r="GKX738" s="747"/>
      <c r="GKY738" s="747"/>
      <c r="GKZ738" s="747"/>
      <c r="GLA738" s="747"/>
      <c r="GLB738" s="747"/>
      <c r="GLC738" s="747"/>
      <c r="GLD738" s="747"/>
      <c r="GLE738" s="747"/>
      <c r="GLF738" s="747"/>
      <c r="GLG738" s="747"/>
      <c r="GLH738" s="747"/>
      <c r="GLI738" s="747"/>
      <c r="GLJ738" s="747"/>
      <c r="GLK738" s="747"/>
      <c r="GLL738" s="747"/>
      <c r="GLM738" s="747"/>
      <c r="GLN738" s="747"/>
      <c r="GLO738" s="747"/>
      <c r="GLP738" s="747"/>
      <c r="GLQ738" s="747"/>
      <c r="GLR738" s="747"/>
      <c r="GLS738" s="747"/>
      <c r="GLT738" s="747"/>
      <c r="GLU738" s="747"/>
      <c r="GLV738" s="747"/>
      <c r="GLW738" s="747"/>
      <c r="GLX738" s="747"/>
      <c r="GLY738" s="747"/>
      <c r="GLZ738" s="747"/>
      <c r="GMA738" s="747"/>
      <c r="GMB738" s="747"/>
      <c r="GMC738" s="747"/>
      <c r="GMD738" s="747"/>
      <c r="GME738" s="747"/>
      <c r="GMF738" s="747"/>
      <c r="GMG738" s="747"/>
      <c r="GMH738" s="747"/>
      <c r="GMI738" s="747"/>
      <c r="GMJ738" s="747"/>
      <c r="GMK738" s="747"/>
      <c r="GML738" s="747"/>
      <c r="GMM738" s="747"/>
      <c r="GMN738" s="747"/>
      <c r="GMO738" s="747"/>
      <c r="GMP738" s="747"/>
      <c r="GMQ738" s="747"/>
      <c r="GMR738" s="747"/>
      <c r="GMS738" s="747"/>
      <c r="GMT738" s="747"/>
      <c r="GMU738" s="747"/>
      <c r="GMV738" s="747"/>
      <c r="GMW738" s="747"/>
      <c r="GMX738" s="747"/>
      <c r="GMY738" s="747"/>
      <c r="GMZ738" s="747"/>
      <c r="GNA738" s="747"/>
      <c r="GNB738" s="747"/>
      <c r="GNC738" s="747"/>
      <c r="GND738" s="747"/>
      <c r="GNE738" s="747"/>
      <c r="GNF738" s="747"/>
      <c r="GNG738" s="747"/>
      <c r="GNH738" s="747"/>
      <c r="GNI738" s="747"/>
      <c r="GNJ738" s="747"/>
      <c r="GNK738" s="747"/>
      <c r="GNL738" s="747"/>
      <c r="GNM738" s="747"/>
      <c r="GNN738" s="747"/>
      <c r="GNO738" s="747"/>
      <c r="GNP738" s="747"/>
      <c r="GNQ738" s="747"/>
      <c r="GNR738" s="747"/>
      <c r="GNS738" s="747"/>
      <c r="GNT738" s="747"/>
      <c r="GNU738" s="747"/>
      <c r="GNV738" s="747"/>
      <c r="GNW738" s="747"/>
      <c r="GNX738" s="747"/>
      <c r="GNY738" s="747"/>
      <c r="GNZ738" s="747"/>
      <c r="GOA738" s="747"/>
      <c r="GOB738" s="747"/>
      <c r="GOC738" s="747"/>
      <c r="GOD738" s="747"/>
      <c r="GOE738" s="747"/>
      <c r="GOF738" s="747"/>
      <c r="GOG738" s="747"/>
      <c r="GOH738" s="747"/>
      <c r="GOI738" s="747"/>
      <c r="GOJ738" s="747"/>
      <c r="GOK738" s="747"/>
      <c r="GOL738" s="747"/>
      <c r="GOM738" s="747"/>
      <c r="GON738" s="747"/>
      <c r="GOO738" s="747"/>
      <c r="GOP738" s="747"/>
      <c r="GOQ738" s="747"/>
      <c r="GOR738" s="747"/>
      <c r="GOS738" s="747"/>
      <c r="GOT738" s="747"/>
      <c r="GOU738" s="747"/>
      <c r="GOV738" s="747"/>
      <c r="GOW738" s="747"/>
      <c r="GOX738" s="747"/>
      <c r="GOY738" s="747"/>
      <c r="GOZ738" s="747"/>
      <c r="GPA738" s="747"/>
      <c r="GPB738" s="747"/>
      <c r="GPC738" s="747"/>
      <c r="GPD738" s="747"/>
      <c r="GPE738" s="747"/>
      <c r="GPF738" s="747"/>
      <c r="GPG738" s="747"/>
      <c r="GPH738" s="747"/>
      <c r="GPI738" s="747"/>
      <c r="GPJ738" s="747"/>
      <c r="GPK738" s="747"/>
      <c r="GPL738" s="747"/>
      <c r="GPM738" s="747"/>
      <c r="GPN738" s="747"/>
      <c r="GPO738" s="747"/>
      <c r="GPP738" s="747"/>
      <c r="GPQ738" s="747"/>
      <c r="GPR738" s="747"/>
      <c r="GPS738" s="747"/>
      <c r="GPT738" s="747"/>
      <c r="GPU738" s="747"/>
      <c r="GPV738" s="747"/>
      <c r="GPW738" s="747"/>
      <c r="GPX738" s="747"/>
      <c r="GPY738" s="747"/>
      <c r="GPZ738" s="747"/>
      <c r="GQA738" s="747"/>
      <c r="GQB738" s="747"/>
      <c r="GQC738" s="747"/>
      <c r="GQD738" s="747"/>
      <c r="GQE738" s="747"/>
      <c r="GQF738" s="747"/>
      <c r="GQG738" s="747"/>
      <c r="GQH738" s="747"/>
      <c r="GQI738" s="747"/>
      <c r="GQJ738" s="747"/>
      <c r="GQK738" s="747"/>
      <c r="GQL738" s="747"/>
      <c r="GQM738" s="747"/>
      <c r="GQN738" s="747"/>
      <c r="GQO738" s="747"/>
      <c r="GQP738" s="747"/>
      <c r="GQQ738" s="747"/>
      <c r="GQR738" s="747"/>
      <c r="GQS738" s="747"/>
      <c r="GQT738" s="747"/>
      <c r="GQU738" s="747"/>
      <c r="GQV738" s="747"/>
      <c r="GQW738" s="747"/>
      <c r="GQX738" s="747"/>
      <c r="GQY738" s="747"/>
      <c r="GQZ738" s="747"/>
      <c r="GRA738" s="747"/>
      <c r="GRB738" s="747"/>
      <c r="GRC738" s="747"/>
      <c r="GRD738" s="747"/>
      <c r="GRE738" s="747"/>
      <c r="GRF738" s="747"/>
      <c r="GRG738" s="747"/>
      <c r="GRH738" s="747"/>
      <c r="GRI738" s="747"/>
      <c r="GRJ738" s="747"/>
      <c r="GRK738" s="747"/>
      <c r="GRL738" s="747"/>
      <c r="GRM738" s="747"/>
      <c r="GRN738" s="747"/>
      <c r="GRO738" s="747"/>
      <c r="GRP738" s="747"/>
      <c r="GRQ738" s="747"/>
      <c r="GRR738" s="747"/>
      <c r="GRS738" s="747"/>
      <c r="GRT738" s="747"/>
      <c r="GRU738" s="747"/>
      <c r="GRV738" s="747"/>
      <c r="GRW738" s="747"/>
      <c r="GRX738" s="747"/>
      <c r="GRY738" s="747"/>
      <c r="GRZ738" s="747"/>
      <c r="GSA738" s="747"/>
      <c r="GSB738" s="747"/>
      <c r="GSC738" s="747"/>
      <c r="GSD738" s="747"/>
      <c r="GSE738" s="747"/>
      <c r="GSF738" s="747"/>
      <c r="GSG738" s="747"/>
      <c r="GSH738" s="747"/>
      <c r="GSI738" s="747"/>
      <c r="GSJ738" s="747"/>
      <c r="GSK738" s="747"/>
      <c r="GSL738" s="747"/>
      <c r="GSM738" s="747"/>
      <c r="GSN738" s="747"/>
      <c r="GSO738" s="747"/>
      <c r="GSP738" s="747"/>
      <c r="GSQ738" s="747"/>
      <c r="GSR738" s="747"/>
      <c r="GSS738" s="747"/>
      <c r="GST738" s="747"/>
      <c r="GSU738" s="747"/>
      <c r="GSV738" s="747"/>
      <c r="GSW738" s="747"/>
      <c r="GSX738" s="747"/>
      <c r="GSY738" s="747"/>
      <c r="GSZ738" s="747"/>
      <c r="GTA738" s="747"/>
      <c r="GTB738" s="747"/>
      <c r="GTC738" s="747"/>
      <c r="GTD738" s="747"/>
      <c r="GTE738" s="747"/>
      <c r="GTF738" s="747"/>
      <c r="GTG738" s="747"/>
      <c r="GTH738" s="747"/>
      <c r="GTI738" s="747"/>
      <c r="GTJ738" s="747"/>
      <c r="GTK738" s="747"/>
      <c r="GTL738" s="747"/>
      <c r="GTM738" s="747"/>
      <c r="GTN738" s="747"/>
      <c r="GTO738" s="747"/>
      <c r="GTP738" s="747"/>
      <c r="GTQ738" s="747"/>
      <c r="GTR738" s="747"/>
      <c r="GTS738" s="747"/>
      <c r="GTT738" s="747"/>
      <c r="GTU738" s="747"/>
      <c r="GTV738" s="747"/>
      <c r="GTW738" s="747"/>
      <c r="GTX738" s="747"/>
      <c r="GTY738" s="747"/>
      <c r="GTZ738" s="747"/>
      <c r="GUA738" s="747"/>
      <c r="GUB738" s="747"/>
      <c r="GUC738" s="747"/>
      <c r="GUD738" s="747"/>
      <c r="GUE738" s="747"/>
      <c r="GUF738" s="747"/>
      <c r="GUG738" s="747"/>
      <c r="GUH738" s="747"/>
      <c r="GUI738" s="747"/>
      <c r="GUJ738" s="747"/>
      <c r="GUK738" s="747"/>
      <c r="GUL738" s="747"/>
      <c r="GUM738" s="747"/>
      <c r="GUN738" s="747"/>
      <c r="GUO738" s="747"/>
      <c r="GUP738" s="747"/>
      <c r="GUQ738" s="747"/>
      <c r="GUR738" s="747"/>
      <c r="GUS738" s="747"/>
      <c r="GUT738" s="747"/>
      <c r="GUU738" s="747"/>
      <c r="GUV738" s="747"/>
      <c r="GUW738" s="747"/>
      <c r="GUX738" s="747"/>
      <c r="GUY738" s="747"/>
      <c r="GUZ738" s="747"/>
      <c r="GVA738" s="747"/>
      <c r="GVB738" s="747"/>
      <c r="GVC738" s="747"/>
      <c r="GVD738" s="747"/>
      <c r="GVE738" s="747"/>
      <c r="GVF738" s="747"/>
      <c r="GVG738" s="747"/>
      <c r="GVH738" s="747"/>
      <c r="GVI738" s="747"/>
      <c r="GVJ738" s="747"/>
      <c r="GVK738" s="747"/>
      <c r="GVL738" s="747"/>
      <c r="GVM738" s="747"/>
      <c r="GVN738" s="747"/>
      <c r="GVO738" s="747"/>
      <c r="GVP738" s="747"/>
      <c r="GVQ738" s="747"/>
      <c r="GVR738" s="747"/>
      <c r="GVS738" s="747"/>
      <c r="GVT738" s="747"/>
      <c r="GVU738" s="747"/>
      <c r="GVV738" s="747"/>
      <c r="GVW738" s="747"/>
      <c r="GVX738" s="747"/>
      <c r="GVY738" s="747"/>
      <c r="GVZ738" s="747"/>
      <c r="GWA738" s="747"/>
      <c r="GWB738" s="747"/>
      <c r="GWC738" s="747"/>
      <c r="GWD738" s="747"/>
      <c r="GWE738" s="747"/>
      <c r="GWF738" s="747"/>
      <c r="GWG738" s="747"/>
      <c r="GWH738" s="747"/>
      <c r="GWI738" s="747"/>
      <c r="GWJ738" s="747"/>
      <c r="GWK738" s="747"/>
      <c r="GWL738" s="747"/>
      <c r="GWM738" s="747"/>
      <c r="GWN738" s="747"/>
      <c r="GWO738" s="747"/>
      <c r="GWP738" s="747"/>
      <c r="GWQ738" s="747"/>
      <c r="GWR738" s="747"/>
      <c r="GWS738" s="747"/>
      <c r="GWT738" s="747"/>
      <c r="GWU738" s="747"/>
      <c r="GWV738" s="747"/>
      <c r="GWW738" s="747"/>
      <c r="GWX738" s="747"/>
      <c r="GWY738" s="747"/>
      <c r="GWZ738" s="747"/>
      <c r="GXA738" s="747"/>
      <c r="GXB738" s="747"/>
      <c r="GXC738" s="747"/>
      <c r="GXD738" s="747"/>
      <c r="GXE738" s="747"/>
      <c r="GXF738" s="747"/>
      <c r="GXG738" s="747"/>
      <c r="GXH738" s="747"/>
      <c r="GXI738" s="747"/>
      <c r="GXJ738" s="747"/>
      <c r="GXK738" s="747"/>
      <c r="GXL738" s="747"/>
      <c r="GXM738" s="747"/>
      <c r="GXN738" s="747"/>
      <c r="GXO738" s="747"/>
      <c r="GXP738" s="747"/>
      <c r="GXQ738" s="747"/>
      <c r="GXR738" s="747"/>
      <c r="GXS738" s="747"/>
      <c r="GXT738" s="747"/>
      <c r="GXU738" s="747"/>
      <c r="GXV738" s="747"/>
      <c r="GXW738" s="747"/>
      <c r="GXX738" s="747"/>
      <c r="GXY738" s="747"/>
      <c r="GXZ738" s="747"/>
      <c r="GYA738" s="747"/>
      <c r="GYB738" s="747"/>
      <c r="GYC738" s="747"/>
      <c r="GYD738" s="747"/>
      <c r="GYE738" s="747"/>
      <c r="GYF738" s="747"/>
      <c r="GYG738" s="747"/>
      <c r="GYH738" s="747"/>
      <c r="GYI738" s="747"/>
      <c r="GYJ738" s="747"/>
      <c r="GYK738" s="747"/>
      <c r="GYL738" s="747"/>
      <c r="GYM738" s="747"/>
      <c r="GYN738" s="747"/>
      <c r="GYO738" s="747"/>
      <c r="GYP738" s="747"/>
      <c r="GYQ738" s="747"/>
      <c r="GYR738" s="747"/>
      <c r="GYS738" s="747"/>
      <c r="GYT738" s="747"/>
      <c r="GYU738" s="747"/>
      <c r="GYV738" s="747"/>
      <c r="GYW738" s="747"/>
      <c r="GYX738" s="747"/>
      <c r="GYY738" s="747"/>
      <c r="GYZ738" s="747"/>
      <c r="GZA738" s="747"/>
      <c r="GZB738" s="747"/>
      <c r="GZC738" s="747"/>
      <c r="GZD738" s="747"/>
      <c r="GZE738" s="747"/>
      <c r="GZF738" s="747"/>
      <c r="GZG738" s="747"/>
      <c r="GZH738" s="747"/>
      <c r="GZI738" s="747"/>
      <c r="GZJ738" s="747"/>
      <c r="GZK738" s="747"/>
      <c r="GZL738" s="747"/>
      <c r="GZM738" s="747"/>
      <c r="GZN738" s="747"/>
      <c r="GZO738" s="747"/>
      <c r="GZP738" s="747"/>
      <c r="GZQ738" s="747"/>
      <c r="GZR738" s="747"/>
      <c r="GZS738" s="747"/>
      <c r="GZT738" s="747"/>
      <c r="GZU738" s="747"/>
      <c r="GZV738" s="747"/>
      <c r="GZW738" s="747"/>
      <c r="GZX738" s="747"/>
      <c r="GZY738" s="747"/>
      <c r="GZZ738" s="747"/>
      <c r="HAA738" s="747"/>
      <c r="HAB738" s="747"/>
      <c r="HAC738" s="747"/>
      <c r="HAD738" s="747"/>
      <c r="HAE738" s="747"/>
      <c r="HAF738" s="747"/>
      <c r="HAG738" s="747"/>
      <c r="HAH738" s="747"/>
      <c r="HAI738" s="747"/>
      <c r="HAJ738" s="747"/>
      <c r="HAK738" s="747"/>
      <c r="HAL738" s="747"/>
      <c r="HAM738" s="747"/>
      <c r="HAN738" s="747"/>
      <c r="HAO738" s="747"/>
      <c r="HAP738" s="747"/>
      <c r="HAQ738" s="747"/>
      <c r="HAR738" s="747"/>
      <c r="HAS738" s="747"/>
      <c r="HAT738" s="747"/>
      <c r="HAU738" s="747"/>
      <c r="HAV738" s="747"/>
      <c r="HAW738" s="747"/>
      <c r="HAX738" s="747"/>
      <c r="HAY738" s="747"/>
      <c r="HAZ738" s="747"/>
      <c r="HBA738" s="747"/>
      <c r="HBB738" s="747"/>
      <c r="HBC738" s="747"/>
      <c r="HBD738" s="747"/>
      <c r="HBE738" s="747"/>
      <c r="HBF738" s="747"/>
      <c r="HBG738" s="747"/>
      <c r="HBH738" s="747"/>
      <c r="HBI738" s="747"/>
      <c r="HBJ738" s="747"/>
      <c r="HBK738" s="747"/>
      <c r="HBL738" s="747"/>
      <c r="HBM738" s="747"/>
      <c r="HBN738" s="747"/>
      <c r="HBO738" s="747"/>
      <c r="HBP738" s="747"/>
      <c r="HBQ738" s="747"/>
      <c r="HBR738" s="747"/>
      <c r="HBS738" s="747"/>
      <c r="HBT738" s="747"/>
      <c r="HBU738" s="747"/>
      <c r="HBV738" s="747"/>
      <c r="HBW738" s="747"/>
      <c r="HBX738" s="747"/>
      <c r="HBY738" s="747"/>
      <c r="HBZ738" s="747"/>
      <c r="HCA738" s="747"/>
      <c r="HCB738" s="747"/>
      <c r="HCC738" s="747"/>
      <c r="HCD738" s="747"/>
      <c r="HCE738" s="747"/>
      <c r="HCF738" s="747"/>
      <c r="HCG738" s="747"/>
      <c r="HCH738" s="747"/>
      <c r="HCI738" s="747"/>
      <c r="HCJ738" s="747"/>
      <c r="HCK738" s="747"/>
      <c r="HCL738" s="747"/>
      <c r="HCM738" s="747"/>
      <c r="HCN738" s="747"/>
      <c r="HCO738" s="747"/>
      <c r="HCP738" s="747"/>
      <c r="HCQ738" s="747"/>
      <c r="HCR738" s="747"/>
      <c r="HCS738" s="747"/>
      <c r="HCT738" s="747"/>
      <c r="HCU738" s="747"/>
      <c r="HCV738" s="747"/>
      <c r="HCW738" s="747"/>
      <c r="HCX738" s="747"/>
      <c r="HCY738" s="747"/>
      <c r="HCZ738" s="747"/>
      <c r="HDA738" s="747"/>
      <c r="HDB738" s="747"/>
      <c r="HDC738" s="747"/>
      <c r="HDD738" s="747"/>
      <c r="HDE738" s="747"/>
      <c r="HDF738" s="747"/>
      <c r="HDG738" s="747"/>
      <c r="HDH738" s="747"/>
      <c r="HDI738" s="747"/>
      <c r="HDJ738" s="747"/>
      <c r="HDK738" s="747"/>
      <c r="HDL738" s="747"/>
      <c r="HDM738" s="747"/>
      <c r="HDN738" s="747"/>
      <c r="HDO738" s="747"/>
      <c r="HDP738" s="747"/>
      <c r="HDQ738" s="747"/>
      <c r="HDR738" s="747"/>
      <c r="HDS738" s="747"/>
      <c r="HDT738" s="747"/>
      <c r="HDU738" s="747"/>
      <c r="HDV738" s="747"/>
      <c r="HDW738" s="747"/>
      <c r="HDX738" s="747"/>
      <c r="HDY738" s="747"/>
      <c r="HDZ738" s="747"/>
      <c r="HEA738" s="747"/>
      <c r="HEB738" s="747"/>
      <c r="HEC738" s="747"/>
      <c r="HED738" s="747"/>
      <c r="HEE738" s="747"/>
      <c r="HEF738" s="747"/>
      <c r="HEG738" s="747"/>
      <c r="HEH738" s="747"/>
      <c r="HEI738" s="747"/>
      <c r="HEJ738" s="747"/>
      <c r="HEK738" s="747"/>
      <c r="HEL738" s="747"/>
      <c r="HEM738" s="747"/>
      <c r="HEN738" s="747"/>
      <c r="HEO738" s="747"/>
      <c r="HEP738" s="747"/>
      <c r="HEQ738" s="747"/>
      <c r="HER738" s="747"/>
      <c r="HES738" s="747"/>
      <c r="HET738" s="747"/>
      <c r="HEU738" s="747"/>
      <c r="HEV738" s="747"/>
      <c r="HEW738" s="747"/>
      <c r="HEX738" s="747"/>
      <c r="HEY738" s="747"/>
      <c r="HEZ738" s="747"/>
      <c r="HFA738" s="747"/>
      <c r="HFB738" s="747"/>
      <c r="HFC738" s="747"/>
      <c r="HFD738" s="747"/>
      <c r="HFE738" s="747"/>
      <c r="HFF738" s="747"/>
      <c r="HFG738" s="747"/>
      <c r="HFH738" s="747"/>
      <c r="HFI738" s="747"/>
      <c r="HFJ738" s="747"/>
      <c r="HFK738" s="747"/>
      <c r="HFL738" s="747"/>
      <c r="HFM738" s="747"/>
      <c r="HFN738" s="747"/>
      <c r="HFO738" s="747"/>
      <c r="HFP738" s="747"/>
      <c r="HFQ738" s="747"/>
      <c r="HFR738" s="747"/>
      <c r="HFS738" s="747"/>
      <c r="HFT738" s="747"/>
      <c r="HFU738" s="747"/>
      <c r="HFV738" s="747"/>
      <c r="HFW738" s="747"/>
      <c r="HFX738" s="747"/>
      <c r="HFY738" s="747"/>
      <c r="HFZ738" s="747"/>
      <c r="HGA738" s="747"/>
      <c r="HGB738" s="747"/>
      <c r="HGC738" s="747"/>
      <c r="HGD738" s="747"/>
      <c r="HGE738" s="747"/>
      <c r="HGF738" s="747"/>
      <c r="HGG738" s="747"/>
      <c r="HGH738" s="747"/>
      <c r="HGI738" s="747"/>
      <c r="HGJ738" s="747"/>
      <c r="HGK738" s="747"/>
      <c r="HGL738" s="747"/>
      <c r="HGM738" s="747"/>
      <c r="HGN738" s="747"/>
      <c r="HGO738" s="747"/>
      <c r="HGP738" s="747"/>
      <c r="HGQ738" s="747"/>
      <c r="HGR738" s="747"/>
      <c r="HGS738" s="747"/>
      <c r="HGT738" s="747"/>
      <c r="HGU738" s="747"/>
      <c r="HGV738" s="747"/>
      <c r="HGW738" s="747"/>
      <c r="HGX738" s="747"/>
      <c r="HGY738" s="747"/>
      <c r="HGZ738" s="747"/>
      <c r="HHA738" s="747"/>
      <c r="HHB738" s="747"/>
      <c r="HHC738" s="747"/>
      <c r="HHD738" s="747"/>
      <c r="HHE738" s="747"/>
      <c r="HHF738" s="747"/>
      <c r="HHG738" s="747"/>
      <c r="HHH738" s="747"/>
      <c r="HHI738" s="747"/>
      <c r="HHJ738" s="747"/>
      <c r="HHK738" s="747"/>
      <c r="HHL738" s="747"/>
      <c r="HHM738" s="747"/>
      <c r="HHN738" s="747"/>
      <c r="HHO738" s="747"/>
      <c r="HHP738" s="747"/>
      <c r="HHQ738" s="747"/>
      <c r="HHR738" s="747"/>
      <c r="HHS738" s="747"/>
      <c r="HHT738" s="747"/>
      <c r="HHU738" s="747"/>
      <c r="HHV738" s="747"/>
      <c r="HHW738" s="747"/>
      <c r="HHX738" s="747"/>
      <c r="HHY738" s="747"/>
      <c r="HHZ738" s="747"/>
      <c r="HIA738" s="747"/>
      <c r="HIB738" s="747"/>
      <c r="HIC738" s="747"/>
      <c r="HID738" s="747"/>
      <c r="HIE738" s="747"/>
      <c r="HIF738" s="747"/>
      <c r="HIG738" s="747"/>
      <c r="HIH738" s="747"/>
      <c r="HII738" s="747"/>
      <c r="HIJ738" s="747"/>
      <c r="HIK738" s="747"/>
      <c r="HIL738" s="747"/>
      <c r="HIM738" s="747"/>
      <c r="HIN738" s="747"/>
      <c r="HIO738" s="747"/>
      <c r="HIP738" s="747"/>
      <c r="HIQ738" s="747"/>
      <c r="HIR738" s="747"/>
      <c r="HIS738" s="747"/>
      <c r="HIT738" s="747"/>
      <c r="HIU738" s="747"/>
      <c r="HIV738" s="747"/>
      <c r="HIW738" s="747"/>
      <c r="HIX738" s="747"/>
      <c r="HIY738" s="747"/>
      <c r="HIZ738" s="747"/>
      <c r="HJA738" s="747"/>
      <c r="HJB738" s="747"/>
      <c r="HJC738" s="747"/>
      <c r="HJD738" s="747"/>
      <c r="HJE738" s="747"/>
      <c r="HJF738" s="747"/>
      <c r="HJG738" s="747"/>
      <c r="HJH738" s="747"/>
      <c r="HJI738" s="747"/>
      <c r="HJJ738" s="747"/>
      <c r="HJK738" s="747"/>
      <c r="HJL738" s="747"/>
      <c r="HJM738" s="747"/>
      <c r="HJN738" s="747"/>
      <c r="HJO738" s="747"/>
      <c r="HJP738" s="747"/>
      <c r="HJQ738" s="747"/>
      <c r="HJR738" s="747"/>
      <c r="HJS738" s="747"/>
      <c r="HJT738" s="747"/>
      <c r="HJU738" s="747"/>
      <c r="HJV738" s="747"/>
      <c r="HJW738" s="747"/>
      <c r="HJX738" s="747"/>
      <c r="HJY738" s="747"/>
      <c r="HJZ738" s="747"/>
      <c r="HKA738" s="747"/>
      <c r="HKB738" s="747"/>
      <c r="HKC738" s="747"/>
      <c r="HKD738" s="747"/>
      <c r="HKE738" s="747"/>
      <c r="HKF738" s="747"/>
      <c r="HKG738" s="747"/>
      <c r="HKH738" s="747"/>
      <c r="HKI738" s="747"/>
      <c r="HKJ738" s="747"/>
      <c r="HKK738" s="747"/>
      <c r="HKL738" s="747"/>
      <c r="HKM738" s="747"/>
      <c r="HKN738" s="747"/>
      <c r="HKO738" s="747"/>
      <c r="HKP738" s="747"/>
      <c r="HKQ738" s="747"/>
      <c r="HKR738" s="747"/>
      <c r="HKS738" s="747"/>
      <c r="HKT738" s="747"/>
      <c r="HKU738" s="747"/>
      <c r="HKV738" s="747"/>
      <c r="HKW738" s="747"/>
      <c r="HKX738" s="747"/>
      <c r="HKY738" s="747"/>
      <c r="HKZ738" s="747"/>
      <c r="HLA738" s="747"/>
      <c r="HLB738" s="747"/>
      <c r="HLC738" s="747"/>
      <c r="HLD738" s="747"/>
      <c r="HLE738" s="747"/>
      <c r="HLF738" s="747"/>
      <c r="HLG738" s="747"/>
      <c r="HLH738" s="747"/>
      <c r="HLI738" s="747"/>
      <c r="HLJ738" s="747"/>
      <c r="HLK738" s="747"/>
      <c r="HLL738" s="747"/>
      <c r="HLM738" s="747"/>
      <c r="HLN738" s="747"/>
      <c r="HLO738" s="747"/>
      <c r="HLP738" s="747"/>
      <c r="HLQ738" s="747"/>
      <c r="HLR738" s="747"/>
      <c r="HLS738" s="747"/>
      <c r="HLT738" s="747"/>
      <c r="HLU738" s="747"/>
      <c r="HLV738" s="747"/>
      <c r="HLW738" s="747"/>
      <c r="HLX738" s="747"/>
      <c r="HLY738" s="747"/>
      <c r="HLZ738" s="747"/>
      <c r="HMA738" s="747"/>
      <c r="HMB738" s="747"/>
      <c r="HMC738" s="747"/>
      <c r="HMD738" s="747"/>
      <c r="HME738" s="747"/>
      <c r="HMF738" s="747"/>
      <c r="HMG738" s="747"/>
      <c r="HMH738" s="747"/>
      <c r="HMI738" s="747"/>
      <c r="HMJ738" s="747"/>
      <c r="HMK738" s="747"/>
      <c r="HML738" s="747"/>
      <c r="HMM738" s="747"/>
      <c r="HMN738" s="747"/>
      <c r="HMO738" s="747"/>
      <c r="HMP738" s="747"/>
      <c r="HMQ738" s="747"/>
      <c r="HMR738" s="747"/>
      <c r="HMS738" s="747"/>
      <c r="HMT738" s="747"/>
      <c r="HMU738" s="747"/>
      <c r="HMV738" s="747"/>
      <c r="HMW738" s="747"/>
      <c r="HMX738" s="747"/>
      <c r="HMY738" s="747"/>
      <c r="HMZ738" s="747"/>
      <c r="HNA738" s="747"/>
      <c r="HNB738" s="747"/>
      <c r="HNC738" s="747"/>
      <c r="HND738" s="747"/>
      <c r="HNE738" s="747"/>
      <c r="HNF738" s="747"/>
      <c r="HNG738" s="747"/>
      <c r="HNH738" s="747"/>
      <c r="HNI738" s="747"/>
      <c r="HNJ738" s="747"/>
      <c r="HNK738" s="747"/>
      <c r="HNL738" s="747"/>
      <c r="HNM738" s="747"/>
      <c r="HNN738" s="747"/>
      <c r="HNO738" s="747"/>
      <c r="HNP738" s="747"/>
      <c r="HNQ738" s="747"/>
      <c r="HNR738" s="747"/>
      <c r="HNS738" s="747"/>
      <c r="HNT738" s="747"/>
      <c r="HNU738" s="747"/>
      <c r="HNV738" s="747"/>
      <c r="HNW738" s="747"/>
      <c r="HNX738" s="747"/>
      <c r="HNY738" s="747"/>
      <c r="HNZ738" s="747"/>
      <c r="HOA738" s="747"/>
      <c r="HOB738" s="747"/>
      <c r="HOC738" s="747"/>
      <c r="HOD738" s="747"/>
      <c r="HOE738" s="747"/>
      <c r="HOF738" s="747"/>
      <c r="HOG738" s="747"/>
      <c r="HOH738" s="747"/>
      <c r="HOI738" s="747"/>
      <c r="HOJ738" s="747"/>
      <c r="HOK738" s="747"/>
      <c r="HOL738" s="747"/>
      <c r="HOM738" s="747"/>
      <c r="HON738" s="747"/>
      <c r="HOO738" s="747"/>
      <c r="HOP738" s="747"/>
      <c r="HOQ738" s="747"/>
      <c r="HOR738" s="747"/>
      <c r="HOS738" s="747"/>
      <c r="HOT738" s="747"/>
      <c r="HOU738" s="747"/>
      <c r="HOV738" s="747"/>
      <c r="HOW738" s="747"/>
      <c r="HOX738" s="747"/>
      <c r="HOY738" s="747"/>
      <c r="HOZ738" s="747"/>
      <c r="HPA738" s="747"/>
      <c r="HPB738" s="747"/>
      <c r="HPC738" s="747"/>
      <c r="HPD738" s="747"/>
      <c r="HPE738" s="747"/>
      <c r="HPF738" s="747"/>
      <c r="HPG738" s="747"/>
      <c r="HPH738" s="747"/>
      <c r="HPI738" s="747"/>
      <c r="HPJ738" s="747"/>
      <c r="HPK738" s="747"/>
      <c r="HPL738" s="747"/>
      <c r="HPM738" s="747"/>
      <c r="HPN738" s="747"/>
      <c r="HPO738" s="747"/>
      <c r="HPP738" s="747"/>
      <c r="HPQ738" s="747"/>
      <c r="HPR738" s="747"/>
      <c r="HPS738" s="747"/>
      <c r="HPT738" s="747"/>
      <c r="HPU738" s="747"/>
      <c r="HPV738" s="747"/>
      <c r="HPW738" s="747"/>
      <c r="HPX738" s="747"/>
      <c r="HPY738" s="747"/>
      <c r="HPZ738" s="747"/>
      <c r="HQA738" s="747"/>
      <c r="HQB738" s="747"/>
      <c r="HQC738" s="747"/>
      <c r="HQD738" s="747"/>
      <c r="HQE738" s="747"/>
      <c r="HQF738" s="747"/>
      <c r="HQG738" s="747"/>
      <c r="HQH738" s="747"/>
      <c r="HQI738" s="747"/>
      <c r="HQJ738" s="747"/>
      <c r="HQK738" s="747"/>
      <c r="HQL738" s="747"/>
      <c r="HQM738" s="747"/>
      <c r="HQN738" s="747"/>
      <c r="HQO738" s="747"/>
      <c r="HQP738" s="747"/>
      <c r="HQQ738" s="747"/>
      <c r="HQR738" s="747"/>
      <c r="HQS738" s="747"/>
      <c r="HQT738" s="747"/>
      <c r="HQU738" s="747"/>
      <c r="HQV738" s="747"/>
      <c r="HQW738" s="747"/>
      <c r="HQX738" s="747"/>
      <c r="HQY738" s="747"/>
      <c r="HQZ738" s="747"/>
      <c r="HRA738" s="747"/>
      <c r="HRB738" s="747"/>
      <c r="HRC738" s="747"/>
      <c r="HRD738" s="747"/>
      <c r="HRE738" s="747"/>
      <c r="HRF738" s="747"/>
      <c r="HRG738" s="747"/>
      <c r="HRH738" s="747"/>
      <c r="HRI738" s="747"/>
      <c r="HRJ738" s="747"/>
      <c r="HRK738" s="747"/>
      <c r="HRL738" s="747"/>
      <c r="HRM738" s="747"/>
      <c r="HRN738" s="747"/>
      <c r="HRO738" s="747"/>
      <c r="HRP738" s="747"/>
      <c r="HRQ738" s="747"/>
      <c r="HRR738" s="747"/>
      <c r="HRS738" s="747"/>
      <c r="HRT738" s="747"/>
      <c r="HRU738" s="747"/>
      <c r="HRV738" s="747"/>
      <c r="HRW738" s="747"/>
      <c r="HRX738" s="747"/>
      <c r="HRY738" s="747"/>
      <c r="HRZ738" s="747"/>
      <c r="HSA738" s="747"/>
      <c r="HSB738" s="747"/>
      <c r="HSC738" s="747"/>
      <c r="HSD738" s="747"/>
      <c r="HSE738" s="747"/>
      <c r="HSF738" s="747"/>
      <c r="HSG738" s="747"/>
      <c r="HSH738" s="747"/>
      <c r="HSI738" s="747"/>
      <c r="HSJ738" s="747"/>
      <c r="HSK738" s="747"/>
      <c r="HSL738" s="747"/>
      <c r="HSM738" s="747"/>
      <c r="HSN738" s="747"/>
      <c r="HSO738" s="747"/>
      <c r="HSP738" s="747"/>
      <c r="HSQ738" s="747"/>
      <c r="HSR738" s="747"/>
      <c r="HSS738" s="747"/>
      <c r="HST738" s="747"/>
      <c r="HSU738" s="747"/>
      <c r="HSV738" s="747"/>
      <c r="HSW738" s="747"/>
      <c r="HSX738" s="747"/>
      <c r="HSY738" s="747"/>
      <c r="HSZ738" s="747"/>
      <c r="HTA738" s="747"/>
      <c r="HTB738" s="747"/>
      <c r="HTC738" s="747"/>
      <c r="HTD738" s="747"/>
      <c r="HTE738" s="747"/>
      <c r="HTF738" s="747"/>
      <c r="HTG738" s="747"/>
      <c r="HTH738" s="747"/>
      <c r="HTI738" s="747"/>
      <c r="HTJ738" s="747"/>
      <c r="HTK738" s="747"/>
      <c r="HTL738" s="747"/>
      <c r="HTM738" s="747"/>
      <c r="HTN738" s="747"/>
      <c r="HTO738" s="747"/>
      <c r="HTP738" s="747"/>
      <c r="HTQ738" s="747"/>
      <c r="HTR738" s="747"/>
      <c r="HTS738" s="747"/>
      <c r="HTT738" s="747"/>
      <c r="HTU738" s="747"/>
      <c r="HTV738" s="747"/>
      <c r="HTW738" s="747"/>
      <c r="HTX738" s="747"/>
      <c r="HTY738" s="747"/>
      <c r="HTZ738" s="747"/>
      <c r="HUA738" s="747"/>
      <c r="HUB738" s="747"/>
      <c r="HUC738" s="747"/>
      <c r="HUD738" s="747"/>
      <c r="HUE738" s="747"/>
      <c r="HUF738" s="747"/>
      <c r="HUG738" s="747"/>
      <c r="HUH738" s="747"/>
      <c r="HUI738" s="747"/>
      <c r="HUJ738" s="747"/>
      <c r="HUK738" s="747"/>
      <c r="HUL738" s="747"/>
      <c r="HUM738" s="747"/>
      <c r="HUN738" s="747"/>
      <c r="HUO738" s="747"/>
      <c r="HUP738" s="747"/>
      <c r="HUQ738" s="747"/>
      <c r="HUR738" s="747"/>
      <c r="HUS738" s="747"/>
      <c r="HUT738" s="747"/>
      <c r="HUU738" s="747"/>
      <c r="HUV738" s="747"/>
      <c r="HUW738" s="747"/>
      <c r="HUX738" s="747"/>
      <c r="HUY738" s="747"/>
      <c r="HUZ738" s="747"/>
      <c r="HVA738" s="747"/>
      <c r="HVB738" s="747"/>
      <c r="HVC738" s="747"/>
      <c r="HVD738" s="747"/>
      <c r="HVE738" s="747"/>
      <c r="HVF738" s="747"/>
      <c r="HVG738" s="747"/>
      <c r="HVH738" s="747"/>
      <c r="HVI738" s="747"/>
      <c r="HVJ738" s="747"/>
      <c r="HVK738" s="747"/>
      <c r="HVL738" s="747"/>
      <c r="HVM738" s="747"/>
      <c r="HVN738" s="747"/>
      <c r="HVO738" s="747"/>
      <c r="HVP738" s="747"/>
      <c r="HVQ738" s="747"/>
      <c r="HVR738" s="747"/>
      <c r="HVS738" s="747"/>
      <c r="HVT738" s="747"/>
      <c r="HVU738" s="747"/>
      <c r="HVV738" s="747"/>
      <c r="HVW738" s="747"/>
      <c r="HVX738" s="747"/>
      <c r="HVY738" s="747"/>
      <c r="HVZ738" s="747"/>
      <c r="HWA738" s="747"/>
      <c r="HWB738" s="747"/>
      <c r="HWC738" s="747"/>
      <c r="HWD738" s="747"/>
      <c r="HWE738" s="747"/>
      <c r="HWF738" s="747"/>
      <c r="HWG738" s="747"/>
      <c r="HWH738" s="747"/>
      <c r="HWI738" s="747"/>
      <c r="HWJ738" s="747"/>
      <c r="HWK738" s="747"/>
      <c r="HWL738" s="747"/>
      <c r="HWM738" s="747"/>
      <c r="HWN738" s="747"/>
      <c r="HWO738" s="747"/>
      <c r="HWP738" s="747"/>
      <c r="HWQ738" s="747"/>
      <c r="HWR738" s="747"/>
      <c r="HWS738" s="747"/>
      <c r="HWT738" s="747"/>
      <c r="HWU738" s="747"/>
      <c r="HWV738" s="747"/>
      <c r="HWW738" s="747"/>
      <c r="HWX738" s="747"/>
      <c r="HWY738" s="747"/>
      <c r="HWZ738" s="747"/>
      <c r="HXA738" s="747"/>
      <c r="HXB738" s="747"/>
      <c r="HXC738" s="747"/>
      <c r="HXD738" s="747"/>
      <c r="HXE738" s="747"/>
      <c r="HXF738" s="747"/>
      <c r="HXG738" s="747"/>
      <c r="HXH738" s="747"/>
      <c r="HXI738" s="747"/>
      <c r="HXJ738" s="747"/>
      <c r="HXK738" s="747"/>
      <c r="HXL738" s="747"/>
      <c r="HXM738" s="747"/>
      <c r="HXN738" s="747"/>
      <c r="HXO738" s="747"/>
      <c r="HXP738" s="747"/>
      <c r="HXQ738" s="747"/>
      <c r="HXR738" s="747"/>
      <c r="HXS738" s="747"/>
      <c r="HXT738" s="747"/>
      <c r="HXU738" s="747"/>
      <c r="HXV738" s="747"/>
      <c r="HXW738" s="747"/>
      <c r="HXX738" s="747"/>
      <c r="HXY738" s="747"/>
      <c r="HXZ738" s="747"/>
      <c r="HYA738" s="747"/>
      <c r="HYB738" s="747"/>
      <c r="HYC738" s="747"/>
      <c r="HYD738" s="747"/>
      <c r="HYE738" s="747"/>
      <c r="HYF738" s="747"/>
      <c r="HYG738" s="747"/>
      <c r="HYH738" s="747"/>
      <c r="HYI738" s="747"/>
      <c r="HYJ738" s="747"/>
      <c r="HYK738" s="747"/>
      <c r="HYL738" s="747"/>
      <c r="HYM738" s="747"/>
      <c r="HYN738" s="747"/>
      <c r="HYO738" s="747"/>
      <c r="HYP738" s="747"/>
      <c r="HYQ738" s="747"/>
      <c r="HYR738" s="747"/>
      <c r="HYS738" s="747"/>
      <c r="HYT738" s="747"/>
      <c r="HYU738" s="747"/>
      <c r="HYV738" s="747"/>
      <c r="HYW738" s="747"/>
      <c r="HYX738" s="747"/>
      <c r="HYY738" s="747"/>
      <c r="HYZ738" s="747"/>
      <c r="HZA738" s="747"/>
      <c r="HZB738" s="747"/>
      <c r="HZC738" s="747"/>
      <c r="HZD738" s="747"/>
      <c r="HZE738" s="747"/>
      <c r="HZF738" s="747"/>
      <c r="HZG738" s="747"/>
      <c r="HZH738" s="747"/>
      <c r="HZI738" s="747"/>
      <c r="HZJ738" s="747"/>
      <c r="HZK738" s="747"/>
      <c r="HZL738" s="747"/>
      <c r="HZM738" s="747"/>
      <c r="HZN738" s="747"/>
      <c r="HZO738" s="747"/>
      <c r="HZP738" s="747"/>
      <c r="HZQ738" s="747"/>
      <c r="HZR738" s="747"/>
      <c r="HZS738" s="747"/>
      <c r="HZT738" s="747"/>
      <c r="HZU738" s="747"/>
      <c r="HZV738" s="747"/>
      <c r="HZW738" s="747"/>
      <c r="HZX738" s="747"/>
      <c r="HZY738" s="747"/>
      <c r="HZZ738" s="747"/>
      <c r="IAA738" s="747"/>
      <c r="IAB738" s="747"/>
      <c r="IAC738" s="747"/>
      <c r="IAD738" s="747"/>
      <c r="IAE738" s="747"/>
      <c r="IAF738" s="747"/>
      <c r="IAG738" s="747"/>
      <c r="IAH738" s="747"/>
      <c r="IAI738" s="747"/>
      <c r="IAJ738" s="747"/>
      <c r="IAK738" s="747"/>
      <c r="IAL738" s="747"/>
      <c r="IAM738" s="747"/>
      <c r="IAN738" s="747"/>
      <c r="IAO738" s="747"/>
      <c r="IAP738" s="747"/>
      <c r="IAQ738" s="747"/>
      <c r="IAR738" s="747"/>
      <c r="IAS738" s="747"/>
      <c r="IAT738" s="747"/>
      <c r="IAU738" s="747"/>
      <c r="IAV738" s="747"/>
      <c r="IAW738" s="747"/>
      <c r="IAX738" s="747"/>
      <c r="IAY738" s="747"/>
      <c r="IAZ738" s="747"/>
      <c r="IBA738" s="747"/>
      <c r="IBB738" s="747"/>
      <c r="IBC738" s="747"/>
      <c r="IBD738" s="747"/>
      <c r="IBE738" s="747"/>
      <c r="IBF738" s="747"/>
      <c r="IBG738" s="747"/>
      <c r="IBH738" s="747"/>
      <c r="IBI738" s="747"/>
      <c r="IBJ738" s="747"/>
      <c r="IBK738" s="747"/>
      <c r="IBL738" s="747"/>
      <c r="IBM738" s="747"/>
      <c r="IBN738" s="747"/>
      <c r="IBO738" s="747"/>
      <c r="IBP738" s="747"/>
      <c r="IBQ738" s="747"/>
      <c r="IBR738" s="747"/>
      <c r="IBS738" s="747"/>
      <c r="IBT738" s="747"/>
      <c r="IBU738" s="747"/>
      <c r="IBV738" s="747"/>
      <c r="IBW738" s="747"/>
      <c r="IBX738" s="747"/>
      <c r="IBY738" s="747"/>
      <c r="IBZ738" s="747"/>
      <c r="ICA738" s="747"/>
      <c r="ICB738" s="747"/>
      <c r="ICC738" s="747"/>
      <c r="ICD738" s="747"/>
      <c r="ICE738" s="747"/>
      <c r="ICF738" s="747"/>
      <c r="ICG738" s="747"/>
      <c r="ICH738" s="747"/>
      <c r="ICI738" s="747"/>
      <c r="ICJ738" s="747"/>
      <c r="ICK738" s="747"/>
      <c r="ICL738" s="747"/>
      <c r="ICM738" s="747"/>
      <c r="ICN738" s="747"/>
      <c r="ICO738" s="747"/>
      <c r="ICP738" s="747"/>
      <c r="ICQ738" s="747"/>
      <c r="ICR738" s="747"/>
      <c r="ICS738" s="747"/>
      <c r="ICT738" s="747"/>
      <c r="ICU738" s="747"/>
      <c r="ICV738" s="747"/>
      <c r="ICW738" s="747"/>
      <c r="ICX738" s="747"/>
      <c r="ICY738" s="747"/>
      <c r="ICZ738" s="747"/>
      <c r="IDA738" s="747"/>
      <c r="IDB738" s="747"/>
      <c r="IDC738" s="747"/>
      <c r="IDD738" s="747"/>
      <c r="IDE738" s="747"/>
      <c r="IDF738" s="747"/>
      <c r="IDG738" s="747"/>
      <c r="IDH738" s="747"/>
      <c r="IDI738" s="747"/>
      <c r="IDJ738" s="747"/>
      <c r="IDK738" s="747"/>
      <c r="IDL738" s="747"/>
      <c r="IDM738" s="747"/>
      <c r="IDN738" s="747"/>
      <c r="IDO738" s="747"/>
      <c r="IDP738" s="747"/>
      <c r="IDQ738" s="747"/>
      <c r="IDR738" s="747"/>
      <c r="IDS738" s="747"/>
      <c r="IDT738" s="747"/>
      <c r="IDU738" s="747"/>
      <c r="IDV738" s="747"/>
      <c r="IDW738" s="747"/>
      <c r="IDX738" s="747"/>
      <c r="IDY738" s="747"/>
      <c r="IDZ738" s="747"/>
      <c r="IEA738" s="747"/>
      <c r="IEB738" s="747"/>
      <c r="IEC738" s="747"/>
      <c r="IED738" s="747"/>
      <c r="IEE738" s="747"/>
      <c r="IEF738" s="747"/>
      <c r="IEG738" s="747"/>
      <c r="IEH738" s="747"/>
      <c r="IEI738" s="747"/>
      <c r="IEJ738" s="747"/>
      <c r="IEK738" s="747"/>
      <c r="IEL738" s="747"/>
      <c r="IEM738" s="747"/>
      <c r="IEN738" s="747"/>
      <c r="IEO738" s="747"/>
      <c r="IEP738" s="747"/>
      <c r="IEQ738" s="747"/>
      <c r="IER738" s="747"/>
      <c r="IES738" s="747"/>
      <c r="IET738" s="747"/>
      <c r="IEU738" s="747"/>
      <c r="IEV738" s="747"/>
      <c r="IEW738" s="747"/>
      <c r="IEX738" s="747"/>
      <c r="IEY738" s="747"/>
      <c r="IEZ738" s="747"/>
      <c r="IFA738" s="747"/>
      <c r="IFB738" s="747"/>
      <c r="IFC738" s="747"/>
      <c r="IFD738" s="747"/>
      <c r="IFE738" s="747"/>
      <c r="IFF738" s="747"/>
      <c r="IFG738" s="747"/>
      <c r="IFH738" s="747"/>
      <c r="IFI738" s="747"/>
      <c r="IFJ738" s="747"/>
      <c r="IFK738" s="747"/>
      <c r="IFL738" s="747"/>
      <c r="IFM738" s="747"/>
      <c r="IFN738" s="747"/>
      <c r="IFO738" s="747"/>
      <c r="IFP738" s="747"/>
      <c r="IFQ738" s="747"/>
      <c r="IFR738" s="747"/>
      <c r="IFS738" s="747"/>
      <c r="IFT738" s="747"/>
      <c r="IFU738" s="747"/>
      <c r="IFV738" s="747"/>
      <c r="IFW738" s="747"/>
      <c r="IFX738" s="747"/>
      <c r="IFY738" s="747"/>
      <c r="IFZ738" s="747"/>
      <c r="IGA738" s="747"/>
      <c r="IGB738" s="747"/>
      <c r="IGC738" s="747"/>
      <c r="IGD738" s="747"/>
      <c r="IGE738" s="747"/>
      <c r="IGF738" s="747"/>
      <c r="IGG738" s="747"/>
      <c r="IGH738" s="747"/>
      <c r="IGI738" s="747"/>
      <c r="IGJ738" s="747"/>
      <c r="IGK738" s="747"/>
      <c r="IGL738" s="747"/>
      <c r="IGM738" s="747"/>
      <c r="IGN738" s="747"/>
      <c r="IGO738" s="747"/>
      <c r="IGP738" s="747"/>
      <c r="IGQ738" s="747"/>
      <c r="IGR738" s="747"/>
      <c r="IGS738" s="747"/>
      <c r="IGT738" s="747"/>
      <c r="IGU738" s="747"/>
      <c r="IGV738" s="747"/>
      <c r="IGW738" s="747"/>
      <c r="IGX738" s="747"/>
      <c r="IGY738" s="747"/>
      <c r="IGZ738" s="747"/>
      <c r="IHA738" s="747"/>
      <c r="IHB738" s="747"/>
      <c r="IHC738" s="747"/>
      <c r="IHD738" s="747"/>
      <c r="IHE738" s="747"/>
      <c r="IHF738" s="747"/>
      <c r="IHG738" s="747"/>
      <c r="IHH738" s="747"/>
      <c r="IHI738" s="747"/>
      <c r="IHJ738" s="747"/>
      <c r="IHK738" s="747"/>
      <c r="IHL738" s="747"/>
      <c r="IHM738" s="747"/>
      <c r="IHN738" s="747"/>
      <c r="IHO738" s="747"/>
      <c r="IHP738" s="747"/>
      <c r="IHQ738" s="747"/>
      <c r="IHR738" s="747"/>
      <c r="IHS738" s="747"/>
      <c r="IHT738" s="747"/>
      <c r="IHU738" s="747"/>
      <c r="IHV738" s="747"/>
      <c r="IHW738" s="747"/>
      <c r="IHX738" s="747"/>
      <c r="IHY738" s="747"/>
      <c r="IHZ738" s="747"/>
      <c r="IIA738" s="747"/>
      <c r="IIB738" s="747"/>
      <c r="IIC738" s="747"/>
      <c r="IID738" s="747"/>
      <c r="IIE738" s="747"/>
      <c r="IIF738" s="747"/>
      <c r="IIG738" s="747"/>
      <c r="IIH738" s="747"/>
      <c r="III738" s="747"/>
      <c r="IIJ738" s="747"/>
      <c r="IIK738" s="747"/>
      <c r="IIL738" s="747"/>
      <c r="IIM738" s="747"/>
      <c r="IIN738" s="747"/>
      <c r="IIO738" s="747"/>
      <c r="IIP738" s="747"/>
      <c r="IIQ738" s="747"/>
      <c r="IIR738" s="747"/>
      <c r="IIS738" s="747"/>
      <c r="IIT738" s="747"/>
      <c r="IIU738" s="747"/>
      <c r="IIV738" s="747"/>
      <c r="IIW738" s="747"/>
      <c r="IIX738" s="747"/>
      <c r="IIY738" s="747"/>
      <c r="IIZ738" s="747"/>
      <c r="IJA738" s="747"/>
      <c r="IJB738" s="747"/>
      <c r="IJC738" s="747"/>
      <c r="IJD738" s="747"/>
      <c r="IJE738" s="747"/>
      <c r="IJF738" s="747"/>
      <c r="IJG738" s="747"/>
      <c r="IJH738" s="747"/>
      <c r="IJI738" s="747"/>
      <c r="IJJ738" s="747"/>
      <c r="IJK738" s="747"/>
      <c r="IJL738" s="747"/>
      <c r="IJM738" s="747"/>
      <c r="IJN738" s="747"/>
      <c r="IJO738" s="747"/>
      <c r="IJP738" s="747"/>
      <c r="IJQ738" s="747"/>
      <c r="IJR738" s="747"/>
      <c r="IJS738" s="747"/>
      <c r="IJT738" s="747"/>
      <c r="IJU738" s="747"/>
      <c r="IJV738" s="747"/>
      <c r="IJW738" s="747"/>
      <c r="IJX738" s="747"/>
      <c r="IJY738" s="747"/>
      <c r="IJZ738" s="747"/>
      <c r="IKA738" s="747"/>
      <c r="IKB738" s="747"/>
      <c r="IKC738" s="747"/>
      <c r="IKD738" s="747"/>
      <c r="IKE738" s="747"/>
      <c r="IKF738" s="747"/>
      <c r="IKG738" s="747"/>
      <c r="IKH738" s="747"/>
      <c r="IKI738" s="747"/>
      <c r="IKJ738" s="747"/>
      <c r="IKK738" s="747"/>
      <c r="IKL738" s="747"/>
      <c r="IKM738" s="747"/>
      <c r="IKN738" s="747"/>
      <c r="IKO738" s="747"/>
      <c r="IKP738" s="747"/>
      <c r="IKQ738" s="747"/>
      <c r="IKR738" s="747"/>
      <c r="IKS738" s="747"/>
      <c r="IKT738" s="747"/>
      <c r="IKU738" s="747"/>
      <c r="IKV738" s="747"/>
      <c r="IKW738" s="747"/>
      <c r="IKX738" s="747"/>
      <c r="IKY738" s="747"/>
      <c r="IKZ738" s="747"/>
      <c r="ILA738" s="747"/>
      <c r="ILB738" s="747"/>
      <c r="ILC738" s="747"/>
      <c r="ILD738" s="747"/>
      <c r="ILE738" s="747"/>
      <c r="ILF738" s="747"/>
      <c r="ILG738" s="747"/>
      <c r="ILH738" s="747"/>
      <c r="ILI738" s="747"/>
      <c r="ILJ738" s="747"/>
      <c r="ILK738" s="747"/>
      <c r="ILL738" s="747"/>
      <c r="ILM738" s="747"/>
      <c r="ILN738" s="747"/>
      <c r="ILO738" s="747"/>
      <c r="ILP738" s="747"/>
      <c r="ILQ738" s="747"/>
      <c r="ILR738" s="747"/>
      <c r="ILS738" s="747"/>
      <c r="ILT738" s="747"/>
      <c r="ILU738" s="747"/>
      <c r="ILV738" s="747"/>
      <c r="ILW738" s="747"/>
      <c r="ILX738" s="747"/>
      <c r="ILY738" s="747"/>
      <c r="ILZ738" s="747"/>
      <c r="IMA738" s="747"/>
      <c r="IMB738" s="747"/>
      <c r="IMC738" s="747"/>
      <c r="IMD738" s="747"/>
      <c r="IME738" s="747"/>
      <c r="IMF738" s="747"/>
      <c r="IMG738" s="747"/>
      <c r="IMH738" s="747"/>
      <c r="IMI738" s="747"/>
      <c r="IMJ738" s="747"/>
      <c r="IMK738" s="747"/>
      <c r="IML738" s="747"/>
      <c r="IMM738" s="747"/>
      <c r="IMN738" s="747"/>
      <c r="IMO738" s="747"/>
      <c r="IMP738" s="747"/>
      <c r="IMQ738" s="747"/>
      <c r="IMR738" s="747"/>
      <c r="IMS738" s="747"/>
      <c r="IMT738" s="747"/>
      <c r="IMU738" s="747"/>
      <c r="IMV738" s="747"/>
      <c r="IMW738" s="747"/>
      <c r="IMX738" s="747"/>
      <c r="IMY738" s="747"/>
      <c r="IMZ738" s="747"/>
      <c r="INA738" s="747"/>
      <c r="INB738" s="747"/>
      <c r="INC738" s="747"/>
      <c r="IND738" s="747"/>
      <c r="INE738" s="747"/>
      <c r="INF738" s="747"/>
      <c r="ING738" s="747"/>
      <c r="INH738" s="747"/>
      <c r="INI738" s="747"/>
      <c r="INJ738" s="747"/>
      <c r="INK738" s="747"/>
      <c r="INL738" s="747"/>
      <c r="INM738" s="747"/>
      <c r="INN738" s="747"/>
      <c r="INO738" s="747"/>
      <c r="INP738" s="747"/>
      <c r="INQ738" s="747"/>
      <c r="INR738" s="747"/>
      <c r="INS738" s="747"/>
      <c r="INT738" s="747"/>
      <c r="INU738" s="747"/>
      <c r="INV738" s="747"/>
      <c r="INW738" s="747"/>
      <c r="INX738" s="747"/>
      <c r="INY738" s="747"/>
      <c r="INZ738" s="747"/>
      <c r="IOA738" s="747"/>
      <c r="IOB738" s="747"/>
      <c r="IOC738" s="747"/>
      <c r="IOD738" s="747"/>
      <c r="IOE738" s="747"/>
      <c r="IOF738" s="747"/>
      <c r="IOG738" s="747"/>
      <c r="IOH738" s="747"/>
      <c r="IOI738" s="747"/>
      <c r="IOJ738" s="747"/>
      <c r="IOK738" s="747"/>
      <c r="IOL738" s="747"/>
      <c r="IOM738" s="747"/>
      <c r="ION738" s="747"/>
      <c r="IOO738" s="747"/>
      <c r="IOP738" s="747"/>
      <c r="IOQ738" s="747"/>
      <c r="IOR738" s="747"/>
      <c r="IOS738" s="747"/>
      <c r="IOT738" s="747"/>
      <c r="IOU738" s="747"/>
      <c r="IOV738" s="747"/>
      <c r="IOW738" s="747"/>
      <c r="IOX738" s="747"/>
      <c r="IOY738" s="747"/>
      <c r="IOZ738" s="747"/>
      <c r="IPA738" s="747"/>
      <c r="IPB738" s="747"/>
      <c r="IPC738" s="747"/>
      <c r="IPD738" s="747"/>
      <c r="IPE738" s="747"/>
      <c r="IPF738" s="747"/>
      <c r="IPG738" s="747"/>
      <c r="IPH738" s="747"/>
      <c r="IPI738" s="747"/>
      <c r="IPJ738" s="747"/>
      <c r="IPK738" s="747"/>
      <c r="IPL738" s="747"/>
      <c r="IPM738" s="747"/>
      <c r="IPN738" s="747"/>
      <c r="IPO738" s="747"/>
      <c r="IPP738" s="747"/>
      <c r="IPQ738" s="747"/>
      <c r="IPR738" s="747"/>
      <c r="IPS738" s="747"/>
      <c r="IPT738" s="747"/>
      <c r="IPU738" s="747"/>
      <c r="IPV738" s="747"/>
      <c r="IPW738" s="747"/>
      <c r="IPX738" s="747"/>
      <c r="IPY738" s="747"/>
      <c r="IPZ738" s="747"/>
      <c r="IQA738" s="747"/>
      <c r="IQB738" s="747"/>
      <c r="IQC738" s="747"/>
      <c r="IQD738" s="747"/>
      <c r="IQE738" s="747"/>
      <c r="IQF738" s="747"/>
      <c r="IQG738" s="747"/>
      <c r="IQH738" s="747"/>
      <c r="IQI738" s="747"/>
      <c r="IQJ738" s="747"/>
      <c r="IQK738" s="747"/>
      <c r="IQL738" s="747"/>
      <c r="IQM738" s="747"/>
      <c r="IQN738" s="747"/>
      <c r="IQO738" s="747"/>
      <c r="IQP738" s="747"/>
      <c r="IQQ738" s="747"/>
      <c r="IQR738" s="747"/>
      <c r="IQS738" s="747"/>
      <c r="IQT738" s="747"/>
      <c r="IQU738" s="747"/>
      <c r="IQV738" s="747"/>
      <c r="IQW738" s="747"/>
      <c r="IQX738" s="747"/>
      <c r="IQY738" s="747"/>
      <c r="IQZ738" s="747"/>
      <c r="IRA738" s="747"/>
      <c r="IRB738" s="747"/>
      <c r="IRC738" s="747"/>
      <c r="IRD738" s="747"/>
      <c r="IRE738" s="747"/>
      <c r="IRF738" s="747"/>
      <c r="IRG738" s="747"/>
      <c r="IRH738" s="747"/>
      <c r="IRI738" s="747"/>
      <c r="IRJ738" s="747"/>
      <c r="IRK738" s="747"/>
      <c r="IRL738" s="747"/>
      <c r="IRM738" s="747"/>
      <c r="IRN738" s="747"/>
      <c r="IRO738" s="747"/>
      <c r="IRP738" s="747"/>
      <c r="IRQ738" s="747"/>
      <c r="IRR738" s="747"/>
      <c r="IRS738" s="747"/>
      <c r="IRT738" s="747"/>
      <c r="IRU738" s="747"/>
      <c r="IRV738" s="747"/>
      <c r="IRW738" s="747"/>
      <c r="IRX738" s="747"/>
      <c r="IRY738" s="747"/>
      <c r="IRZ738" s="747"/>
      <c r="ISA738" s="747"/>
      <c r="ISB738" s="747"/>
      <c r="ISC738" s="747"/>
      <c r="ISD738" s="747"/>
      <c r="ISE738" s="747"/>
      <c r="ISF738" s="747"/>
      <c r="ISG738" s="747"/>
      <c r="ISH738" s="747"/>
      <c r="ISI738" s="747"/>
      <c r="ISJ738" s="747"/>
      <c r="ISK738" s="747"/>
      <c r="ISL738" s="747"/>
      <c r="ISM738" s="747"/>
      <c r="ISN738" s="747"/>
      <c r="ISO738" s="747"/>
      <c r="ISP738" s="747"/>
      <c r="ISQ738" s="747"/>
      <c r="ISR738" s="747"/>
      <c r="ISS738" s="747"/>
      <c r="IST738" s="747"/>
      <c r="ISU738" s="747"/>
      <c r="ISV738" s="747"/>
      <c r="ISW738" s="747"/>
      <c r="ISX738" s="747"/>
      <c r="ISY738" s="747"/>
      <c r="ISZ738" s="747"/>
      <c r="ITA738" s="747"/>
      <c r="ITB738" s="747"/>
      <c r="ITC738" s="747"/>
      <c r="ITD738" s="747"/>
      <c r="ITE738" s="747"/>
      <c r="ITF738" s="747"/>
      <c r="ITG738" s="747"/>
      <c r="ITH738" s="747"/>
      <c r="ITI738" s="747"/>
      <c r="ITJ738" s="747"/>
      <c r="ITK738" s="747"/>
      <c r="ITL738" s="747"/>
      <c r="ITM738" s="747"/>
      <c r="ITN738" s="747"/>
      <c r="ITO738" s="747"/>
      <c r="ITP738" s="747"/>
      <c r="ITQ738" s="747"/>
      <c r="ITR738" s="747"/>
      <c r="ITS738" s="747"/>
      <c r="ITT738" s="747"/>
      <c r="ITU738" s="747"/>
      <c r="ITV738" s="747"/>
      <c r="ITW738" s="747"/>
      <c r="ITX738" s="747"/>
      <c r="ITY738" s="747"/>
      <c r="ITZ738" s="747"/>
      <c r="IUA738" s="747"/>
      <c r="IUB738" s="747"/>
      <c r="IUC738" s="747"/>
      <c r="IUD738" s="747"/>
      <c r="IUE738" s="747"/>
      <c r="IUF738" s="747"/>
      <c r="IUG738" s="747"/>
      <c r="IUH738" s="747"/>
      <c r="IUI738" s="747"/>
      <c r="IUJ738" s="747"/>
      <c r="IUK738" s="747"/>
      <c r="IUL738" s="747"/>
      <c r="IUM738" s="747"/>
      <c r="IUN738" s="747"/>
      <c r="IUO738" s="747"/>
      <c r="IUP738" s="747"/>
      <c r="IUQ738" s="747"/>
      <c r="IUR738" s="747"/>
      <c r="IUS738" s="747"/>
      <c r="IUT738" s="747"/>
      <c r="IUU738" s="747"/>
      <c r="IUV738" s="747"/>
      <c r="IUW738" s="747"/>
      <c r="IUX738" s="747"/>
      <c r="IUY738" s="747"/>
      <c r="IUZ738" s="747"/>
      <c r="IVA738" s="747"/>
      <c r="IVB738" s="747"/>
      <c r="IVC738" s="747"/>
      <c r="IVD738" s="747"/>
      <c r="IVE738" s="747"/>
      <c r="IVF738" s="747"/>
      <c r="IVG738" s="747"/>
      <c r="IVH738" s="747"/>
      <c r="IVI738" s="747"/>
      <c r="IVJ738" s="747"/>
      <c r="IVK738" s="747"/>
      <c r="IVL738" s="747"/>
      <c r="IVM738" s="747"/>
      <c r="IVN738" s="747"/>
      <c r="IVO738" s="747"/>
      <c r="IVP738" s="747"/>
      <c r="IVQ738" s="747"/>
      <c r="IVR738" s="747"/>
      <c r="IVS738" s="747"/>
      <c r="IVT738" s="747"/>
      <c r="IVU738" s="747"/>
      <c r="IVV738" s="747"/>
      <c r="IVW738" s="747"/>
      <c r="IVX738" s="747"/>
      <c r="IVY738" s="747"/>
      <c r="IVZ738" s="747"/>
      <c r="IWA738" s="747"/>
      <c r="IWB738" s="747"/>
      <c r="IWC738" s="747"/>
      <c r="IWD738" s="747"/>
      <c r="IWE738" s="747"/>
      <c r="IWF738" s="747"/>
      <c r="IWG738" s="747"/>
      <c r="IWH738" s="747"/>
      <c r="IWI738" s="747"/>
      <c r="IWJ738" s="747"/>
      <c r="IWK738" s="747"/>
      <c r="IWL738" s="747"/>
      <c r="IWM738" s="747"/>
      <c r="IWN738" s="747"/>
      <c r="IWO738" s="747"/>
      <c r="IWP738" s="747"/>
      <c r="IWQ738" s="747"/>
      <c r="IWR738" s="747"/>
      <c r="IWS738" s="747"/>
      <c r="IWT738" s="747"/>
      <c r="IWU738" s="747"/>
      <c r="IWV738" s="747"/>
      <c r="IWW738" s="747"/>
      <c r="IWX738" s="747"/>
      <c r="IWY738" s="747"/>
      <c r="IWZ738" s="747"/>
      <c r="IXA738" s="747"/>
      <c r="IXB738" s="747"/>
      <c r="IXC738" s="747"/>
      <c r="IXD738" s="747"/>
      <c r="IXE738" s="747"/>
      <c r="IXF738" s="747"/>
      <c r="IXG738" s="747"/>
      <c r="IXH738" s="747"/>
      <c r="IXI738" s="747"/>
      <c r="IXJ738" s="747"/>
      <c r="IXK738" s="747"/>
      <c r="IXL738" s="747"/>
      <c r="IXM738" s="747"/>
      <c r="IXN738" s="747"/>
      <c r="IXO738" s="747"/>
      <c r="IXP738" s="747"/>
      <c r="IXQ738" s="747"/>
      <c r="IXR738" s="747"/>
      <c r="IXS738" s="747"/>
      <c r="IXT738" s="747"/>
      <c r="IXU738" s="747"/>
      <c r="IXV738" s="747"/>
      <c r="IXW738" s="747"/>
      <c r="IXX738" s="747"/>
      <c r="IXY738" s="747"/>
      <c r="IXZ738" s="747"/>
      <c r="IYA738" s="747"/>
      <c r="IYB738" s="747"/>
      <c r="IYC738" s="747"/>
      <c r="IYD738" s="747"/>
      <c r="IYE738" s="747"/>
      <c r="IYF738" s="747"/>
      <c r="IYG738" s="747"/>
      <c r="IYH738" s="747"/>
      <c r="IYI738" s="747"/>
      <c r="IYJ738" s="747"/>
      <c r="IYK738" s="747"/>
      <c r="IYL738" s="747"/>
      <c r="IYM738" s="747"/>
      <c r="IYN738" s="747"/>
      <c r="IYO738" s="747"/>
      <c r="IYP738" s="747"/>
      <c r="IYQ738" s="747"/>
      <c r="IYR738" s="747"/>
      <c r="IYS738" s="747"/>
      <c r="IYT738" s="747"/>
      <c r="IYU738" s="747"/>
      <c r="IYV738" s="747"/>
      <c r="IYW738" s="747"/>
      <c r="IYX738" s="747"/>
      <c r="IYY738" s="747"/>
      <c r="IYZ738" s="747"/>
      <c r="IZA738" s="747"/>
      <c r="IZB738" s="747"/>
      <c r="IZC738" s="747"/>
      <c r="IZD738" s="747"/>
      <c r="IZE738" s="747"/>
      <c r="IZF738" s="747"/>
      <c r="IZG738" s="747"/>
      <c r="IZH738" s="747"/>
      <c r="IZI738" s="747"/>
      <c r="IZJ738" s="747"/>
      <c r="IZK738" s="747"/>
      <c r="IZL738" s="747"/>
      <c r="IZM738" s="747"/>
      <c r="IZN738" s="747"/>
      <c r="IZO738" s="747"/>
      <c r="IZP738" s="747"/>
      <c r="IZQ738" s="747"/>
      <c r="IZR738" s="747"/>
      <c r="IZS738" s="747"/>
      <c r="IZT738" s="747"/>
      <c r="IZU738" s="747"/>
      <c r="IZV738" s="747"/>
      <c r="IZW738" s="747"/>
      <c r="IZX738" s="747"/>
      <c r="IZY738" s="747"/>
      <c r="IZZ738" s="747"/>
      <c r="JAA738" s="747"/>
      <c r="JAB738" s="747"/>
      <c r="JAC738" s="747"/>
      <c r="JAD738" s="747"/>
      <c r="JAE738" s="747"/>
      <c r="JAF738" s="747"/>
      <c r="JAG738" s="747"/>
      <c r="JAH738" s="747"/>
      <c r="JAI738" s="747"/>
      <c r="JAJ738" s="747"/>
      <c r="JAK738" s="747"/>
      <c r="JAL738" s="747"/>
      <c r="JAM738" s="747"/>
      <c r="JAN738" s="747"/>
      <c r="JAO738" s="747"/>
      <c r="JAP738" s="747"/>
      <c r="JAQ738" s="747"/>
      <c r="JAR738" s="747"/>
      <c r="JAS738" s="747"/>
      <c r="JAT738" s="747"/>
      <c r="JAU738" s="747"/>
      <c r="JAV738" s="747"/>
      <c r="JAW738" s="747"/>
      <c r="JAX738" s="747"/>
      <c r="JAY738" s="747"/>
      <c r="JAZ738" s="747"/>
      <c r="JBA738" s="747"/>
      <c r="JBB738" s="747"/>
      <c r="JBC738" s="747"/>
      <c r="JBD738" s="747"/>
      <c r="JBE738" s="747"/>
      <c r="JBF738" s="747"/>
      <c r="JBG738" s="747"/>
      <c r="JBH738" s="747"/>
      <c r="JBI738" s="747"/>
      <c r="JBJ738" s="747"/>
      <c r="JBK738" s="747"/>
      <c r="JBL738" s="747"/>
      <c r="JBM738" s="747"/>
      <c r="JBN738" s="747"/>
      <c r="JBO738" s="747"/>
      <c r="JBP738" s="747"/>
      <c r="JBQ738" s="747"/>
      <c r="JBR738" s="747"/>
      <c r="JBS738" s="747"/>
      <c r="JBT738" s="747"/>
      <c r="JBU738" s="747"/>
      <c r="JBV738" s="747"/>
      <c r="JBW738" s="747"/>
      <c r="JBX738" s="747"/>
      <c r="JBY738" s="747"/>
      <c r="JBZ738" s="747"/>
      <c r="JCA738" s="747"/>
      <c r="JCB738" s="747"/>
      <c r="JCC738" s="747"/>
      <c r="JCD738" s="747"/>
      <c r="JCE738" s="747"/>
      <c r="JCF738" s="747"/>
      <c r="JCG738" s="747"/>
      <c r="JCH738" s="747"/>
      <c r="JCI738" s="747"/>
      <c r="JCJ738" s="747"/>
      <c r="JCK738" s="747"/>
      <c r="JCL738" s="747"/>
      <c r="JCM738" s="747"/>
      <c r="JCN738" s="747"/>
      <c r="JCO738" s="747"/>
      <c r="JCP738" s="747"/>
      <c r="JCQ738" s="747"/>
      <c r="JCR738" s="747"/>
      <c r="JCS738" s="747"/>
      <c r="JCT738" s="747"/>
      <c r="JCU738" s="747"/>
      <c r="JCV738" s="747"/>
      <c r="JCW738" s="747"/>
      <c r="JCX738" s="747"/>
      <c r="JCY738" s="747"/>
      <c r="JCZ738" s="747"/>
      <c r="JDA738" s="747"/>
      <c r="JDB738" s="747"/>
      <c r="JDC738" s="747"/>
      <c r="JDD738" s="747"/>
      <c r="JDE738" s="747"/>
      <c r="JDF738" s="747"/>
      <c r="JDG738" s="747"/>
      <c r="JDH738" s="747"/>
      <c r="JDI738" s="747"/>
      <c r="JDJ738" s="747"/>
      <c r="JDK738" s="747"/>
      <c r="JDL738" s="747"/>
      <c r="JDM738" s="747"/>
      <c r="JDN738" s="747"/>
      <c r="JDO738" s="747"/>
      <c r="JDP738" s="747"/>
      <c r="JDQ738" s="747"/>
      <c r="JDR738" s="747"/>
      <c r="JDS738" s="747"/>
      <c r="JDT738" s="747"/>
      <c r="JDU738" s="747"/>
      <c r="JDV738" s="747"/>
      <c r="JDW738" s="747"/>
      <c r="JDX738" s="747"/>
      <c r="JDY738" s="747"/>
      <c r="JDZ738" s="747"/>
      <c r="JEA738" s="747"/>
      <c r="JEB738" s="747"/>
      <c r="JEC738" s="747"/>
      <c r="JED738" s="747"/>
      <c r="JEE738" s="747"/>
      <c r="JEF738" s="747"/>
      <c r="JEG738" s="747"/>
      <c r="JEH738" s="747"/>
      <c r="JEI738" s="747"/>
      <c r="JEJ738" s="747"/>
      <c r="JEK738" s="747"/>
      <c r="JEL738" s="747"/>
      <c r="JEM738" s="747"/>
      <c r="JEN738" s="747"/>
      <c r="JEO738" s="747"/>
      <c r="JEP738" s="747"/>
      <c r="JEQ738" s="747"/>
      <c r="JER738" s="747"/>
      <c r="JES738" s="747"/>
      <c r="JET738" s="747"/>
      <c r="JEU738" s="747"/>
      <c r="JEV738" s="747"/>
      <c r="JEW738" s="747"/>
      <c r="JEX738" s="747"/>
      <c r="JEY738" s="747"/>
      <c r="JEZ738" s="747"/>
      <c r="JFA738" s="747"/>
      <c r="JFB738" s="747"/>
      <c r="JFC738" s="747"/>
      <c r="JFD738" s="747"/>
      <c r="JFE738" s="747"/>
      <c r="JFF738" s="747"/>
      <c r="JFG738" s="747"/>
      <c r="JFH738" s="747"/>
      <c r="JFI738" s="747"/>
      <c r="JFJ738" s="747"/>
      <c r="JFK738" s="747"/>
      <c r="JFL738" s="747"/>
      <c r="JFM738" s="747"/>
      <c r="JFN738" s="747"/>
      <c r="JFO738" s="747"/>
      <c r="JFP738" s="747"/>
      <c r="JFQ738" s="747"/>
      <c r="JFR738" s="747"/>
      <c r="JFS738" s="747"/>
      <c r="JFT738" s="747"/>
      <c r="JFU738" s="747"/>
      <c r="JFV738" s="747"/>
      <c r="JFW738" s="747"/>
      <c r="JFX738" s="747"/>
      <c r="JFY738" s="747"/>
      <c r="JFZ738" s="747"/>
      <c r="JGA738" s="747"/>
      <c r="JGB738" s="747"/>
      <c r="JGC738" s="747"/>
      <c r="JGD738" s="747"/>
      <c r="JGE738" s="747"/>
      <c r="JGF738" s="747"/>
      <c r="JGG738" s="747"/>
      <c r="JGH738" s="747"/>
      <c r="JGI738" s="747"/>
      <c r="JGJ738" s="747"/>
      <c r="JGK738" s="747"/>
      <c r="JGL738" s="747"/>
      <c r="JGM738" s="747"/>
      <c r="JGN738" s="747"/>
      <c r="JGO738" s="747"/>
      <c r="JGP738" s="747"/>
      <c r="JGQ738" s="747"/>
      <c r="JGR738" s="747"/>
      <c r="JGS738" s="747"/>
      <c r="JGT738" s="747"/>
      <c r="JGU738" s="747"/>
      <c r="JGV738" s="747"/>
      <c r="JGW738" s="747"/>
      <c r="JGX738" s="747"/>
      <c r="JGY738" s="747"/>
      <c r="JGZ738" s="747"/>
      <c r="JHA738" s="747"/>
      <c r="JHB738" s="747"/>
      <c r="JHC738" s="747"/>
      <c r="JHD738" s="747"/>
      <c r="JHE738" s="747"/>
      <c r="JHF738" s="747"/>
      <c r="JHG738" s="747"/>
      <c r="JHH738" s="747"/>
      <c r="JHI738" s="747"/>
      <c r="JHJ738" s="747"/>
      <c r="JHK738" s="747"/>
      <c r="JHL738" s="747"/>
      <c r="JHM738" s="747"/>
      <c r="JHN738" s="747"/>
      <c r="JHO738" s="747"/>
      <c r="JHP738" s="747"/>
      <c r="JHQ738" s="747"/>
      <c r="JHR738" s="747"/>
      <c r="JHS738" s="747"/>
      <c r="JHT738" s="747"/>
      <c r="JHU738" s="747"/>
      <c r="JHV738" s="747"/>
      <c r="JHW738" s="747"/>
      <c r="JHX738" s="747"/>
      <c r="JHY738" s="747"/>
      <c r="JHZ738" s="747"/>
      <c r="JIA738" s="747"/>
      <c r="JIB738" s="747"/>
      <c r="JIC738" s="747"/>
      <c r="JID738" s="747"/>
      <c r="JIE738" s="747"/>
      <c r="JIF738" s="747"/>
      <c r="JIG738" s="747"/>
      <c r="JIH738" s="747"/>
      <c r="JII738" s="747"/>
      <c r="JIJ738" s="747"/>
      <c r="JIK738" s="747"/>
      <c r="JIL738" s="747"/>
      <c r="JIM738" s="747"/>
      <c r="JIN738" s="747"/>
      <c r="JIO738" s="747"/>
      <c r="JIP738" s="747"/>
      <c r="JIQ738" s="747"/>
      <c r="JIR738" s="747"/>
      <c r="JIS738" s="747"/>
      <c r="JIT738" s="747"/>
      <c r="JIU738" s="747"/>
      <c r="JIV738" s="747"/>
      <c r="JIW738" s="747"/>
      <c r="JIX738" s="747"/>
      <c r="JIY738" s="747"/>
      <c r="JIZ738" s="747"/>
      <c r="JJA738" s="747"/>
      <c r="JJB738" s="747"/>
      <c r="JJC738" s="747"/>
      <c r="JJD738" s="747"/>
      <c r="JJE738" s="747"/>
      <c r="JJF738" s="747"/>
      <c r="JJG738" s="747"/>
      <c r="JJH738" s="747"/>
      <c r="JJI738" s="747"/>
      <c r="JJJ738" s="747"/>
      <c r="JJK738" s="747"/>
      <c r="JJL738" s="747"/>
      <c r="JJM738" s="747"/>
      <c r="JJN738" s="747"/>
      <c r="JJO738" s="747"/>
      <c r="JJP738" s="747"/>
      <c r="JJQ738" s="747"/>
      <c r="JJR738" s="747"/>
      <c r="JJS738" s="747"/>
      <c r="JJT738" s="747"/>
      <c r="JJU738" s="747"/>
      <c r="JJV738" s="747"/>
      <c r="JJW738" s="747"/>
      <c r="JJX738" s="747"/>
      <c r="JJY738" s="747"/>
      <c r="JJZ738" s="747"/>
      <c r="JKA738" s="747"/>
      <c r="JKB738" s="747"/>
      <c r="JKC738" s="747"/>
      <c r="JKD738" s="747"/>
      <c r="JKE738" s="747"/>
      <c r="JKF738" s="747"/>
      <c r="JKG738" s="747"/>
      <c r="JKH738" s="747"/>
      <c r="JKI738" s="747"/>
      <c r="JKJ738" s="747"/>
      <c r="JKK738" s="747"/>
      <c r="JKL738" s="747"/>
      <c r="JKM738" s="747"/>
      <c r="JKN738" s="747"/>
      <c r="JKO738" s="747"/>
      <c r="JKP738" s="747"/>
      <c r="JKQ738" s="747"/>
      <c r="JKR738" s="747"/>
      <c r="JKS738" s="747"/>
      <c r="JKT738" s="747"/>
      <c r="JKU738" s="747"/>
      <c r="JKV738" s="747"/>
      <c r="JKW738" s="747"/>
      <c r="JKX738" s="747"/>
      <c r="JKY738" s="747"/>
      <c r="JKZ738" s="747"/>
      <c r="JLA738" s="747"/>
      <c r="JLB738" s="747"/>
      <c r="JLC738" s="747"/>
      <c r="JLD738" s="747"/>
      <c r="JLE738" s="747"/>
      <c r="JLF738" s="747"/>
      <c r="JLG738" s="747"/>
      <c r="JLH738" s="747"/>
      <c r="JLI738" s="747"/>
      <c r="JLJ738" s="747"/>
      <c r="JLK738" s="747"/>
      <c r="JLL738" s="747"/>
      <c r="JLM738" s="747"/>
      <c r="JLN738" s="747"/>
      <c r="JLO738" s="747"/>
      <c r="JLP738" s="747"/>
      <c r="JLQ738" s="747"/>
      <c r="JLR738" s="747"/>
      <c r="JLS738" s="747"/>
      <c r="JLT738" s="747"/>
      <c r="JLU738" s="747"/>
      <c r="JLV738" s="747"/>
      <c r="JLW738" s="747"/>
      <c r="JLX738" s="747"/>
      <c r="JLY738" s="747"/>
      <c r="JLZ738" s="747"/>
      <c r="JMA738" s="747"/>
      <c r="JMB738" s="747"/>
      <c r="JMC738" s="747"/>
      <c r="JMD738" s="747"/>
      <c r="JME738" s="747"/>
      <c r="JMF738" s="747"/>
      <c r="JMG738" s="747"/>
      <c r="JMH738" s="747"/>
      <c r="JMI738" s="747"/>
      <c r="JMJ738" s="747"/>
      <c r="JMK738" s="747"/>
      <c r="JML738" s="747"/>
      <c r="JMM738" s="747"/>
      <c r="JMN738" s="747"/>
      <c r="JMO738" s="747"/>
      <c r="JMP738" s="747"/>
      <c r="JMQ738" s="747"/>
      <c r="JMR738" s="747"/>
      <c r="JMS738" s="747"/>
      <c r="JMT738" s="747"/>
      <c r="JMU738" s="747"/>
      <c r="JMV738" s="747"/>
      <c r="JMW738" s="747"/>
      <c r="JMX738" s="747"/>
      <c r="JMY738" s="747"/>
      <c r="JMZ738" s="747"/>
      <c r="JNA738" s="747"/>
      <c r="JNB738" s="747"/>
      <c r="JNC738" s="747"/>
      <c r="JND738" s="747"/>
      <c r="JNE738" s="747"/>
      <c r="JNF738" s="747"/>
      <c r="JNG738" s="747"/>
      <c r="JNH738" s="747"/>
      <c r="JNI738" s="747"/>
      <c r="JNJ738" s="747"/>
      <c r="JNK738" s="747"/>
      <c r="JNL738" s="747"/>
      <c r="JNM738" s="747"/>
      <c r="JNN738" s="747"/>
      <c r="JNO738" s="747"/>
      <c r="JNP738" s="747"/>
      <c r="JNQ738" s="747"/>
      <c r="JNR738" s="747"/>
      <c r="JNS738" s="747"/>
      <c r="JNT738" s="747"/>
      <c r="JNU738" s="747"/>
      <c r="JNV738" s="747"/>
      <c r="JNW738" s="747"/>
      <c r="JNX738" s="747"/>
      <c r="JNY738" s="747"/>
      <c r="JNZ738" s="747"/>
      <c r="JOA738" s="747"/>
      <c r="JOB738" s="747"/>
      <c r="JOC738" s="747"/>
      <c r="JOD738" s="747"/>
      <c r="JOE738" s="747"/>
      <c r="JOF738" s="747"/>
      <c r="JOG738" s="747"/>
      <c r="JOH738" s="747"/>
      <c r="JOI738" s="747"/>
      <c r="JOJ738" s="747"/>
      <c r="JOK738" s="747"/>
      <c r="JOL738" s="747"/>
      <c r="JOM738" s="747"/>
      <c r="JON738" s="747"/>
      <c r="JOO738" s="747"/>
      <c r="JOP738" s="747"/>
      <c r="JOQ738" s="747"/>
      <c r="JOR738" s="747"/>
      <c r="JOS738" s="747"/>
      <c r="JOT738" s="747"/>
      <c r="JOU738" s="747"/>
      <c r="JOV738" s="747"/>
      <c r="JOW738" s="747"/>
      <c r="JOX738" s="747"/>
      <c r="JOY738" s="747"/>
      <c r="JOZ738" s="747"/>
      <c r="JPA738" s="747"/>
      <c r="JPB738" s="747"/>
      <c r="JPC738" s="747"/>
      <c r="JPD738" s="747"/>
      <c r="JPE738" s="747"/>
      <c r="JPF738" s="747"/>
      <c r="JPG738" s="747"/>
      <c r="JPH738" s="747"/>
      <c r="JPI738" s="747"/>
      <c r="JPJ738" s="747"/>
      <c r="JPK738" s="747"/>
      <c r="JPL738" s="747"/>
      <c r="JPM738" s="747"/>
      <c r="JPN738" s="747"/>
      <c r="JPO738" s="747"/>
      <c r="JPP738" s="747"/>
      <c r="JPQ738" s="747"/>
      <c r="JPR738" s="747"/>
      <c r="JPS738" s="747"/>
      <c r="JPT738" s="747"/>
      <c r="JPU738" s="747"/>
      <c r="JPV738" s="747"/>
      <c r="JPW738" s="747"/>
      <c r="JPX738" s="747"/>
      <c r="JPY738" s="747"/>
      <c r="JPZ738" s="747"/>
      <c r="JQA738" s="747"/>
      <c r="JQB738" s="747"/>
      <c r="JQC738" s="747"/>
      <c r="JQD738" s="747"/>
      <c r="JQE738" s="747"/>
      <c r="JQF738" s="747"/>
      <c r="JQG738" s="747"/>
      <c r="JQH738" s="747"/>
      <c r="JQI738" s="747"/>
      <c r="JQJ738" s="747"/>
      <c r="JQK738" s="747"/>
      <c r="JQL738" s="747"/>
      <c r="JQM738" s="747"/>
      <c r="JQN738" s="747"/>
      <c r="JQO738" s="747"/>
      <c r="JQP738" s="747"/>
      <c r="JQQ738" s="747"/>
      <c r="JQR738" s="747"/>
      <c r="JQS738" s="747"/>
      <c r="JQT738" s="747"/>
      <c r="JQU738" s="747"/>
      <c r="JQV738" s="747"/>
      <c r="JQW738" s="747"/>
      <c r="JQX738" s="747"/>
      <c r="JQY738" s="747"/>
      <c r="JQZ738" s="747"/>
      <c r="JRA738" s="747"/>
      <c r="JRB738" s="747"/>
      <c r="JRC738" s="747"/>
      <c r="JRD738" s="747"/>
      <c r="JRE738" s="747"/>
      <c r="JRF738" s="747"/>
      <c r="JRG738" s="747"/>
      <c r="JRH738" s="747"/>
      <c r="JRI738" s="747"/>
      <c r="JRJ738" s="747"/>
      <c r="JRK738" s="747"/>
      <c r="JRL738" s="747"/>
      <c r="JRM738" s="747"/>
      <c r="JRN738" s="747"/>
      <c r="JRO738" s="747"/>
      <c r="JRP738" s="747"/>
      <c r="JRQ738" s="747"/>
      <c r="JRR738" s="747"/>
      <c r="JRS738" s="747"/>
      <c r="JRT738" s="747"/>
      <c r="JRU738" s="747"/>
      <c r="JRV738" s="747"/>
      <c r="JRW738" s="747"/>
      <c r="JRX738" s="747"/>
      <c r="JRY738" s="747"/>
      <c r="JRZ738" s="747"/>
      <c r="JSA738" s="747"/>
      <c r="JSB738" s="747"/>
      <c r="JSC738" s="747"/>
      <c r="JSD738" s="747"/>
      <c r="JSE738" s="747"/>
      <c r="JSF738" s="747"/>
      <c r="JSG738" s="747"/>
      <c r="JSH738" s="747"/>
      <c r="JSI738" s="747"/>
      <c r="JSJ738" s="747"/>
      <c r="JSK738" s="747"/>
      <c r="JSL738" s="747"/>
      <c r="JSM738" s="747"/>
      <c r="JSN738" s="747"/>
      <c r="JSO738" s="747"/>
      <c r="JSP738" s="747"/>
      <c r="JSQ738" s="747"/>
      <c r="JSR738" s="747"/>
      <c r="JSS738" s="747"/>
      <c r="JST738" s="747"/>
      <c r="JSU738" s="747"/>
      <c r="JSV738" s="747"/>
      <c r="JSW738" s="747"/>
      <c r="JSX738" s="747"/>
      <c r="JSY738" s="747"/>
      <c r="JSZ738" s="747"/>
      <c r="JTA738" s="747"/>
      <c r="JTB738" s="747"/>
      <c r="JTC738" s="747"/>
      <c r="JTD738" s="747"/>
      <c r="JTE738" s="747"/>
      <c r="JTF738" s="747"/>
      <c r="JTG738" s="747"/>
      <c r="JTH738" s="747"/>
      <c r="JTI738" s="747"/>
      <c r="JTJ738" s="747"/>
      <c r="JTK738" s="747"/>
      <c r="JTL738" s="747"/>
      <c r="JTM738" s="747"/>
      <c r="JTN738" s="747"/>
      <c r="JTO738" s="747"/>
      <c r="JTP738" s="747"/>
      <c r="JTQ738" s="747"/>
      <c r="JTR738" s="747"/>
      <c r="JTS738" s="747"/>
      <c r="JTT738" s="747"/>
      <c r="JTU738" s="747"/>
      <c r="JTV738" s="747"/>
      <c r="JTW738" s="747"/>
      <c r="JTX738" s="747"/>
      <c r="JTY738" s="747"/>
      <c r="JTZ738" s="747"/>
      <c r="JUA738" s="747"/>
      <c r="JUB738" s="747"/>
      <c r="JUC738" s="747"/>
      <c r="JUD738" s="747"/>
      <c r="JUE738" s="747"/>
      <c r="JUF738" s="747"/>
      <c r="JUG738" s="747"/>
      <c r="JUH738" s="747"/>
      <c r="JUI738" s="747"/>
      <c r="JUJ738" s="747"/>
      <c r="JUK738" s="747"/>
      <c r="JUL738" s="747"/>
      <c r="JUM738" s="747"/>
      <c r="JUN738" s="747"/>
      <c r="JUO738" s="747"/>
      <c r="JUP738" s="747"/>
      <c r="JUQ738" s="747"/>
      <c r="JUR738" s="747"/>
      <c r="JUS738" s="747"/>
      <c r="JUT738" s="747"/>
      <c r="JUU738" s="747"/>
      <c r="JUV738" s="747"/>
      <c r="JUW738" s="747"/>
      <c r="JUX738" s="747"/>
      <c r="JUY738" s="747"/>
      <c r="JUZ738" s="747"/>
      <c r="JVA738" s="747"/>
      <c r="JVB738" s="747"/>
      <c r="JVC738" s="747"/>
      <c r="JVD738" s="747"/>
      <c r="JVE738" s="747"/>
      <c r="JVF738" s="747"/>
      <c r="JVG738" s="747"/>
      <c r="JVH738" s="747"/>
      <c r="JVI738" s="747"/>
      <c r="JVJ738" s="747"/>
      <c r="JVK738" s="747"/>
      <c r="JVL738" s="747"/>
      <c r="JVM738" s="747"/>
      <c r="JVN738" s="747"/>
      <c r="JVO738" s="747"/>
      <c r="JVP738" s="747"/>
      <c r="JVQ738" s="747"/>
      <c r="JVR738" s="747"/>
      <c r="JVS738" s="747"/>
      <c r="JVT738" s="747"/>
      <c r="JVU738" s="747"/>
      <c r="JVV738" s="747"/>
      <c r="JVW738" s="747"/>
      <c r="JVX738" s="747"/>
      <c r="JVY738" s="747"/>
      <c r="JVZ738" s="747"/>
      <c r="JWA738" s="747"/>
      <c r="JWB738" s="747"/>
      <c r="JWC738" s="747"/>
      <c r="JWD738" s="747"/>
      <c r="JWE738" s="747"/>
      <c r="JWF738" s="747"/>
      <c r="JWG738" s="747"/>
      <c r="JWH738" s="747"/>
      <c r="JWI738" s="747"/>
      <c r="JWJ738" s="747"/>
      <c r="JWK738" s="747"/>
      <c r="JWL738" s="747"/>
      <c r="JWM738" s="747"/>
      <c r="JWN738" s="747"/>
      <c r="JWO738" s="747"/>
      <c r="JWP738" s="747"/>
      <c r="JWQ738" s="747"/>
      <c r="JWR738" s="747"/>
      <c r="JWS738" s="747"/>
      <c r="JWT738" s="747"/>
      <c r="JWU738" s="747"/>
      <c r="JWV738" s="747"/>
      <c r="JWW738" s="747"/>
      <c r="JWX738" s="747"/>
      <c r="JWY738" s="747"/>
      <c r="JWZ738" s="747"/>
      <c r="JXA738" s="747"/>
      <c r="JXB738" s="747"/>
      <c r="JXC738" s="747"/>
      <c r="JXD738" s="747"/>
      <c r="JXE738" s="747"/>
      <c r="JXF738" s="747"/>
      <c r="JXG738" s="747"/>
      <c r="JXH738" s="747"/>
      <c r="JXI738" s="747"/>
      <c r="JXJ738" s="747"/>
      <c r="JXK738" s="747"/>
      <c r="JXL738" s="747"/>
      <c r="JXM738" s="747"/>
      <c r="JXN738" s="747"/>
      <c r="JXO738" s="747"/>
      <c r="JXP738" s="747"/>
      <c r="JXQ738" s="747"/>
      <c r="JXR738" s="747"/>
      <c r="JXS738" s="747"/>
      <c r="JXT738" s="747"/>
      <c r="JXU738" s="747"/>
      <c r="JXV738" s="747"/>
      <c r="JXW738" s="747"/>
      <c r="JXX738" s="747"/>
      <c r="JXY738" s="747"/>
      <c r="JXZ738" s="747"/>
      <c r="JYA738" s="747"/>
      <c r="JYB738" s="747"/>
      <c r="JYC738" s="747"/>
      <c r="JYD738" s="747"/>
      <c r="JYE738" s="747"/>
      <c r="JYF738" s="747"/>
      <c r="JYG738" s="747"/>
      <c r="JYH738" s="747"/>
      <c r="JYI738" s="747"/>
      <c r="JYJ738" s="747"/>
      <c r="JYK738" s="747"/>
      <c r="JYL738" s="747"/>
      <c r="JYM738" s="747"/>
      <c r="JYN738" s="747"/>
      <c r="JYO738" s="747"/>
      <c r="JYP738" s="747"/>
      <c r="JYQ738" s="747"/>
      <c r="JYR738" s="747"/>
      <c r="JYS738" s="747"/>
      <c r="JYT738" s="747"/>
      <c r="JYU738" s="747"/>
      <c r="JYV738" s="747"/>
      <c r="JYW738" s="747"/>
      <c r="JYX738" s="747"/>
      <c r="JYY738" s="747"/>
      <c r="JYZ738" s="747"/>
      <c r="JZA738" s="747"/>
      <c r="JZB738" s="747"/>
      <c r="JZC738" s="747"/>
      <c r="JZD738" s="747"/>
      <c r="JZE738" s="747"/>
      <c r="JZF738" s="747"/>
      <c r="JZG738" s="747"/>
      <c r="JZH738" s="747"/>
      <c r="JZI738" s="747"/>
      <c r="JZJ738" s="747"/>
      <c r="JZK738" s="747"/>
      <c r="JZL738" s="747"/>
      <c r="JZM738" s="747"/>
      <c r="JZN738" s="747"/>
      <c r="JZO738" s="747"/>
      <c r="JZP738" s="747"/>
      <c r="JZQ738" s="747"/>
      <c r="JZR738" s="747"/>
      <c r="JZS738" s="747"/>
      <c r="JZT738" s="747"/>
      <c r="JZU738" s="747"/>
      <c r="JZV738" s="747"/>
      <c r="JZW738" s="747"/>
      <c r="JZX738" s="747"/>
      <c r="JZY738" s="747"/>
      <c r="JZZ738" s="747"/>
      <c r="KAA738" s="747"/>
      <c r="KAB738" s="747"/>
      <c r="KAC738" s="747"/>
      <c r="KAD738" s="747"/>
      <c r="KAE738" s="747"/>
      <c r="KAF738" s="747"/>
      <c r="KAG738" s="747"/>
      <c r="KAH738" s="747"/>
      <c r="KAI738" s="747"/>
      <c r="KAJ738" s="747"/>
      <c r="KAK738" s="747"/>
      <c r="KAL738" s="747"/>
      <c r="KAM738" s="747"/>
      <c r="KAN738" s="747"/>
      <c r="KAO738" s="747"/>
      <c r="KAP738" s="747"/>
      <c r="KAQ738" s="747"/>
      <c r="KAR738" s="747"/>
      <c r="KAS738" s="747"/>
      <c r="KAT738" s="747"/>
      <c r="KAU738" s="747"/>
      <c r="KAV738" s="747"/>
      <c r="KAW738" s="747"/>
      <c r="KAX738" s="747"/>
      <c r="KAY738" s="747"/>
      <c r="KAZ738" s="747"/>
      <c r="KBA738" s="747"/>
      <c r="KBB738" s="747"/>
      <c r="KBC738" s="747"/>
      <c r="KBD738" s="747"/>
      <c r="KBE738" s="747"/>
      <c r="KBF738" s="747"/>
      <c r="KBG738" s="747"/>
      <c r="KBH738" s="747"/>
      <c r="KBI738" s="747"/>
      <c r="KBJ738" s="747"/>
      <c r="KBK738" s="747"/>
      <c r="KBL738" s="747"/>
      <c r="KBM738" s="747"/>
      <c r="KBN738" s="747"/>
      <c r="KBO738" s="747"/>
      <c r="KBP738" s="747"/>
      <c r="KBQ738" s="747"/>
      <c r="KBR738" s="747"/>
      <c r="KBS738" s="747"/>
      <c r="KBT738" s="747"/>
      <c r="KBU738" s="747"/>
      <c r="KBV738" s="747"/>
      <c r="KBW738" s="747"/>
      <c r="KBX738" s="747"/>
      <c r="KBY738" s="747"/>
      <c r="KBZ738" s="747"/>
      <c r="KCA738" s="747"/>
      <c r="KCB738" s="747"/>
      <c r="KCC738" s="747"/>
      <c r="KCD738" s="747"/>
      <c r="KCE738" s="747"/>
      <c r="KCF738" s="747"/>
      <c r="KCG738" s="747"/>
      <c r="KCH738" s="747"/>
      <c r="KCI738" s="747"/>
      <c r="KCJ738" s="747"/>
      <c r="KCK738" s="747"/>
      <c r="KCL738" s="747"/>
      <c r="KCM738" s="747"/>
      <c r="KCN738" s="747"/>
      <c r="KCO738" s="747"/>
      <c r="KCP738" s="747"/>
      <c r="KCQ738" s="747"/>
      <c r="KCR738" s="747"/>
      <c r="KCS738" s="747"/>
      <c r="KCT738" s="747"/>
      <c r="KCU738" s="747"/>
      <c r="KCV738" s="747"/>
      <c r="KCW738" s="747"/>
      <c r="KCX738" s="747"/>
      <c r="KCY738" s="747"/>
      <c r="KCZ738" s="747"/>
      <c r="KDA738" s="747"/>
      <c r="KDB738" s="747"/>
      <c r="KDC738" s="747"/>
      <c r="KDD738" s="747"/>
      <c r="KDE738" s="747"/>
      <c r="KDF738" s="747"/>
      <c r="KDG738" s="747"/>
      <c r="KDH738" s="747"/>
      <c r="KDI738" s="747"/>
      <c r="KDJ738" s="747"/>
      <c r="KDK738" s="747"/>
      <c r="KDL738" s="747"/>
      <c r="KDM738" s="747"/>
      <c r="KDN738" s="747"/>
      <c r="KDO738" s="747"/>
      <c r="KDP738" s="747"/>
      <c r="KDQ738" s="747"/>
      <c r="KDR738" s="747"/>
      <c r="KDS738" s="747"/>
      <c r="KDT738" s="747"/>
      <c r="KDU738" s="747"/>
      <c r="KDV738" s="747"/>
      <c r="KDW738" s="747"/>
      <c r="KDX738" s="747"/>
      <c r="KDY738" s="747"/>
      <c r="KDZ738" s="747"/>
      <c r="KEA738" s="747"/>
      <c r="KEB738" s="747"/>
      <c r="KEC738" s="747"/>
      <c r="KED738" s="747"/>
      <c r="KEE738" s="747"/>
      <c r="KEF738" s="747"/>
      <c r="KEG738" s="747"/>
      <c r="KEH738" s="747"/>
      <c r="KEI738" s="747"/>
      <c r="KEJ738" s="747"/>
      <c r="KEK738" s="747"/>
      <c r="KEL738" s="747"/>
      <c r="KEM738" s="747"/>
      <c r="KEN738" s="747"/>
      <c r="KEO738" s="747"/>
      <c r="KEP738" s="747"/>
      <c r="KEQ738" s="747"/>
      <c r="KER738" s="747"/>
      <c r="KES738" s="747"/>
      <c r="KET738" s="747"/>
      <c r="KEU738" s="747"/>
      <c r="KEV738" s="747"/>
      <c r="KEW738" s="747"/>
      <c r="KEX738" s="747"/>
      <c r="KEY738" s="747"/>
      <c r="KEZ738" s="747"/>
      <c r="KFA738" s="747"/>
      <c r="KFB738" s="747"/>
      <c r="KFC738" s="747"/>
      <c r="KFD738" s="747"/>
      <c r="KFE738" s="747"/>
      <c r="KFF738" s="747"/>
      <c r="KFG738" s="747"/>
      <c r="KFH738" s="747"/>
      <c r="KFI738" s="747"/>
      <c r="KFJ738" s="747"/>
      <c r="KFK738" s="747"/>
      <c r="KFL738" s="747"/>
      <c r="KFM738" s="747"/>
      <c r="KFN738" s="747"/>
      <c r="KFO738" s="747"/>
      <c r="KFP738" s="747"/>
      <c r="KFQ738" s="747"/>
      <c r="KFR738" s="747"/>
      <c r="KFS738" s="747"/>
      <c r="KFT738" s="747"/>
      <c r="KFU738" s="747"/>
      <c r="KFV738" s="747"/>
      <c r="KFW738" s="747"/>
      <c r="KFX738" s="747"/>
      <c r="KFY738" s="747"/>
      <c r="KFZ738" s="747"/>
      <c r="KGA738" s="747"/>
      <c r="KGB738" s="747"/>
      <c r="KGC738" s="747"/>
      <c r="KGD738" s="747"/>
      <c r="KGE738" s="747"/>
      <c r="KGF738" s="747"/>
      <c r="KGG738" s="747"/>
      <c r="KGH738" s="747"/>
      <c r="KGI738" s="747"/>
      <c r="KGJ738" s="747"/>
      <c r="KGK738" s="747"/>
      <c r="KGL738" s="747"/>
      <c r="KGM738" s="747"/>
      <c r="KGN738" s="747"/>
      <c r="KGO738" s="747"/>
      <c r="KGP738" s="747"/>
      <c r="KGQ738" s="747"/>
      <c r="KGR738" s="747"/>
      <c r="KGS738" s="747"/>
      <c r="KGT738" s="747"/>
      <c r="KGU738" s="747"/>
      <c r="KGV738" s="747"/>
      <c r="KGW738" s="747"/>
      <c r="KGX738" s="747"/>
      <c r="KGY738" s="747"/>
      <c r="KGZ738" s="747"/>
      <c r="KHA738" s="747"/>
      <c r="KHB738" s="747"/>
      <c r="KHC738" s="747"/>
      <c r="KHD738" s="747"/>
      <c r="KHE738" s="747"/>
      <c r="KHF738" s="747"/>
      <c r="KHG738" s="747"/>
      <c r="KHH738" s="747"/>
      <c r="KHI738" s="747"/>
      <c r="KHJ738" s="747"/>
      <c r="KHK738" s="747"/>
      <c r="KHL738" s="747"/>
      <c r="KHM738" s="747"/>
      <c r="KHN738" s="747"/>
      <c r="KHO738" s="747"/>
      <c r="KHP738" s="747"/>
      <c r="KHQ738" s="747"/>
      <c r="KHR738" s="747"/>
      <c r="KHS738" s="747"/>
      <c r="KHT738" s="747"/>
      <c r="KHU738" s="747"/>
      <c r="KHV738" s="747"/>
      <c r="KHW738" s="747"/>
      <c r="KHX738" s="747"/>
      <c r="KHY738" s="747"/>
      <c r="KHZ738" s="747"/>
      <c r="KIA738" s="747"/>
      <c r="KIB738" s="747"/>
      <c r="KIC738" s="747"/>
      <c r="KID738" s="747"/>
      <c r="KIE738" s="747"/>
      <c r="KIF738" s="747"/>
      <c r="KIG738" s="747"/>
      <c r="KIH738" s="747"/>
      <c r="KII738" s="747"/>
      <c r="KIJ738" s="747"/>
      <c r="KIK738" s="747"/>
      <c r="KIL738" s="747"/>
      <c r="KIM738" s="747"/>
      <c r="KIN738" s="747"/>
      <c r="KIO738" s="747"/>
      <c r="KIP738" s="747"/>
      <c r="KIQ738" s="747"/>
      <c r="KIR738" s="747"/>
      <c r="KIS738" s="747"/>
      <c r="KIT738" s="747"/>
      <c r="KIU738" s="747"/>
      <c r="KIV738" s="747"/>
      <c r="KIW738" s="747"/>
      <c r="KIX738" s="747"/>
      <c r="KIY738" s="747"/>
      <c r="KIZ738" s="747"/>
      <c r="KJA738" s="747"/>
      <c r="KJB738" s="747"/>
      <c r="KJC738" s="747"/>
      <c r="KJD738" s="747"/>
      <c r="KJE738" s="747"/>
      <c r="KJF738" s="747"/>
      <c r="KJG738" s="747"/>
      <c r="KJH738" s="747"/>
      <c r="KJI738" s="747"/>
      <c r="KJJ738" s="747"/>
      <c r="KJK738" s="747"/>
      <c r="KJL738" s="747"/>
      <c r="KJM738" s="747"/>
      <c r="KJN738" s="747"/>
      <c r="KJO738" s="747"/>
      <c r="KJP738" s="747"/>
      <c r="KJQ738" s="747"/>
      <c r="KJR738" s="747"/>
      <c r="KJS738" s="747"/>
      <c r="KJT738" s="747"/>
      <c r="KJU738" s="747"/>
      <c r="KJV738" s="747"/>
      <c r="KJW738" s="747"/>
      <c r="KJX738" s="747"/>
      <c r="KJY738" s="747"/>
      <c r="KJZ738" s="747"/>
      <c r="KKA738" s="747"/>
      <c r="KKB738" s="747"/>
      <c r="KKC738" s="747"/>
      <c r="KKD738" s="747"/>
      <c r="KKE738" s="747"/>
      <c r="KKF738" s="747"/>
      <c r="KKG738" s="747"/>
      <c r="KKH738" s="747"/>
      <c r="KKI738" s="747"/>
      <c r="KKJ738" s="747"/>
      <c r="KKK738" s="747"/>
      <c r="KKL738" s="747"/>
      <c r="KKM738" s="747"/>
      <c r="KKN738" s="747"/>
      <c r="KKO738" s="747"/>
      <c r="KKP738" s="747"/>
      <c r="KKQ738" s="747"/>
      <c r="KKR738" s="747"/>
      <c r="KKS738" s="747"/>
      <c r="KKT738" s="747"/>
      <c r="KKU738" s="747"/>
      <c r="KKV738" s="747"/>
      <c r="KKW738" s="747"/>
      <c r="KKX738" s="747"/>
      <c r="KKY738" s="747"/>
      <c r="KKZ738" s="747"/>
      <c r="KLA738" s="747"/>
      <c r="KLB738" s="747"/>
      <c r="KLC738" s="747"/>
      <c r="KLD738" s="747"/>
      <c r="KLE738" s="747"/>
      <c r="KLF738" s="747"/>
      <c r="KLG738" s="747"/>
      <c r="KLH738" s="747"/>
      <c r="KLI738" s="747"/>
      <c r="KLJ738" s="747"/>
      <c r="KLK738" s="747"/>
      <c r="KLL738" s="747"/>
      <c r="KLM738" s="747"/>
      <c r="KLN738" s="747"/>
      <c r="KLO738" s="747"/>
      <c r="KLP738" s="747"/>
      <c r="KLQ738" s="747"/>
      <c r="KLR738" s="747"/>
      <c r="KLS738" s="747"/>
      <c r="KLT738" s="747"/>
      <c r="KLU738" s="747"/>
      <c r="KLV738" s="747"/>
      <c r="KLW738" s="747"/>
      <c r="KLX738" s="747"/>
      <c r="KLY738" s="747"/>
      <c r="KLZ738" s="747"/>
      <c r="KMA738" s="747"/>
      <c r="KMB738" s="747"/>
      <c r="KMC738" s="747"/>
      <c r="KMD738" s="747"/>
      <c r="KME738" s="747"/>
      <c r="KMF738" s="747"/>
      <c r="KMG738" s="747"/>
      <c r="KMH738" s="747"/>
      <c r="KMI738" s="747"/>
      <c r="KMJ738" s="747"/>
      <c r="KMK738" s="747"/>
      <c r="KML738" s="747"/>
      <c r="KMM738" s="747"/>
      <c r="KMN738" s="747"/>
      <c r="KMO738" s="747"/>
      <c r="KMP738" s="747"/>
      <c r="KMQ738" s="747"/>
      <c r="KMR738" s="747"/>
      <c r="KMS738" s="747"/>
      <c r="KMT738" s="747"/>
      <c r="KMU738" s="747"/>
      <c r="KMV738" s="747"/>
      <c r="KMW738" s="747"/>
      <c r="KMX738" s="747"/>
      <c r="KMY738" s="747"/>
      <c r="KMZ738" s="747"/>
      <c r="KNA738" s="747"/>
      <c r="KNB738" s="747"/>
      <c r="KNC738" s="747"/>
      <c r="KND738" s="747"/>
      <c r="KNE738" s="747"/>
      <c r="KNF738" s="747"/>
      <c r="KNG738" s="747"/>
      <c r="KNH738" s="747"/>
      <c r="KNI738" s="747"/>
      <c r="KNJ738" s="747"/>
      <c r="KNK738" s="747"/>
      <c r="KNL738" s="747"/>
      <c r="KNM738" s="747"/>
      <c r="KNN738" s="747"/>
      <c r="KNO738" s="747"/>
      <c r="KNP738" s="747"/>
      <c r="KNQ738" s="747"/>
      <c r="KNR738" s="747"/>
      <c r="KNS738" s="747"/>
      <c r="KNT738" s="747"/>
      <c r="KNU738" s="747"/>
      <c r="KNV738" s="747"/>
      <c r="KNW738" s="747"/>
      <c r="KNX738" s="747"/>
      <c r="KNY738" s="747"/>
      <c r="KNZ738" s="747"/>
      <c r="KOA738" s="747"/>
      <c r="KOB738" s="747"/>
      <c r="KOC738" s="747"/>
      <c r="KOD738" s="747"/>
      <c r="KOE738" s="747"/>
      <c r="KOF738" s="747"/>
      <c r="KOG738" s="747"/>
      <c r="KOH738" s="747"/>
      <c r="KOI738" s="747"/>
      <c r="KOJ738" s="747"/>
      <c r="KOK738" s="747"/>
      <c r="KOL738" s="747"/>
      <c r="KOM738" s="747"/>
      <c r="KON738" s="747"/>
      <c r="KOO738" s="747"/>
      <c r="KOP738" s="747"/>
      <c r="KOQ738" s="747"/>
      <c r="KOR738" s="747"/>
      <c r="KOS738" s="747"/>
      <c r="KOT738" s="747"/>
      <c r="KOU738" s="747"/>
      <c r="KOV738" s="747"/>
      <c r="KOW738" s="747"/>
      <c r="KOX738" s="747"/>
      <c r="KOY738" s="747"/>
      <c r="KOZ738" s="747"/>
      <c r="KPA738" s="747"/>
      <c r="KPB738" s="747"/>
      <c r="KPC738" s="747"/>
      <c r="KPD738" s="747"/>
      <c r="KPE738" s="747"/>
      <c r="KPF738" s="747"/>
      <c r="KPG738" s="747"/>
      <c r="KPH738" s="747"/>
      <c r="KPI738" s="747"/>
      <c r="KPJ738" s="747"/>
      <c r="KPK738" s="747"/>
      <c r="KPL738" s="747"/>
      <c r="KPM738" s="747"/>
      <c r="KPN738" s="747"/>
      <c r="KPO738" s="747"/>
      <c r="KPP738" s="747"/>
      <c r="KPQ738" s="747"/>
      <c r="KPR738" s="747"/>
      <c r="KPS738" s="747"/>
      <c r="KPT738" s="747"/>
      <c r="KPU738" s="747"/>
      <c r="KPV738" s="747"/>
      <c r="KPW738" s="747"/>
      <c r="KPX738" s="747"/>
      <c r="KPY738" s="747"/>
      <c r="KPZ738" s="747"/>
      <c r="KQA738" s="747"/>
      <c r="KQB738" s="747"/>
      <c r="KQC738" s="747"/>
      <c r="KQD738" s="747"/>
      <c r="KQE738" s="747"/>
      <c r="KQF738" s="747"/>
      <c r="KQG738" s="747"/>
      <c r="KQH738" s="747"/>
      <c r="KQI738" s="747"/>
      <c r="KQJ738" s="747"/>
      <c r="KQK738" s="747"/>
      <c r="KQL738" s="747"/>
      <c r="KQM738" s="747"/>
      <c r="KQN738" s="747"/>
      <c r="KQO738" s="747"/>
      <c r="KQP738" s="747"/>
      <c r="KQQ738" s="747"/>
      <c r="KQR738" s="747"/>
      <c r="KQS738" s="747"/>
      <c r="KQT738" s="747"/>
      <c r="KQU738" s="747"/>
      <c r="KQV738" s="747"/>
      <c r="KQW738" s="747"/>
      <c r="KQX738" s="747"/>
      <c r="KQY738" s="747"/>
      <c r="KQZ738" s="747"/>
      <c r="KRA738" s="747"/>
      <c r="KRB738" s="747"/>
      <c r="KRC738" s="747"/>
      <c r="KRD738" s="747"/>
      <c r="KRE738" s="747"/>
      <c r="KRF738" s="747"/>
      <c r="KRG738" s="747"/>
      <c r="KRH738" s="747"/>
      <c r="KRI738" s="747"/>
      <c r="KRJ738" s="747"/>
      <c r="KRK738" s="747"/>
      <c r="KRL738" s="747"/>
      <c r="KRM738" s="747"/>
      <c r="KRN738" s="747"/>
      <c r="KRO738" s="747"/>
      <c r="KRP738" s="747"/>
      <c r="KRQ738" s="747"/>
      <c r="KRR738" s="747"/>
      <c r="KRS738" s="747"/>
      <c r="KRT738" s="747"/>
      <c r="KRU738" s="747"/>
      <c r="KRV738" s="747"/>
      <c r="KRW738" s="747"/>
      <c r="KRX738" s="747"/>
      <c r="KRY738" s="747"/>
      <c r="KRZ738" s="747"/>
      <c r="KSA738" s="747"/>
      <c r="KSB738" s="747"/>
      <c r="KSC738" s="747"/>
      <c r="KSD738" s="747"/>
      <c r="KSE738" s="747"/>
      <c r="KSF738" s="747"/>
      <c r="KSG738" s="747"/>
      <c r="KSH738" s="747"/>
      <c r="KSI738" s="747"/>
      <c r="KSJ738" s="747"/>
      <c r="KSK738" s="747"/>
      <c r="KSL738" s="747"/>
      <c r="KSM738" s="747"/>
      <c r="KSN738" s="747"/>
      <c r="KSO738" s="747"/>
      <c r="KSP738" s="747"/>
      <c r="KSQ738" s="747"/>
      <c r="KSR738" s="747"/>
      <c r="KSS738" s="747"/>
      <c r="KST738" s="747"/>
      <c r="KSU738" s="747"/>
      <c r="KSV738" s="747"/>
      <c r="KSW738" s="747"/>
      <c r="KSX738" s="747"/>
      <c r="KSY738" s="747"/>
      <c r="KSZ738" s="747"/>
      <c r="KTA738" s="747"/>
      <c r="KTB738" s="747"/>
      <c r="KTC738" s="747"/>
      <c r="KTD738" s="747"/>
      <c r="KTE738" s="747"/>
      <c r="KTF738" s="747"/>
      <c r="KTG738" s="747"/>
      <c r="KTH738" s="747"/>
      <c r="KTI738" s="747"/>
      <c r="KTJ738" s="747"/>
      <c r="KTK738" s="747"/>
      <c r="KTL738" s="747"/>
      <c r="KTM738" s="747"/>
      <c r="KTN738" s="747"/>
      <c r="KTO738" s="747"/>
      <c r="KTP738" s="747"/>
      <c r="KTQ738" s="747"/>
      <c r="KTR738" s="747"/>
      <c r="KTS738" s="747"/>
      <c r="KTT738" s="747"/>
      <c r="KTU738" s="747"/>
      <c r="KTV738" s="747"/>
      <c r="KTW738" s="747"/>
      <c r="KTX738" s="747"/>
      <c r="KTY738" s="747"/>
      <c r="KTZ738" s="747"/>
      <c r="KUA738" s="747"/>
      <c r="KUB738" s="747"/>
      <c r="KUC738" s="747"/>
      <c r="KUD738" s="747"/>
      <c r="KUE738" s="747"/>
      <c r="KUF738" s="747"/>
      <c r="KUG738" s="747"/>
      <c r="KUH738" s="747"/>
      <c r="KUI738" s="747"/>
      <c r="KUJ738" s="747"/>
      <c r="KUK738" s="747"/>
      <c r="KUL738" s="747"/>
      <c r="KUM738" s="747"/>
      <c r="KUN738" s="747"/>
      <c r="KUO738" s="747"/>
      <c r="KUP738" s="747"/>
      <c r="KUQ738" s="747"/>
      <c r="KUR738" s="747"/>
      <c r="KUS738" s="747"/>
      <c r="KUT738" s="747"/>
      <c r="KUU738" s="747"/>
      <c r="KUV738" s="747"/>
      <c r="KUW738" s="747"/>
      <c r="KUX738" s="747"/>
      <c r="KUY738" s="747"/>
      <c r="KUZ738" s="747"/>
      <c r="KVA738" s="747"/>
      <c r="KVB738" s="747"/>
      <c r="KVC738" s="747"/>
      <c r="KVD738" s="747"/>
      <c r="KVE738" s="747"/>
      <c r="KVF738" s="747"/>
      <c r="KVG738" s="747"/>
      <c r="KVH738" s="747"/>
      <c r="KVI738" s="747"/>
      <c r="KVJ738" s="747"/>
      <c r="KVK738" s="747"/>
      <c r="KVL738" s="747"/>
      <c r="KVM738" s="747"/>
      <c r="KVN738" s="747"/>
      <c r="KVO738" s="747"/>
      <c r="KVP738" s="747"/>
      <c r="KVQ738" s="747"/>
      <c r="KVR738" s="747"/>
      <c r="KVS738" s="747"/>
      <c r="KVT738" s="747"/>
      <c r="KVU738" s="747"/>
      <c r="KVV738" s="747"/>
      <c r="KVW738" s="747"/>
      <c r="KVX738" s="747"/>
      <c r="KVY738" s="747"/>
      <c r="KVZ738" s="747"/>
      <c r="KWA738" s="747"/>
      <c r="KWB738" s="747"/>
      <c r="KWC738" s="747"/>
      <c r="KWD738" s="747"/>
      <c r="KWE738" s="747"/>
      <c r="KWF738" s="747"/>
      <c r="KWG738" s="747"/>
      <c r="KWH738" s="747"/>
      <c r="KWI738" s="747"/>
      <c r="KWJ738" s="747"/>
      <c r="KWK738" s="747"/>
      <c r="KWL738" s="747"/>
      <c r="KWM738" s="747"/>
      <c r="KWN738" s="747"/>
      <c r="KWO738" s="747"/>
      <c r="KWP738" s="747"/>
      <c r="KWQ738" s="747"/>
      <c r="KWR738" s="747"/>
      <c r="KWS738" s="747"/>
      <c r="KWT738" s="747"/>
      <c r="KWU738" s="747"/>
      <c r="KWV738" s="747"/>
      <c r="KWW738" s="747"/>
      <c r="KWX738" s="747"/>
      <c r="KWY738" s="747"/>
      <c r="KWZ738" s="747"/>
      <c r="KXA738" s="747"/>
      <c r="KXB738" s="747"/>
      <c r="KXC738" s="747"/>
      <c r="KXD738" s="747"/>
      <c r="KXE738" s="747"/>
      <c r="KXF738" s="747"/>
      <c r="KXG738" s="747"/>
      <c r="KXH738" s="747"/>
      <c r="KXI738" s="747"/>
      <c r="KXJ738" s="747"/>
      <c r="KXK738" s="747"/>
      <c r="KXL738" s="747"/>
      <c r="KXM738" s="747"/>
      <c r="KXN738" s="747"/>
      <c r="KXO738" s="747"/>
      <c r="KXP738" s="747"/>
      <c r="KXQ738" s="747"/>
      <c r="KXR738" s="747"/>
      <c r="KXS738" s="747"/>
      <c r="KXT738" s="747"/>
      <c r="KXU738" s="747"/>
      <c r="KXV738" s="747"/>
      <c r="KXW738" s="747"/>
      <c r="KXX738" s="747"/>
      <c r="KXY738" s="747"/>
      <c r="KXZ738" s="747"/>
      <c r="KYA738" s="747"/>
      <c r="KYB738" s="747"/>
      <c r="KYC738" s="747"/>
      <c r="KYD738" s="747"/>
      <c r="KYE738" s="747"/>
      <c r="KYF738" s="747"/>
      <c r="KYG738" s="747"/>
      <c r="KYH738" s="747"/>
      <c r="KYI738" s="747"/>
      <c r="KYJ738" s="747"/>
      <c r="KYK738" s="747"/>
      <c r="KYL738" s="747"/>
      <c r="KYM738" s="747"/>
      <c r="KYN738" s="747"/>
      <c r="KYO738" s="747"/>
      <c r="KYP738" s="747"/>
      <c r="KYQ738" s="747"/>
      <c r="KYR738" s="747"/>
      <c r="KYS738" s="747"/>
      <c r="KYT738" s="747"/>
      <c r="KYU738" s="747"/>
      <c r="KYV738" s="747"/>
      <c r="KYW738" s="747"/>
      <c r="KYX738" s="747"/>
      <c r="KYY738" s="747"/>
      <c r="KYZ738" s="747"/>
      <c r="KZA738" s="747"/>
      <c r="KZB738" s="747"/>
      <c r="KZC738" s="747"/>
      <c r="KZD738" s="747"/>
      <c r="KZE738" s="747"/>
      <c r="KZF738" s="747"/>
      <c r="KZG738" s="747"/>
      <c r="KZH738" s="747"/>
      <c r="KZI738" s="747"/>
      <c r="KZJ738" s="747"/>
      <c r="KZK738" s="747"/>
      <c r="KZL738" s="747"/>
      <c r="KZM738" s="747"/>
      <c r="KZN738" s="747"/>
      <c r="KZO738" s="747"/>
      <c r="KZP738" s="747"/>
      <c r="KZQ738" s="747"/>
      <c r="KZR738" s="747"/>
      <c r="KZS738" s="747"/>
      <c r="KZT738" s="747"/>
      <c r="KZU738" s="747"/>
      <c r="KZV738" s="747"/>
      <c r="KZW738" s="747"/>
      <c r="KZX738" s="747"/>
      <c r="KZY738" s="747"/>
      <c r="KZZ738" s="747"/>
      <c r="LAA738" s="747"/>
      <c r="LAB738" s="747"/>
      <c r="LAC738" s="747"/>
      <c r="LAD738" s="747"/>
      <c r="LAE738" s="747"/>
      <c r="LAF738" s="747"/>
      <c r="LAG738" s="747"/>
      <c r="LAH738" s="747"/>
      <c r="LAI738" s="747"/>
      <c r="LAJ738" s="747"/>
      <c r="LAK738" s="747"/>
      <c r="LAL738" s="747"/>
      <c r="LAM738" s="747"/>
      <c r="LAN738" s="747"/>
      <c r="LAO738" s="747"/>
      <c r="LAP738" s="747"/>
      <c r="LAQ738" s="747"/>
      <c r="LAR738" s="747"/>
      <c r="LAS738" s="747"/>
      <c r="LAT738" s="747"/>
      <c r="LAU738" s="747"/>
      <c r="LAV738" s="747"/>
      <c r="LAW738" s="747"/>
      <c r="LAX738" s="747"/>
      <c r="LAY738" s="747"/>
      <c r="LAZ738" s="747"/>
      <c r="LBA738" s="747"/>
      <c r="LBB738" s="747"/>
      <c r="LBC738" s="747"/>
      <c r="LBD738" s="747"/>
      <c r="LBE738" s="747"/>
      <c r="LBF738" s="747"/>
      <c r="LBG738" s="747"/>
      <c r="LBH738" s="747"/>
      <c r="LBI738" s="747"/>
      <c r="LBJ738" s="747"/>
      <c r="LBK738" s="747"/>
      <c r="LBL738" s="747"/>
      <c r="LBM738" s="747"/>
      <c r="LBN738" s="747"/>
      <c r="LBO738" s="747"/>
      <c r="LBP738" s="747"/>
      <c r="LBQ738" s="747"/>
      <c r="LBR738" s="747"/>
      <c r="LBS738" s="747"/>
      <c r="LBT738" s="747"/>
      <c r="LBU738" s="747"/>
      <c r="LBV738" s="747"/>
      <c r="LBW738" s="747"/>
      <c r="LBX738" s="747"/>
      <c r="LBY738" s="747"/>
      <c r="LBZ738" s="747"/>
      <c r="LCA738" s="747"/>
      <c r="LCB738" s="747"/>
      <c r="LCC738" s="747"/>
      <c r="LCD738" s="747"/>
      <c r="LCE738" s="747"/>
      <c r="LCF738" s="747"/>
      <c r="LCG738" s="747"/>
      <c r="LCH738" s="747"/>
      <c r="LCI738" s="747"/>
      <c r="LCJ738" s="747"/>
      <c r="LCK738" s="747"/>
      <c r="LCL738" s="747"/>
      <c r="LCM738" s="747"/>
      <c r="LCN738" s="747"/>
      <c r="LCO738" s="747"/>
      <c r="LCP738" s="747"/>
      <c r="LCQ738" s="747"/>
      <c r="LCR738" s="747"/>
      <c r="LCS738" s="747"/>
      <c r="LCT738" s="747"/>
      <c r="LCU738" s="747"/>
      <c r="LCV738" s="747"/>
      <c r="LCW738" s="747"/>
      <c r="LCX738" s="747"/>
      <c r="LCY738" s="747"/>
      <c r="LCZ738" s="747"/>
      <c r="LDA738" s="747"/>
      <c r="LDB738" s="747"/>
      <c r="LDC738" s="747"/>
      <c r="LDD738" s="747"/>
      <c r="LDE738" s="747"/>
      <c r="LDF738" s="747"/>
      <c r="LDG738" s="747"/>
      <c r="LDH738" s="747"/>
      <c r="LDI738" s="747"/>
      <c r="LDJ738" s="747"/>
      <c r="LDK738" s="747"/>
      <c r="LDL738" s="747"/>
      <c r="LDM738" s="747"/>
      <c r="LDN738" s="747"/>
      <c r="LDO738" s="747"/>
      <c r="LDP738" s="747"/>
      <c r="LDQ738" s="747"/>
      <c r="LDR738" s="747"/>
      <c r="LDS738" s="747"/>
      <c r="LDT738" s="747"/>
      <c r="LDU738" s="747"/>
      <c r="LDV738" s="747"/>
      <c r="LDW738" s="747"/>
      <c r="LDX738" s="747"/>
      <c r="LDY738" s="747"/>
      <c r="LDZ738" s="747"/>
      <c r="LEA738" s="747"/>
      <c r="LEB738" s="747"/>
      <c r="LEC738" s="747"/>
      <c r="LED738" s="747"/>
      <c r="LEE738" s="747"/>
      <c r="LEF738" s="747"/>
      <c r="LEG738" s="747"/>
      <c r="LEH738" s="747"/>
      <c r="LEI738" s="747"/>
      <c r="LEJ738" s="747"/>
      <c r="LEK738" s="747"/>
      <c r="LEL738" s="747"/>
      <c r="LEM738" s="747"/>
      <c r="LEN738" s="747"/>
      <c r="LEO738" s="747"/>
      <c r="LEP738" s="747"/>
      <c r="LEQ738" s="747"/>
      <c r="LER738" s="747"/>
      <c r="LES738" s="747"/>
      <c r="LET738" s="747"/>
      <c r="LEU738" s="747"/>
      <c r="LEV738" s="747"/>
      <c r="LEW738" s="747"/>
      <c r="LEX738" s="747"/>
      <c r="LEY738" s="747"/>
      <c r="LEZ738" s="747"/>
      <c r="LFA738" s="747"/>
      <c r="LFB738" s="747"/>
      <c r="LFC738" s="747"/>
      <c r="LFD738" s="747"/>
      <c r="LFE738" s="747"/>
      <c r="LFF738" s="747"/>
      <c r="LFG738" s="747"/>
      <c r="LFH738" s="747"/>
      <c r="LFI738" s="747"/>
      <c r="LFJ738" s="747"/>
      <c r="LFK738" s="747"/>
      <c r="LFL738" s="747"/>
      <c r="LFM738" s="747"/>
      <c r="LFN738" s="747"/>
      <c r="LFO738" s="747"/>
      <c r="LFP738" s="747"/>
      <c r="LFQ738" s="747"/>
      <c r="LFR738" s="747"/>
      <c r="LFS738" s="747"/>
      <c r="LFT738" s="747"/>
      <c r="LFU738" s="747"/>
      <c r="LFV738" s="747"/>
      <c r="LFW738" s="747"/>
      <c r="LFX738" s="747"/>
      <c r="LFY738" s="747"/>
      <c r="LFZ738" s="747"/>
      <c r="LGA738" s="747"/>
      <c r="LGB738" s="747"/>
      <c r="LGC738" s="747"/>
      <c r="LGD738" s="747"/>
      <c r="LGE738" s="747"/>
      <c r="LGF738" s="747"/>
      <c r="LGG738" s="747"/>
      <c r="LGH738" s="747"/>
      <c r="LGI738" s="747"/>
      <c r="LGJ738" s="747"/>
      <c r="LGK738" s="747"/>
      <c r="LGL738" s="747"/>
      <c r="LGM738" s="747"/>
      <c r="LGN738" s="747"/>
      <c r="LGO738" s="747"/>
      <c r="LGP738" s="747"/>
      <c r="LGQ738" s="747"/>
      <c r="LGR738" s="747"/>
      <c r="LGS738" s="747"/>
      <c r="LGT738" s="747"/>
      <c r="LGU738" s="747"/>
      <c r="LGV738" s="747"/>
      <c r="LGW738" s="747"/>
      <c r="LGX738" s="747"/>
      <c r="LGY738" s="747"/>
      <c r="LGZ738" s="747"/>
      <c r="LHA738" s="747"/>
      <c r="LHB738" s="747"/>
      <c r="LHC738" s="747"/>
      <c r="LHD738" s="747"/>
      <c r="LHE738" s="747"/>
      <c r="LHF738" s="747"/>
      <c r="LHG738" s="747"/>
      <c r="LHH738" s="747"/>
      <c r="LHI738" s="747"/>
      <c r="LHJ738" s="747"/>
      <c r="LHK738" s="747"/>
      <c r="LHL738" s="747"/>
      <c r="LHM738" s="747"/>
      <c r="LHN738" s="747"/>
      <c r="LHO738" s="747"/>
      <c r="LHP738" s="747"/>
      <c r="LHQ738" s="747"/>
      <c r="LHR738" s="747"/>
      <c r="LHS738" s="747"/>
      <c r="LHT738" s="747"/>
      <c r="LHU738" s="747"/>
      <c r="LHV738" s="747"/>
      <c r="LHW738" s="747"/>
      <c r="LHX738" s="747"/>
      <c r="LHY738" s="747"/>
      <c r="LHZ738" s="747"/>
      <c r="LIA738" s="747"/>
      <c r="LIB738" s="747"/>
      <c r="LIC738" s="747"/>
      <c r="LID738" s="747"/>
      <c r="LIE738" s="747"/>
      <c r="LIF738" s="747"/>
      <c r="LIG738" s="747"/>
      <c r="LIH738" s="747"/>
      <c r="LII738" s="747"/>
      <c r="LIJ738" s="747"/>
      <c r="LIK738" s="747"/>
      <c r="LIL738" s="747"/>
      <c r="LIM738" s="747"/>
      <c r="LIN738" s="747"/>
      <c r="LIO738" s="747"/>
      <c r="LIP738" s="747"/>
      <c r="LIQ738" s="747"/>
      <c r="LIR738" s="747"/>
      <c r="LIS738" s="747"/>
      <c r="LIT738" s="747"/>
      <c r="LIU738" s="747"/>
      <c r="LIV738" s="747"/>
      <c r="LIW738" s="747"/>
      <c r="LIX738" s="747"/>
      <c r="LIY738" s="747"/>
      <c r="LIZ738" s="747"/>
      <c r="LJA738" s="747"/>
      <c r="LJB738" s="747"/>
      <c r="LJC738" s="747"/>
      <c r="LJD738" s="747"/>
      <c r="LJE738" s="747"/>
      <c r="LJF738" s="747"/>
      <c r="LJG738" s="747"/>
      <c r="LJH738" s="747"/>
      <c r="LJI738" s="747"/>
      <c r="LJJ738" s="747"/>
      <c r="LJK738" s="747"/>
      <c r="LJL738" s="747"/>
      <c r="LJM738" s="747"/>
      <c r="LJN738" s="747"/>
      <c r="LJO738" s="747"/>
      <c r="LJP738" s="747"/>
      <c r="LJQ738" s="747"/>
      <c r="LJR738" s="747"/>
      <c r="LJS738" s="747"/>
      <c r="LJT738" s="747"/>
      <c r="LJU738" s="747"/>
      <c r="LJV738" s="747"/>
      <c r="LJW738" s="747"/>
      <c r="LJX738" s="747"/>
      <c r="LJY738" s="747"/>
      <c r="LJZ738" s="747"/>
      <c r="LKA738" s="747"/>
      <c r="LKB738" s="747"/>
      <c r="LKC738" s="747"/>
      <c r="LKD738" s="747"/>
      <c r="LKE738" s="747"/>
      <c r="LKF738" s="747"/>
      <c r="LKG738" s="747"/>
      <c r="LKH738" s="747"/>
      <c r="LKI738" s="747"/>
      <c r="LKJ738" s="747"/>
      <c r="LKK738" s="747"/>
      <c r="LKL738" s="747"/>
      <c r="LKM738" s="747"/>
      <c r="LKN738" s="747"/>
      <c r="LKO738" s="747"/>
      <c r="LKP738" s="747"/>
      <c r="LKQ738" s="747"/>
      <c r="LKR738" s="747"/>
      <c r="LKS738" s="747"/>
      <c r="LKT738" s="747"/>
      <c r="LKU738" s="747"/>
      <c r="LKV738" s="747"/>
      <c r="LKW738" s="747"/>
      <c r="LKX738" s="747"/>
      <c r="LKY738" s="747"/>
      <c r="LKZ738" s="747"/>
      <c r="LLA738" s="747"/>
      <c r="LLB738" s="747"/>
      <c r="LLC738" s="747"/>
      <c r="LLD738" s="747"/>
      <c r="LLE738" s="747"/>
      <c r="LLF738" s="747"/>
      <c r="LLG738" s="747"/>
      <c r="LLH738" s="747"/>
      <c r="LLI738" s="747"/>
      <c r="LLJ738" s="747"/>
      <c r="LLK738" s="747"/>
      <c r="LLL738" s="747"/>
      <c r="LLM738" s="747"/>
      <c r="LLN738" s="747"/>
      <c r="LLO738" s="747"/>
      <c r="LLP738" s="747"/>
      <c r="LLQ738" s="747"/>
      <c r="LLR738" s="747"/>
      <c r="LLS738" s="747"/>
      <c r="LLT738" s="747"/>
      <c r="LLU738" s="747"/>
      <c r="LLV738" s="747"/>
      <c r="LLW738" s="747"/>
      <c r="LLX738" s="747"/>
      <c r="LLY738" s="747"/>
      <c r="LLZ738" s="747"/>
      <c r="LMA738" s="747"/>
      <c r="LMB738" s="747"/>
      <c r="LMC738" s="747"/>
      <c r="LMD738" s="747"/>
      <c r="LME738" s="747"/>
      <c r="LMF738" s="747"/>
      <c r="LMG738" s="747"/>
      <c r="LMH738" s="747"/>
      <c r="LMI738" s="747"/>
      <c r="LMJ738" s="747"/>
      <c r="LMK738" s="747"/>
      <c r="LML738" s="747"/>
      <c r="LMM738" s="747"/>
      <c r="LMN738" s="747"/>
      <c r="LMO738" s="747"/>
      <c r="LMP738" s="747"/>
      <c r="LMQ738" s="747"/>
      <c r="LMR738" s="747"/>
      <c r="LMS738" s="747"/>
      <c r="LMT738" s="747"/>
      <c r="LMU738" s="747"/>
      <c r="LMV738" s="747"/>
      <c r="LMW738" s="747"/>
      <c r="LMX738" s="747"/>
      <c r="LMY738" s="747"/>
      <c r="LMZ738" s="747"/>
      <c r="LNA738" s="747"/>
      <c r="LNB738" s="747"/>
      <c r="LNC738" s="747"/>
      <c r="LND738" s="747"/>
      <c r="LNE738" s="747"/>
      <c r="LNF738" s="747"/>
      <c r="LNG738" s="747"/>
      <c r="LNH738" s="747"/>
      <c r="LNI738" s="747"/>
      <c r="LNJ738" s="747"/>
      <c r="LNK738" s="747"/>
      <c r="LNL738" s="747"/>
      <c r="LNM738" s="747"/>
      <c r="LNN738" s="747"/>
      <c r="LNO738" s="747"/>
      <c r="LNP738" s="747"/>
      <c r="LNQ738" s="747"/>
      <c r="LNR738" s="747"/>
      <c r="LNS738" s="747"/>
      <c r="LNT738" s="747"/>
      <c r="LNU738" s="747"/>
      <c r="LNV738" s="747"/>
      <c r="LNW738" s="747"/>
      <c r="LNX738" s="747"/>
      <c r="LNY738" s="747"/>
      <c r="LNZ738" s="747"/>
      <c r="LOA738" s="747"/>
      <c r="LOB738" s="747"/>
      <c r="LOC738" s="747"/>
      <c r="LOD738" s="747"/>
      <c r="LOE738" s="747"/>
      <c r="LOF738" s="747"/>
      <c r="LOG738" s="747"/>
      <c r="LOH738" s="747"/>
      <c r="LOI738" s="747"/>
      <c r="LOJ738" s="747"/>
      <c r="LOK738" s="747"/>
      <c r="LOL738" s="747"/>
      <c r="LOM738" s="747"/>
      <c r="LON738" s="747"/>
      <c r="LOO738" s="747"/>
      <c r="LOP738" s="747"/>
      <c r="LOQ738" s="747"/>
      <c r="LOR738" s="747"/>
      <c r="LOS738" s="747"/>
      <c r="LOT738" s="747"/>
      <c r="LOU738" s="747"/>
      <c r="LOV738" s="747"/>
      <c r="LOW738" s="747"/>
      <c r="LOX738" s="747"/>
      <c r="LOY738" s="747"/>
      <c r="LOZ738" s="747"/>
      <c r="LPA738" s="747"/>
      <c r="LPB738" s="747"/>
      <c r="LPC738" s="747"/>
      <c r="LPD738" s="747"/>
      <c r="LPE738" s="747"/>
      <c r="LPF738" s="747"/>
      <c r="LPG738" s="747"/>
      <c r="LPH738" s="747"/>
      <c r="LPI738" s="747"/>
      <c r="LPJ738" s="747"/>
      <c r="LPK738" s="747"/>
      <c r="LPL738" s="747"/>
      <c r="LPM738" s="747"/>
      <c r="LPN738" s="747"/>
      <c r="LPO738" s="747"/>
      <c r="LPP738" s="747"/>
      <c r="LPQ738" s="747"/>
      <c r="LPR738" s="747"/>
      <c r="LPS738" s="747"/>
      <c r="LPT738" s="747"/>
      <c r="LPU738" s="747"/>
      <c r="LPV738" s="747"/>
      <c r="LPW738" s="747"/>
      <c r="LPX738" s="747"/>
      <c r="LPY738" s="747"/>
      <c r="LPZ738" s="747"/>
      <c r="LQA738" s="747"/>
      <c r="LQB738" s="747"/>
      <c r="LQC738" s="747"/>
      <c r="LQD738" s="747"/>
      <c r="LQE738" s="747"/>
      <c r="LQF738" s="747"/>
      <c r="LQG738" s="747"/>
      <c r="LQH738" s="747"/>
      <c r="LQI738" s="747"/>
      <c r="LQJ738" s="747"/>
      <c r="LQK738" s="747"/>
      <c r="LQL738" s="747"/>
      <c r="LQM738" s="747"/>
      <c r="LQN738" s="747"/>
      <c r="LQO738" s="747"/>
      <c r="LQP738" s="747"/>
      <c r="LQQ738" s="747"/>
      <c r="LQR738" s="747"/>
      <c r="LQS738" s="747"/>
      <c r="LQT738" s="747"/>
      <c r="LQU738" s="747"/>
      <c r="LQV738" s="747"/>
      <c r="LQW738" s="747"/>
      <c r="LQX738" s="747"/>
      <c r="LQY738" s="747"/>
      <c r="LQZ738" s="747"/>
      <c r="LRA738" s="747"/>
      <c r="LRB738" s="747"/>
      <c r="LRC738" s="747"/>
      <c r="LRD738" s="747"/>
      <c r="LRE738" s="747"/>
      <c r="LRF738" s="747"/>
      <c r="LRG738" s="747"/>
      <c r="LRH738" s="747"/>
      <c r="LRI738" s="747"/>
      <c r="LRJ738" s="747"/>
      <c r="LRK738" s="747"/>
      <c r="LRL738" s="747"/>
      <c r="LRM738" s="747"/>
      <c r="LRN738" s="747"/>
      <c r="LRO738" s="747"/>
      <c r="LRP738" s="747"/>
      <c r="LRQ738" s="747"/>
      <c r="LRR738" s="747"/>
      <c r="LRS738" s="747"/>
      <c r="LRT738" s="747"/>
      <c r="LRU738" s="747"/>
      <c r="LRV738" s="747"/>
      <c r="LRW738" s="747"/>
      <c r="LRX738" s="747"/>
      <c r="LRY738" s="747"/>
      <c r="LRZ738" s="747"/>
      <c r="LSA738" s="747"/>
      <c r="LSB738" s="747"/>
      <c r="LSC738" s="747"/>
      <c r="LSD738" s="747"/>
      <c r="LSE738" s="747"/>
      <c r="LSF738" s="747"/>
      <c r="LSG738" s="747"/>
      <c r="LSH738" s="747"/>
      <c r="LSI738" s="747"/>
      <c r="LSJ738" s="747"/>
      <c r="LSK738" s="747"/>
      <c r="LSL738" s="747"/>
      <c r="LSM738" s="747"/>
      <c r="LSN738" s="747"/>
      <c r="LSO738" s="747"/>
      <c r="LSP738" s="747"/>
      <c r="LSQ738" s="747"/>
      <c r="LSR738" s="747"/>
      <c r="LSS738" s="747"/>
      <c r="LST738" s="747"/>
      <c r="LSU738" s="747"/>
      <c r="LSV738" s="747"/>
      <c r="LSW738" s="747"/>
      <c r="LSX738" s="747"/>
      <c r="LSY738" s="747"/>
      <c r="LSZ738" s="747"/>
      <c r="LTA738" s="747"/>
      <c r="LTB738" s="747"/>
      <c r="LTC738" s="747"/>
      <c r="LTD738" s="747"/>
      <c r="LTE738" s="747"/>
      <c r="LTF738" s="747"/>
      <c r="LTG738" s="747"/>
      <c r="LTH738" s="747"/>
      <c r="LTI738" s="747"/>
      <c r="LTJ738" s="747"/>
      <c r="LTK738" s="747"/>
      <c r="LTL738" s="747"/>
      <c r="LTM738" s="747"/>
      <c r="LTN738" s="747"/>
      <c r="LTO738" s="747"/>
      <c r="LTP738" s="747"/>
      <c r="LTQ738" s="747"/>
      <c r="LTR738" s="747"/>
      <c r="LTS738" s="747"/>
      <c r="LTT738" s="747"/>
      <c r="LTU738" s="747"/>
      <c r="LTV738" s="747"/>
      <c r="LTW738" s="747"/>
      <c r="LTX738" s="747"/>
      <c r="LTY738" s="747"/>
      <c r="LTZ738" s="747"/>
      <c r="LUA738" s="747"/>
      <c r="LUB738" s="747"/>
      <c r="LUC738" s="747"/>
      <c r="LUD738" s="747"/>
      <c r="LUE738" s="747"/>
      <c r="LUF738" s="747"/>
      <c r="LUG738" s="747"/>
      <c r="LUH738" s="747"/>
      <c r="LUI738" s="747"/>
      <c r="LUJ738" s="747"/>
      <c r="LUK738" s="747"/>
      <c r="LUL738" s="747"/>
      <c r="LUM738" s="747"/>
      <c r="LUN738" s="747"/>
      <c r="LUO738" s="747"/>
      <c r="LUP738" s="747"/>
      <c r="LUQ738" s="747"/>
      <c r="LUR738" s="747"/>
      <c r="LUS738" s="747"/>
      <c r="LUT738" s="747"/>
      <c r="LUU738" s="747"/>
      <c r="LUV738" s="747"/>
      <c r="LUW738" s="747"/>
      <c r="LUX738" s="747"/>
      <c r="LUY738" s="747"/>
      <c r="LUZ738" s="747"/>
      <c r="LVA738" s="747"/>
      <c r="LVB738" s="747"/>
      <c r="LVC738" s="747"/>
      <c r="LVD738" s="747"/>
      <c r="LVE738" s="747"/>
      <c r="LVF738" s="747"/>
      <c r="LVG738" s="747"/>
      <c r="LVH738" s="747"/>
      <c r="LVI738" s="747"/>
      <c r="LVJ738" s="747"/>
      <c r="LVK738" s="747"/>
      <c r="LVL738" s="747"/>
      <c r="LVM738" s="747"/>
      <c r="LVN738" s="747"/>
      <c r="LVO738" s="747"/>
      <c r="LVP738" s="747"/>
      <c r="LVQ738" s="747"/>
      <c r="LVR738" s="747"/>
      <c r="LVS738" s="747"/>
      <c r="LVT738" s="747"/>
      <c r="LVU738" s="747"/>
      <c r="LVV738" s="747"/>
      <c r="LVW738" s="747"/>
      <c r="LVX738" s="747"/>
      <c r="LVY738" s="747"/>
      <c r="LVZ738" s="747"/>
      <c r="LWA738" s="747"/>
      <c r="LWB738" s="747"/>
      <c r="LWC738" s="747"/>
      <c r="LWD738" s="747"/>
      <c r="LWE738" s="747"/>
      <c r="LWF738" s="747"/>
      <c r="LWG738" s="747"/>
      <c r="LWH738" s="747"/>
      <c r="LWI738" s="747"/>
      <c r="LWJ738" s="747"/>
      <c r="LWK738" s="747"/>
      <c r="LWL738" s="747"/>
      <c r="LWM738" s="747"/>
      <c r="LWN738" s="747"/>
      <c r="LWO738" s="747"/>
      <c r="LWP738" s="747"/>
      <c r="LWQ738" s="747"/>
      <c r="LWR738" s="747"/>
      <c r="LWS738" s="747"/>
      <c r="LWT738" s="747"/>
      <c r="LWU738" s="747"/>
      <c r="LWV738" s="747"/>
      <c r="LWW738" s="747"/>
      <c r="LWX738" s="747"/>
      <c r="LWY738" s="747"/>
      <c r="LWZ738" s="747"/>
      <c r="LXA738" s="747"/>
      <c r="LXB738" s="747"/>
      <c r="LXC738" s="747"/>
      <c r="LXD738" s="747"/>
      <c r="LXE738" s="747"/>
      <c r="LXF738" s="747"/>
      <c r="LXG738" s="747"/>
      <c r="LXH738" s="747"/>
      <c r="LXI738" s="747"/>
      <c r="LXJ738" s="747"/>
      <c r="LXK738" s="747"/>
      <c r="LXL738" s="747"/>
      <c r="LXM738" s="747"/>
      <c r="LXN738" s="747"/>
      <c r="LXO738" s="747"/>
      <c r="LXP738" s="747"/>
      <c r="LXQ738" s="747"/>
      <c r="LXR738" s="747"/>
      <c r="LXS738" s="747"/>
      <c r="LXT738" s="747"/>
      <c r="LXU738" s="747"/>
      <c r="LXV738" s="747"/>
      <c r="LXW738" s="747"/>
      <c r="LXX738" s="747"/>
      <c r="LXY738" s="747"/>
      <c r="LXZ738" s="747"/>
      <c r="LYA738" s="747"/>
      <c r="LYB738" s="747"/>
      <c r="LYC738" s="747"/>
      <c r="LYD738" s="747"/>
      <c r="LYE738" s="747"/>
      <c r="LYF738" s="747"/>
      <c r="LYG738" s="747"/>
      <c r="LYH738" s="747"/>
      <c r="LYI738" s="747"/>
      <c r="LYJ738" s="747"/>
      <c r="LYK738" s="747"/>
      <c r="LYL738" s="747"/>
      <c r="LYM738" s="747"/>
      <c r="LYN738" s="747"/>
      <c r="LYO738" s="747"/>
      <c r="LYP738" s="747"/>
      <c r="LYQ738" s="747"/>
      <c r="LYR738" s="747"/>
      <c r="LYS738" s="747"/>
      <c r="LYT738" s="747"/>
      <c r="LYU738" s="747"/>
      <c r="LYV738" s="747"/>
      <c r="LYW738" s="747"/>
      <c r="LYX738" s="747"/>
      <c r="LYY738" s="747"/>
      <c r="LYZ738" s="747"/>
      <c r="LZA738" s="747"/>
      <c r="LZB738" s="747"/>
      <c r="LZC738" s="747"/>
      <c r="LZD738" s="747"/>
      <c r="LZE738" s="747"/>
      <c r="LZF738" s="747"/>
      <c r="LZG738" s="747"/>
      <c r="LZH738" s="747"/>
      <c r="LZI738" s="747"/>
      <c r="LZJ738" s="747"/>
      <c r="LZK738" s="747"/>
      <c r="LZL738" s="747"/>
      <c r="LZM738" s="747"/>
      <c r="LZN738" s="747"/>
      <c r="LZO738" s="747"/>
      <c r="LZP738" s="747"/>
      <c r="LZQ738" s="747"/>
      <c r="LZR738" s="747"/>
      <c r="LZS738" s="747"/>
      <c r="LZT738" s="747"/>
      <c r="LZU738" s="747"/>
      <c r="LZV738" s="747"/>
      <c r="LZW738" s="747"/>
      <c r="LZX738" s="747"/>
      <c r="LZY738" s="747"/>
      <c r="LZZ738" s="747"/>
      <c r="MAA738" s="747"/>
      <c r="MAB738" s="747"/>
      <c r="MAC738" s="747"/>
      <c r="MAD738" s="747"/>
      <c r="MAE738" s="747"/>
      <c r="MAF738" s="747"/>
      <c r="MAG738" s="747"/>
      <c r="MAH738" s="747"/>
      <c r="MAI738" s="747"/>
      <c r="MAJ738" s="747"/>
      <c r="MAK738" s="747"/>
      <c r="MAL738" s="747"/>
      <c r="MAM738" s="747"/>
      <c r="MAN738" s="747"/>
      <c r="MAO738" s="747"/>
      <c r="MAP738" s="747"/>
      <c r="MAQ738" s="747"/>
      <c r="MAR738" s="747"/>
      <c r="MAS738" s="747"/>
      <c r="MAT738" s="747"/>
      <c r="MAU738" s="747"/>
      <c r="MAV738" s="747"/>
      <c r="MAW738" s="747"/>
      <c r="MAX738" s="747"/>
      <c r="MAY738" s="747"/>
      <c r="MAZ738" s="747"/>
      <c r="MBA738" s="747"/>
      <c r="MBB738" s="747"/>
      <c r="MBC738" s="747"/>
      <c r="MBD738" s="747"/>
      <c r="MBE738" s="747"/>
      <c r="MBF738" s="747"/>
      <c r="MBG738" s="747"/>
      <c r="MBH738" s="747"/>
      <c r="MBI738" s="747"/>
      <c r="MBJ738" s="747"/>
      <c r="MBK738" s="747"/>
      <c r="MBL738" s="747"/>
      <c r="MBM738" s="747"/>
      <c r="MBN738" s="747"/>
      <c r="MBO738" s="747"/>
      <c r="MBP738" s="747"/>
      <c r="MBQ738" s="747"/>
      <c r="MBR738" s="747"/>
      <c r="MBS738" s="747"/>
      <c r="MBT738" s="747"/>
      <c r="MBU738" s="747"/>
      <c r="MBV738" s="747"/>
      <c r="MBW738" s="747"/>
      <c r="MBX738" s="747"/>
      <c r="MBY738" s="747"/>
      <c r="MBZ738" s="747"/>
      <c r="MCA738" s="747"/>
      <c r="MCB738" s="747"/>
      <c r="MCC738" s="747"/>
      <c r="MCD738" s="747"/>
      <c r="MCE738" s="747"/>
      <c r="MCF738" s="747"/>
      <c r="MCG738" s="747"/>
      <c r="MCH738" s="747"/>
      <c r="MCI738" s="747"/>
      <c r="MCJ738" s="747"/>
      <c r="MCK738" s="747"/>
      <c r="MCL738" s="747"/>
      <c r="MCM738" s="747"/>
      <c r="MCN738" s="747"/>
      <c r="MCO738" s="747"/>
      <c r="MCP738" s="747"/>
      <c r="MCQ738" s="747"/>
      <c r="MCR738" s="747"/>
      <c r="MCS738" s="747"/>
      <c r="MCT738" s="747"/>
      <c r="MCU738" s="747"/>
      <c r="MCV738" s="747"/>
      <c r="MCW738" s="747"/>
      <c r="MCX738" s="747"/>
      <c r="MCY738" s="747"/>
      <c r="MCZ738" s="747"/>
      <c r="MDA738" s="747"/>
      <c r="MDB738" s="747"/>
      <c r="MDC738" s="747"/>
      <c r="MDD738" s="747"/>
      <c r="MDE738" s="747"/>
      <c r="MDF738" s="747"/>
      <c r="MDG738" s="747"/>
      <c r="MDH738" s="747"/>
      <c r="MDI738" s="747"/>
      <c r="MDJ738" s="747"/>
      <c r="MDK738" s="747"/>
      <c r="MDL738" s="747"/>
      <c r="MDM738" s="747"/>
      <c r="MDN738" s="747"/>
      <c r="MDO738" s="747"/>
      <c r="MDP738" s="747"/>
      <c r="MDQ738" s="747"/>
      <c r="MDR738" s="747"/>
      <c r="MDS738" s="747"/>
      <c r="MDT738" s="747"/>
      <c r="MDU738" s="747"/>
      <c r="MDV738" s="747"/>
      <c r="MDW738" s="747"/>
      <c r="MDX738" s="747"/>
      <c r="MDY738" s="747"/>
      <c r="MDZ738" s="747"/>
      <c r="MEA738" s="747"/>
      <c r="MEB738" s="747"/>
      <c r="MEC738" s="747"/>
      <c r="MED738" s="747"/>
      <c r="MEE738" s="747"/>
      <c r="MEF738" s="747"/>
      <c r="MEG738" s="747"/>
      <c r="MEH738" s="747"/>
      <c r="MEI738" s="747"/>
      <c r="MEJ738" s="747"/>
      <c r="MEK738" s="747"/>
      <c r="MEL738" s="747"/>
      <c r="MEM738" s="747"/>
      <c r="MEN738" s="747"/>
      <c r="MEO738" s="747"/>
      <c r="MEP738" s="747"/>
      <c r="MEQ738" s="747"/>
      <c r="MER738" s="747"/>
      <c r="MES738" s="747"/>
      <c r="MET738" s="747"/>
      <c r="MEU738" s="747"/>
      <c r="MEV738" s="747"/>
      <c r="MEW738" s="747"/>
      <c r="MEX738" s="747"/>
      <c r="MEY738" s="747"/>
      <c r="MEZ738" s="747"/>
      <c r="MFA738" s="747"/>
      <c r="MFB738" s="747"/>
      <c r="MFC738" s="747"/>
      <c r="MFD738" s="747"/>
      <c r="MFE738" s="747"/>
      <c r="MFF738" s="747"/>
      <c r="MFG738" s="747"/>
      <c r="MFH738" s="747"/>
      <c r="MFI738" s="747"/>
      <c r="MFJ738" s="747"/>
      <c r="MFK738" s="747"/>
      <c r="MFL738" s="747"/>
      <c r="MFM738" s="747"/>
      <c r="MFN738" s="747"/>
      <c r="MFO738" s="747"/>
      <c r="MFP738" s="747"/>
      <c r="MFQ738" s="747"/>
      <c r="MFR738" s="747"/>
      <c r="MFS738" s="747"/>
      <c r="MFT738" s="747"/>
      <c r="MFU738" s="747"/>
      <c r="MFV738" s="747"/>
      <c r="MFW738" s="747"/>
      <c r="MFX738" s="747"/>
      <c r="MFY738" s="747"/>
      <c r="MFZ738" s="747"/>
      <c r="MGA738" s="747"/>
      <c r="MGB738" s="747"/>
      <c r="MGC738" s="747"/>
      <c r="MGD738" s="747"/>
      <c r="MGE738" s="747"/>
      <c r="MGF738" s="747"/>
      <c r="MGG738" s="747"/>
      <c r="MGH738" s="747"/>
      <c r="MGI738" s="747"/>
      <c r="MGJ738" s="747"/>
      <c r="MGK738" s="747"/>
      <c r="MGL738" s="747"/>
      <c r="MGM738" s="747"/>
      <c r="MGN738" s="747"/>
      <c r="MGO738" s="747"/>
      <c r="MGP738" s="747"/>
      <c r="MGQ738" s="747"/>
      <c r="MGR738" s="747"/>
      <c r="MGS738" s="747"/>
      <c r="MGT738" s="747"/>
      <c r="MGU738" s="747"/>
      <c r="MGV738" s="747"/>
      <c r="MGW738" s="747"/>
      <c r="MGX738" s="747"/>
      <c r="MGY738" s="747"/>
      <c r="MGZ738" s="747"/>
      <c r="MHA738" s="747"/>
      <c r="MHB738" s="747"/>
      <c r="MHC738" s="747"/>
      <c r="MHD738" s="747"/>
      <c r="MHE738" s="747"/>
      <c r="MHF738" s="747"/>
      <c r="MHG738" s="747"/>
      <c r="MHH738" s="747"/>
      <c r="MHI738" s="747"/>
      <c r="MHJ738" s="747"/>
      <c r="MHK738" s="747"/>
      <c r="MHL738" s="747"/>
      <c r="MHM738" s="747"/>
      <c r="MHN738" s="747"/>
      <c r="MHO738" s="747"/>
      <c r="MHP738" s="747"/>
      <c r="MHQ738" s="747"/>
      <c r="MHR738" s="747"/>
      <c r="MHS738" s="747"/>
      <c r="MHT738" s="747"/>
      <c r="MHU738" s="747"/>
      <c r="MHV738" s="747"/>
      <c r="MHW738" s="747"/>
      <c r="MHX738" s="747"/>
      <c r="MHY738" s="747"/>
      <c r="MHZ738" s="747"/>
      <c r="MIA738" s="747"/>
      <c r="MIB738" s="747"/>
      <c r="MIC738" s="747"/>
      <c r="MID738" s="747"/>
      <c r="MIE738" s="747"/>
      <c r="MIF738" s="747"/>
      <c r="MIG738" s="747"/>
      <c r="MIH738" s="747"/>
      <c r="MII738" s="747"/>
      <c r="MIJ738" s="747"/>
      <c r="MIK738" s="747"/>
      <c r="MIL738" s="747"/>
      <c r="MIM738" s="747"/>
      <c r="MIN738" s="747"/>
      <c r="MIO738" s="747"/>
      <c r="MIP738" s="747"/>
      <c r="MIQ738" s="747"/>
      <c r="MIR738" s="747"/>
      <c r="MIS738" s="747"/>
      <c r="MIT738" s="747"/>
      <c r="MIU738" s="747"/>
      <c r="MIV738" s="747"/>
      <c r="MIW738" s="747"/>
      <c r="MIX738" s="747"/>
      <c r="MIY738" s="747"/>
      <c r="MIZ738" s="747"/>
      <c r="MJA738" s="747"/>
      <c r="MJB738" s="747"/>
      <c r="MJC738" s="747"/>
      <c r="MJD738" s="747"/>
      <c r="MJE738" s="747"/>
      <c r="MJF738" s="747"/>
      <c r="MJG738" s="747"/>
      <c r="MJH738" s="747"/>
      <c r="MJI738" s="747"/>
      <c r="MJJ738" s="747"/>
      <c r="MJK738" s="747"/>
      <c r="MJL738" s="747"/>
      <c r="MJM738" s="747"/>
      <c r="MJN738" s="747"/>
      <c r="MJO738" s="747"/>
      <c r="MJP738" s="747"/>
      <c r="MJQ738" s="747"/>
      <c r="MJR738" s="747"/>
      <c r="MJS738" s="747"/>
      <c r="MJT738" s="747"/>
      <c r="MJU738" s="747"/>
      <c r="MJV738" s="747"/>
      <c r="MJW738" s="747"/>
      <c r="MJX738" s="747"/>
      <c r="MJY738" s="747"/>
      <c r="MJZ738" s="747"/>
      <c r="MKA738" s="747"/>
      <c r="MKB738" s="747"/>
      <c r="MKC738" s="747"/>
      <c r="MKD738" s="747"/>
      <c r="MKE738" s="747"/>
      <c r="MKF738" s="747"/>
      <c r="MKG738" s="747"/>
      <c r="MKH738" s="747"/>
      <c r="MKI738" s="747"/>
      <c r="MKJ738" s="747"/>
      <c r="MKK738" s="747"/>
      <c r="MKL738" s="747"/>
      <c r="MKM738" s="747"/>
      <c r="MKN738" s="747"/>
      <c r="MKO738" s="747"/>
      <c r="MKP738" s="747"/>
      <c r="MKQ738" s="747"/>
      <c r="MKR738" s="747"/>
      <c r="MKS738" s="747"/>
      <c r="MKT738" s="747"/>
      <c r="MKU738" s="747"/>
      <c r="MKV738" s="747"/>
      <c r="MKW738" s="747"/>
      <c r="MKX738" s="747"/>
      <c r="MKY738" s="747"/>
      <c r="MKZ738" s="747"/>
      <c r="MLA738" s="747"/>
      <c r="MLB738" s="747"/>
      <c r="MLC738" s="747"/>
      <c r="MLD738" s="747"/>
      <c r="MLE738" s="747"/>
      <c r="MLF738" s="747"/>
      <c r="MLG738" s="747"/>
      <c r="MLH738" s="747"/>
      <c r="MLI738" s="747"/>
      <c r="MLJ738" s="747"/>
      <c r="MLK738" s="747"/>
      <c r="MLL738" s="747"/>
      <c r="MLM738" s="747"/>
      <c r="MLN738" s="747"/>
      <c r="MLO738" s="747"/>
      <c r="MLP738" s="747"/>
      <c r="MLQ738" s="747"/>
      <c r="MLR738" s="747"/>
      <c r="MLS738" s="747"/>
      <c r="MLT738" s="747"/>
      <c r="MLU738" s="747"/>
      <c r="MLV738" s="747"/>
      <c r="MLW738" s="747"/>
      <c r="MLX738" s="747"/>
      <c r="MLY738" s="747"/>
      <c r="MLZ738" s="747"/>
      <c r="MMA738" s="747"/>
      <c r="MMB738" s="747"/>
      <c r="MMC738" s="747"/>
      <c r="MMD738" s="747"/>
      <c r="MME738" s="747"/>
      <c r="MMF738" s="747"/>
      <c r="MMG738" s="747"/>
      <c r="MMH738" s="747"/>
      <c r="MMI738" s="747"/>
      <c r="MMJ738" s="747"/>
      <c r="MMK738" s="747"/>
      <c r="MML738" s="747"/>
      <c r="MMM738" s="747"/>
      <c r="MMN738" s="747"/>
      <c r="MMO738" s="747"/>
      <c r="MMP738" s="747"/>
      <c r="MMQ738" s="747"/>
      <c r="MMR738" s="747"/>
      <c r="MMS738" s="747"/>
      <c r="MMT738" s="747"/>
      <c r="MMU738" s="747"/>
      <c r="MMV738" s="747"/>
      <c r="MMW738" s="747"/>
      <c r="MMX738" s="747"/>
      <c r="MMY738" s="747"/>
      <c r="MMZ738" s="747"/>
      <c r="MNA738" s="747"/>
      <c r="MNB738" s="747"/>
      <c r="MNC738" s="747"/>
      <c r="MND738" s="747"/>
      <c r="MNE738" s="747"/>
      <c r="MNF738" s="747"/>
      <c r="MNG738" s="747"/>
      <c r="MNH738" s="747"/>
      <c r="MNI738" s="747"/>
      <c r="MNJ738" s="747"/>
      <c r="MNK738" s="747"/>
      <c r="MNL738" s="747"/>
      <c r="MNM738" s="747"/>
      <c r="MNN738" s="747"/>
      <c r="MNO738" s="747"/>
      <c r="MNP738" s="747"/>
      <c r="MNQ738" s="747"/>
      <c r="MNR738" s="747"/>
      <c r="MNS738" s="747"/>
      <c r="MNT738" s="747"/>
      <c r="MNU738" s="747"/>
      <c r="MNV738" s="747"/>
      <c r="MNW738" s="747"/>
      <c r="MNX738" s="747"/>
      <c r="MNY738" s="747"/>
      <c r="MNZ738" s="747"/>
      <c r="MOA738" s="747"/>
      <c r="MOB738" s="747"/>
      <c r="MOC738" s="747"/>
      <c r="MOD738" s="747"/>
      <c r="MOE738" s="747"/>
      <c r="MOF738" s="747"/>
      <c r="MOG738" s="747"/>
      <c r="MOH738" s="747"/>
      <c r="MOI738" s="747"/>
      <c r="MOJ738" s="747"/>
      <c r="MOK738" s="747"/>
      <c r="MOL738" s="747"/>
      <c r="MOM738" s="747"/>
      <c r="MON738" s="747"/>
      <c r="MOO738" s="747"/>
      <c r="MOP738" s="747"/>
      <c r="MOQ738" s="747"/>
      <c r="MOR738" s="747"/>
      <c r="MOS738" s="747"/>
      <c r="MOT738" s="747"/>
      <c r="MOU738" s="747"/>
      <c r="MOV738" s="747"/>
      <c r="MOW738" s="747"/>
      <c r="MOX738" s="747"/>
      <c r="MOY738" s="747"/>
      <c r="MOZ738" s="747"/>
      <c r="MPA738" s="747"/>
      <c r="MPB738" s="747"/>
      <c r="MPC738" s="747"/>
      <c r="MPD738" s="747"/>
      <c r="MPE738" s="747"/>
      <c r="MPF738" s="747"/>
      <c r="MPG738" s="747"/>
      <c r="MPH738" s="747"/>
      <c r="MPI738" s="747"/>
      <c r="MPJ738" s="747"/>
      <c r="MPK738" s="747"/>
      <c r="MPL738" s="747"/>
      <c r="MPM738" s="747"/>
      <c r="MPN738" s="747"/>
      <c r="MPO738" s="747"/>
      <c r="MPP738" s="747"/>
      <c r="MPQ738" s="747"/>
      <c r="MPR738" s="747"/>
      <c r="MPS738" s="747"/>
      <c r="MPT738" s="747"/>
      <c r="MPU738" s="747"/>
      <c r="MPV738" s="747"/>
      <c r="MPW738" s="747"/>
      <c r="MPX738" s="747"/>
      <c r="MPY738" s="747"/>
      <c r="MPZ738" s="747"/>
      <c r="MQA738" s="747"/>
      <c r="MQB738" s="747"/>
      <c r="MQC738" s="747"/>
      <c r="MQD738" s="747"/>
      <c r="MQE738" s="747"/>
      <c r="MQF738" s="747"/>
      <c r="MQG738" s="747"/>
      <c r="MQH738" s="747"/>
      <c r="MQI738" s="747"/>
      <c r="MQJ738" s="747"/>
      <c r="MQK738" s="747"/>
      <c r="MQL738" s="747"/>
      <c r="MQM738" s="747"/>
      <c r="MQN738" s="747"/>
      <c r="MQO738" s="747"/>
      <c r="MQP738" s="747"/>
      <c r="MQQ738" s="747"/>
      <c r="MQR738" s="747"/>
      <c r="MQS738" s="747"/>
      <c r="MQT738" s="747"/>
      <c r="MQU738" s="747"/>
      <c r="MQV738" s="747"/>
      <c r="MQW738" s="747"/>
      <c r="MQX738" s="747"/>
      <c r="MQY738" s="747"/>
      <c r="MQZ738" s="747"/>
      <c r="MRA738" s="747"/>
      <c r="MRB738" s="747"/>
      <c r="MRC738" s="747"/>
      <c r="MRD738" s="747"/>
      <c r="MRE738" s="747"/>
      <c r="MRF738" s="747"/>
      <c r="MRG738" s="747"/>
      <c r="MRH738" s="747"/>
      <c r="MRI738" s="747"/>
      <c r="MRJ738" s="747"/>
      <c r="MRK738" s="747"/>
      <c r="MRL738" s="747"/>
      <c r="MRM738" s="747"/>
      <c r="MRN738" s="747"/>
      <c r="MRO738" s="747"/>
      <c r="MRP738" s="747"/>
      <c r="MRQ738" s="747"/>
      <c r="MRR738" s="747"/>
      <c r="MRS738" s="747"/>
      <c r="MRT738" s="747"/>
      <c r="MRU738" s="747"/>
      <c r="MRV738" s="747"/>
      <c r="MRW738" s="747"/>
      <c r="MRX738" s="747"/>
      <c r="MRY738" s="747"/>
      <c r="MRZ738" s="747"/>
      <c r="MSA738" s="747"/>
      <c r="MSB738" s="747"/>
      <c r="MSC738" s="747"/>
      <c r="MSD738" s="747"/>
      <c r="MSE738" s="747"/>
      <c r="MSF738" s="747"/>
      <c r="MSG738" s="747"/>
      <c r="MSH738" s="747"/>
      <c r="MSI738" s="747"/>
      <c r="MSJ738" s="747"/>
      <c r="MSK738" s="747"/>
      <c r="MSL738" s="747"/>
      <c r="MSM738" s="747"/>
      <c r="MSN738" s="747"/>
      <c r="MSO738" s="747"/>
      <c r="MSP738" s="747"/>
      <c r="MSQ738" s="747"/>
      <c r="MSR738" s="747"/>
      <c r="MSS738" s="747"/>
      <c r="MST738" s="747"/>
      <c r="MSU738" s="747"/>
      <c r="MSV738" s="747"/>
      <c r="MSW738" s="747"/>
      <c r="MSX738" s="747"/>
      <c r="MSY738" s="747"/>
      <c r="MSZ738" s="747"/>
      <c r="MTA738" s="747"/>
      <c r="MTB738" s="747"/>
      <c r="MTC738" s="747"/>
      <c r="MTD738" s="747"/>
      <c r="MTE738" s="747"/>
      <c r="MTF738" s="747"/>
      <c r="MTG738" s="747"/>
      <c r="MTH738" s="747"/>
      <c r="MTI738" s="747"/>
      <c r="MTJ738" s="747"/>
      <c r="MTK738" s="747"/>
      <c r="MTL738" s="747"/>
      <c r="MTM738" s="747"/>
      <c r="MTN738" s="747"/>
      <c r="MTO738" s="747"/>
      <c r="MTP738" s="747"/>
      <c r="MTQ738" s="747"/>
      <c r="MTR738" s="747"/>
      <c r="MTS738" s="747"/>
      <c r="MTT738" s="747"/>
      <c r="MTU738" s="747"/>
      <c r="MTV738" s="747"/>
      <c r="MTW738" s="747"/>
      <c r="MTX738" s="747"/>
      <c r="MTY738" s="747"/>
      <c r="MTZ738" s="747"/>
      <c r="MUA738" s="747"/>
      <c r="MUB738" s="747"/>
      <c r="MUC738" s="747"/>
      <c r="MUD738" s="747"/>
      <c r="MUE738" s="747"/>
      <c r="MUF738" s="747"/>
      <c r="MUG738" s="747"/>
      <c r="MUH738" s="747"/>
      <c r="MUI738" s="747"/>
      <c r="MUJ738" s="747"/>
      <c r="MUK738" s="747"/>
      <c r="MUL738" s="747"/>
      <c r="MUM738" s="747"/>
      <c r="MUN738" s="747"/>
      <c r="MUO738" s="747"/>
      <c r="MUP738" s="747"/>
      <c r="MUQ738" s="747"/>
      <c r="MUR738" s="747"/>
      <c r="MUS738" s="747"/>
      <c r="MUT738" s="747"/>
      <c r="MUU738" s="747"/>
      <c r="MUV738" s="747"/>
      <c r="MUW738" s="747"/>
      <c r="MUX738" s="747"/>
      <c r="MUY738" s="747"/>
      <c r="MUZ738" s="747"/>
      <c r="MVA738" s="747"/>
      <c r="MVB738" s="747"/>
      <c r="MVC738" s="747"/>
      <c r="MVD738" s="747"/>
      <c r="MVE738" s="747"/>
      <c r="MVF738" s="747"/>
      <c r="MVG738" s="747"/>
      <c r="MVH738" s="747"/>
      <c r="MVI738" s="747"/>
      <c r="MVJ738" s="747"/>
      <c r="MVK738" s="747"/>
      <c r="MVL738" s="747"/>
      <c r="MVM738" s="747"/>
      <c r="MVN738" s="747"/>
      <c r="MVO738" s="747"/>
      <c r="MVP738" s="747"/>
      <c r="MVQ738" s="747"/>
      <c r="MVR738" s="747"/>
      <c r="MVS738" s="747"/>
      <c r="MVT738" s="747"/>
      <c r="MVU738" s="747"/>
      <c r="MVV738" s="747"/>
      <c r="MVW738" s="747"/>
      <c r="MVX738" s="747"/>
      <c r="MVY738" s="747"/>
      <c r="MVZ738" s="747"/>
      <c r="MWA738" s="747"/>
      <c r="MWB738" s="747"/>
      <c r="MWC738" s="747"/>
      <c r="MWD738" s="747"/>
      <c r="MWE738" s="747"/>
      <c r="MWF738" s="747"/>
      <c r="MWG738" s="747"/>
      <c r="MWH738" s="747"/>
      <c r="MWI738" s="747"/>
      <c r="MWJ738" s="747"/>
      <c r="MWK738" s="747"/>
      <c r="MWL738" s="747"/>
      <c r="MWM738" s="747"/>
      <c r="MWN738" s="747"/>
      <c r="MWO738" s="747"/>
      <c r="MWP738" s="747"/>
      <c r="MWQ738" s="747"/>
      <c r="MWR738" s="747"/>
      <c r="MWS738" s="747"/>
      <c r="MWT738" s="747"/>
      <c r="MWU738" s="747"/>
      <c r="MWV738" s="747"/>
      <c r="MWW738" s="747"/>
      <c r="MWX738" s="747"/>
      <c r="MWY738" s="747"/>
      <c r="MWZ738" s="747"/>
      <c r="MXA738" s="747"/>
      <c r="MXB738" s="747"/>
      <c r="MXC738" s="747"/>
      <c r="MXD738" s="747"/>
      <c r="MXE738" s="747"/>
      <c r="MXF738" s="747"/>
      <c r="MXG738" s="747"/>
      <c r="MXH738" s="747"/>
      <c r="MXI738" s="747"/>
      <c r="MXJ738" s="747"/>
      <c r="MXK738" s="747"/>
      <c r="MXL738" s="747"/>
      <c r="MXM738" s="747"/>
      <c r="MXN738" s="747"/>
      <c r="MXO738" s="747"/>
      <c r="MXP738" s="747"/>
      <c r="MXQ738" s="747"/>
      <c r="MXR738" s="747"/>
      <c r="MXS738" s="747"/>
      <c r="MXT738" s="747"/>
      <c r="MXU738" s="747"/>
      <c r="MXV738" s="747"/>
      <c r="MXW738" s="747"/>
      <c r="MXX738" s="747"/>
      <c r="MXY738" s="747"/>
      <c r="MXZ738" s="747"/>
      <c r="MYA738" s="747"/>
      <c r="MYB738" s="747"/>
      <c r="MYC738" s="747"/>
      <c r="MYD738" s="747"/>
      <c r="MYE738" s="747"/>
      <c r="MYF738" s="747"/>
      <c r="MYG738" s="747"/>
      <c r="MYH738" s="747"/>
      <c r="MYI738" s="747"/>
      <c r="MYJ738" s="747"/>
      <c r="MYK738" s="747"/>
      <c r="MYL738" s="747"/>
      <c r="MYM738" s="747"/>
      <c r="MYN738" s="747"/>
      <c r="MYO738" s="747"/>
      <c r="MYP738" s="747"/>
      <c r="MYQ738" s="747"/>
      <c r="MYR738" s="747"/>
      <c r="MYS738" s="747"/>
      <c r="MYT738" s="747"/>
      <c r="MYU738" s="747"/>
      <c r="MYV738" s="747"/>
      <c r="MYW738" s="747"/>
      <c r="MYX738" s="747"/>
      <c r="MYY738" s="747"/>
      <c r="MYZ738" s="747"/>
      <c r="MZA738" s="747"/>
      <c r="MZB738" s="747"/>
      <c r="MZC738" s="747"/>
      <c r="MZD738" s="747"/>
      <c r="MZE738" s="747"/>
      <c r="MZF738" s="747"/>
      <c r="MZG738" s="747"/>
      <c r="MZH738" s="747"/>
      <c r="MZI738" s="747"/>
      <c r="MZJ738" s="747"/>
      <c r="MZK738" s="747"/>
      <c r="MZL738" s="747"/>
      <c r="MZM738" s="747"/>
      <c r="MZN738" s="747"/>
      <c r="MZO738" s="747"/>
      <c r="MZP738" s="747"/>
      <c r="MZQ738" s="747"/>
      <c r="MZR738" s="747"/>
      <c r="MZS738" s="747"/>
      <c r="MZT738" s="747"/>
      <c r="MZU738" s="747"/>
      <c r="MZV738" s="747"/>
      <c r="MZW738" s="747"/>
      <c r="MZX738" s="747"/>
      <c r="MZY738" s="747"/>
      <c r="MZZ738" s="747"/>
      <c r="NAA738" s="747"/>
      <c r="NAB738" s="747"/>
      <c r="NAC738" s="747"/>
      <c r="NAD738" s="747"/>
      <c r="NAE738" s="747"/>
      <c r="NAF738" s="747"/>
      <c r="NAG738" s="747"/>
      <c r="NAH738" s="747"/>
      <c r="NAI738" s="747"/>
      <c r="NAJ738" s="747"/>
      <c r="NAK738" s="747"/>
      <c r="NAL738" s="747"/>
      <c r="NAM738" s="747"/>
      <c r="NAN738" s="747"/>
      <c r="NAO738" s="747"/>
      <c r="NAP738" s="747"/>
      <c r="NAQ738" s="747"/>
      <c r="NAR738" s="747"/>
      <c r="NAS738" s="747"/>
      <c r="NAT738" s="747"/>
      <c r="NAU738" s="747"/>
      <c r="NAV738" s="747"/>
      <c r="NAW738" s="747"/>
      <c r="NAX738" s="747"/>
      <c r="NAY738" s="747"/>
      <c r="NAZ738" s="747"/>
      <c r="NBA738" s="747"/>
      <c r="NBB738" s="747"/>
      <c r="NBC738" s="747"/>
      <c r="NBD738" s="747"/>
      <c r="NBE738" s="747"/>
      <c r="NBF738" s="747"/>
      <c r="NBG738" s="747"/>
      <c r="NBH738" s="747"/>
      <c r="NBI738" s="747"/>
      <c r="NBJ738" s="747"/>
      <c r="NBK738" s="747"/>
      <c r="NBL738" s="747"/>
      <c r="NBM738" s="747"/>
      <c r="NBN738" s="747"/>
      <c r="NBO738" s="747"/>
      <c r="NBP738" s="747"/>
      <c r="NBQ738" s="747"/>
      <c r="NBR738" s="747"/>
      <c r="NBS738" s="747"/>
      <c r="NBT738" s="747"/>
      <c r="NBU738" s="747"/>
      <c r="NBV738" s="747"/>
      <c r="NBW738" s="747"/>
      <c r="NBX738" s="747"/>
      <c r="NBY738" s="747"/>
      <c r="NBZ738" s="747"/>
      <c r="NCA738" s="747"/>
      <c r="NCB738" s="747"/>
      <c r="NCC738" s="747"/>
      <c r="NCD738" s="747"/>
      <c r="NCE738" s="747"/>
      <c r="NCF738" s="747"/>
      <c r="NCG738" s="747"/>
      <c r="NCH738" s="747"/>
      <c r="NCI738" s="747"/>
      <c r="NCJ738" s="747"/>
      <c r="NCK738" s="747"/>
      <c r="NCL738" s="747"/>
      <c r="NCM738" s="747"/>
      <c r="NCN738" s="747"/>
      <c r="NCO738" s="747"/>
      <c r="NCP738" s="747"/>
      <c r="NCQ738" s="747"/>
      <c r="NCR738" s="747"/>
      <c r="NCS738" s="747"/>
      <c r="NCT738" s="747"/>
      <c r="NCU738" s="747"/>
      <c r="NCV738" s="747"/>
      <c r="NCW738" s="747"/>
      <c r="NCX738" s="747"/>
      <c r="NCY738" s="747"/>
      <c r="NCZ738" s="747"/>
      <c r="NDA738" s="747"/>
      <c r="NDB738" s="747"/>
      <c r="NDC738" s="747"/>
      <c r="NDD738" s="747"/>
      <c r="NDE738" s="747"/>
      <c r="NDF738" s="747"/>
      <c r="NDG738" s="747"/>
      <c r="NDH738" s="747"/>
      <c r="NDI738" s="747"/>
      <c r="NDJ738" s="747"/>
      <c r="NDK738" s="747"/>
      <c r="NDL738" s="747"/>
      <c r="NDM738" s="747"/>
      <c r="NDN738" s="747"/>
      <c r="NDO738" s="747"/>
      <c r="NDP738" s="747"/>
      <c r="NDQ738" s="747"/>
      <c r="NDR738" s="747"/>
      <c r="NDS738" s="747"/>
      <c r="NDT738" s="747"/>
      <c r="NDU738" s="747"/>
      <c r="NDV738" s="747"/>
      <c r="NDW738" s="747"/>
      <c r="NDX738" s="747"/>
      <c r="NDY738" s="747"/>
      <c r="NDZ738" s="747"/>
      <c r="NEA738" s="747"/>
      <c r="NEB738" s="747"/>
      <c r="NEC738" s="747"/>
      <c r="NED738" s="747"/>
      <c r="NEE738" s="747"/>
      <c r="NEF738" s="747"/>
      <c r="NEG738" s="747"/>
      <c r="NEH738" s="747"/>
      <c r="NEI738" s="747"/>
      <c r="NEJ738" s="747"/>
      <c r="NEK738" s="747"/>
      <c r="NEL738" s="747"/>
      <c r="NEM738" s="747"/>
      <c r="NEN738" s="747"/>
      <c r="NEO738" s="747"/>
      <c r="NEP738" s="747"/>
      <c r="NEQ738" s="747"/>
      <c r="NER738" s="747"/>
      <c r="NES738" s="747"/>
      <c r="NET738" s="747"/>
      <c r="NEU738" s="747"/>
      <c r="NEV738" s="747"/>
      <c r="NEW738" s="747"/>
      <c r="NEX738" s="747"/>
      <c r="NEY738" s="747"/>
      <c r="NEZ738" s="747"/>
      <c r="NFA738" s="747"/>
      <c r="NFB738" s="747"/>
      <c r="NFC738" s="747"/>
      <c r="NFD738" s="747"/>
      <c r="NFE738" s="747"/>
      <c r="NFF738" s="747"/>
      <c r="NFG738" s="747"/>
      <c r="NFH738" s="747"/>
      <c r="NFI738" s="747"/>
      <c r="NFJ738" s="747"/>
      <c r="NFK738" s="747"/>
      <c r="NFL738" s="747"/>
      <c r="NFM738" s="747"/>
      <c r="NFN738" s="747"/>
      <c r="NFO738" s="747"/>
      <c r="NFP738" s="747"/>
      <c r="NFQ738" s="747"/>
      <c r="NFR738" s="747"/>
      <c r="NFS738" s="747"/>
      <c r="NFT738" s="747"/>
      <c r="NFU738" s="747"/>
      <c r="NFV738" s="747"/>
      <c r="NFW738" s="747"/>
      <c r="NFX738" s="747"/>
      <c r="NFY738" s="747"/>
      <c r="NFZ738" s="747"/>
      <c r="NGA738" s="747"/>
      <c r="NGB738" s="747"/>
      <c r="NGC738" s="747"/>
      <c r="NGD738" s="747"/>
      <c r="NGE738" s="747"/>
      <c r="NGF738" s="747"/>
      <c r="NGG738" s="747"/>
      <c r="NGH738" s="747"/>
      <c r="NGI738" s="747"/>
      <c r="NGJ738" s="747"/>
      <c r="NGK738" s="747"/>
      <c r="NGL738" s="747"/>
      <c r="NGM738" s="747"/>
      <c r="NGN738" s="747"/>
      <c r="NGO738" s="747"/>
      <c r="NGP738" s="747"/>
      <c r="NGQ738" s="747"/>
      <c r="NGR738" s="747"/>
      <c r="NGS738" s="747"/>
      <c r="NGT738" s="747"/>
      <c r="NGU738" s="747"/>
      <c r="NGV738" s="747"/>
      <c r="NGW738" s="747"/>
      <c r="NGX738" s="747"/>
      <c r="NGY738" s="747"/>
      <c r="NGZ738" s="747"/>
      <c r="NHA738" s="747"/>
      <c r="NHB738" s="747"/>
      <c r="NHC738" s="747"/>
      <c r="NHD738" s="747"/>
      <c r="NHE738" s="747"/>
      <c r="NHF738" s="747"/>
      <c r="NHG738" s="747"/>
      <c r="NHH738" s="747"/>
      <c r="NHI738" s="747"/>
      <c r="NHJ738" s="747"/>
      <c r="NHK738" s="747"/>
      <c r="NHL738" s="747"/>
      <c r="NHM738" s="747"/>
      <c r="NHN738" s="747"/>
      <c r="NHO738" s="747"/>
      <c r="NHP738" s="747"/>
      <c r="NHQ738" s="747"/>
      <c r="NHR738" s="747"/>
      <c r="NHS738" s="747"/>
      <c r="NHT738" s="747"/>
      <c r="NHU738" s="747"/>
      <c r="NHV738" s="747"/>
      <c r="NHW738" s="747"/>
      <c r="NHX738" s="747"/>
      <c r="NHY738" s="747"/>
      <c r="NHZ738" s="747"/>
      <c r="NIA738" s="747"/>
      <c r="NIB738" s="747"/>
      <c r="NIC738" s="747"/>
      <c r="NID738" s="747"/>
      <c r="NIE738" s="747"/>
      <c r="NIF738" s="747"/>
      <c r="NIG738" s="747"/>
      <c r="NIH738" s="747"/>
      <c r="NII738" s="747"/>
      <c r="NIJ738" s="747"/>
      <c r="NIK738" s="747"/>
      <c r="NIL738" s="747"/>
      <c r="NIM738" s="747"/>
      <c r="NIN738" s="747"/>
      <c r="NIO738" s="747"/>
      <c r="NIP738" s="747"/>
      <c r="NIQ738" s="747"/>
      <c r="NIR738" s="747"/>
      <c r="NIS738" s="747"/>
      <c r="NIT738" s="747"/>
      <c r="NIU738" s="747"/>
      <c r="NIV738" s="747"/>
      <c r="NIW738" s="747"/>
      <c r="NIX738" s="747"/>
      <c r="NIY738" s="747"/>
      <c r="NIZ738" s="747"/>
      <c r="NJA738" s="747"/>
      <c r="NJB738" s="747"/>
      <c r="NJC738" s="747"/>
      <c r="NJD738" s="747"/>
      <c r="NJE738" s="747"/>
      <c r="NJF738" s="747"/>
      <c r="NJG738" s="747"/>
      <c r="NJH738" s="747"/>
      <c r="NJI738" s="747"/>
      <c r="NJJ738" s="747"/>
      <c r="NJK738" s="747"/>
      <c r="NJL738" s="747"/>
      <c r="NJM738" s="747"/>
      <c r="NJN738" s="747"/>
      <c r="NJO738" s="747"/>
      <c r="NJP738" s="747"/>
      <c r="NJQ738" s="747"/>
      <c r="NJR738" s="747"/>
      <c r="NJS738" s="747"/>
      <c r="NJT738" s="747"/>
      <c r="NJU738" s="747"/>
      <c r="NJV738" s="747"/>
      <c r="NJW738" s="747"/>
      <c r="NJX738" s="747"/>
      <c r="NJY738" s="747"/>
      <c r="NJZ738" s="747"/>
      <c r="NKA738" s="747"/>
      <c r="NKB738" s="747"/>
      <c r="NKC738" s="747"/>
      <c r="NKD738" s="747"/>
      <c r="NKE738" s="747"/>
      <c r="NKF738" s="747"/>
      <c r="NKG738" s="747"/>
      <c r="NKH738" s="747"/>
      <c r="NKI738" s="747"/>
      <c r="NKJ738" s="747"/>
      <c r="NKK738" s="747"/>
      <c r="NKL738" s="747"/>
      <c r="NKM738" s="747"/>
      <c r="NKN738" s="747"/>
      <c r="NKO738" s="747"/>
      <c r="NKP738" s="747"/>
      <c r="NKQ738" s="747"/>
      <c r="NKR738" s="747"/>
      <c r="NKS738" s="747"/>
      <c r="NKT738" s="747"/>
      <c r="NKU738" s="747"/>
      <c r="NKV738" s="747"/>
      <c r="NKW738" s="747"/>
      <c r="NKX738" s="747"/>
      <c r="NKY738" s="747"/>
      <c r="NKZ738" s="747"/>
      <c r="NLA738" s="747"/>
      <c r="NLB738" s="747"/>
      <c r="NLC738" s="747"/>
      <c r="NLD738" s="747"/>
      <c r="NLE738" s="747"/>
      <c r="NLF738" s="747"/>
      <c r="NLG738" s="747"/>
      <c r="NLH738" s="747"/>
      <c r="NLI738" s="747"/>
      <c r="NLJ738" s="747"/>
      <c r="NLK738" s="747"/>
      <c r="NLL738" s="747"/>
      <c r="NLM738" s="747"/>
      <c r="NLN738" s="747"/>
      <c r="NLO738" s="747"/>
      <c r="NLP738" s="747"/>
      <c r="NLQ738" s="747"/>
      <c r="NLR738" s="747"/>
      <c r="NLS738" s="747"/>
      <c r="NLT738" s="747"/>
      <c r="NLU738" s="747"/>
      <c r="NLV738" s="747"/>
      <c r="NLW738" s="747"/>
      <c r="NLX738" s="747"/>
      <c r="NLY738" s="747"/>
      <c r="NLZ738" s="747"/>
      <c r="NMA738" s="747"/>
      <c r="NMB738" s="747"/>
      <c r="NMC738" s="747"/>
      <c r="NMD738" s="747"/>
      <c r="NME738" s="747"/>
      <c r="NMF738" s="747"/>
      <c r="NMG738" s="747"/>
      <c r="NMH738" s="747"/>
      <c r="NMI738" s="747"/>
      <c r="NMJ738" s="747"/>
      <c r="NMK738" s="747"/>
      <c r="NML738" s="747"/>
      <c r="NMM738" s="747"/>
      <c r="NMN738" s="747"/>
      <c r="NMO738" s="747"/>
      <c r="NMP738" s="747"/>
      <c r="NMQ738" s="747"/>
      <c r="NMR738" s="747"/>
      <c r="NMS738" s="747"/>
      <c r="NMT738" s="747"/>
      <c r="NMU738" s="747"/>
      <c r="NMV738" s="747"/>
      <c r="NMW738" s="747"/>
      <c r="NMX738" s="747"/>
      <c r="NMY738" s="747"/>
      <c r="NMZ738" s="747"/>
      <c r="NNA738" s="747"/>
      <c r="NNB738" s="747"/>
      <c r="NNC738" s="747"/>
      <c r="NND738" s="747"/>
      <c r="NNE738" s="747"/>
      <c r="NNF738" s="747"/>
      <c r="NNG738" s="747"/>
      <c r="NNH738" s="747"/>
      <c r="NNI738" s="747"/>
      <c r="NNJ738" s="747"/>
      <c r="NNK738" s="747"/>
      <c r="NNL738" s="747"/>
      <c r="NNM738" s="747"/>
      <c r="NNN738" s="747"/>
      <c r="NNO738" s="747"/>
      <c r="NNP738" s="747"/>
      <c r="NNQ738" s="747"/>
      <c r="NNR738" s="747"/>
      <c r="NNS738" s="747"/>
      <c r="NNT738" s="747"/>
      <c r="NNU738" s="747"/>
      <c r="NNV738" s="747"/>
      <c r="NNW738" s="747"/>
      <c r="NNX738" s="747"/>
      <c r="NNY738" s="747"/>
      <c r="NNZ738" s="747"/>
      <c r="NOA738" s="747"/>
      <c r="NOB738" s="747"/>
      <c r="NOC738" s="747"/>
      <c r="NOD738" s="747"/>
      <c r="NOE738" s="747"/>
      <c r="NOF738" s="747"/>
      <c r="NOG738" s="747"/>
      <c r="NOH738" s="747"/>
      <c r="NOI738" s="747"/>
      <c r="NOJ738" s="747"/>
      <c r="NOK738" s="747"/>
      <c r="NOL738" s="747"/>
      <c r="NOM738" s="747"/>
      <c r="NON738" s="747"/>
      <c r="NOO738" s="747"/>
      <c r="NOP738" s="747"/>
      <c r="NOQ738" s="747"/>
      <c r="NOR738" s="747"/>
      <c r="NOS738" s="747"/>
      <c r="NOT738" s="747"/>
      <c r="NOU738" s="747"/>
      <c r="NOV738" s="747"/>
      <c r="NOW738" s="747"/>
      <c r="NOX738" s="747"/>
      <c r="NOY738" s="747"/>
      <c r="NOZ738" s="747"/>
      <c r="NPA738" s="747"/>
      <c r="NPB738" s="747"/>
      <c r="NPC738" s="747"/>
      <c r="NPD738" s="747"/>
      <c r="NPE738" s="747"/>
      <c r="NPF738" s="747"/>
      <c r="NPG738" s="747"/>
      <c r="NPH738" s="747"/>
      <c r="NPI738" s="747"/>
      <c r="NPJ738" s="747"/>
      <c r="NPK738" s="747"/>
      <c r="NPL738" s="747"/>
      <c r="NPM738" s="747"/>
      <c r="NPN738" s="747"/>
      <c r="NPO738" s="747"/>
      <c r="NPP738" s="747"/>
      <c r="NPQ738" s="747"/>
      <c r="NPR738" s="747"/>
      <c r="NPS738" s="747"/>
      <c r="NPT738" s="747"/>
      <c r="NPU738" s="747"/>
      <c r="NPV738" s="747"/>
      <c r="NPW738" s="747"/>
      <c r="NPX738" s="747"/>
      <c r="NPY738" s="747"/>
      <c r="NPZ738" s="747"/>
      <c r="NQA738" s="747"/>
      <c r="NQB738" s="747"/>
      <c r="NQC738" s="747"/>
      <c r="NQD738" s="747"/>
      <c r="NQE738" s="747"/>
      <c r="NQF738" s="747"/>
      <c r="NQG738" s="747"/>
      <c r="NQH738" s="747"/>
      <c r="NQI738" s="747"/>
      <c r="NQJ738" s="747"/>
      <c r="NQK738" s="747"/>
      <c r="NQL738" s="747"/>
      <c r="NQM738" s="747"/>
      <c r="NQN738" s="747"/>
      <c r="NQO738" s="747"/>
      <c r="NQP738" s="747"/>
      <c r="NQQ738" s="747"/>
      <c r="NQR738" s="747"/>
      <c r="NQS738" s="747"/>
      <c r="NQT738" s="747"/>
      <c r="NQU738" s="747"/>
      <c r="NQV738" s="747"/>
      <c r="NQW738" s="747"/>
      <c r="NQX738" s="747"/>
      <c r="NQY738" s="747"/>
      <c r="NQZ738" s="747"/>
      <c r="NRA738" s="747"/>
      <c r="NRB738" s="747"/>
      <c r="NRC738" s="747"/>
      <c r="NRD738" s="747"/>
      <c r="NRE738" s="747"/>
      <c r="NRF738" s="747"/>
      <c r="NRG738" s="747"/>
      <c r="NRH738" s="747"/>
      <c r="NRI738" s="747"/>
      <c r="NRJ738" s="747"/>
      <c r="NRK738" s="747"/>
      <c r="NRL738" s="747"/>
      <c r="NRM738" s="747"/>
      <c r="NRN738" s="747"/>
      <c r="NRO738" s="747"/>
      <c r="NRP738" s="747"/>
      <c r="NRQ738" s="747"/>
      <c r="NRR738" s="747"/>
      <c r="NRS738" s="747"/>
      <c r="NRT738" s="747"/>
      <c r="NRU738" s="747"/>
      <c r="NRV738" s="747"/>
      <c r="NRW738" s="747"/>
      <c r="NRX738" s="747"/>
      <c r="NRY738" s="747"/>
      <c r="NRZ738" s="747"/>
      <c r="NSA738" s="747"/>
      <c r="NSB738" s="747"/>
      <c r="NSC738" s="747"/>
      <c r="NSD738" s="747"/>
      <c r="NSE738" s="747"/>
      <c r="NSF738" s="747"/>
      <c r="NSG738" s="747"/>
      <c r="NSH738" s="747"/>
      <c r="NSI738" s="747"/>
      <c r="NSJ738" s="747"/>
      <c r="NSK738" s="747"/>
      <c r="NSL738" s="747"/>
      <c r="NSM738" s="747"/>
      <c r="NSN738" s="747"/>
      <c r="NSO738" s="747"/>
      <c r="NSP738" s="747"/>
      <c r="NSQ738" s="747"/>
      <c r="NSR738" s="747"/>
      <c r="NSS738" s="747"/>
      <c r="NST738" s="747"/>
      <c r="NSU738" s="747"/>
      <c r="NSV738" s="747"/>
      <c r="NSW738" s="747"/>
      <c r="NSX738" s="747"/>
      <c r="NSY738" s="747"/>
      <c r="NSZ738" s="747"/>
      <c r="NTA738" s="747"/>
      <c r="NTB738" s="747"/>
      <c r="NTC738" s="747"/>
      <c r="NTD738" s="747"/>
      <c r="NTE738" s="747"/>
      <c r="NTF738" s="747"/>
      <c r="NTG738" s="747"/>
      <c r="NTH738" s="747"/>
      <c r="NTI738" s="747"/>
      <c r="NTJ738" s="747"/>
      <c r="NTK738" s="747"/>
      <c r="NTL738" s="747"/>
      <c r="NTM738" s="747"/>
      <c r="NTN738" s="747"/>
      <c r="NTO738" s="747"/>
      <c r="NTP738" s="747"/>
      <c r="NTQ738" s="747"/>
      <c r="NTR738" s="747"/>
      <c r="NTS738" s="747"/>
      <c r="NTT738" s="747"/>
      <c r="NTU738" s="747"/>
      <c r="NTV738" s="747"/>
      <c r="NTW738" s="747"/>
      <c r="NTX738" s="747"/>
      <c r="NTY738" s="747"/>
      <c r="NTZ738" s="747"/>
      <c r="NUA738" s="747"/>
      <c r="NUB738" s="747"/>
      <c r="NUC738" s="747"/>
      <c r="NUD738" s="747"/>
      <c r="NUE738" s="747"/>
      <c r="NUF738" s="747"/>
      <c r="NUG738" s="747"/>
      <c r="NUH738" s="747"/>
      <c r="NUI738" s="747"/>
      <c r="NUJ738" s="747"/>
      <c r="NUK738" s="747"/>
      <c r="NUL738" s="747"/>
      <c r="NUM738" s="747"/>
      <c r="NUN738" s="747"/>
      <c r="NUO738" s="747"/>
      <c r="NUP738" s="747"/>
      <c r="NUQ738" s="747"/>
      <c r="NUR738" s="747"/>
      <c r="NUS738" s="747"/>
      <c r="NUT738" s="747"/>
      <c r="NUU738" s="747"/>
      <c r="NUV738" s="747"/>
      <c r="NUW738" s="747"/>
      <c r="NUX738" s="747"/>
      <c r="NUY738" s="747"/>
      <c r="NUZ738" s="747"/>
      <c r="NVA738" s="747"/>
      <c r="NVB738" s="747"/>
      <c r="NVC738" s="747"/>
      <c r="NVD738" s="747"/>
      <c r="NVE738" s="747"/>
      <c r="NVF738" s="747"/>
      <c r="NVG738" s="747"/>
      <c r="NVH738" s="747"/>
      <c r="NVI738" s="747"/>
      <c r="NVJ738" s="747"/>
      <c r="NVK738" s="747"/>
      <c r="NVL738" s="747"/>
      <c r="NVM738" s="747"/>
      <c r="NVN738" s="747"/>
      <c r="NVO738" s="747"/>
      <c r="NVP738" s="747"/>
      <c r="NVQ738" s="747"/>
      <c r="NVR738" s="747"/>
      <c r="NVS738" s="747"/>
      <c r="NVT738" s="747"/>
      <c r="NVU738" s="747"/>
      <c r="NVV738" s="747"/>
      <c r="NVW738" s="747"/>
      <c r="NVX738" s="747"/>
      <c r="NVY738" s="747"/>
      <c r="NVZ738" s="747"/>
      <c r="NWA738" s="747"/>
      <c r="NWB738" s="747"/>
      <c r="NWC738" s="747"/>
      <c r="NWD738" s="747"/>
      <c r="NWE738" s="747"/>
      <c r="NWF738" s="747"/>
      <c r="NWG738" s="747"/>
      <c r="NWH738" s="747"/>
      <c r="NWI738" s="747"/>
      <c r="NWJ738" s="747"/>
      <c r="NWK738" s="747"/>
      <c r="NWL738" s="747"/>
      <c r="NWM738" s="747"/>
      <c r="NWN738" s="747"/>
      <c r="NWO738" s="747"/>
      <c r="NWP738" s="747"/>
      <c r="NWQ738" s="747"/>
      <c r="NWR738" s="747"/>
      <c r="NWS738" s="747"/>
      <c r="NWT738" s="747"/>
      <c r="NWU738" s="747"/>
      <c r="NWV738" s="747"/>
      <c r="NWW738" s="747"/>
      <c r="NWX738" s="747"/>
      <c r="NWY738" s="747"/>
      <c r="NWZ738" s="747"/>
      <c r="NXA738" s="747"/>
      <c r="NXB738" s="747"/>
      <c r="NXC738" s="747"/>
      <c r="NXD738" s="747"/>
      <c r="NXE738" s="747"/>
      <c r="NXF738" s="747"/>
      <c r="NXG738" s="747"/>
      <c r="NXH738" s="747"/>
      <c r="NXI738" s="747"/>
      <c r="NXJ738" s="747"/>
      <c r="NXK738" s="747"/>
      <c r="NXL738" s="747"/>
      <c r="NXM738" s="747"/>
      <c r="NXN738" s="747"/>
      <c r="NXO738" s="747"/>
      <c r="NXP738" s="747"/>
      <c r="NXQ738" s="747"/>
      <c r="NXR738" s="747"/>
      <c r="NXS738" s="747"/>
      <c r="NXT738" s="747"/>
      <c r="NXU738" s="747"/>
      <c r="NXV738" s="747"/>
      <c r="NXW738" s="747"/>
      <c r="NXX738" s="747"/>
      <c r="NXY738" s="747"/>
      <c r="NXZ738" s="747"/>
      <c r="NYA738" s="747"/>
      <c r="NYB738" s="747"/>
      <c r="NYC738" s="747"/>
      <c r="NYD738" s="747"/>
      <c r="NYE738" s="747"/>
      <c r="NYF738" s="747"/>
      <c r="NYG738" s="747"/>
      <c r="NYH738" s="747"/>
      <c r="NYI738" s="747"/>
      <c r="NYJ738" s="747"/>
      <c r="NYK738" s="747"/>
      <c r="NYL738" s="747"/>
      <c r="NYM738" s="747"/>
      <c r="NYN738" s="747"/>
      <c r="NYO738" s="747"/>
      <c r="NYP738" s="747"/>
      <c r="NYQ738" s="747"/>
      <c r="NYR738" s="747"/>
      <c r="NYS738" s="747"/>
      <c r="NYT738" s="747"/>
      <c r="NYU738" s="747"/>
      <c r="NYV738" s="747"/>
      <c r="NYW738" s="747"/>
      <c r="NYX738" s="747"/>
      <c r="NYY738" s="747"/>
      <c r="NYZ738" s="747"/>
      <c r="NZA738" s="747"/>
      <c r="NZB738" s="747"/>
      <c r="NZC738" s="747"/>
      <c r="NZD738" s="747"/>
      <c r="NZE738" s="747"/>
      <c r="NZF738" s="747"/>
      <c r="NZG738" s="747"/>
      <c r="NZH738" s="747"/>
      <c r="NZI738" s="747"/>
      <c r="NZJ738" s="747"/>
      <c r="NZK738" s="747"/>
      <c r="NZL738" s="747"/>
      <c r="NZM738" s="747"/>
      <c r="NZN738" s="747"/>
      <c r="NZO738" s="747"/>
      <c r="NZP738" s="747"/>
      <c r="NZQ738" s="747"/>
      <c r="NZR738" s="747"/>
      <c r="NZS738" s="747"/>
      <c r="NZT738" s="747"/>
      <c r="NZU738" s="747"/>
      <c r="NZV738" s="747"/>
      <c r="NZW738" s="747"/>
      <c r="NZX738" s="747"/>
      <c r="NZY738" s="747"/>
      <c r="NZZ738" s="747"/>
      <c r="OAA738" s="747"/>
      <c r="OAB738" s="747"/>
      <c r="OAC738" s="747"/>
      <c r="OAD738" s="747"/>
      <c r="OAE738" s="747"/>
      <c r="OAF738" s="747"/>
      <c r="OAG738" s="747"/>
      <c r="OAH738" s="747"/>
      <c r="OAI738" s="747"/>
      <c r="OAJ738" s="747"/>
      <c r="OAK738" s="747"/>
      <c r="OAL738" s="747"/>
      <c r="OAM738" s="747"/>
      <c r="OAN738" s="747"/>
      <c r="OAO738" s="747"/>
      <c r="OAP738" s="747"/>
      <c r="OAQ738" s="747"/>
      <c r="OAR738" s="747"/>
      <c r="OAS738" s="747"/>
      <c r="OAT738" s="747"/>
      <c r="OAU738" s="747"/>
      <c r="OAV738" s="747"/>
      <c r="OAW738" s="747"/>
      <c r="OAX738" s="747"/>
      <c r="OAY738" s="747"/>
      <c r="OAZ738" s="747"/>
      <c r="OBA738" s="747"/>
      <c r="OBB738" s="747"/>
      <c r="OBC738" s="747"/>
      <c r="OBD738" s="747"/>
      <c r="OBE738" s="747"/>
      <c r="OBF738" s="747"/>
      <c r="OBG738" s="747"/>
      <c r="OBH738" s="747"/>
      <c r="OBI738" s="747"/>
      <c r="OBJ738" s="747"/>
      <c r="OBK738" s="747"/>
      <c r="OBL738" s="747"/>
      <c r="OBM738" s="747"/>
      <c r="OBN738" s="747"/>
      <c r="OBO738" s="747"/>
      <c r="OBP738" s="747"/>
      <c r="OBQ738" s="747"/>
      <c r="OBR738" s="747"/>
      <c r="OBS738" s="747"/>
      <c r="OBT738" s="747"/>
      <c r="OBU738" s="747"/>
      <c r="OBV738" s="747"/>
      <c r="OBW738" s="747"/>
      <c r="OBX738" s="747"/>
      <c r="OBY738" s="747"/>
      <c r="OBZ738" s="747"/>
      <c r="OCA738" s="747"/>
      <c r="OCB738" s="747"/>
      <c r="OCC738" s="747"/>
      <c r="OCD738" s="747"/>
      <c r="OCE738" s="747"/>
      <c r="OCF738" s="747"/>
      <c r="OCG738" s="747"/>
      <c r="OCH738" s="747"/>
      <c r="OCI738" s="747"/>
      <c r="OCJ738" s="747"/>
      <c r="OCK738" s="747"/>
      <c r="OCL738" s="747"/>
      <c r="OCM738" s="747"/>
      <c r="OCN738" s="747"/>
      <c r="OCO738" s="747"/>
      <c r="OCP738" s="747"/>
      <c r="OCQ738" s="747"/>
      <c r="OCR738" s="747"/>
      <c r="OCS738" s="747"/>
      <c r="OCT738" s="747"/>
      <c r="OCU738" s="747"/>
      <c r="OCV738" s="747"/>
      <c r="OCW738" s="747"/>
      <c r="OCX738" s="747"/>
      <c r="OCY738" s="747"/>
      <c r="OCZ738" s="747"/>
      <c r="ODA738" s="747"/>
      <c r="ODB738" s="747"/>
      <c r="ODC738" s="747"/>
      <c r="ODD738" s="747"/>
      <c r="ODE738" s="747"/>
      <c r="ODF738" s="747"/>
      <c r="ODG738" s="747"/>
      <c r="ODH738" s="747"/>
      <c r="ODI738" s="747"/>
      <c r="ODJ738" s="747"/>
      <c r="ODK738" s="747"/>
      <c r="ODL738" s="747"/>
      <c r="ODM738" s="747"/>
      <c r="ODN738" s="747"/>
      <c r="ODO738" s="747"/>
      <c r="ODP738" s="747"/>
      <c r="ODQ738" s="747"/>
      <c r="ODR738" s="747"/>
      <c r="ODS738" s="747"/>
      <c r="ODT738" s="747"/>
      <c r="ODU738" s="747"/>
      <c r="ODV738" s="747"/>
      <c r="ODW738" s="747"/>
      <c r="ODX738" s="747"/>
      <c r="ODY738" s="747"/>
      <c r="ODZ738" s="747"/>
      <c r="OEA738" s="747"/>
      <c r="OEB738" s="747"/>
      <c r="OEC738" s="747"/>
      <c r="OED738" s="747"/>
      <c r="OEE738" s="747"/>
      <c r="OEF738" s="747"/>
      <c r="OEG738" s="747"/>
      <c r="OEH738" s="747"/>
      <c r="OEI738" s="747"/>
      <c r="OEJ738" s="747"/>
      <c r="OEK738" s="747"/>
      <c r="OEL738" s="747"/>
      <c r="OEM738" s="747"/>
      <c r="OEN738" s="747"/>
      <c r="OEO738" s="747"/>
      <c r="OEP738" s="747"/>
      <c r="OEQ738" s="747"/>
      <c r="OER738" s="747"/>
      <c r="OES738" s="747"/>
      <c r="OET738" s="747"/>
      <c r="OEU738" s="747"/>
      <c r="OEV738" s="747"/>
      <c r="OEW738" s="747"/>
      <c r="OEX738" s="747"/>
      <c r="OEY738" s="747"/>
      <c r="OEZ738" s="747"/>
      <c r="OFA738" s="747"/>
      <c r="OFB738" s="747"/>
      <c r="OFC738" s="747"/>
      <c r="OFD738" s="747"/>
      <c r="OFE738" s="747"/>
      <c r="OFF738" s="747"/>
      <c r="OFG738" s="747"/>
      <c r="OFH738" s="747"/>
      <c r="OFI738" s="747"/>
      <c r="OFJ738" s="747"/>
      <c r="OFK738" s="747"/>
      <c r="OFL738" s="747"/>
      <c r="OFM738" s="747"/>
      <c r="OFN738" s="747"/>
      <c r="OFO738" s="747"/>
      <c r="OFP738" s="747"/>
      <c r="OFQ738" s="747"/>
      <c r="OFR738" s="747"/>
      <c r="OFS738" s="747"/>
      <c r="OFT738" s="747"/>
      <c r="OFU738" s="747"/>
      <c r="OFV738" s="747"/>
      <c r="OFW738" s="747"/>
      <c r="OFX738" s="747"/>
      <c r="OFY738" s="747"/>
      <c r="OFZ738" s="747"/>
      <c r="OGA738" s="747"/>
      <c r="OGB738" s="747"/>
      <c r="OGC738" s="747"/>
      <c r="OGD738" s="747"/>
      <c r="OGE738" s="747"/>
      <c r="OGF738" s="747"/>
      <c r="OGG738" s="747"/>
      <c r="OGH738" s="747"/>
      <c r="OGI738" s="747"/>
      <c r="OGJ738" s="747"/>
      <c r="OGK738" s="747"/>
      <c r="OGL738" s="747"/>
      <c r="OGM738" s="747"/>
      <c r="OGN738" s="747"/>
      <c r="OGO738" s="747"/>
      <c r="OGP738" s="747"/>
      <c r="OGQ738" s="747"/>
      <c r="OGR738" s="747"/>
      <c r="OGS738" s="747"/>
      <c r="OGT738" s="747"/>
      <c r="OGU738" s="747"/>
      <c r="OGV738" s="747"/>
      <c r="OGW738" s="747"/>
      <c r="OGX738" s="747"/>
      <c r="OGY738" s="747"/>
      <c r="OGZ738" s="747"/>
      <c r="OHA738" s="747"/>
      <c r="OHB738" s="747"/>
      <c r="OHC738" s="747"/>
      <c r="OHD738" s="747"/>
      <c r="OHE738" s="747"/>
      <c r="OHF738" s="747"/>
      <c r="OHG738" s="747"/>
      <c r="OHH738" s="747"/>
      <c r="OHI738" s="747"/>
      <c r="OHJ738" s="747"/>
      <c r="OHK738" s="747"/>
      <c r="OHL738" s="747"/>
      <c r="OHM738" s="747"/>
      <c r="OHN738" s="747"/>
      <c r="OHO738" s="747"/>
      <c r="OHP738" s="747"/>
      <c r="OHQ738" s="747"/>
      <c r="OHR738" s="747"/>
      <c r="OHS738" s="747"/>
      <c r="OHT738" s="747"/>
      <c r="OHU738" s="747"/>
      <c r="OHV738" s="747"/>
      <c r="OHW738" s="747"/>
      <c r="OHX738" s="747"/>
      <c r="OHY738" s="747"/>
      <c r="OHZ738" s="747"/>
      <c r="OIA738" s="747"/>
      <c r="OIB738" s="747"/>
      <c r="OIC738" s="747"/>
      <c r="OID738" s="747"/>
      <c r="OIE738" s="747"/>
      <c r="OIF738" s="747"/>
      <c r="OIG738" s="747"/>
      <c r="OIH738" s="747"/>
      <c r="OII738" s="747"/>
      <c r="OIJ738" s="747"/>
      <c r="OIK738" s="747"/>
      <c r="OIL738" s="747"/>
      <c r="OIM738" s="747"/>
      <c r="OIN738" s="747"/>
      <c r="OIO738" s="747"/>
      <c r="OIP738" s="747"/>
      <c r="OIQ738" s="747"/>
      <c r="OIR738" s="747"/>
      <c r="OIS738" s="747"/>
      <c r="OIT738" s="747"/>
      <c r="OIU738" s="747"/>
      <c r="OIV738" s="747"/>
      <c r="OIW738" s="747"/>
      <c r="OIX738" s="747"/>
      <c r="OIY738" s="747"/>
      <c r="OIZ738" s="747"/>
      <c r="OJA738" s="747"/>
      <c r="OJB738" s="747"/>
      <c r="OJC738" s="747"/>
      <c r="OJD738" s="747"/>
      <c r="OJE738" s="747"/>
      <c r="OJF738" s="747"/>
      <c r="OJG738" s="747"/>
      <c r="OJH738" s="747"/>
      <c r="OJI738" s="747"/>
      <c r="OJJ738" s="747"/>
      <c r="OJK738" s="747"/>
      <c r="OJL738" s="747"/>
      <c r="OJM738" s="747"/>
      <c r="OJN738" s="747"/>
      <c r="OJO738" s="747"/>
      <c r="OJP738" s="747"/>
      <c r="OJQ738" s="747"/>
      <c r="OJR738" s="747"/>
      <c r="OJS738" s="747"/>
      <c r="OJT738" s="747"/>
      <c r="OJU738" s="747"/>
      <c r="OJV738" s="747"/>
      <c r="OJW738" s="747"/>
      <c r="OJX738" s="747"/>
      <c r="OJY738" s="747"/>
      <c r="OJZ738" s="747"/>
      <c r="OKA738" s="747"/>
      <c r="OKB738" s="747"/>
      <c r="OKC738" s="747"/>
      <c r="OKD738" s="747"/>
      <c r="OKE738" s="747"/>
      <c r="OKF738" s="747"/>
      <c r="OKG738" s="747"/>
      <c r="OKH738" s="747"/>
      <c r="OKI738" s="747"/>
      <c r="OKJ738" s="747"/>
      <c r="OKK738" s="747"/>
      <c r="OKL738" s="747"/>
      <c r="OKM738" s="747"/>
      <c r="OKN738" s="747"/>
      <c r="OKO738" s="747"/>
      <c r="OKP738" s="747"/>
      <c r="OKQ738" s="747"/>
      <c r="OKR738" s="747"/>
      <c r="OKS738" s="747"/>
      <c r="OKT738" s="747"/>
      <c r="OKU738" s="747"/>
      <c r="OKV738" s="747"/>
      <c r="OKW738" s="747"/>
      <c r="OKX738" s="747"/>
      <c r="OKY738" s="747"/>
      <c r="OKZ738" s="747"/>
      <c r="OLA738" s="747"/>
      <c r="OLB738" s="747"/>
      <c r="OLC738" s="747"/>
      <c r="OLD738" s="747"/>
      <c r="OLE738" s="747"/>
      <c r="OLF738" s="747"/>
      <c r="OLG738" s="747"/>
      <c r="OLH738" s="747"/>
      <c r="OLI738" s="747"/>
      <c r="OLJ738" s="747"/>
      <c r="OLK738" s="747"/>
      <c r="OLL738" s="747"/>
      <c r="OLM738" s="747"/>
      <c r="OLN738" s="747"/>
      <c r="OLO738" s="747"/>
      <c r="OLP738" s="747"/>
      <c r="OLQ738" s="747"/>
      <c r="OLR738" s="747"/>
      <c r="OLS738" s="747"/>
      <c r="OLT738" s="747"/>
      <c r="OLU738" s="747"/>
      <c r="OLV738" s="747"/>
      <c r="OLW738" s="747"/>
      <c r="OLX738" s="747"/>
      <c r="OLY738" s="747"/>
      <c r="OLZ738" s="747"/>
      <c r="OMA738" s="747"/>
      <c r="OMB738" s="747"/>
      <c r="OMC738" s="747"/>
      <c r="OMD738" s="747"/>
      <c r="OME738" s="747"/>
      <c r="OMF738" s="747"/>
      <c r="OMG738" s="747"/>
      <c r="OMH738" s="747"/>
      <c r="OMI738" s="747"/>
      <c r="OMJ738" s="747"/>
      <c r="OMK738" s="747"/>
      <c r="OML738" s="747"/>
      <c r="OMM738" s="747"/>
      <c r="OMN738" s="747"/>
      <c r="OMO738" s="747"/>
      <c r="OMP738" s="747"/>
      <c r="OMQ738" s="747"/>
      <c r="OMR738" s="747"/>
      <c r="OMS738" s="747"/>
      <c r="OMT738" s="747"/>
      <c r="OMU738" s="747"/>
      <c r="OMV738" s="747"/>
      <c r="OMW738" s="747"/>
      <c r="OMX738" s="747"/>
      <c r="OMY738" s="747"/>
      <c r="OMZ738" s="747"/>
      <c r="ONA738" s="747"/>
      <c r="ONB738" s="747"/>
      <c r="ONC738" s="747"/>
      <c r="OND738" s="747"/>
      <c r="ONE738" s="747"/>
      <c r="ONF738" s="747"/>
      <c r="ONG738" s="747"/>
      <c r="ONH738" s="747"/>
      <c r="ONI738" s="747"/>
      <c r="ONJ738" s="747"/>
      <c r="ONK738" s="747"/>
      <c r="ONL738" s="747"/>
      <c r="ONM738" s="747"/>
      <c r="ONN738" s="747"/>
      <c r="ONO738" s="747"/>
      <c r="ONP738" s="747"/>
      <c r="ONQ738" s="747"/>
      <c r="ONR738" s="747"/>
      <c r="ONS738" s="747"/>
      <c r="ONT738" s="747"/>
      <c r="ONU738" s="747"/>
      <c r="ONV738" s="747"/>
      <c r="ONW738" s="747"/>
      <c r="ONX738" s="747"/>
      <c r="ONY738" s="747"/>
      <c r="ONZ738" s="747"/>
      <c r="OOA738" s="747"/>
      <c r="OOB738" s="747"/>
      <c r="OOC738" s="747"/>
      <c r="OOD738" s="747"/>
      <c r="OOE738" s="747"/>
      <c r="OOF738" s="747"/>
      <c r="OOG738" s="747"/>
      <c r="OOH738" s="747"/>
      <c r="OOI738" s="747"/>
      <c r="OOJ738" s="747"/>
      <c r="OOK738" s="747"/>
      <c r="OOL738" s="747"/>
      <c r="OOM738" s="747"/>
      <c r="OON738" s="747"/>
      <c r="OOO738" s="747"/>
      <c r="OOP738" s="747"/>
      <c r="OOQ738" s="747"/>
      <c r="OOR738" s="747"/>
      <c r="OOS738" s="747"/>
      <c r="OOT738" s="747"/>
      <c r="OOU738" s="747"/>
      <c r="OOV738" s="747"/>
      <c r="OOW738" s="747"/>
      <c r="OOX738" s="747"/>
      <c r="OOY738" s="747"/>
      <c r="OOZ738" s="747"/>
      <c r="OPA738" s="747"/>
      <c r="OPB738" s="747"/>
      <c r="OPC738" s="747"/>
      <c r="OPD738" s="747"/>
      <c r="OPE738" s="747"/>
      <c r="OPF738" s="747"/>
      <c r="OPG738" s="747"/>
      <c r="OPH738" s="747"/>
      <c r="OPI738" s="747"/>
      <c r="OPJ738" s="747"/>
      <c r="OPK738" s="747"/>
      <c r="OPL738" s="747"/>
      <c r="OPM738" s="747"/>
      <c r="OPN738" s="747"/>
      <c r="OPO738" s="747"/>
      <c r="OPP738" s="747"/>
      <c r="OPQ738" s="747"/>
      <c r="OPR738" s="747"/>
      <c r="OPS738" s="747"/>
      <c r="OPT738" s="747"/>
      <c r="OPU738" s="747"/>
      <c r="OPV738" s="747"/>
      <c r="OPW738" s="747"/>
      <c r="OPX738" s="747"/>
      <c r="OPY738" s="747"/>
      <c r="OPZ738" s="747"/>
      <c r="OQA738" s="747"/>
      <c r="OQB738" s="747"/>
      <c r="OQC738" s="747"/>
      <c r="OQD738" s="747"/>
      <c r="OQE738" s="747"/>
      <c r="OQF738" s="747"/>
      <c r="OQG738" s="747"/>
      <c r="OQH738" s="747"/>
      <c r="OQI738" s="747"/>
      <c r="OQJ738" s="747"/>
      <c r="OQK738" s="747"/>
      <c r="OQL738" s="747"/>
      <c r="OQM738" s="747"/>
      <c r="OQN738" s="747"/>
      <c r="OQO738" s="747"/>
      <c r="OQP738" s="747"/>
      <c r="OQQ738" s="747"/>
      <c r="OQR738" s="747"/>
      <c r="OQS738" s="747"/>
      <c r="OQT738" s="747"/>
      <c r="OQU738" s="747"/>
      <c r="OQV738" s="747"/>
      <c r="OQW738" s="747"/>
      <c r="OQX738" s="747"/>
      <c r="OQY738" s="747"/>
      <c r="OQZ738" s="747"/>
      <c r="ORA738" s="747"/>
      <c r="ORB738" s="747"/>
      <c r="ORC738" s="747"/>
      <c r="ORD738" s="747"/>
      <c r="ORE738" s="747"/>
      <c r="ORF738" s="747"/>
      <c r="ORG738" s="747"/>
      <c r="ORH738" s="747"/>
      <c r="ORI738" s="747"/>
      <c r="ORJ738" s="747"/>
      <c r="ORK738" s="747"/>
      <c r="ORL738" s="747"/>
      <c r="ORM738" s="747"/>
      <c r="ORN738" s="747"/>
      <c r="ORO738" s="747"/>
      <c r="ORP738" s="747"/>
      <c r="ORQ738" s="747"/>
      <c r="ORR738" s="747"/>
      <c r="ORS738" s="747"/>
      <c r="ORT738" s="747"/>
      <c r="ORU738" s="747"/>
      <c r="ORV738" s="747"/>
      <c r="ORW738" s="747"/>
      <c r="ORX738" s="747"/>
      <c r="ORY738" s="747"/>
      <c r="ORZ738" s="747"/>
      <c r="OSA738" s="747"/>
      <c r="OSB738" s="747"/>
      <c r="OSC738" s="747"/>
      <c r="OSD738" s="747"/>
      <c r="OSE738" s="747"/>
      <c r="OSF738" s="747"/>
      <c r="OSG738" s="747"/>
      <c r="OSH738" s="747"/>
      <c r="OSI738" s="747"/>
      <c r="OSJ738" s="747"/>
      <c r="OSK738" s="747"/>
      <c r="OSL738" s="747"/>
      <c r="OSM738" s="747"/>
      <c r="OSN738" s="747"/>
      <c r="OSO738" s="747"/>
      <c r="OSP738" s="747"/>
      <c r="OSQ738" s="747"/>
      <c r="OSR738" s="747"/>
      <c r="OSS738" s="747"/>
      <c r="OST738" s="747"/>
      <c r="OSU738" s="747"/>
      <c r="OSV738" s="747"/>
      <c r="OSW738" s="747"/>
      <c r="OSX738" s="747"/>
      <c r="OSY738" s="747"/>
      <c r="OSZ738" s="747"/>
      <c r="OTA738" s="747"/>
      <c r="OTB738" s="747"/>
      <c r="OTC738" s="747"/>
      <c r="OTD738" s="747"/>
      <c r="OTE738" s="747"/>
      <c r="OTF738" s="747"/>
      <c r="OTG738" s="747"/>
      <c r="OTH738" s="747"/>
      <c r="OTI738" s="747"/>
      <c r="OTJ738" s="747"/>
      <c r="OTK738" s="747"/>
      <c r="OTL738" s="747"/>
      <c r="OTM738" s="747"/>
      <c r="OTN738" s="747"/>
      <c r="OTO738" s="747"/>
      <c r="OTP738" s="747"/>
      <c r="OTQ738" s="747"/>
      <c r="OTR738" s="747"/>
      <c r="OTS738" s="747"/>
      <c r="OTT738" s="747"/>
      <c r="OTU738" s="747"/>
      <c r="OTV738" s="747"/>
      <c r="OTW738" s="747"/>
      <c r="OTX738" s="747"/>
      <c r="OTY738" s="747"/>
      <c r="OTZ738" s="747"/>
      <c r="OUA738" s="747"/>
      <c r="OUB738" s="747"/>
      <c r="OUC738" s="747"/>
      <c r="OUD738" s="747"/>
      <c r="OUE738" s="747"/>
      <c r="OUF738" s="747"/>
      <c r="OUG738" s="747"/>
      <c r="OUH738" s="747"/>
      <c r="OUI738" s="747"/>
      <c r="OUJ738" s="747"/>
      <c r="OUK738" s="747"/>
      <c r="OUL738" s="747"/>
      <c r="OUM738" s="747"/>
      <c r="OUN738" s="747"/>
      <c r="OUO738" s="747"/>
      <c r="OUP738" s="747"/>
      <c r="OUQ738" s="747"/>
      <c r="OUR738" s="747"/>
      <c r="OUS738" s="747"/>
      <c r="OUT738" s="747"/>
      <c r="OUU738" s="747"/>
      <c r="OUV738" s="747"/>
      <c r="OUW738" s="747"/>
      <c r="OUX738" s="747"/>
      <c r="OUY738" s="747"/>
      <c r="OUZ738" s="747"/>
      <c r="OVA738" s="747"/>
      <c r="OVB738" s="747"/>
      <c r="OVC738" s="747"/>
      <c r="OVD738" s="747"/>
      <c r="OVE738" s="747"/>
      <c r="OVF738" s="747"/>
      <c r="OVG738" s="747"/>
      <c r="OVH738" s="747"/>
      <c r="OVI738" s="747"/>
      <c r="OVJ738" s="747"/>
      <c r="OVK738" s="747"/>
      <c r="OVL738" s="747"/>
      <c r="OVM738" s="747"/>
      <c r="OVN738" s="747"/>
      <c r="OVO738" s="747"/>
      <c r="OVP738" s="747"/>
      <c r="OVQ738" s="747"/>
      <c r="OVR738" s="747"/>
      <c r="OVS738" s="747"/>
      <c r="OVT738" s="747"/>
      <c r="OVU738" s="747"/>
      <c r="OVV738" s="747"/>
      <c r="OVW738" s="747"/>
      <c r="OVX738" s="747"/>
      <c r="OVY738" s="747"/>
      <c r="OVZ738" s="747"/>
      <c r="OWA738" s="747"/>
      <c r="OWB738" s="747"/>
      <c r="OWC738" s="747"/>
      <c r="OWD738" s="747"/>
      <c r="OWE738" s="747"/>
      <c r="OWF738" s="747"/>
      <c r="OWG738" s="747"/>
      <c r="OWH738" s="747"/>
      <c r="OWI738" s="747"/>
      <c r="OWJ738" s="747"/>
      <c r="OWK738" s="747"/>
      <c r="OWL738" s="747"/>
      <c r="OWM738" s="747"/>
      <c r="OWN738" s="747"/>
      <c r="OWO738" s="747"/>
      <c r="OWP738" s="747"/>
      <c r="OWQ738" s="747"/>
      <c r="OWR738" s="747"/>
      <c r="OWS738" s="747"/>
      <c r="OWT738" s="747"/>
      <c r="OWU738" s="747"/>
      <c r="OWV738" s="747"/>
      <c r="OWW738" s="747"/>
      <c r="OWX738" s="747"/>
      <c r="OWY738" s="747"/>
      <c r="OWZ738" s="747"/>
      <c r="OXA738" s="747"/>
      <c r="OXB738" s="747"/>
      <c r="OXC738" s="747"/>
      <c r="OXD738" s="747"/>
      <c r="OXE738" s="747"/>
      <c r="OXF738" s="747"/>
      <c r="OXG738" s="747"/>
      <c r="OXH738" s="747"/>
      <c r="OXI738" s="747"/>
      <c r="OXJ738" s="747"/>
      <c r="OXK738" s="747"/>
      <c r="OXL738" s="747"/>
      <c r="OXM738" s="747"/>
      <c r="OXN738" s="747"/>
      <c r="OXO738" s="747"/>
      <c r="OXP738" s="747"/>
      <c r="OXQ738" s="747"/>
      <c r="OXR738" s="747"/>
      <c r="OXS738" s="747"/>
      <c r="OXT738" s="747"/>
      <c r="OXU738" s="747"/>
      <c r="OXV738" s="747"/>
      <c r="OXW738" s="747"/>
      <c r="OXX738" s="747"/>
      <c r="OXY738" s="747"/>
      <c r="OXZ738" s="747"/>
      <c r="OYA738" s="747"/>
      <c r="OYB738" s="747"/>
      <c r="OYC738" s="747"/>
      <c r="OYD738" s="747"/>
      <c r="OYE738" s="747"/>
      <c r="OYF738" s="747"/>
      <c r="OYG738" s="747"/>
      <c r="OYH738" s="747"/>
      <c r="OYI738" s="747"/>
      <c r="OYJ738" s="747"/>
      <c r="OYK738" s="747"/>
      <c r="OYL738" s="747"/>
      <c r="OYM738" s="747"/>
      <c r="OYN738" s="747"/>
      <c r="OYO738" s="747"/>
      <c r="OYP738" s="747"/>
      <c r="OYQ738" s="747"/>
      <c r="OYR738" s="747"/>
      <c r="OYS738" s="747"/>
      <c r="OYT738" s="747"/>
      <c r="OYU738" s="747"/>
      <c r="OYV738" s="747"/>
      <c r="OYW738" s="747"/>
      <c r="OYX738" s="747"/>
      <c r="OYY738" s="747"/>
      <c r="OYZ738" s="747"/>
      <c r="OZA738" s="747"/>
      <c r="OZB738" s="747"/>
      <c r="OZC738" s="747"/>
      <c r="OZD738" s="747"/>
      <c r="OZE738" s="747"/>
      <c r="OZF738" s="747"/>
      <c r="OZG738" s="747"/>
      <c r="OZH738" s="747"/>
      <c r="OZI738" s="747"/>
      <c r="OZJ738" s="747"/>
      <c r="OZK738" s="747"/>
      <c r="OZL738" s="747"/>
      <c r="OZM738" s="747"/>
      <c r="OZN738" s="747"/>
      <c r="OZO738" s="747"/>
      <c r="OZP738" s="747"/>
      <c r="OZQ738" s="747"/>
      <c r="OZR738" s="747"/>
      <c r="OZS738" s="747"/>
      <c r="OZT738" s="747"/>
      <c r="OZU738" s="747"/>
      <c r="OZV738" s="747"/>
      <c r="OZW738" s="747"/>
      <c r="OZX738" s="747"/>
      <c r="OZY738" s="747"/>
      <c r="OZZ738" s="747"/>
      <c r="PAA738" s="747"/>
      <c r="PAB738" s="747"/>
      <c r="PAC738" s="747"/>
      <c r="PAD738" s="747"/>
      <c r="PAE738" s="747"/>
      <c r="PAF738" s="747"/>
      <c r="PAG738" s="747"/>
      <c r="PAH738" s="747"/>
      <c r="PAI738" s="747"/>
      <c r="PAJ738" s="747"/>
      <c r="PAK738" s="747"/>
      <c r="PAL738" s="747"/>
      <c r="PAM738" s="747"/>
      <c r="PAN738" s="747"/>
      <c r="PAO738" s="747"/>
      <c r="PAP738" s="747"/>
      <c r="PAQ738" s="747"/>
      <c r="PAR738" s="747"/>
      <c r="PAS738" s="747"/>
      <c r="PAT738" s="747"/>
      <c r="PAU738" s="747"/>
      <c r="PAV738" s="747"/>
      <c r="PAW738" s="747"/>
      <c r="PAX738" s="747"/>
      <c r="PAY738" s="747"/>
      <c r="PAZ738" s="747"/>
      <c r="PBA738" s="747"/>
      <c r="PBB738" s="747"/>
      <c r="PBC738" s="747"/>
      <c r="PBD738" s="747"/>
      <c r="PBE738" s="747"/>
      <c r="PBF738" s="747"/>
      <c r="PBG738" s="747"/>
      <c r="PBH738" s="747"/>
      <c r="PBI738" s="747"/>
      <c r="PBJ738" s="747"/>
      <c r="PBK738" s="747"/>
      <c r="PBL738" s="747"/>
      <c r="PBM738" s="747"/>
      <c r="PBN738" s="747"/>
      <c r="PBO738" s="747"/>
      <c r="PBP738" s="747"/>
      <c r="PBQ738" s="747"/>
      <c r="PBR738" s="747"/>
      <c r="PBS738" s="747"/>
      <c r="PBT738" s="747"/>
      <c r="PBU738" s="747"/>
      <c r="PBV738" s="747"/>
      <c r="PBW738" s="747"/>
      <c r="PBX738" s="747"/>
      <c r="PBY738" s="747"/>
      <c r="PBZ738" s="747"/>
      <c r="PCA738" s="747"/>
      <c r="PCB738" s="747"/>
      <c r="PCC738" s="747"/>
      <c r="PCD738" s="747"/>
      <c r="PCE738" s="747"/>
      <c r="PCF738" s="747"/>
      <c r="PCG738" s="747"/>
      <c r="PCH738" s="747"/>
      <c r="PCI738" s="747"/>
      <c r="PCJ738" s="747"/>
      <c r="PCK738" s="747"/>
      <c r="PCL738" s="747"/>
      <c r="PCM738" s="747"/>
      <c r="PCN738" s="747"/>
      <c r="PCO738" s="747"/>
      <c r="PCP738" s="747"/>
      <c r="PCQ738" s="747"/>
      <c r="PCR738" s="747"/>
      <c r="PCS738" s="747"/>
      <c r="PCT738" s="747"/>
      <c r="PCU738" s="747"/>
      <c r="PCV738" s="747"/>
      <c r="PCW738" s="747"/>
      <c r="PCX738" s="747"/>
      <c r="PCY738" s="747"/>
      <c r="PCZ738" s="747"/>
      <c r="PDA738" s="747"/>
      <c r="PDB738" s="747"/>
      <c r="PDC738" s="747"/>
      <c r="PDD738" s="747"/>
      <c r="PDE738" s="747"/>
      <c r="PDF738" s="747"/>
      <c r="PDG738" s="747"/>
      <c r="PDH738" s="747"/>
      <c r="PDI738" s="747"/>
      <c r="PDJ738" s="747"/>
      <c r="PDK738" s="747"/>
      <c r="PDL738" s="747"/>
      <c r="PDM738" s="747"/>
      <c r="PDN738" s="747"/>
      <c r="PDO738" s="747"/>
      <c r="PDP738" s="747"/>
      <c r="PDQ738" s="747"/>
      <c r="PDR738" s="747"/>
      <c r="PDS738" s="747"/>
      <c r="PDT738" s="747"/>
      <c r="PDU738" s="747"/>
      <c r="PDV738" s="747"/>
      <c r="PDW738" s="747"/>
      <c r="PDX738" s="747"/>
      <c r="PDY738" s="747"/>
      <c r="PDZ738" s="747"/>
      <c r="PEA738" s="747"/>
      <c r="PEB738" s="747"/>
      <c r="PEC738" s="747"/>
      <c r="PED738" s="747"/>
      <c r="PEE738" s="747"/>
      <c r="PEF738" s="747"/>
      <c r="PEG738" s="747"/>
      <c r="PEH738" s="747"/>
      <c r="PEI738" s="747"/>
      <c r="PEJ738" s="747"/>
      <c r="PEK738" s="747"/>
      <c r="PEL738" s="747"/>
      <c r="PEM738" s="747"/>
      <c r="PEN738" s="747"/>
      <c r="PEO738" s="747"/>
      <c r="PEP738" s="747"/>
      <c r="PEQ738" s="747"/>
      <c r="PER738" s="747"/>
      <c r="PES738" s="747"/>
      <c r="PET738" s="747"/>
      <c r="PEU738" s="747"/>
      <c r="PEV738" s="747"/>
      <c r="PEW738" s="747"/>
      <c r="PEX738" s="747"/>
      <c r="PEY738" s="747"/>
      <c r="PEZ738" s="747"/>
      <c r="PFA738" s="747"/>
      <c r="PFB738" s="747"/>
      <c r="PFC738" s="747"/>
      <c r="PFD738" s="747"/>
      <c r="PFE738" s="747"/>
      <c r="PFF738" s="747"/>
      <c r="PFG738" s="747"/>
      <c r="PFH738" s="747"/>
      <c r="PFI738" s="747"/>
      <c r="PFJ738" s="747"/>
      <c r="PFK738" s="747"/>
      <c r="PFL738" s="747"/>
      <c r="PFM738" s="747"/>
      <c r="PFN738" s="747"/>
      <c r="PFO738" s="747"/>
      <c r="PFP738" s="747"/>
      <c r="PFQ738" s="747"/>
      <c r="PFR738" s="747"/>
      <c r="PFS738" s="747"/>
      <c r="PFT738" s="747"/>
      <c r="PFU738" s="747"/>
      <c r="PFV738" s="747"/>
      <c r="PFW738" s="747"/>
      <c r="PFX738" s="747"/>
      <c r="PFY738" s="747"/>
      <c r="PFZ738" s="747"/>
      <c r="PGA738" s="747"/>
      <c r="PGB738" s="747"/>
      <c r="PGC738" s="747"/>
      <c r="PGD738" s="747"/>
      <c r="PGE738" s="747"/>
      <c r="PGF738" s="747"/>
      <c r="PGG738" s="747"/>
      <c r="PGH738" s="747"/>
      <c r="PGI738" s="747"/>
      <c r="PGJ738" s="747"/>
      <c r="PGK738" s="747"/>
      <c r="PGL738" s="747"/>
      <c r="PGM738" s="747"/>
      <c r="PGN738" s="747"/>
      <c r="PGO738" s="747"/>
      <c r="PGP738" s="747"/>
      <c r="PGQ738" s="747"/>
      <c r="PGR738" s="747"/>
      <c r="PGS738" s="747"/>
      <c r="PGT738" s="747"/>
      <c r="PGU738" s="747"/>
      <c r="PGV738" s="747"/>
      <c r="PGW738" s="747"/>
      <c r="PGX738" s="747"/>
      <c r="PGY738" s="747"/>
      <c r="PGZ738" s="747"/>
      <c r="PHA738" s="747"/>
      <c r="PHB738" s="747"/>
      <c r="PHC738" s="747"/>
      <c r="PHD738" s="747"/>
      <c r="PHE738" s="747"/>
      <c r="PHF738" s="747"/>
      <c r="PHG738" s="747"/>
      <c r="PHH738" s="747"/>
      <c r="PHI738" s="747"/>
      <c r="PHJ738" s="747"/>
      <c r="PHK738" s="747"/>
      <c r="PHL738" s="747"/>
      <c r="PHM738" s="747"/>
      <c r="PHN738" s="747"/>
      <c r="PHO738" s="747"/>
      <c r="PHP738" s="747"/>
      <c r="PHQ738" s="747"/>
      <c r="PHR738" s="747"/>
      <c r="PHS738" s="747"/>
      <c r="PHT738" s="747"/>
      <c r="PHU738" s="747"/>
      <c r="PHV738" s="747"/>
      <c r="PHW738" s="747"/>
      <c r="PHX738" s="747"/>
      <c r="PHY738" s="747"/>
      <c r="PHZ738" s="747"/>
      <c r="PIA738" s="747"/>
      <c r="PIB738" s="747"/>
      <c r="PIC738" s="747"/>
      <c r="PID738" s="747"/>
      <c r="PIE738" s="747"/>
      <c r="PIF738" s="747"/>
      <c r="PIG738" s="747"/>
      <c r="PIH738" s="747"/>
      <c r="PII738" s="747"/>
      <c r="PIJ738" s="747"/>
      <c r="PIK738" s="747"/>
      <c r="PIL738" s="747"/>
      <c r="PIM738" s="747"/>
      <c r="PIN738" s="747"/>
      <c r="PIO738" s="747"/>
      <c r="PIP738" s="747"/>
      <c r="PIQ738" s="747"/>
      <c r="PIR738" s="747"/>
      <c r="PIS738" s="747"/>
      <c r="PIT738" s="747"/>
      <c r="PIU738" s="747"/>
      <c r="PIV738" s="747"/>
      <c r="PIW738" s="747"/>
      <c r="PIX738" s="747"/>
      <c r="PIY738" s="747"/>
      <c r="PIZ738" s="747"/>
      <c r="PJA738" s="747"/>
      <c r="PJB738" s="747"/>
      <c r="PJC738" s="747"/>
      <c r="PJD738" s="747"/>
      <c r="PJE738" s="747"/>
      <c r="PJF738" s="747"/>
      <c r="PJG738" s="747"/>
      <c r="PJH738" s="747"/>
      <c r="PJI738" s="747"/>
      <c r="PJJ738" s="747"/>
      <c r="PJK738" s="747"/>
      <c r="PJL738" s="747"/>
      <c r="PJM738" s="747"/>
      <c r="PJN738" s="747"/>
      <c r="PJO738" s="747"/>
      <c r="PJP738" s="747"/>
      <c r="PJQ738" s="747"/>
      <c r="PJR738" s="747"/>
      <c r="PJS738" s="747"/>
      <c r="PJT738" s="747"/>
      <c r="PJU738" s="747"/>
      <c r="PJV738" s="747"/>
      <c r="PJW738" s="747"/>
      <c r="PJX738" s="747"/>
      <c r="PJY738" s="747"/>
      <c r="PJZ738" s="747"/>
      <c r="PKA738" s="747"/>
      <c r="PKB738" s="747"/>
      <c r="PKC738" s="747"/>
      <c r="PKD738" s="747"/>
      <c r="PKE738" s="747"/>
      <c r="PKF738" s="747"/>
      <c r="PKG738" s="747"/>
      <c r="PKH738" s="747"/>
      <c r="PKI738" s="747"/>
      <c r="PKJ738" s="747"/>
      <c r="PKK738" s="747"/>
      <c r="PKL738" s="747"/>
      <c r="PKM738" s="747"/>
      <c r="PKN738" s="747"/>
      <c r="PKO738" s="747"/>
      <c r="PKP738" s="747"/>
      <c r="PKQ738" s="747"/>
      <c r="PKR738" s="747"/>
      <c r="PKS738" s="747"/>
      <c r="PKT738" s="747"/>
      <c r="PKU738" s="747"/>
      <c r="PKV738" s="747"/>
      <c r="PKW738" s="747"/>
      <c r="PKX738" s="747"/>
      <c r="PKY738" s="747"/>
      <c r="PKZ738" s="747"/>
      <c r="PLA738" s="747"/>
      <c r="PLB738" s="747"/>
      <c r="PLC738" s="747"/>
      <c r="PLD738" s="747"/>
      <c r="PLE738" s="747"/>
      <c r="PLF738" s="747"/>
      <c r="PLG738" s="747"/>
      <c r="PLH738" s="747"/>
      <c r="PLI738" s="747"/>
      <c r="PLJ738" s="747"/>
      <c r="PLK738" s="747"/>
      <c r="PLL738" s="747"/>
      <c r="PLM738" s="747"/>
      <c r="PLN738" s="747"/>
      <c r="PLO738" s="747"/>
      <c r="PLP738" s="747"/>
      <c r="PLQ738" s="747"/>
      <c r="PLR738" s="747"/>
      <c r="PLS738" s="747"/>
      <c r="PLT738" s="747"/>
      <c r="PLU738" s="747"/>
      <c r="PLV738" s="747"/>
      <c r="PLW738" s="747"/>
      <c r="PLX738" s="747"/>
      <c r="PLY738" s="747"/>
      <c r="PLZ738" s="747"/>
      <c r="PMA738" s="747"/>
      <c r="PMB738" s="747"/>
      <c r="PMC738" s="747"/>
      <c r="PMD738" s="747"/>
      <c r="PME738" s="747"/>
      <c r="PMF738" s="747"/>
      <c r="PMG738" s="747"/>
      <c r="PMH738" s="747"/>
      <c r="PMI738" s="747"/>
      <c r="PMJ738" s="747"/>
      <c r="PMK738" s="747"/>
      <c r="PML738" s="747"/>
      <c r="PMM738" s="747"/>
      <c r="PMN738" s="747"/>
      <c r="PMO738" s="747"/>
      <c r="PMP738" s="747"/>
      <c r="PMQ738" s="747"/>
      <c r="PMR738" s="747"/>
      <c r="PMS738" s="747"/>
      <c r="PMT738" s="747"/>
      <c r="PMU738" s="747"/>
      <c r="PMV738" s="747"/>
      <c r="PMW738" s="747"/>
      <c r="PMX738" s="747"/>
      <c r="PMY738" s="747"/>
      <c r="PMZ738" s="747"/>
      <c r="PNA738" s="747"/>
      <c r="PNB738" s="747"/>
      <c r="PNC738" s="747"/>
      <c r="PND738" s="747"/>
      <c r="PNE738" s="747"/>
      <c r="PNF738" s="747"/>
      <c r="PNG738" s="747"/>
      <c r="PNH738" s="747"/>
      <c r="PNI738" s="747"/>
      <c r="PNJ738" s="747"/>
      <c r="PNK738" s="747"/>
      <c r="PNL738" s="747"/>
      <c r="PNM738" s="747"/>
      <c r="PNN738" s="747"/>
      <c r="PNO738" s="747"/>
      <c r="PNP738" s="747"/>
      <c r="PNQ738" s="747"/>
      <c r="PNR738" s="747"/>
      <c r="PNS738" s="747"/>
      <c r="PNT738" s="747"/>
      <c r="PNU738" s="747"/>
      <c r="PNV738" s="747"/>
      <c r="PNW738" s="747"/>
      <c r="PNX738" s="747"/>
      <c r="PNY738" s="747"/>
      <c r="PNZ738" s="747"/>
      <c r="POA738" s="747"/>
      <c r="POB738" s="747"/>
      <c r="POC738" s="747"/>
      <c r="POD738" s="747"/>
      <c r="POE738" s="747"/>
      <c r="POF738" s="747"/>
      <c r="POG738" s="747"/>
      <c r="POH738" s="747"/>
      <c r="POI738" s="747"/>
      <c r="POJ738" s="747"/>
      <c r="POK738" s="747"/>
      <c r="POL738" s="747"/>
      <c r="POM738" s="747"/>
      <c r="PON738" s="747"/>
      <c r="POO738" s="747"/>
      <c r="POP738" s="747"/>
      <c r="POQ738" s="747"/>
      <c r="POR738" s="747"/>
      <c r="POS738" s="747"/>
      <c r="POT738" s="747"/>
      <c r="POU738" s="747"/>
      <c r="POV738" s="747"/>
      <c r="POW738" s="747"/>
      <c r="POX738" s="747"/>
      <c r="POY738" s="747"/>
      <c r="POZ738" s="747"/>
      <c r="PPA738" s="747"/>
      <c r="PPB738" s="747"/>
      <c r="PPC738" s="747"/>
      <c r="PPD738" s="747"/>
      <c r="PPE738" s="747"/>
      <c r="PPF738" s="747"/>
      <c r="PPG738" s="747"/>
      <c r="PPH738" s="747"/>
      <c r="PPI738" s="747"/>
      <c r="PPJ738" s="747"/>
      <c r="PPK738" s="747"/>
      <c r="PPL738" s="747"/>
      <c r="PPM738" s="747"/>
      <c r="PPN738" s="747"/>
      <c r="PPO738" s="747"/>
      <c r="PPP738" s="747"/>
      <c r="PPQ738" s="747"/>
      <c r="PPR738" s="747"/>
      <c r="PPS738" s="747"/>
      <c r="PPT738" s="747"/>
      <c r="PPU738" s="747"/>
      <c r="PPV738" s="747"/>
      <c r="PPW738" s="747"/>
      <c r="PPX738" s="747"/>
      <c r="PPY738" s="747"/>
      <c r="PPZ738" s="747"/>
      <c r="PQA738" s="747"/>
      <c r="PQB738" s="747"/>
      <c r="PQC738" s="747"/>
      <c r="PQD738" s="747"/>
      <c r="PQE738" s="747"/>
      <c r="PQF738" s="747"/>
      <c r="PQG738" s="747"/>
      <c r="PQH738" s="747"/>
      <c r="PQI738" s="747"/>
      <c r="PQJ738" s="747"/>
      <c r="PQK738" s="747"/>
      <c r="PQL738" s="747"/>
      <c r="PQM738" s="747"/>
      <c r="PQN738" s="747"/>
      <c r="PQO738" s="747"/>
      <c r="PQP738" s="747"/>
      <c r="PQQ738" s="747"/>
      <c r="PQR738" s="747"/>
      <c r="PQS738" s="747"/>
      <c r="PQT738" s="747"/>
      <c r="PQU738" s="747"/>
      <c r="PQV738" s="747"/>
      <c r="PQW738" s="747"/>
      <c r="PQX738" s="747"/>
      <c r="PQY738" s="747"/>
      <c r="PQZ738" s="747"/>
      <c r="PRA738" s="747"/>
      <c r="PRB738" s="747"/>
      <c r="PRC738" s="747"/>
      <c r="PRD738" s="747"/>
      <c r="PRE738" s="747"/>
      <c r="PRF738" s="747"/>
      <c r="PRG738" s="747"/>
      <c r="PRH738" s="747"/>
      <c r="PRI738" s="747"/>
      <c r="PRJ738" s="747"/>
      <c r="PRK738" s="747"/>
      <c r="PRL738" s="747"/>
      <c r="PRM738" s="747"/>
      <c r="PRN738" s="747"/>
      <c r="PRO738" s="747"/>
      <c r="PRP738" s="747"/>
      <c r="PRQ738" s="747"/>
      <c r="PRR738" s="747"/>
      <c r="PRS738" s="747"/>
      <c r="PRT738" s="747"/>
      <c r="PRU738" s="747"/>
      <c r="PRV738" s="747"/>
      <c r="PRW738" s="747"/>
      <c r="PRX738" s="747"/>
      <c r="PRY738" s="747"/>
      <c r="PRZ738" s="747"/>
      <c r="PSA738" s="747"/>
      <c r="PSB738" s="747"/>
      <c r="PSC738" s="747"/>
      <c r="PSD738" s="747"/>
      <c r="PSE738" s="747"/>
      <c r="PSF738" s="747"/>
      <c r="PSG738" s="747"/>
      <c r="PSH738" s="747"/>
      <c r="PSI738" s="747"/>
      <c r="PSJ738" s="747"/>
      <c r="PSK738" s="747"/>
      <c r="PSL738" s="747"/>
      <c r="PSM738" s="747"/>
      <c r="PSN738" s="747"/>
      <c r="PSO738" s="747"/>
      <c r="PSP738" s="747"/>
      <c r="PSQ738" s="747"/>
      <c r="PSR738" s="747"/>
      <c r="PSS738" s="747"/>
      <c r="PST738" s="747"/>
      <c r="PSU738" s="747"/>
      <c r="PSV738" s="747"/>
      <c r="PSW738" s="747"/>
      <c r="PSX738" s="747"/>
      <c r="PSY738" s="747"/>
      <c r="PSZ738" s="747"/>
      <c r="PTA738" s="747"/>
      <c r="PTB738" s="747"/>
      <c r="PTC738" s="747"/>
      <c r="PTD738" s="747"/>
      <c r="PTE738" s="747"/>
      <c r="PTF738" s="747"/>
      <c r="PTG738" s="747"/>
      <c r="PTH738" s="747"/>
      <c r="PTI738" s="747"/>
      <c r="PTJ738" s="747"/>
      <c r="PTK738" s="747"/>
      <c r="PTL738" s="747"/>
      <c r="PTM738" s="747"/>
      <c r="PTN738" s="747"/>
      <c r="PTO738" s="747"/>
      <c r="PTP738" s="747"/>
      <c r="PTQ738" s="747"/>
      <c r="PTR738" s="747"/>
      <c r="PTS738" s="747"/>
      <c r="PTT738" s="747"/>
      <c r="PTU738" s="747"/>
      <c r="PTV738" s="747"/>
      <c r="PTW738" s="747"/>
      <c r="PTX738" s="747"/>
      <c r="PTY738" s="747"/>
      <c r="PTZ738" s="747"/>
      <c r="PUA738" s="747"/>
      <c r="PUB738" s="747"/>
      <c r="PUC738" s="747"/>
      <c r="PUD738" s="747"/>
      <c r="PUE738" s="747"/>
      <c r="PUF738" s="747"/>
      <c r="PUG738" s="747"/>
      <c r="PUH738" s="747"/>
      <c r="PUI738" s="747"/>
      <c r="PUJ738" s="747"/>
      <c r="PUK738" s="747"/>
      <c r="PUL738" s="747"/>
      <c r="PUM738" s="747"/>
      <c r="PUN738" s="747"/>
      <c r="PUO738" s="747"/>
      <c r="PUP738" s="747"/>
      <c r="PUQ738" s="747"/>
      <c r="PUR738" s="747"/>
      <c r="PUS738" s="747"/>
      <c r="PUT738" s="747"/>
      <c r="PUU738" s="747"/>
      <c r="PUV738" s="747"/>
      <c r="PUW738" s="747"/>
      <c r="PUX738" s="747"/>
      <c r="PUY738" s="747"/>
      <c r="PUZ738" s="747"/>
      <c r="PVA738" s="747"/>
      <c r="PVB738" s="747"/>
      <c r="PVC738" s="747"/>
      <c r="PVD738" s="747"/>
      <c r="PVE738" s="747"/>
      <c r="PVF738" s="747"/>
      <c r="PVG738" s="747"/>
      <c r="PVH738" s="747"/>
      <c r="PVI738" s="747"/>
      <c r="PVJ738" s="747"/>
      <c r="PVK738" s="747"/>
      <c r="PVL738" s="747"/>
      <c r="PVM738" s="747"/>
      <c r="PVN738" s="747"/>
      <c r="PVO738" s="747"/>
      <c r="PVP738" s="747"/>
      <c r="PVQ738" s="747"/>
      <c r="PVR738" s="747"/>
      <c r="PVS738" s="747"/>
      <c r="PVT738" s="747"/>
      <c r="PVU738" s="747"/>
      <c r="PVV738" s="747"/>
      <c r="PVW738" s="747"/>
      <c r="PVX738" s="747"/>
      <c r="PVY738" s="747"/>
      <c r="PVZ738" s="747"/>
      <c r="PWA738" s="747"/>
      <c r="PWB738" s="747"/>
      <c r="PWC738" s="747"/>
      <c r="PWD738" s="747"/>
      <c r="PWE738" s="747"/>
      <c r="PWF738" s="747"/>
      <c r="PWG738" s="747"/>
      <c r="PWH738" s="747"/>
      <c r="PWI738" s="747"/>
      <c r="PWJ738" s="747"/>
      <c r="PWK738" s="747"/>
      <c r="PWL738" s="747"/>
      <c r="PWM738" s="747"/>
      <c r="PWN738" s="747"/>
      <c r="PWO738" s="747"/>
      <c r="PWP738" s="747"/>
      <c r="PWQ738" s="747"/>
      <c r="PWR738" s="747"/>
      <c r="PWS738" s="747"/>
      <c r="PWT738" s="747"/>
      <c r="PWU738" s="747"/>
      <c r="PWV738" s="747"/>
      <c r="PWW738" s="747"/>
      <c r="PWX738" s="747"/>
      <c r="PWY738" s="747"/>
      <c r="PWZ738" s="747"/>
      <c r="PXA738" s="747"/>
      <c r="PXB738" s="747"/>
      <c r="PXC738" s="747"/>
      <c r="PXD738" s="747"/>
      <c r="PXE738" s="747"/>
      <c r="PXF738" s="747"/>
      <c r="PXG738" s="747"/>
      <c r="PXH738" s="747"/>
      <c r="PXI738" s="747"/>
      <c r="PXJ738" s="747"/>
      <c r="PXK738" s="747"/>
      <c r="PXL738" s="747"/>
      <c r="PXM738" s="747"/>
      <c r="PXN738" s="747"/>
      <c r="PXO738" s="747"/>
      <c r="PXP738" s="747"/>
      <c r="PXQ738" s="747"/>
      <c r="PXR738" s="747"/>
      <c r="PXS738" s="747"/>
      <c r="PXT738" s="747"/>
      <c r="PXU738" s="747"/>
      <c r="PXV738" s="747"/>
      <c r="PXW738" s="747"/>
      <c r="PXX738" s="747"/>
      <c r="PXY738" s="747"/>
      <c r="PXZ738" s="747"/>
      <c r="PYA738" s="747"/>
      <c r="PYB738" s="747"/>
      <c r="PYC738" s="747"/>
      <c r="PYD738" s="747"/>
      <c r="PYE738" s="747"/>
      <c r="PYF738" s="747"/>
      <c r="PYG738" s="747"/>
      <c r="PYH738" s="747"/>
      <c r="PYI738" s="747"/>
      <c r="PYJ738" s="747"/>
      <c r="PYK738" s="747"/>
      <c r="PYL738" s="747"/>
      <c r="PYM738" s="747"/>
      <c r="PYN738" s="747"/>
      <c r="PYO738" s="747"/>
      <c r="PYP738" s="747"/>
      <c r="PYQ738" s="747"/>
      <c r="PYR738" s="747"/>
      <c r="PYS738" s="747"/>
      <c r="PYT738" s="747"/>
      <c r="PYU738" s="747"/>
      <c r="PYV738" s="747"/>
      <c r="PYW738" s="747"/>
      <c r="PYX738" s="747"/>
      <c r="PYY738" s="747"/>
      <c r="PYZ738" s="747"/>
      <c r="PZA738" s="747"/>
      <c r="PZB738" s="747"/>
      <c r="PZC738" s="747"/>
      <c r="PZD738" s="747"/>
      <c r="PZE738" s="747"/>
      <c r="PZF738" s="747"/>
      <c r="PZG738" s="747"/>
      <c r="PZH738" s="747"/>
      <c r="PZI738" s="747"/>
      <c r="PZJ738" s="747"/>
      <c r="PZK738" s="747"/>
      <c r="PZL738" s="747"/>
      <c r="PZM738" s="747"/>
      <c r="PZN738" s="747"/>
      <c r="PZO738" s="747"/>
      <c r="PZP738" s="747"/>
      <c r="PZQ738" s="747"/>
      <c r="PZR738" s="747"/>
      <c r="PZS738" s="747"/>
      <c r="PZT738" s="747"/>
      <c r="PZU738" s="747"/>
      <c r="PZV738" s="747"/>
      <c r="PZW738" s="747"/>
      <c r="PZX738" s="747"/>
      <c r="PZY738" s="747"/>
      <c r="PZZ738" s="747"/>
      <c r="QAA738" s="747"/>
      <c r="QAB738" s="747"/>
      <c r="QAC738" s="747"/>
      <c r="QAD738" s="747"/>
      <c r="QAE738" s="747"/>
      <c r="QAF738" s="747"/>
      <c r="QAG738" s="747"/>
      <c r="QAH738" s="747"/>
      <c r="QAI738" s="747"/>
      <c r="QAJ738" s="747"/>
      <c r="QAK738" s="747"/>
      <c r="QAL738" s="747"/>
      <c r="QAM738" s="747"/>
      <c r="QAN738" s="747"/>
      <c r="QAO738" s="747"/>
      <c r="QAP738" s="747"/>
      <c r="QAQ738" s="747"/>
      <c r="QAR738" s="747"/>
      <c r="QAS738" s="747"/>
      <c r="QAT738" s="747"/>
      <c r="QAU738" s="747"/>
      <c r="QAV738" s="747"/>
      <c r="QAW738" s="747"/>
      <c r="QAX738" s="747"/>
      <c r="QAY738" s="747"/>
      <c r="QAZ738" s="747"/>
      <c r="QBA738" s="747"/>
      <c r="QBB738" s="747"/>
      <c r="QBC738" s="747"/>
      <c r="QBD738" s="747"/>
      <c r="QBE738" s="747"/>
      <c r="QBF738" s="747"/>
      <c r="QBG738" s="747"/>
      <c r="QBH738" s="747"/>
      <c r="QBI738" s="747"/>
      <c r="QBJ738" s="747"/>
      <c r="QBK738" s="747"/>
      <c r="QBL738" s="747"/>
      <c r="QBM738" s="747"/>
      <c r="QBN738" s="747"/>
      <c r="QBO738" s="747"/>
      <c r="QBP738" s="747"/>
      <c r="QBQ738" s="747"/>
      <c r="QBR738" s="747"/>
      <c r="QBS738" s="747"/>
      <c r="QBT738" s="747"/>
      <c r="QBU738" s="747"/>
      <c r="QBV738" s="747"/>
      <c r="QBW738" s="747"/>
      <c r="QBX738" s="747"/>
      <c r="QBY738" s="747"/>
      <c r="QBZ738" s="747"/>
      <c r="QCA738" s="747"/>
      <c r="QCB738" s="747"/>
      <c r="QCC738" s="747"/>
      <c r="QCD738" s="747"/>
      <c r="QCE738" s="747"/>
      <c r="QCF738" s="747"/>
      <c r="QCG738" s="747"/>
      <c r="QCH738" s="747"/>
      <c r="QCI738" s="747"/>
      <c r="QCJ738" s="747"/>
      <c r="QCK738" s="747"/>
      <c r="QCL738" s="747"/>
      <c r="QCM738" s="747"/>
      <c r="QCN738" s="747"/>
      <c r="QCO738" s="747"/>
      <c r="QCP738" s="747"/>
      <c r="QCQ738" s="747"/>
      <c r="QCR738" s="747"/>
      <c r="QCS738" s="747"/>
      <c r="QCT738" s="747"/>
      <c r="QCU738" s="747"/>
      <c r="QCV738" s="747"/>
      <c r="QCW738" s="747"/>
      <c r="QCX738" s="747"/>
      <c r="QCY738" s="747"/>
      <c r="QCZ738" s="747"/>
      <c r="QDA738" s="747"/>
      <c r="QDB738" s="747"/>
      <c r="QDC738" s="747"/>
      <c r="QDD738" s="747"/>
      <c r="QDE738" s="747"/>
      <c r="QDF738" s="747"/>
      <c r="QDG738" s="747"/>
      <c r="QDH738" s="747"/>
      <c r="QDI738" s="747"/>
      <c r="QDJ738" s="747"/>
      <c r="QDK738" s="747"/>
      <c r="QDL738" s="747"/>
      <c r="QDM738" s="747"/>
      <c r="QDN738" s="747"/>
      <c r="QDO738" s="747"/>
      <c r="QDP738" s="747"/>
      <c r="QDQ738" s="747"/>
      <c r="QDR738" s="747"/>
      <c r="QDS738" s="747"/>
      <c r="QDT738" s="747"/>
      <c r="QDU738" s="747"/>
      <c r="QDV738" s="747"/>
      <c r="QDW738" s="747"/>
      <c r="QDX738" s="747"/>
      <c r="QDY738" s="747"/>
      <c r="QDZ738" s="747"/>
      <c r="QEA738" s="747"/>
      <c r="QEB738" s="747"/>
      <c r="QEC738" s="747"/>
      <c r="QED738" s="747"/>
      <c r="QEE738" s="747"/>
      <c r="QEF738" s="747"/>
      <c r="QEG738" s="747"/>
      <c r="QEH738" s="747"/>
      <c r="QEI738" s="747"/>
      <c r="QEJ738" s="747"/>
      <c r="QEK738" s="747"/>
      <c r="QEL738" s="747"/>
      <c r="QEM738" s="747"/>
      <c r="QEN738" s="747"/>
      <c r="QEO738" s="747"/>
      <c r="QEP738" s="747"/>
      <c r="QEQ738" s="747"/>
      <c r="QER738" s="747"/>
      <c r="QES738" s="747"/>
      <c r="QET738" s="747"/>
      <c r="QEU738" s="747"/>
      <c r="QEV738" s="747"/>
      <c r="QEW738" s="747"/>
      <c r="QEX738" s="747"/>
      <c r="QEY738" s="747"/>
      <c r="QEZ738" s="747"/>
      <c r="QFA738" s="747"/>
      <c r="QFB738" s="747"/>
      <c r="QFC738" s="747"/>
      <c r="QFD738" s="747"/>
      <c r="QFE738" s="747"/>
      <c r="QFF738" s="747"/>
      <c r="QFG738" s="747"/>
      <c r="QFH738" s="747"/>
      <c r="QFI738" s="747"/>
      <c r="QFJ738" s="747"/>
      <c r="QFK738" s="747"/>
      <c r="QFL738" s="747"/>
      <c r="QFM738" s="747"/>
      <c r="QFN738" s="747"/>
      <c r="QFO738" s="747"/>
      <c r="QFP738" s="747"/>
      <c r="QFQ738" s="747"/>
      <c r="QFR738" s="747"/>
      <c r="QFS738" s="747"/>
      <c r="QFT738" s="747"/>
      <c r="QFU738" s="747"/>
      <c r="QFV738" s="747"/>
      <c r="QFW738" s="747"/>
      <c r="QFX738" s="747"/>
      <c r="QFY738" s="747"/>
      <c r="QFZ738" s="747"/>
      <c r="QGA738" s="747"/>
      <c r="QGB738" s="747"/>
      <c r="QGC738" s="747"/>
      <c r="QGD738" s="747"/>
      <c r="QGE738" s="747"/>
      <c r="QGF738" s="747"/>
      <c r="QGG738" s="747"/>
      <c r="QGH738" s="747"/>
      <c r="QGI738" s="747"/>
      <c r="QGJ738" s="747"/>
      <c r="QGK738" s="747"/>
      <c r="QGL738" s="747"/>
      <c r="QGM738" s="747"/>
      <c r="QGN738" s="747"/>
      <c r="QGO738" s="747"/>
      <c r="QGP738" s="747"/>
      <c r="QGQ738" s="747"/>
      <c r="QGR738" s="747"/>
      <c r="QGS738" s="747"/>
      <c r="QGT738" s="747"/>
      <c r="QGU738" s="747"/>
      <c r="QGV738" s="747"/>
      <c r="QGW738" s="747"/>
      <c r="QGX738" s="747"/>
      <c r="QGY738" s="747"/>
      <c r="QGZ738" s="747"/>
      <c r="QHA738" s="747"/>
      <c r="QHB738" s="747"/>
      <c r="QHC738" s="747"/>
      <c r="QHD738" s="747"/>
      <c r="QHE738" s="747"/>
      <c r="QHF738" s="747"/>
      <c r="QHG738" s="747"/>
      <c r="QHH738" s="747"/>
      <c r="QHI738" s="747"/>
      <c r="QHJ738" s="747"/>
      <c r="QHK738" s="747"/>
      <c r="QHL738" s="747"/>
      <c r="QHM738" s="747"/>
      <c r="QHN738" s="747"/>
      <c r="QHO738" s="747"/>
      <c r="QHP738" s="747"/>
      <c r="QHQ738" s="747"/>
      <c r="QHR738" s="747"/>
      <c r="QHS738" s="747"/>
      <c r="QHT738" s="747"/>
      <c r="QHU738" s="747"/>
      <c r="QHV738" s="747"/>
      <c r="QHW738" s="747"/>
      <c r="QHX738" s="747"/>
      <c r="QHY738" s="747"/>
      <c r="QHZ738" s="747"/>
      <c r="QIA738" s="747"/>
      <c r="QIB738" s="747"/>
      <c r="QIC738" s="747"/>
      <c r="QID738" s="747"/>
      <c r="QIE738" s="747"/>
      <c r="QIF738" s="747"/>
      <c r="QIG738" s="747"/>
      <c r="QIH738" s="747"/>
      <c r="QII738" s="747"/>
      <c r="QIJ738" s="747"/>
      <c r="QIK738" s="747"/>
      <c r="QIL738" s="747"/>
      <c r="QIM738" s="747"/>
      <c r="QIN738" s="747"/>
      <c r="QIO738" s="747"/>
      <c r="QIP738" s="747"/>
      <c r="QIQ738" s="747"/>
      <c r="QIR738" s="747"/>
      <c r="QIS738" s="747"/>
      <c r="QIT738" s="747"/>
      <c r="QIU738" s="747"/>
      <c r="QIV738" s="747"/>
      <c r="QIW738" s="747"/>
      <c r="QIX738" s="747"/>
      <c r="QIY738" s="747"/>
      <c r="QIZ738" s="747"/>
      <c r="QJA738" s="747"/>
      <c r="QJB738" s="747"/>
      <c r="QJC738" s="747"/>
      <c r="QJD738" s="747"/>
      <c r="QJE738" s="747"/>
      <c r="QJF738" s="747"/>
      <c r="QJG738" s="747"/>
      <c r="QJH738" s="747"/>
      <c r="QJI738" s="747"/>
      <c r="QJJ738" s="747"/>
      <c r="QJK738" s="747"/>
      <c r="QJL738" s="747"/>
      <c r="QJM738" s="747"/>
      <c r="QJN738" s="747"/>
      <c r="QJO738" s="747"/>
      <c r="QJP738" s="747"/>
      <c r="QJQ738" s="747"/>
      <c r="QJR738" s="747"/>
      <c r="QJS738" s="747"/>
      <c r="QJT738" s="747"/>
      <c r="QJU738" s="747"/>
      <c r="QJV738" s="747"/>
      <c r="QJW738" s="747"/>
      <c r="QJX738" s="747"/>
      <c r="QJY738" s="747"/>
      <c r="QJZ738" s="747"/>
      <c r="QKA738" s="747"/>
      <c r="QKB738" s="747"/>
      <c r="QKC738" s="747"/>
      <c r="QKD738" s="747"/>
      <c r="QKE738" s="747"/>
      <c r="QKF738" s="747"/>
      <c r="QKG738" s="747"/>
      <c r="QKH738" s="747"/>
      <c r="QKI738" s="747"/>
      <c r="QKJ738" s="747"/>
      <c r="QKK738" s="747"/>
      <c r="QKL738" s="747"/>
      <c r="QKM738" s="747"/>
      <c r="QKN738" s="747"/>
      <c r="QKO738" s="747"/>
      <c r="QKP738" s="747"/>
      <c r="QKQ738" s="747"/>
      <c r="QKR738" s="747"/>
      <c r="QKS738" s="747"/>
      <c r="QKT738" s="747"/>
      <c r="QKU738" s="747"/>
      <c r="QKV738" s="747"/>
      <c r="QKW738" s="747"/>
      <c r="QKX738" s="747"/>
      <c r="QKY738" s="747"/>
      <c r="QKZ738" s="747"/>
      <c r="QLA738" s="747"/>
      <c r="QLB738" s="747"/>
      <c r="QLC738" s="747"/>
      <c r="QLD738" s="747"/>
      <c r="QLE738" s="747"/>
      <c r="QLF738" s="747"/>
      <c r="QLG738" s="747"/>
      <c r="QLH738" s="747"/>
      <c r="QLI738" s="747"/>
      <c r="QLJ738" s="747"/>
      <c r="QLK738" s="747"/>
      <c r="QLL738" s="747"/>
      <c r="QLM738" s="747"/>
      <c r="QLN738" s="747"/>
      <c r="QLO738" s="747"/>
      <c r="QLP738" s="747"/>
      <c r="QLQ738" s="747"/>
      <c r="QLR738" s="747"/>
      <c r="QLS738" s="747"/>
      <c r="QLT738" s="747"/>
      <c r="QLU738" s="747"/>
      <c r="QLV738" s="747"/>
      <c r="QLW738" s="747"/>
      <c r="QLX738" s="747"/>
      <c r="QLY738" s="747"/>
      <c r="QLZ738" s="747"/>
      <c r="QMA738" s="747"/>
      <c r="QMB738" s="747"/>
      <c r="QMC738" s="747"/>
      <c r="QMD738" s="747"/>
      <c r="QME738" s="747"/>
      <c r="QMF738" s="747"/>
      <c r="QMG738" s="747"/>
      <c r="QMH738" s="747"/>
      <c r="QMI738" s="747"/>
      <c r="QMJ738" s="747"/>
      <c r="QMK738" s="747"/>
      <c r="QML738" s="747"/>
      <c r="QMM738" s="747"/>
      <c r="QMN738" s="747"/>
      <c r="QMO738" s="747"/>
      <c r="QMP738" s="747"/>
      <c r="QMQ738" s="747"/>
      <c r="QMR738" s="747"/>
      <c r="QMS738" s="747"/>
      <c r="QMT738" s="747"/>
      <c r="QMU738" s="747"/>
      <c r="QMV738" s="747"/>
      <c r="QMW738" s="747"/>
      <c r="QMX738" s="747"/>
      <c r="QMY738" s="747"/>
      <c r="QMZ738" s="747"/>
      <c r="QNA738" s="747"/>
      <c r="QNB738" s="747"/>
      <c r="QNC738" s="747"/>
      <c r="QND738" s="747"/>
      <c r="QNE738" s="747"/>
      <c r="QNF738" s="747"/>
      <c r="QNG738" s="747"/>
      <c r="QNH738" s="747"/>
      <c r="QNI738" s="747"/>
      <c r="QNJ738" s="747"/>
      <c r="QNK738" s="747"/>
      <c r="QNL738" s="747"/>
      <c r="QNM738" s="747"/>
      <c r="QNN738" s="747"/>
      <c r="QNO738" s="747"/>
      <c r="QNP738" s="747"/>
      <c r="QNQ738" s="747"/>
      <c r="QNR738" s="747"/>
      <c r="QNS738" s="747"/>
      <c r="QNT738" s="747"/>
      <c r="QNU738" s="747"/>
      <c r="QNV738" s="747"/>
      <c r="QNW738" s="747"/>
      <c r="QNX738" s="747"/>
      <c r="QNY738" s="747"/>
      <c r="QNZ738" s="747"/>
      <c r="QOA738" s="747"/>
      <c r="QOB738" s="747"/>
      <c r="QOC738" s="747"/>
      <c r="QOD738" s="747"/>
      <c r="QOE738" s="747"/>
      <c r="QOF738" s="747"/>
      <c r="QOG738" s="747"/>
      <c r="QOH738" s="747"/>
      <c r="QOI738" s="747"/>
      <c r="QOJ738" s="747"/>
      <c r="QOK738" s="747"/>
      <c r="QOL738" s="747"/>
      <c r="QOM738" s="747"/>
      <c r="QON738" s="747"/>
      <c r="QOO738" s="747"/>
      <c r="QOP738" s="747"/>
      <c r="QOQ738" s="747"/>
      <c r="QOR738" s="747"/>
      <c r="QOS738" s="747"/>
      <c r="QOT738" s="747"/>
      <c r="QOU738" s="747"/>
      <c r="QOV738" s="747"/>
      <c r="QOW738" s="747"/>
      <c r="QOX738" s="747"/>
      <c r="QOY738" s="747"/>
      <c r="QOZ738" s="747"/>
      <c r="QPA738" s="747"/>
      <c r="QPB738" s="747"/>
      <c r="QPC738" s="747"/>
      <c r="QPD738" s="747"/>
      <c r="QPE738" s="747"/>
      <c r="QPF738" s="747"/>
      <c r="QPG738" s="747"/>
      <c r="QPH738" s="747"/>
      <c r="QPI738" s="747"/>
      <c r="QPJ738" s="747"/>
      <c r="QPK738" s="747"/>
      <c r="QPL738" s="747"/>
      <c r="QPM738" s="747"/>
      <c r="QPN738" s="747"/>
      <c r="QPO738" s="747"/>
      <c r="QPP738" s="747"/>
      <c r="QPQ738" s="747"/>
      <c r="QPR738" s="747"/>
      <c r="QPS738" s="747"/>
      <c r="QPT738" s="747"/>
      <c r="QPU738" s="747"/>
      <c r="QPV738" s="747"/>
      <c r="QPW738" s="747"/>
      <c r="QPX738" s="747"/>
      <c r="QPY738" s="747"/>
      <c r="QPZ738" s="747"/>
      <c r="QQA738" s="747"/>
      <c r="QQB738" s="747"/>
      <c r="QQC738" s="747"/>
      <c r="QQD738" s="747"/>
      <c r="QQE738" s="747"/>
      <c r="QQF738" s="747"/>
      <c r="QQG738" s="747"/>
      <c r="QQH738" s="747"/>
      <c r="QQI738" s="747"/>
      <c r="QQJ738" s="747"/>
      <c r="QQK738" s="747"/>
      <c r="QQL738" s="747"/>
      <c r="QQM738" s="747"/>
      <c r="QQN738" s="747"/>
      <c r="QQO738" s="747"/>
      <c r="QQP738" s="747"/>
      <c r="QQQ738" s="747"/>
      <c r="QQR738" s="747"/>
      <c r="QQS738" s="747"/>
      <c r="QQT738" s="747"/>
      <c r="QQU738" s="747"/>
      <c r="QQV738" s="747"/>
      <c r="QQW738" s="747"/>
      <c r="QQX738" s="747"/>
      <c r="QQY738" s="747"/>
      <c r="QQZ738" s="747"/>
      <c r="QRA738" s="747"/>
      <c r="QRB738" s="747"/>
      <c r="QRC738" s="747"/>
      <c r="QRD738" s="747"/>
      <c r="QRE738" s="747"/>
      <c r="QRF738" s="747"/>
      <c r="QRG738" s="747"/>
      <c r="QRH738" s="747"/>
      <c r="QRI738" s="747"/>
      <c r="QRJ738" s="747"/>
      <c r="QRK738" s="747"/>
      <c r="QRL738" s="747"/>
      <c r="QRM738" s="747"/>
      <c r="QRN738" s="747"/>
      <c r="QRO738" s="747"/>
      <c r="QRP738" s="747"/>
      <c r="QRQ738" s="747"/>
      <c r="QRR738" s="747"/>
      <c r="QRS738" s="747"/>
      <c r="QRT738" s="747"/>
      <c r="QRU738" s="747"/>
      <c r="QRV738" s="747"/>
      <c r="QRW738" s="747"/>
      <c r="QRX738" s="747"/>
      <c r="QRY738" s="747"/>
      <c r="QRZ738" s="747"/>
      <c r="QSA738" s="747"/>
      <c r="QSB738" s="747"/>
      <c r="QSC738" s="747"/>
      <c r="QSD738" s="747"/>
      <c r="QSE738" s="747"/>
      <c r="QSF738" s="747"/>
      <c r="QSG738" s="747"/>
      <c r="QSH738" s="747"/>
      <c r="QSI738" s="747"/>
      <c r="QSJ738" s="747"/>
      <c r="QSK738" s="747"/>
      <c r="QSL738" s="747"/>
      <c r="QSM738" s="747"/>
      <c r="QSN738" s="747"/>
      <c r="QSO738" s="747"/>
      <c r="QSP738" s="747"/>
      <c r="QSQ738" s="747"/>
      <c r="QSR738" s="747"/>
      <c r="QSS738" s="747"/>
      <c r="QST738" s="747"/>
      <c r="QSU738" s="747"/>
      <c r="QSV738" s="747"/>
      <c r="QSW738" s="747"/>
      <c r="QSX738" s="747"/>
      <c r="QSY738" s="747"/>
      <c r="QSZ738" s="747"/>
      <c r="QTA738" s="747"/>
      <c r="QTB738" s="747"/>
      <c r="QTC738" s="747"/>
      <c r="QTD738" s="747"/>
      <c r="QTE738" s="747"/>
      <c r="QTF738" s="747"/>
      <c r="QTG738" s="747"/>
      <c r="QTH738" s="747"/>
      <c r="QTI738" s="747"/>
      <c r="QTJ738" s="747"/>
      <c r="QTK738" s="747"/>
      <c r="QTL738" s="747"/>
      <c r="QTM738" s="747"/>
      <c r="QTN738" s="747"/>
      <c r="QTO738" s="747"/>
      <c r="QTP738" s="747"/>
      <c r="QTQ738" s="747"/>
      <c r="QTR738" s="747"/>
      <c r="QTS738" s="747"/>
      <c r="QTT738" s="747"/>
      <c r="QTU738" s="747"/>
      <c r="QTV738" s="747"/>
      <c r="QTW738" s="747"/>
      <c r="QTX738" s="747"/>
      <c r="QTY738" s="747"/>
      <c r="QTZ738" s="747"/>
      <c r="QUA738" s="747"/>
      <c r="QUB738" s="747"/>
      <c r="QUC738" s="747"/>
      <c r="QUD738" s="747"/>
      <c r="QUE738" s="747"/>
      <c r="QUF738" s="747"/>
      <c r="QUG738" s="747"/>
      <c r="QUH738" s="747"/>
      <c r="QUI738" s="747"/>
      <c r="QUJ738" s="747"/>
      <c r="QUK738" s="747"/>
      <c r="QUL738" s="747"/>
      <c r="QUM738" s="747"/>
      <c r="QUN738" s="747"/>
      <c r="QUO738" s="747"/>
      <c r="QUP738" s="747"/>
      <c r="QUQ738" s="747"/>
      <c r="QUR738" s="747"/>
      <c r="QUS738" s="747"/>
      <c r="QUT738" s="747"/>
      <c r="QUU738" s="747"/>
      <c r="QUV738" s="747"/>
      <c r="QUW738" s="747"/>
      <c r="QUX738" s="747"/>
      <c r="QUY738" s="747"/>
      <c r="QUZ738" s="747"/>
      <c r="QVA738" s="747"/>
      <c r="QVB738" s="747"/>
      <c r="QVC738" s="747"/>
      <c r="QVD738" s="747"/>
      <c r="QVE738" s="747"/>
      <c r="QVF738" s="747"/>
      <c r="QVG738" s="747"/>
      <c r="QVH738" s="747"/>
      <c r="QVI738" s="747"/>
      <c r="QVJ738" s="747"/>
      <c r="QVK738" s="747"/>
      <c r="QVL738" s="747"/>
      <c r="QVM738" s="747"/>
      <c r="QVN738" s="747"/>
      <c r="QVO738" s="747"/>
      <c r="QVP738" s="747"/>
      <c r="QVQ738" s="747"/>
      <c r="QVR738" s="747"/>
      <c r="QVS738" s="747"/>
      <c r="QVT738" s="747"/>
      <c r="QVU738" s="747"/>
      <c r="QVV738" s="747"/>
      <c r="QVW738" s="747"/>
      <c r="QVX738" s="747"/>
      <c r="QVY738" s="747"/>
      <c r="QVZ738" s="747"/>
      <c r="QWA738" s="747"/>
      <c r="QWB738" s="747"/>
      <c r="QWC738" s="747"/>
      <c r="QWD738" s="747"/>
      <c r="QWE738" s="747"/>
      <c r="QWF738" s="747"/>
      <c r="QWG738" s="747"/>
      <c r="QWH738" s="747"/>
      <c r="QWI738" s="747"/>
      <c r="QWJ738" s="747"/>
      <c r="QWK738" s="747"/>
      <c r="QWL738" s="747"/>
      <c r="QWM738" s="747"/>
      <c r="QWN738" s="747"/>
      <c r="QWO738" s="747"/>
      <c r="QWP738" s="747"/>
      <c r="QWQ738" s="747"/>
      <c r="QWR738" s="747"/>
      <c r="QWS738" s="747"/>
      <c r="QWT738" s="747"/>
      <c r="QWU738" s="747"/>
      <c r="QWV738" s="747"/>
      <c r="QWW738" s="747"/>
      <c r="QWX738" s="747"/>
      <c r="QWY738" s="747"/>
      <c r="QWZ738" s="747"/>
      <c r="QXA738" s="747"/>
      <c r="QXB738" s="747"/>
      <c r="QXC738" s="747"/>
      <c r="QXD738" s="747"/>
      <c r="QXE738" s="747"/>
      <c r="QXF738" s="747"/>
      <c r="QXG738" s="747"/>
      <c r="QXH738" s="747"/>
      <c r="QXI738" s="747"/>
      <c r="QXJ738" s="747"/>
      <c r="QXK738" s="747"/>
      <c r="QXL738" s="747"/>
      <c r="QXM738" s="747"/>
      <c r="QXN738" s="747"/>
      <c r="QXO738" s="747"/>
      <c r="QXP738" s="747"/>
      <c r="QXQ738" s="747"/>
      <c r="QXR738" s="747"/>
      <c r="QXS738" s="747"/>
      <c r="QXT738" s="747"/>
      <c r="QXU738" s="747"/>
      <c r="QXV738" s="747"/>
      <c r="QXW738" s="747"/>
      <c r="QXX738" s="747"/>
      <c r="QXY738" s="747"/>
      <c r="QXZ738" s="747"/>
      <c r="QYA738" s="747"/>
      <c r="QYB738" s="747"/>
      <c r="QYC738" s="747"/>
      <c r="QYD738" s="747"/>
      <c r="QYE738" s="747"/>
      <c r="QYF738" s="747"/>
      <c r="QYG738" s="747"/>
      <c r="QYH738" s="747"/>
      <c r="QYI738" s="747"/>
      <c r="QYJ738" s="747"/>
      <c r="QYK738" s="747"/>
      <c r="QYL738" s="747"/>
      <c r="QYM738" s="747"/>
      <c r="QYN738" s="747"/>
      <c r="QYO738" s="747"/>
      <c r="QYP738" s="747"/>
      <c r="QYQ738" s="747"/>
      <c r="QYR738" s="747"/>
      <c r="QYS738" s="747"/>
      <c r="QYT738" s="747"/>
      <c r="QYU738" s="747"/>
      <c r="QYV738" s="747"/>
      <c r="QYW738" s="747"/>
      <c r="QYX738" s="747"/>
      <c r="QYY738" s="747"/>
      <c r="QYZ738" s="747"/>
      <c r="QZA738" s="747"/>
      <c r="QZB738" s="747"/>
      <c r="QZC738" s="747"/>
      <c r="QZD738" s="747"/>
      <c r="QZE738" s="747"/>
      <c r="QZF738" s="747"/>
      <c r="QZG738" s="747"/>
      <c r="QZH738" s="747"/>
      <c r="QZI738" s="747"/>
      <c r="QZJ738" s="747"/>
      <c r="QZK738" s="747"/>
      <c r="QZL738" s="747"/>
      <c r="QZM738" s="747"/>
      <c r="QZN738" s="747"/>
      <c r="QZO738" s="747"/>
      <c r="QZP738" s="747"/>
      <c r="QZQ738" s="747"/>
      <c r="QZR738" s="747"/>
      <c r="QZS738" s="747"/>
      <c r="QZT738" s="747"/>
      <c r="QZU738" s="747"/>
      <c r="QZV738" s="747"/>
      <c r="QZW738" s="747"/>
      <c r="QZX738" s="747"/>
      <c r="QZY738" s="747"/>
      <c r="QZZ738" s="747"/>
      <c r="RAA738" s="747"/>
      <c r="RAB738" s="747"/>
      <c r="RAC738" s="747"/>
      <c r="RAD738" s="747"/>
      <c r="RAE738" s="747"/>
      <c r="RAF738" s="747"/>
      <c r="RAG738" s="747"/>
      <c r="RAH738" s="747"/>
      <c r="RAI738" s="747"/>
      <c r="RAJ738" s="747"/>
      <c r="RAK738" s="747"/>
      <c r="RAL738" s="747"/>
      <c r="RAM738" s="747"/>
      <c r="RAN738" s="747"/>
      <c r="RAO738" s="747"/>
      <c r="RAP738" s="747"/>
      <c r="RAQ738" s="747"/>
      <c r="RAR738" s="747"/>
      <c r="RAS738" s="747"/>
      <c r="RAT738" s="747"/>
      <c r="RAU738" s="747"/>
      <c r="RAV738" s="747"/>
      <c r="RAW738" s="747"/>
      <c r="RAX738" s="747"/>
      <c r="RAY738" s="747"/>
      <c r="RAZ738" s="747"/>
      <c r="RBA738" s="747"/>
      <c r="RBB738" s="747"/>
      <c r="RBC738" s="747"/>
      <c r="RBD738" s="747"/>
      <c r="RBE738" s="747"/>
      <c r="RBF738" s="747"/>
      <c r="RBG738" s="747"/>
      <c r="RBH738" s="747"/>
      <c r="RBI738" s="747"/>
      <c r="RBJ738" s="747"/>
      <c r="RBK738" s="747"/>
      <c r="RBL738" s="747"/>
      <c r="RBM738" s="747"/>
      <c r="RBN738" s="747"/>
      <c r="RBO738" s="747"/>
      <c r="RBP738" s="747"/>
      <c r="RBQ738" s="747"/>
      <c r="RBR738" s="747"/>
      <c r="RBS738" s="747"/>
      <c r="RBT738" s="747"/>
      <c r="RBU738" s="747"/>
      <c r="RBV738" s="747"/>
      <c r="RBW738" s="747"/>
      <c r="RBX738" s="747"/>
      <c r="RBY738" s="747"/>
      <c r="RBZ738" s="747"/>
      <c r="RCA738" s="747"/>
      <c r="RCB738" s="747"/>
      <c r="RCC738" s="747"/>
      <c r="RCD738" s="747"/>
      <c r="RCE738" s="747"/>
      <c r="RCF738" s="747"/>
      <c r="RCG738" s="747"/>
      <c r="RCH738" s="747"/>
      <c r="RCI738" s="747"/>
      <c r="RCJ738" s="747"/>
      <c r="RCK738" s="747"/>
      <c r="RCL738" s="747"/>
      <c r="RCM738" s="747"/>
      <c r="RCN738" s="747"/>
      <c r="RCO738" s="747"/>
      <c r="RCP738" s="747"/>
      <c r="RCQ738" s="747"/>
      <c r="RCR738" s="747"/>
      <c r="RCS738" s="747"/>
      <c r="RCT738" s="747"/>
      <c r="RCU738" s="747"/>
      <c r="RCV738" s="747"/>
      <c r="RCW738" s="747"/>
      <c r="RCX738" s="747"/>
      <c r="RCY738" s="747"/>
      <c r="RCZ738" s="747"/>
      <c r="RDA738" s="747"/>
      <c r="RDB738" s="747"/>
      <c r="RDC738" s="747"/>
      <c r="RDD738" s="747"/>
      <c r="RDE738" s="747"/>
      <c r="RDF738" s="747"/>
      <c r="RDG738" s="747"/>
      <c r="RDH738" s="747"/>
      <c r="RDI738" s="747"/>
      <c r="RDJ738" s="747"/>
      <c r="RDK738" s="747"/>
      <c r="RDL738" s="747"/>
      <c r="RDM738" s="747"/>
      <c r="RDN738" s="747"/>
      <c r="RDO738" s="747"/>
      <c r="RDP738" s="747"/>
      <c r="RDQ738" s="747"/>
      <c r="RDR738" s="747"/>
      <c r="RDS738" s="747"/>
      <c r="RDT738" s="747"/>
      <c r="RDU738" s="747"/>
      <c r="RDV738" s="747"/>
      <c r="RDW738" s="747"/>
      <c r="RDX738" s="747"/>
      <c r="RDY738" s="747"/>
      <c r="RDZ738" s="747"/>
      <c r="REA738" s="747"/>
      <c r="REB738" s="747"/>
      <c r="REC738" s="747"/>
      <c r="RED738" s="747"/>
      <c r="REE738" s="747"/>
      <c r="REF738" s="747"/>
      <c r="REG738" s="747"/>
      <c r="REH738" s="747"/>
      <c r="REI738" s="747"/>
      <c r="REJ738" s="747"/>
      <c r="REK738" s="747"/>
      <c r="REL738" s="747"/>
      <c r="REM738" s="747"/>
      <c r="REN738" s="747"/>
      <c r="REO738" s="747"/>
      <c r="REP738" s="747"/>
      <c r="REQ738" s="747"/>
      <c r="RER738" s="747"/>
      <c r="RES738" s="747"/>
      <c r="RET738" s="747"/>
      <c r="REU738" s="747"/>
      <c r="REV738" s="747"/>
      <c r="REW738" s="747"/>
      <c r="REX738" s="747"/>
      <c r="REY738" s="747"/>
      <c r="REZ738" s="747"/>
      <c r="RFA738" s="747"/>
      <c r="RFB738" s="747"/>
      <c r="RFC738" s="747"/>
      <c r="RFD738" s="747"/>
      <c r="RFE738" s="747"/>
      <c r="RFF738" s="747"/>
      <c r="RFG738" s="747"/>
      <c r="RFH738" s="747"/>
      <c r="RFI738" s="747"/>
      <c r="RFJ738" s="747"/>
      <c r="RFK738" s="747"/>
      <c r="RFL738" s="747"/>
      <c r="RFM738" s="747"/>
      <c r="RFN738" s="747"/>
      <c r="RFO738" s="747"/>
      <c r="RFP738" s="747"/>
      <c r="RFQ738" s="747"/>
      <c r="RFR738" s="747"/>
      <c r="RFS738" s="747"/>
      <c r="RFT738" s="747"/>
      <c r="RFU738" s="747"/>
      <c r="RFV738" s="747"/>
      <c r="RFW738" s="747"/>
      <c r="RFX738" s="747"/>
      <c r="RFY738" s="747"/>
      <c r="RFZ738" s="747"/>
      <c r="RGA738" s="747"/>
      <c r="RGB738" s="747"/>
      <c r="RGC738" s="747"/>
      <c r="RGD738" s="747"/>
      <c r="RGE738" s="747"/>
      <c r="RGF738" s="747"/>
      <c r="RGG738" s="747"/>
      <c r="RGH738" s="747"/>
      <c r="RGI738" s="747"/>
      <c r="RGJ738" s="747"/>
      <c r="RGK738" s="747"/>
      <c r="RGL738" s="747"/>
      <c r="RGM738" s="747"/>
      <c r="RGN738" s="747"/>
      <c r="RGO738" s="747"/>
      <c r="RGP738" s="747"/>
      <c r="RGQ738" s="747"/>
      <c r="RGR738" s="747"/>
      <c r="RGS738" s="747"/>
      <c r="RGT738" s="747"/>
      <c r="RGU738" s="747"/>
      <c r="RGV738" s="747"/>
      <c r="RGW738" s="747"/>
      <c r="RGX738" s="747"/>
      <c r="RGY738" s="747"/>
      <c r="RGZ738" s="747"/>
      <c r="RHA738" s="747"/>
      <c r="RHB738" s="747"/>
      <c r="RHC738" s="747"/>
      <c r="RHD738" s="747"/>
      <c r="RHE738" s="747"/>
      <c r="RHF738" s="747"/>
      <c r="RHG738" s="747"/>
      <c r="RHH738" s="747"/>
      <c r="RHI738" s="747"/>
      <c r="RHJ738" s="747"/>
      <c r="RHK738" s="747"/>
      <c r="RHL738" s="747"/>
      <c r="RHM738" s="747"/>
      <c r="RHN738" s="747"/>
      <c r="RHO738" s="747"/>
      <c r="RHP738" s="747"/>
      <c r="RHQ738" s="747"/>
      <c r="RHR738" s="747"/>
      <c r="RHS738" s="747"/>
      <c r="RHT738" s="747"/>
      <c r="RHU738" s="747"/>
      <c r="RHV738" s="747"/>
      <c r="RHW738" s="747"/>
      <c r="RHX738" s="747"/>
      <c r="RHY738" s="747"/>
      <c r="RHZ738" s="747"/>
      <c r="RIA738" s="747"/>
      <c r="RIB738" s="747"/>
      <c r="RIC738" s="747"/>
      <c r="RID738" s="747"/>
      <c r="RIE738" s="747"/>
      <c r="RIF738" s="747"/>
      <c r="RIG738" s="747"/>
      <c r="RIH738" s="747"/>
      <c r="RII738" s="747"/>
      <c r="RIJ738" s="747"/>
      <c r="RIK738" s="747"/>
      <c r="RIL738" s="747"/>
      <c r="RIM738" s="747"/>
      <c r="RIN738" s="747"/>
      <c r="RIO738" s="747"/>
      <c r="RIP738" s="747"/>
      <c r="RIQ738" s="747"/>
      <c r="RIR738" s="747"/>
      <c r="RIS738" s="747"/>
      <c r="RIT738" s="747"/>
      <c r="RIU738" s="747"/>
      <c r="RIV738" s="747"/>
      <c r="RIW738" s="747"/>
      <c r="RIX738" s="747"/>
      <c r="RIY738" s="747"/>
      <c r="RIZ738" s="747"/>
      <c r="RJA738" s="747"/>
      <c r="RJB738" s="747"/>
      <c r="RJC738" s="747"/>
      <c r="RJD738" s="747"/>
      <c r="RJE738" s="747"/>
      <c r="RJF738" s="747"/>
      <c r="RJG738" s="747"/>
      <c r="RJH738" s="747"/>
      <c r="RJI738" s="747"/>
      <c r="RJJ738" s="747"/>
      <c r="RJK738" s="747"/>
      <c r="RJL738" s="747"/>
      <c r="RJM738" s="747"/>
      <c r="RJN738" s="747"/>
      <c r="RJO738" s="747"/>
      <c r="RJP738" s="747"/>
      <c r="RJQ738" s="747"/>
      <c r="RJR738" s="747"/>
      <c r="RJS738" s="747"/>
      <c r="RJT738" s="747"/>
      <c r="RJU738" s="747"/>
      <c r="RJV738" s="747"/>
      <c r="RJW738" s="747"/>
      <c r="RJX738" s="747"/>
      <c r="RJY738" s="747"/>
      <c r="RJZ738" s="747"/>
      <c r="RKA738" s="747"/>
      <c r="RKB738" s="747"/>
      <c r="RKC738" s="747"/>
      <c r="RKD738" s="747"/>
      <c r="RKE738" s="747"/>
      <c r="RKF738" s="747"/>
      <c r="RKG738" s="747"/>
      <c r="RKH738" s="747"/>
      <c r="RKI738" s="747"/>
      <c r="RKJ738" s="747"/>
      <c r="RKK738" s="747"/>
      <c r="RKL738" s="747"/>
      <c r="RKM738" s="747"/>
      <c r="RKN738" s="747"/>
      <c r="RKO738" s="747"/>
      <c r="RKP738" s="747"/>
      <c r="RKQ738" s="747"/>
      <c r="RKR738" s="747"/>
      <c r="RKS738" s="747"/>
      <c r="RKT738" s="747"/>
      <c r="RKU738" s="747"/>
      <c r="RKV738" s="747"/>
      <c r="RKW738" s="747"/>
      <c r="RKX738" s="747"/>
      <c r="RKY738" s="747"/>
      <c r="RKZ738" s="747"/>
      <c r="RLA738" s="747"/>
      <c r="RLB738" s="747"/>
      <c r="RLC738" s="747"/>
      <c r="RLD738" s="747"/>
      <c r="RLE738" s="747"/>
      <c r="RLF738" s="747"/>
      <c r="RLG738" s="747"/>
      <c r="RLH738" s="747"/>
      <c r="RLI738" s="747"/>
      <c r="RLJ738" s="747"/>
      <c r="RLK738" s="747"/>
      <c r="RLL738" s="747"/>
      <c r="RLM738" s="747"/>
      <c r="RLN738" s="747"/>
      <c r="RLO738" s="747"/>
      <c r="RLP738" s="747"/>
      <c r="RLQ738" s="747"/>
      <c r="RLR738" s="747"/>
      <c r="RLS738" s="747"/>
      <c r="RLT738" s="747"/>
      <c r="RLU738" s="747"/>
      <c r="RLV738" s="747"/>
      <c r="RLW738" s="747"/>
      <c r="RLX738" s="747"/>
      <c r="RLY738" s="747"/>
      <c r="RLZ738" s="747"/>
      <c r="RMA738" s="747"/>
      <c r="RMB738" s="747"/>
      <c r="RMC738" s="747"/>
      <c r="RMD738" s="747"/>
      <c r="RME738" s="747"/>
      <c r="RMF738" s="747"/>
      <c r="RMG738" s="747"/>
      <c r="RMH738" s="747"/>
      <c r="RMI738" s="747"/>
      <c r="RMJ738" s="747"/>
      <c r="RMK738" s="747"/>
      <c r="RML738" s="747"/>
      <c r="RMM738" s="747"/>
      <c r="RMN738" s="747"/>
      <c r="RMO738" s="747"/>
      <c r="RMP738" s="747"/>
      <c r="RMQ738" s="747"/>
      <c r="RMR738" s="747"/>
      <c r="RMS738" s="747"/>
      <c r="RMT738" s="747"/>
      <c r="RMU738" s="747"/>
      <c r="RMV738" s="747"/>
      <c r="RMW738" s="747"/>
      <c r="RMX738" s="747"/>
      <c r="RMY738" s="747"/>
      <c r="RMZ738" s="747"/>
      <c r="RNA738" s="747"/>
      <c r="RNB738" s="747"/>
      <c r="RNC738" s="747"/>
      <c r="RND738" s="747"/>
      <c r="RNE738" s="747"/>
      <c r="RNF738" s="747"/>
      <c r="RNG738" s="747"/>
      <c r="RNH738" s="747"/>
      <c r="RNI738" s="747"/>
      <c r="RNJ738" s="747"/>
      <c r="RNK738" s="747"/>
      <c r="RNL738" s="747"/>
      <c r="RNM738" s="747"/>
      <c r="RNN738" s="747"/>
      <c r="RNO738" s="747"/>
      <c r="RNP738" s="747"/>
      <c r="RNQ738" s="747"/>
      <c r="RNR738" s="747"/>
      <c r="RNS738" s="747"/>
      <c r="RNT738" s="747"/>
      <c r="RNU738" s="747"/>
      <c r="RNV738" s="747"/>
      <c r="RNW738" s="747"/>
      <c r="RNX738" s="747"/>
      <c r="RNY738" s="747"/>
      <c r="RNZ738" s="747"/>
      <c r="ROA738" s="747"/>
      <c r="ROB738" s="747"/>
      <c r="ROC738" s="747"/>
      <c r="ROD738" s="747"/>
      <c r="ROE738" s="747"/>
      <c r="ROF738" s="747"/>
      <c r="ROG738" s="747"/>
      <c r="ROH738" s="747"/>
      <c r="ROI738" s="747"/>
      <c r="ROJ738" s="747"/>
      <c r="ROK738" s="747"/>
      <c r="ROL738" s="747"/>
      <c r="ROM738" s="747"/>
      <c r="RON738" s="747"/>
      <c r="ROO738" s="747"/>
      <c r="ROP738" s="747"/>
      <c r="ROQ738" s="747"/>
      <c r="ROR738" s="747"/>
      <c r="ROS738" s="747"/>
      <c r="ROT738" s="747"/>
      <c r="ROU738" s="747"/>
      <c r="ROV738" s="747"/>
      <c r="ROW738" s="747"/>
      <c r="ROX738" s="747"/>
      <c r="ROY738" s="747"/>
      <c r="ROZ738" s="747"/>
      <c r="RPA738" s="747"/>
      <c r="RPB738" s="747"/>
      <c r="RPC738" s="747"/>
      <c r="RPD738" s="747"/>
      <c r="RPE738" s="747"/>
      <c r="RPF738" s="747"/>
      <c r="RPG738" s="747"/>
      <c r="RPH738" s="747"/>
      <c r="RPI738" s="747"/>
      <c r="RPJ738" s="747"/>
      <c r="RPK738" s="747"/>
      <c r="RPL738" s="747"/>
      <c r="RPM738" s="747"/>
      <c r="RPN738" s="747"/>
      <c r="RPO738" s="747"/>
      <c r="RPP738" s="747"/>
      <c r="RPQ738" s="747"/>
      <c r="RPR738" s="747"/>
      <c r="RPS738" s="747"/>
      <c r="RPT738" s="747"/>
      <c r="RPU738" s="747"/>
      <c r="RPV738" s="747"/>
      <c r="RPW738" s="747"/>
      <c r="RPX738" s="747"/>
      <c r="RPY738" s="747"/>
      <c r="RPZ738" s="747"/>
      <c r="RQA738" s="747"/>
      <c r="RQB738" s="747"/>
      <c r="RQC738" s="747"/>
      <c r="RQD738" s="747"/>
      <c r="RQE738" s="747"/>
      <c r="RQF738" s="747"/>
      <c r="RQG738" s="747"/>
      <c r="RQH738" s="747"/>
      <c r="RQI738" s="747"/>
      <c r="RQJ738" s="747"/>
      <c r="RQK738" s="747"/>
      <c r="RQL738" s="747"/>
      <c r="RQM738" s="747"/>
      <c r="RQN738" s="747"/>
      <c r="RQO738" s="747"/>
      <c r="RQP738" s="747"/>
      <c r="RQQ738" s="747"/>
      <c r="RQR738" s="747"/>
      <c r="RQS738" s="747"/>
      <c r="RQT738" s="747"/>
      <c r="RQU738" s="747"/>
      <c r="RQV738" s="747"/>
      <c r="RQW738" s="747"/>
      <c r="RQX738" s="747"/>
      <c r="RQY738" s="747"/>
      <c r="RQZ738" s="747"/>
      <c r="RRA738" s="747"/>
      <c r="RRB738" s="747"/>
      <c r="RRC738" s="747"/>
      <c r="RRD738" s="747"/>
      <c r="RRE738" s="747"/>
      <c r="RRF738" s="747"/>
      <c r="RRG738" s="747"/>
      <c r="RRH738" s="747"/>
      <c r="RRI738" s="747"/>
      <c r="RRJ738" s="747"/>
      <c r="RRK738" s="747"/>
      <c r="RRL738" s="747"/>
      <c r="RRM738" s="747"/>
      <c r="RRN738" s="747"/>
      <c r="RRO738" s="747"/>
      <c r="RRP738" s="747"/>
      <c r="RRQ738" s="747"/>
      <c r="RRR738" s="747"/>
      <c r="RRS738" s="747"/>
      <c r="RRT738" s="747"/>
      <c r="RRU738" s="747"/>
      <c r="RRV738" s="747"/>
      <c r="RRW738" s="747"/>
      <c r="RRX738" s="747"/>
      <c r="RRY738" s="747"/>
      <c r="RRZ738" s="747"/>
      <c r="RSA738" s="747"/>
      <c r="RSB738" s="747"/>
      <c r="RSC738" s="747"/>
      <c r="RSD738" s="747"/>
      <c r="RSE738" s="747"/>
      <c r="RSF738" s="747"/>
      <c r="RSG738" s="747"/>
      <c r="RSH738" s="747"/>
      <c r="RSI738" s="747"/>
      <c r="RSJ738" s="747"/>
      <c r="RSK738" s="747"/>
      <c r="RSL738" s="747"/>
      <c r="RSM738" s="747"/>
      <c r="RSN738" s="747"/>
      <c r="RSO738" s="747"/>
      <c r="RSP738" s="747"/>
      <c r="RSQ738" s="747"/>
      <c r="RSR738" s="747"/>
      <c r="RSS738" s="747"/>
      <c r="RST738" s="747"/>
      <c r="RSU738" s="747"/>
      <c r="RSV738" s="747"/>
      <c r="RSW738" s="747"/>
      <c r="RSX738" s="747"/>
      <c r="RSY738" s="747"/>
      <c r="RSZ738" s="747"/>
      <c r="RTA738" s="747"/>
      <c r="RTB738" s="747"/>
      <c r="RTC738" s="747"/>
      <c r="RTD738" s="747"/>
      <c r="RTE738" s="747"/>
      <c r="RTF738" s="747"/>
      <c r="RTG738" s="747"/>
      <c r="RTH738" s="747"/>
      <c r="RTI738" s="747"/>
      <c r="RTJ738" s="747"/>
      <c r="RTK738" s="747"/>
      <c r="RTL738" s="747"/>
      <c r="RTM738" s="747"/>
      <c r="RTN738" s="747"/>
      <c r="RTO738" s="747"/>
      <c r="RTP738" s="747"/>
      <c r="RTQ738" s="747"/>
      <c r="RTR738" s="747"/>
      <c r="RTS738" s="747"/>
      <c r="RTT738" s="747"/>
      <c r="RTU738" s="747"/>
      <c r="RTV738" s="747"/>
      <c r="RTW738" s="747"/>
      <c r="RTX738" s="747"/>
      <c r="RTY738" s="747"/>
      <c r="RTZ738" s="747"/>
      <c r="RUA738" s="747"/>
      <c r="RUB738" s="747"/>
      <c r="RUC738" s="747"/>
      <c r="RUD738" s="747"/>
      <c r="RUE738" s="747"/>
      <c r="RUF738" s="747"/>
      <c r="RUG738" s="747"/>
      <c r="RUH738" s="747"/>
      <c r="RUI738" s="747"/>
      <c r="RUJ738" s="747"/>
      <c r="RUK738" s="747"/>
      <c r="RUL738" s="747"/>
      <c r="RUM738" s="747"/>
      <c r="RUN738" s="747"/>
      <c r="RUO738" s="747"/>
      <c r="RUP738" s="747"/>
      <c r="RUQ738" s="747"/>
      <c r="RUR738" s="747"/>
      <c r="RUS738" s="747"/>
      <c r="RUT738" s="747"/>
      <c r="RUU738" s="747"/>
      <c r="RUV738" s="747"/>
      <c r="RUW738" s="747"/>
      <c r="RUX738" s="747"/>
      <c r="RUY738" s="747"/>
      <c r="RUZ738" s="747"/>
      <c r="RVA738" s="747"/>
      <c r="RVB738" s="747"/>
      <c r="RVC738" s="747"/>
      <c r="RVD738" s="747"/>
      <c r="RVE738" s="747"/>
      <c r="RVF738" s="747"/>
      <c r="RVG738" s="747"/>
      <c r="RVH738" s="747"/>
      <c r="RVI738" s="747"/>
      <c r="RVJ738" s="747"/>
      <c r="RVK738" s="747"/>
      <c r="RVL738" s="747"/>
      <c r="RVM738" s="747"/>
      <c r="RVN738" s="747"/>
      <c r="RVO738" s="747"/>
      <c r="RVP738" s="747"/>
      <c r="RVQ738" s="747"/>
      <c r="RVR738" s="747"/>
      <c r="RVS738" s="747"/>
      <c r="RVT738" s="747"/>
      <c r="RVU738" s="747"/>
      <c r="RVV738" s="747"/>
      <c r="RVW738" s="747"/>
      <c r="RVX738" s="747"/>
      <c r="RVY738" s="747"/>
      <c r="RVZ738" s="747"/>
      <c r="RWA738" s="747"/>
      <c r="RWB738" s="747"/>
      <c r="RWC738" s="747"/>
      <c r="RWD738" s="747"/>
      <c r="RWE738" s="747"/>
      <c r="RWF738" s="747"/>
      <c r="RWG738" s="747"/>
      <c r="RWH738" s="747"/>
      <c r="RWI738" s="747"/>
      <c r="RWJ738" s="747"/>
      <c r="RWK738" s="747"/>
      <c r="RWL738" s="747"/>
      <c r="RWM738" s="747"/>
      <c r="RWN738" s="747"/>
      <c r="RWO738" s="747"/>
      <c r="RWP738" s="747"/>
      <c r="RWQ738" s="747"/>
      <c r="RWR738" s="747"/>
      <c r="RWS738" s="747"/>
      <c r="RWT738" s="747"/>
      <c r="RWU738" s="747"/>
      <c r="RWV738" s="747"/>
      <c r="RWW738" s="747"/>
      <c r="RWX738" s="747"/>
      <c r="RWY738" s="747"/>
      <c r="RWZ738" s="747"/>
      <c r="RXA738" s="747"/>
      <c r="RXB738" s="747"/>
      <c r="RXC738" s="747"/>
      <c r="RXD738" s="747"/>
      <c r="RXE738" s="747"/>
      <c r="RXF738" s="747"/>
      <c r="RXG738" s="747"/>
      <c r="RXH738" s="747"/>
      <c r="RXI738" s="747"/>
      <c r="RXJ738" s="747"/>
      <c r="RXK738" s="747"/>
      <c r="RXL738" s="747"/>
      <c r="RXM738" s="747"/>
      <c r="RXN738" s="747"/>
      <c r="RXO738" s="747"/>
      <c r="RXP738" s="747"/>
      <c r="RXQ738" s="747"/>
      <c r="RXR738" s="747"/>
      <c r="RXS738" s="747"/>
      <c r="RXT738" s="747"/>
      <c r="RXU738" s="747"/>
      <c r="RXV738" s="747"/>
      <c r="RXW738" s="747"/>
      <c r="RXX738" s="747"/>
      <c r="RXY738" s="747"/>
      <c r="RXZ738" s="747"/>
      <c r="RYA738" s="747"/>
      <c r="RYB738" s="747"/>
      <c r="RYC738" s="747"/>
      <c r="RYD738" s="747"/>
      <c r="RYE738" s="747"/>
      <c r="RYF738" s="747"/>
      <c r="RYG738" s="747"/>
      <c r="RYH738" s="747"/>
      <c r="RYI738" s="747"/>
      <c r="RYJ738" s="747"/>
      <c r="RYK738" s="747"/>
      <c r="RYL738" s="747"/>
      <c r="RYM738" s="747"/>
      <c r="RYN738" s="747"/>
      <c r="RYO738" s="747"/>
      <c r="RYP738" s="747"/>
      <c r="RYQ738" s="747"/>
      <c r="RYR738" s="747"/>
      <c r="RYS738" s="747"/>
      <c r="RYT738" s="747"/>
      <c r="RYU738" s="747"/>
      <c r="RYV738" s="747"/>
      <c r="RYW738" s="747"/>
      <c r="RYX738" s="747"/>
      <c r="RYY738" s="747"/>
      <c r="RYZ738" s="747"/>
      <c r="RZA738" s="747"/>
      <c r="RZB738" s="747"/>
      <c r="RZC738" s="747"/>
      <c r="RZD738" s="747"/>
      <c r="RZE738" s="747"/>
      <c r="RZF738" s="747"/>
      <c r="RZG738" s="747"/>
      <c r="RZH738" s="747"/>
      <c r="RZI738" s="747"/>
      <c r="RZJ738" s="747"/>
      <c r="RZK738" s="747"/>
      <c r="RZL738" s="747"/>
      <c r="RZM738" s="747"/>
      <c r="RZN738" s="747"/>
      <c r="RZO738" s="747"/>
      <c r="RZP738" s="747"/>
      <c r="RZQ738" s="747"/>
      <c r="RZR738" s="747"/>
      <c r="RZS738" s="747"/>
      <c r="RZT738" s="747"/>
      <c r="RZU738" s="747"/>
      <c r="RZV738" s="747"/>
      <c r="RZW738" s="747"/>
      <c r="RZX738" s="747"/>
      <c r="RZY738" s="747"/>
      <c r="RZZ738" s="747"/>
      <c r="SAA738" s="747"/>
      <c r="SAB738" s="747"/>
      <c r="SAC738" s="747"/>
      <c r="SAD738" s="747"/>
      <c r="SAE738" s="747"/>
      <c r="SAF738" s="747"/>
      <c r="SAG738" s="747"/>
      <c r="SAH738" s="747"/>
      <c r="SAI738" s="747"/>
      <c r="SAJ738" s="747"/>
      <c r="SAK738" s="747"/>
      <c r="SAL738" s="747"/>
      <c r="SAM738" s="747"/>
      <c r="SAN738" s="747"/>
      <c r="SAO738" s="747"/>
      <c r="SAP738" s="747"/>
      <c r="SAQ738" s="747"/>
      <c r="SAR738" s="747"/>
      <c r="SAS738" s="747"/>
      <c r="SAT738" s="747"/>
      <c r="SAU738" s="747"/>
      <c r="SAV738" s="747"/>
      <c r="SAW738" s="747"/>
      <c r="SAX738" s="747"/>
      <c r="SAY738" s="747"/>
      <c r="SAZ738" s="747"/>
      <c r="SBA738" s="747"/>
      <c r="SBB738" s="747"/>
      <c r="SBC738" s="747"/>
      <c r="SBD738" s="747"/>
      <c r="SBE738" s="747"/>
      <c r="SBF738" s="747"/>
      <c r="SBG738" s="747"/>
      <c r="SBH738" s="747"/>
      <c r="SBI738" s="747"/>
      <c r="SBJ738" s="747"/>
      <c r="SBK738" s="747"/>
      <c r="SBL738" s="747"/>
      <c r="SBM738" s="747"/>
      <c r="SBN738" s="747"/>
      <c r="SBO738" s="747"/>
      <c r="SBP738" s="747"/>
      <c r="SBQ738" s="747"/>
      <c r="SBR738" s="747"/>
      <c r="SBS738" s="747"/>
      <c r="SBT738" s="747"/>
      <c r="SBU738" s="747"/>
      <c r="SBV738" s="747"/>
      <c r="SBW738" s="747"/>
      <c r="SBX738" s="747"/>
      <c r="SBY738" s="747"/>
      <c r="SBZ738" s="747"/>
      <c r="SCA738" s="747"/>
      <c r="SCB738" s="747"/>
      <c r="SCC738" s="747"/>
      <c r="SCD738" s="747"/>
      <c r="SCE738" s="747"/>
      <c r="SCF738" s="747"/>
      <c r="SCG738" s="747"/>
      <c r="SCH738" s="747"/>
      <c r="SCI738" s="747"/>
      <c r="SCJ738" s="747"/>
      <c r="SCK738" s="747"/>
      <c r="SCL738" s="747"/>
      <c r="SCM738" s="747"/>
      <c r="SCN738" s="747"/>
      <c r="SCO738" s="747"/>
      <c r="SCP738" s="747"/>
      <c r="SCQ738" s="747"/>
      <c r="SCR738" s="747"/>
      <c r="SCS738" s="747"/>
      <c r="SCT738" s="747"/>
      <c r="SCU738" s="747"/>
      <c r="SCV738" s="747"/>
      <c r="SCW738" s="747"/>
      <c r="SCX738" s="747"/>
      <c r="SCY738" s="747"/>
      <c r="SCZ738" s="747"/>
      <c r="SDA738" s="747"/>
      <c r="SDB738" s="747"/>
      <c r="SDC738" s="747"/>
      <c r="SDD738" s="747"/>
      <c r="SDE738" s="747"/>
      <c r="SDF738" s="747"/>
      <c r="SDG738" s="747"/>
      <c r="SDH738" s="747"/>
      <c r="SDI738" s="747"/>
      <c r="SDJ738" s="747"/>
      <c r="SDK738" s="747"/>
      <c r="SDL738" s="747"/>
      <c r="SDM738" s="747"/>
      <c r="SDN738" s="747"/>
      <c r="SDO738" s="747"/>
      <c r="SDP738" s="747"/>
      <c r="SDQ738" s="747"/>
      <c r="SDR738" s="747"/>
      <c r="SDS738" s="747"/>
      <c r="SDT738" s="747"/>
      <c r="SDU738" s="747"/>
      <c r="SDV738" s="747"/>
      <c r="SDW738" s="747"/>
      <c r="SDX738" s="747"/>
      <c r="SDY738" s="747"/>
      <c r="SDZ738" s="747"/>
      <c r="SEA738" s="747"/>
      <c r="SEB738" s="747"/>
      <c r="SEC738" s="747"/>
      <c r="SED738" s="747"/>
      <c r="SEE738" s="747"/>
      <c r="SEF738" s="747"/>
      <c r="SEG738" s="747"/>
      <c r="SEH738" s="747"/>
      <c r="SEI738" s="747"/>
      <c r="SEJ738" s="747"/>
      <c r="SEK738" s="747"/>
      <c r="SEL738" s="747"/>
      <c r="SEM738" s="747"/>
      <c r="SEN738" s="747"/>
      <c r="SEO738" s="747"/>
      <c r="SEP738" s="747"/>
      <c r="SEQ738" s="747"/>
      <c r="SER738" s="747"/>
      <c r="SES738" s="747"/>
      <c r="SET738" s="747"/>
      <c r="SEU738" s="747"/>
      <c r="SEV738" s="747"/>
      <c r="SEW738" s="747"/>
      <c r="SEX738" s="747"/>
      <c r="SEY738" s="747"/>
      <c r="SEZ738" s="747"/>
      <c r="SFA738" s="747"/>
      <c r="SFB738" s="747"/>
      <c r="SFC738" s="747"/>
      <c r="SFD738" s="747"/>
      <c r="SFE738" s="747"/>
      <c r="SFF738" s="747"/>
      <c r="SFG738" s="747"/>
      <c r="SFH738" s="747"/>
      <c r="SFI738" s="747"/>
      <c r="SFJ738" s="747"/>
      <c r="SFK738" s="747"/>
      <c r="SFL738" s="747"/>
      <c r="SFM738" s="747"/>
      <c r="SFN738" s="747"/>
      <c r="SFO738" s="747"/>
      <c r="SFP738" s="747"/>
      <c r="SFQ738" s="747"/>
      <c r="SFR738" s="747"/>
      <c r="SFS738" s="747"/>
      <c r="SFT738" s="747"/>
      <c r="SFU738" s="747"/>
      <c r="SFV738" s="747"/>
      <c r="SFW738" s="747"/>
      <c r="SFX738" s="747"/>
      <c r="SFY738" s="747"/>
      <c r="SFZ738" s="747"/>
      <c r="SGA738" s="747"/>
      <c r="SGB738" s="747"/>
      <c r="SGC738" s="747"/>
      <c r="SGD738" s="747"/>
      <c r="SGE738" s="747"/>
      <c r="SGF738" s="747"/>
      <c r="SGG738" s="747"/>
      <c r="SGH738" s="747"/>
      <c r="SGI738" s="747"/>
      <c r="SGJ738" s="747"/>
      <c r="SGK738" s="747"/>
      <c r="SGL738" s="747"/>
      <c r="SGM738" s="747"/>
      <c r="SGN738" s="747"/>
      <c r="SGO738" s="747"/>
      <c r="SGP738" s="747"/>
      <c r="SGQ738" s="747"/>
      <c r="SGR738" s="747"/>
      <c r="SGS738" s="747"/>
      <c r="SGT738" s="747"/>
      <c r="SGU738" s="747"/>
      <c r="SGV738" s="747"/>
      <c r="SGW738" s="747"/>
      <c r="SGX738" s="747"/>
      <c r="SGY738" s="747"/>
      <c r="SGZ738" s="747"/>
      <c r="SHA738" s="747"/>
      <c r="SHB738" s="747"/>
      <c r="SHC738" s="747"/>
      <c r="SHD738" s="747"/>
      <c r="SHE738" s="747"/>
      <c r="SHF738" s="747"/>
      <c r="SHG738" s="747"/>
      <c r="SHH738" s="747"/>
      <c r="SHI738" s="747"/>
      <c r="SHJ738" s="747"/>
      <c r="SHK738" s="747"/>
      <c r="SHL738" s="747"/>
      <c r="SHM738" s="747"/>
      <c r="SHN738" s="747"/>
      <c r="SHO738" s="747"/>
      <c r="SHP738" s="747"/>
      <c r="SHQ738" s="747"/>
      <c r="SHR738" s="747"/>
      <c r="SHS738" s="747"/>
      <c r="SHT738" s="747"/>
      <c r="SHU738" s="747"/>
      <c r="SHV738" s="747"/>
      <c r="SHW738" s="747"/>
      <c r="SHX738" s="747"/>
      <c r="SHY738" s="747"/>
      <c r="SHZ738" s="747"/>
      <c r="SIA738" s="747"/>
      <c r="SIB738" s="747"/>
      <c r="SIC738" s="747"/>
      <c r="SID738" s="747"/>
      <c r="SIE738" s="747"/>
      <c r="SIF738" s="747"/>
      <c r="SIG738" s="747"/>
      <c r="SIH738" s="747"/>
      <c r="SII738" s="747"/>
      <c r="SIJ738" s="747"/>
      <c r="SIK738" s="747"/>
      <c r="SIL738" s="747"/>
      <c r="SIM738" s="747"/>
      <c r="SIN738" s="747"/>
      <c r="SIO738" s="747"/>
      <c r="SIP738" s="747"/>
      <c r="SIQ738" s="747"/>
      <c r="SIR738" s="747"/>
      <c r="SIS738" s="747"/>
      <c r="SIT738" s="747"/>
      <c r="SIU738" s="747"/>
      <c r="SIV738" s="747"/>
      <c r="SIW738" s="747"/>
      <c r="SIX738" s="747"/>
      <c r="SIY738" s="747"/>
      <c r="SIZ738" s="747"/>
      <c r="SJA738" s="747"/>
      <c r="SJB738" s="747"/>
      <c r="SJC738" s="747"/>
      <c r="SJD738" s="747"/>
      <c r="SJE738" s="747"/>
      <c r="SJF738" s="747"/>
      <c r="SJG738" s="747"/>
      <c r="SJH738" s="747"/>
      <c r="SJI738" s="747"/>
      <c r="SJJ738" s="747"/>
      <c r="SJK738" s="747"/>
      <c r="SJL738" s="747"/>
      <c r="SJM738" s="747"/>
      <c r="SJN738" s="747"/>
      <c r="SJO738" s="747"/>
      <c r="SJP738" s="747"/>
      <c r="SJQ738" s="747"/>
      <c r="SJR738" s="747"/>
      <c r="SJS738" s="747"/>
      <c r="SJT738" s="747"/>
      <c r="SJU738" s="747"/>
      <c r="SJV738" s="747"/>
      <c r="SJW738" s="747"/>
      <c r="SJX738" s="747"/>
      <c r="SJY738" s="747"/>
      <c r="SJZ738" s="747"/>
      <c r="SKA738" s="747"/>
      <c r="SKB738" s="747"/>
      <c r="SKC738" s="747"/>
      <c r="SKD738" s="747"/>
      <c r="SKE738" s="747"/>
      <c r="SKF738" s="747"/>
      <c r="SKG738" s="747"/>
      <c r="SKH738" s="747"/>
      <c r="SKI738" s="747"/>
      <c r="SKJ738" s="747"/>
      <c r="SKK738" s="747"/>
      <c r="SKL738" s="747"/>
      <c r="SKM738" s="747"/>
      <c r="SKN738" s="747"/>
      <c r="SKO738" s="747"/>
      <c r="SKP738" s="747"/>
      <c r="SKQ738" s="747"/>
      <c r="SKR738" s="747"/>
      <c r="SKS738" s="747"/>
      <c r="SKT738" s="747"/>
      <c r="SKU738" s="747"/>
      <c r="SKV738" s="747"/>
      <c r="SKW738" s="747"/>
      <c r="SKX738" s="747"/>
      <c r="SKY738" s="747"/>
      <c r="SKZ738" s="747"/>
      <c r="SLA738" s="747"/>
      <c r="SLB738" s="747"/>
      <c r="SLC738" s="747"/>
      <c r="SLD738" s="747"/>
      <c r="SLE738" s="747"/>
      <c r="SLF738" s="747"/>
      <c r="SLG738" s="747"/>
      <c r="SLH738" s="747"/>
      <c r="SLI738" s="747"/>
      <c r="SLJ738" s="747"/>
      <c r="SLK738" s="747"/>
      <c r="SLL738" s="747"/>
      <c r="SLM738" s="747"/>
      <c r="SLN738" s="747"/>
      <c r="SLO738" s="747"/>
      <c r="SLP738" s="747"/>
      <c r="SLQ738" s="747"/>
      <c r="SLR738" s="747"/>
      <c r="SLS738" s="747"/>
      <c r="SLT738" s="747"/>
      <c r="SLU738" s="747"/>
      <c r="SLV738" s="747"/>
      <c r="SLW738" s="747"/>
      <c r="SLX738" s="747"/>
      <c r="SLY738" s="747"/>
      <c r="SLZ738" s="747"/>
      <c r="SMA738" s="747"/>
      <c r="SMB738" s="747"/>
      <c r="SMC738" s="747"/>
      <c r="SMD738" s="747"/>
      <c r="SME738" s="747"/>
      <c r="SMF738" s="747"/>
      <c r="SMG738" s="747"/>
      <c r="SMH738" s="747"/>
      <c r="SMI738" s="747"/>
      <c r="SMJ738" s="747"/>
      <c r="SMK738" s="747"/>
      <c r="SML738" s="747"/>
      <c r="SMM738" s="747"/>
      <c r="SMN738" s="747"/>
      <c r="SMO738" s="747"/>
      <c r="SMP738" s="747"/>
      <c r="SMQ738" s="747"/>
      <c r="SMR738" s="747"/>
      <c r="SMS738" s="747"/>
      <c r="SMT738" s="747"/>
      <c r="SMU738" s="747"/>
      <c r="SMV738" s="747"/>
      <c r="SMW738" s="747"/>
      <c r="SMX738" s="747"/>
      <c r="SMY738" s="747"/>
      <c r="SMZ738" s="747"/>
      <c r="SNA738" s="747"/>
      <c r="SNB738" s="747"/>
      <c r="SNC738" s="747"/>
      <c r="SND738" s="747"/>
      <c r="SNE738" s="747"/>
      <c r="SNF738" s="747"/>
      <c r="SNG738" s="747"/>
      <c r="SNH738" s="747"/>
      <c r="SNI738" s="747"/>
      <c r="SNJ738" s="747"/>
      <c r="SNK738" s="747"/>
      <c r="SNL738" s="747"/>
      <c r="SNM738" s="747"/>
      <c r="SNN738" s="747"/>
      <c r="SNO738" s="747"/>
      <c r="SNP738" s="747"/>
      <c r="SNQ738" s="747"/>
      <c r="SNR738" s="747"/>
      <c r="SNS738" s="747"/>
      <c r="SNT738" s="747"/>
      <c r="SNU738" s="747"/>
      <c r="SNV738" s="747"/>
      <c r="SNW738" s="747"/>
      <c r="SNX738" s="747"/>
      <c r="SNY738" s="747"/>
      <c r="SNZ738" s="747"/>
      <c r="SOA738" s="747"/>
      <c r="SOB738" s="747"/>
      <c r="SOC738" s="747"/>
      <c r="SOD738" s="747"/>
      <c r="SOE738" s="747"/>
      <c r="SOF738" s="747"/>
      <c r="SOG738" s="747"/>
      <c r="SOH738" s="747"/>
      <c r="SOI738" s="747"/>
      <c r="SOJ738" s="747"/>
      <c r="SOK738" s="747"/>
      <c r="SOL738" s="747"/>
      <c r="SOM738" s="747"/>
      <c r="SON738" s="747"/>
      <c r="SOO738" s="747"/>
      <c r="SOP738" s="747"/>
      <c r="SOQ738" s="747"/>
      <c r="SOR738" s="747"/>
      <c r="SOS738" s="747"/>
      <c r="SOT738" s="747"/>
      <c r="SOU738" s="747"/>
      <c r="SOV738" s="747"/>
      <c r="SOW738" s="747"/>
      <c r="SOX738" s="747"/>
      <c r="SOY738" s="747"/>
      <c r="SOZ738" s="747"/>
      <c r="SPA738" s="747"/>
      <c r="SPB738" s="747"/>
      <c r="SPC738" s="747"/>
      <c r="SPD738" s="747"/>
      <c r="SPE738" s="747"/>
      <c r="SPF738" s="747"/>
      <c r="SPG738" s="747"/>
      <c r="SPH738" s="747"/>
      <c r="SPI738" s="747"/>
      <c r="SPJ738" s="747"/>
      <c r="SPK738" s="747"/>
      <c r="SPL738" s="747"/>
      <c r="SPM738" s="747"/>
      <c r="SPN738" s="747"/>
      <c r="SPO738" s="747"/>
      <c r="SPP738" s="747"/>
      <c r="SPQ738" s="747"/>
      <c r="SPR738" s="747"/>
      <c r="SPS738" s="747"/>
      <c r="SPT738" s="747"/>
      <c r="SPU738" s="747"/>
      <c r="SPV738" s="747"/>
      <c r="SPW738" s="747"/>
      <c r="SPX738" s="747"/>
      <c r="SPY738" s="747"/>
      <c r="SPZ738" s="747"/>
      <c r="SQA738" s="747"/>
      <c r="SQB738" s="747"/>
      <c r="SQC738" s="747"/>
      <c r="SQD738" s="747"/>
      <c r="SQE738" s="747"/>
      <c r="SQF738" s="747"/>
      <c r="SQG738" s="747"/>
      <c r="SQH738" s="747"/>
      <c r="SQI738" s="747"/>
      <c r="SQJ738" s="747"/>
      <c r="SQK738" s="747"/>
      <c r="SQL738" s="747"/>
      <c r="SQM738" s="747"/>
      <c r="SQN738" s="747"/>
      <c r="SQO738" s="747"/>
      <c r="SQP738" s="747"/>
      <c r="SQQ738" s="747"/>
      <c r="SQR738" s="747"/>
      <c r="SQS738" s="747"/>
      <c r="SQT738" s="747"/>
      <c r="SQU738" s="747"/>
      <c r="SQV738" s="747"/>
      <c r="SQW738" s="747"/>
      <c r="SQX738" s="747"/>
      <c r="SQY738" s="747"/>
      <c r="SQZ738" s="747"/>
      <c r="SRA738" s="747"/>
      <c r="SRB738" s="747"/>
      <c r="SRC738" s="747"/>
      <c r="SRD738" s="747"/>
      <c r="SRE738" s="747"/>
      <c r="SRF738" s="747"/>
      <c r="SRG738" s="747"/>
      <c r="SRH738" s="747"/>
      <c r="SRI738" s="747"/>
      <c r="SRJ738" s="747"/>
      <c r="SRK738" s="747"/>
      <c r="SRL738" s="747"/>
      <c r="SRM738" s="747"/>
      <c r="SRN738" s="747"/>
      <c r="SRO738" s="747"/>
      <c r="SRP738" s="747"/>
      <c r="SRQ738" s="747"/>
      <c r="SRR738" s="747"/>
      <c r="SRS738" s="747"/>
      <c r="SRT738" s="747"/>
      <c r="SRU738" s="747"/>
      <c r="SRV738" s="747"/>
      <c r="SRW738" s="747"/>
      <c r="SRX738" s="747"/>
      <c r="SRY738" s="747"/>
      <c r="SRZ738" s="747"/>
      <c r="SSA738" s="747"/>
      <c r="SSB738" s="747"/>
      <c r="SSC738" s="747"/>
      <c r="SSD738" s="747"/>
      <c r="SSE738" s="747"/>
      <c r="SSF738" s="747"/>
      <c r="SSG738" s="747"/>
      <c r="SSH738" s="747"/>
      <c r="SSI738" s="747"/>
      <c r="SSJ738" s="747"/>
      <c r="SSK738" s="747"/>
      <c r="SSL738" s="747"/>
      <c r="SSM738" s="747"/>
      <c r="SSN738" s="747"/>
      <c r="SSO738" s="747"/>
      <c r="SSP738" s="747"/>
      <c r="SSQ738" s="747"/>
      <c r="SSR738" s="747"/>
      <c r="SSS738" s="747"/>
      <c r="SST738" s="747"/>
      <c r="SSU738" s="747"/>
      <c r="SSV738" s="747"/>
      <c r="SSW738" s="747"/>
      <c r="SSX738" s="747"/>
      <c r="SSY738" s="747"/>
      <c r="SSZ738" s="747"/>
      <c r="STA738" s="747"/>
      <c r="STB738" s="747"/>
      <c r="STC738" s="747"/>
      <c r="STD738" s="747"/>
      <c r="STE738" s="747"/>
      <c r="STF738" s="747"/>
      <c r="STG738" s="747"/>
      <c r="STH738" s="747"/>
      <c r="STI738" s="747"/>
      <c r="STJ738" s="747"/>
      <c r="STK738" s="747"/>
      <c r="STL738" s="747"/>
      <c r="STM738" s="747"/>
      <c r="STN738" s="747"/>
      <c r="STO738" s="747"/>
      <c r="STP738" s="747"/>
      <c r="STQ738" s="747"/>
      <c r="STR738" s="747"/>
      <c r="STS738" s="747"/>
      <c r="STT738" s="747"/>
      <c r="STU738" s="747"/>
      <c r="STV738" s="747"/>
      <c r="STW738" s="747"/>
      <c r="STX738" s="747"/>
      <c r="STY738" s="747"/>
      <c r="STZ738" s="747"/>
      <c r="SUA738" s="747"/>
      <c r="SUB738" s="747"/>
      <c r="SUC738" s="747"/>
      <c r="SUD738" s="747"/>
      <c r="SUE738" s="747"/>
      <c r="SUF738" s="747"/>
      <c r="SUG738" s="747"/>
      <c r="SUH738" s="747"/>
      <c r="SUI738" s="747"/>
      <c r="SUJ738" s="747"/>
      <c r="SUK738" s="747"/>
      <c r="SUL738" s="747"/>
      <c r="SUM738" s="747"/>
      <c r="SUN738" s="747"/>
      <c r="SUO738" s="747"/>
      <c r="SUP738" s="747"/>
      <c r="SUQ738" s="747"/>
      <c r="SUR738" s="747"/>
      <c r="SUS738" s="747"/>
      <c r="SUT738" s="747"/>
      <c r="SUU738" s="747"/>
      <c r="SUV738" s="747"/>
      <c r="SUW738" s="747"/>
      <c r="SUX738" s="747"/>
      <c r="SUY738" s="747"/>
      <c r="SUZ738" s="747"/>
      <c r="SVA738" s="747"/>
      <c r="SVB738" s="747"/>
      <c r="SVC738" s="747"/>
      <c r="SVD738" s="747"/>
      <c r="SVE738" s="747"/>
      <c r="SVF738" s="747"/>
      <c r="SVG738" s="747"/>
      <c r="SVH738" s="747"/>
      <c r="SVI738" s="747"/>
      <c r="SVJ738" s="747"/>
      <c r="SVK738" s="747"/>
      <c r="SVL738" s="747"/>
      <c r="SVM738" s="747"/>
      <c r="SVN738" s="747"/>
      <c r="SVO738" s="747"/>
      <c r="SVP738" s="747"/>
      <c r="SVQ738" s="747"/>
      <c r="SVR738" s="747"/>
      <c r="SVS738" s="747"/>
      <c r="SVT738" s="747"/>
      <c r="SVU738" s="747"/>
      <c r="SVV738" s="747"/>
      <c r="SVW738" s="747"/>
      <c r="SVX738" s="747"/>
      <c r="SVY738" s="747"/>
      <c r="SVZ738" s="747"/>
      <c r="SWA738" s="747"/>
      <c r="SWB738" s="747"/>
      <c r="SWC738" s="747"/>
      <c r="SWD738" s="747"/>
      <c r="SWE738" s="747"/>
      <c r="SWF738" s="747"/>
      <c r="SWG738" s="747"/>
      <c r="SWH738" s="747"/>
      <c r="SWI738" s="747"/>
      <c r="SWJ738" s="747"/>
      <c r="SWK738" s="747"/>
      <c r="SWL738" s="747"/>
      <c r="SWM738" s="747"/>
      <c r="SWN738" s="747"/>
      <c r="SWO738" s="747"/>
      <c r="SWP738" s="747"/>
      <c r="SWQ738" s="747"/>
      <c r="SWR738" s="747"/>
      <c r="SWS738" s="747"/>
      <c r="SWT738" s="747"/>
      <c r="SWU738" s="747"/>
      <c r="SWV738" s="747"/>
      <c r="SWW738" s="747"/>
      <c r="SWX738" s="747"/>
      <c r="SWY738" s="747"/>
      <c r="SWZ738" s="747"/>
      <c r="SXA738" s="747"/>
      <c r="SXB738" s="747"/>
      <c r="SXC738" s="747"/>
      <c r="SXD738" s="747"/>
      <c r="SXE738" s="747"/>
      <c r="SXF738" s="747"/>
      <c r="SXG738" s="747"/>
      <c r="SXH738" s="747"/>
      <c r="SXI738" s="747"/>
      <c r="SXJ738" s="747"/>
      <c r="SXK738" s="747"/>
      <c r="SXL738" s="747"/>
      <c r="SXM738" s="747"/>
      <c r="SXN738" s="747"/>
      <c r="SXO738" s="747"/>
      <c r="SXP738" s="747"/>
      <c r="SXQ738" s="747"/>
      <c r="SXR738" s="747"/>
      <c r="SXS738" s="747"/>
      <c r="SXT738" s="747"/>
      <c r="SXU738" s="747"/>
      <c r="SXV738" s="747"/>
      <c r="SXW738" s="747"/>
      <c r="SXX738" s="747"/>
      <c r="SXY738" s="747"/>
      <c r="SXZ738" s="747"/>
      <c r="SYA738" s="747"/>
      <c r="SYB738" s="747"/>
      <c r="SYC738" s="747"/>
      <c r="SYD738" s="747"/>
      <c r="SYE738" s="747"/>
      <c r="SYF738" s="747"/>
      <c r="SYG738" s="747"/>
      <c r="SYH738" s="747"/>
      <c r="SYI738" s="747"/>
      <c r="SYJ738" s="747"/>
      <c r="SYK738" s="747"/>
      <c r="SYL738" s="747"/>
      <c r="SYM738" s="747"/>
      <c r="SYN738" s="747"/>
      <c r="SYO738" s="747"/>
      <c r="SYP738" s="747"/>
      <c r="SYQ738" s="747"/>
      <c r="SYR738" s="747"/>
      <c r="SYS738" s="747"/>
      <c r="SYT738" s="747"/>
      <c r="SYU738" s="747"/>
      <c r="SYV738" s="747"/>
      <c r="SYW738" s="747"/>
      <c r="SYX738" s="747"/>
      <c r="SYY738" s="747"/>
      <c r="SYZ738" s="747"/>
      <c r="SZA738" s="747"/>
      <c r="SZB738" s="747"/>
      <c r="SZC738" s="747"/>
      <c r="SZD738" s="747"/>
      <c r="SZE738" s="747"/>
      <c r="SZF738" s="747"/>
      <c r="SZG738" s="747"/>
      <c r="SZH738" s="747"/>
      <c r="SZI738" s="747"/>
      <c r="SZJ738" s="747"/>
      <c r="SZK738" s="747"/>
      <c r="SZL738" s="747"/>
      <c r="SZM738" s="747"/>
      <c r="SZN738" s="747"/>
      <c r="SZO738" s="747"/>
      <c r="SZP738" s="747"/>
      <c r="SZQ738" s="747"/>
      <c r="SZR738" s="747"/>
      <c r="SZS738" s="747"/>
      <c r="SZT738" s="747"/>
      <c r="SZU738" s="747"/>
      <c r="SZV738" s="747"/>
      <c r="SZW738" s="747"/>
      <c r="SZX738" s="747"/>
      <c r="SZY738" s="747"/>
      <c r="SZZ738" s="747"/>
      <c r="TAA738" s="747"/>
      <c r="TAB738" s="747"/>
      <c r="TAC738" s="747"/>
      <c r="TAD738" s="747"/>
      <c r="TAE738" s="747"/>
      <c r="TAF738" s="747"/>
      <c r="TAG738" s="747"/>
      <c r="TAH738" s="747"/>
      <c r="TAI738" s="747"/>
      <c r="TAJ738" s="747"/>
      <c r="TAK738" s="747"/>
      <c r="TAL738" s="747"/>
      <c r="TAM738" s="747"/>
      <c r="TAN738" s="747"/>
      <c r="TAO738" s="747"/>
      <c r="TAP738" s="747"/>
      <c r="TAQ738" s="747"/>
      <c r="TAR738" s="747"/>
      <c r="TAS738" s="747"/>
      <c r="TAT738" s="747"/>
      <c r="TAU738" s="747"/>
      <c r="TAV738" s="747"/>
      <c r="TAW738" s="747"/>
      <c r="TAX738" s="747"/>
      <c r="TAY738" s="747"/>
      <c r="TAZ738" s="747"/>
      <c r="TBA738" s="747"/>
      <c r="TBB738" s="747"/>
      <c r="TBC738" s="747"/>
      <c r="TBD738" s="747"/>
      <c r="TBE738" s="747"/>
      <c r="TBF738" s="747"/>
      <c r="TBG738" s="747"/>
      <c r="TBH738" s="747"/>
      <c r="TBI738" s="747"/>
      <c r="TBJ738" s="747"/>
      <c r="TBK738" s="747"/>
      <c r="TBL738" s="747"/>
      <c r="TBM738" s="747"/>
      <c r="TBN738" s="747"/>
      <c r="TBO738" s="747"/>
      <c r="TBP738" s="747"/>
      <c r="TBQ738" s="747"/>
      <c r="TBR738" s="747"/>
      <c r="TBS738" s="747"/>
      <c r="TBT738" s="747"/>
      <c r="TBU738" s="747"/>
      <c r="TBV738" s="747"/>
      <c r="TBW738" s="747"/>
      <c r="TBX738" s="747"/>
      <c r="TBY738" s="747"/>
      <c r="TBZ738" s="747"/>
      <c r="TCA738" s="747"/>
      <c r="TCB738" s="747"/>
      <c r="TCC738" s="747"/>
      <c r="TCD738" s="747"/>
      <c r="TCE738" s="747"/>
      <c r="TCF738" s="747"/>
      <c r="TCG738" s="747"/>
      <c r="TCH738" s="747"/>
      <c r="TCI738" s="747"/>
      <c r="TCJ738" s="747"/>
      <c r="TCK738" s="747"/>
      <c r="TCL738" s="747"/>
      <c r="TCM738" s="747"/>
      <c r="TCN738" s="747"/>
      <c r="TCO738" s="747"/>
      <c r="TCP738" s="747"/>
      <c r="TCQ738" s="747"/>
      <c r="TCR738" s="747"/>
      <c r="TCS738" s="747"/>
      <c r="TCT738" s="747"/>
      <c r="TCU738" s="747"/>
      <c r="TCV738" s="747"/>
      <c r="TCW738" s="747"/>
      <c r="TCX738" s="747"/>
      <c r="TCY738" s="747"/>
      <c r="TCZ738" s="747"/>
      <c r="TDA738" s="747"/>
      <c r="TDB738" s="747"/>
      <c r="TDC738" s="747"/>
      <c r="TDD738" s="747"/>
      <c r="TDE738" s="747"/>
      <c r="TDF738" s="747"/>
      <c r="TDG738" s="747"/>
      <c r="TDH738" s="747"/>
      <c r="TDI738" s="747"/>
      <c r="TDJ738" s="747"/>
      <c r="TDK738" s="747"/>
      <c r="TDL738" s="747"/>
      <c r="TDM738" s="747"/>
      <c r="TDN738" s="747"/>
      <c r="TDO738" s="747"/>
      <c r="TDP738" s="747"/>
      <c r="TDQ738" s="747"/>
      <c r="TDR738" s="747"/>
      <c r="TDS738" s="747"/>
      <c r="TDT738" s="747"/>
      <c r="TDU738" s="747"/>
      <c r="TDV738" s="747"/>
      <c r="TDW738" s="747"/>
      <c r="TDX738" s="747"/>
      <c r="TDY738" s="747"/>
      <c r="TDZ738" s="747"/>
      <c r="TEA738" s="747"/>
      <c r="TEB738" s="747"/>
      <c r="TEC738" s="747"/>
      <c r="TED738" s="747"/>
      <c r="TEE738" s="747"/>
      <c r="TEF738" s="747"/>
      <c r="TEG738" s="747"/>
      <c r="TEH738" s="747"/>
      <c r="TEI738" s="747"/>
      <c r="TEJ738" s="747"/>
      <c r="TEK738" s="747"/>
      <c r="TEL738" s="747"/>
      <c r="TEM738" s="747"/>
      <c r="TEN738" s="747"/>
      <c r="TEO738" s="747"/>
      <c r="TEP738" s="747"/>
      <c r="TEQ738" s="747"/>
      <c r="TER738" s="747"/>
      <c r="TES738" s="747"/>
      <c r="TET738" s="747"/>
      <c r="TEU738" s="747"/>
      <c r="TEV738" s="747"/>
      <c r="TEW738" s="747"/>
      <c r="TEX738" s="747"/>
      <c r="TEY738" s="747"/>
      <c r="TEZ738" s="747"/>
      <c r="TFA738" s="747"/>
      <c r="TFB738" s="747"/>
      <c r="TFC738" s="747"/>
      <c r="TFD738" s="747"/>
      <c r="TFE738" s="747"/>
      <c r="TFF738" s="747"/>
      <c r="TFG738" s="747"/>
      <c r="TFH738" s="747"/>
      <c r="TFI738" s="747"/>
      <c r="TFJ738" s="747"/>
      <c r="TFK738" s="747"/>
      <c r="TFL738" s="747"/>
      <c r="TFM738" s="747"/>
      <c r="TFN738" s="747"/>
      <c r="TFO738" s="747"/>
      <c r="TFP738" s="747"/>
      <c r="TFQ738" s="747"/>
      <c r="TFR738" s="747"/>
      <c r="TFS738" s="747"/>
      <c r="TFT738" s="747"/>
      <c r="TFU738" s="747"/>
      <c r="TFV738" s="747"/>
      <c r="TFW738" s="747"/>
      <c r="TFX738" s="747"/>
      <c r="TFY738" s="747"/>
      <c r="TFZ738" s="747"/>
      <c r="TGA738" s="747"/>
      <c r="TGB738" s="747"/>
      <c r="TGC738" s="747"/>
      <c r="TGD738" s="747"/>
      <c r="TGE738" s="747"/>
      <c r="TGF738" s="747"/>
      <c r="TGG738" s="747"/>
      <c r="TGH738" s="747"/>
      <c r="TGI738" s="747"/>
      <c r="TGJ738" s="747"/>
      <c r="TGK738" s="747"/>
      <c r="TGL738" s="747"/>
      <c r="TGM738" s="747"/>
      <c r="TGN738" s="747"/>
      <c r="TGO738" s="747"/>
      <c r="TGP738" s="747"/>
      <c r="TGQ738" s="747"/>
      <c r="TGR738" s="747"/>
      <c r="TGS738" s="747"/>
      <c r="TGT738" s="747"/>
      <c r="TGU738" s="747"/>
      <c r="TGV738" s="747"/>
      <c r="TGW738" s="747"/>
      <c r="TGX738" s="747"/>
      <c r="TGY738" s="747"/>
      <c r="TGZ738" s="747"/>
      <c r="THA738" s="747"/>
      <c r="THB738" s="747"/>
      <c r="THC738" s="747"/>
      <c r="THD738" s="747"/>
      <c r="THE738" s="747"/>
      <c r="THF738" s="747"/>
      <c r="THG738" s="747"/>
      <c r="THH738" s="747"/>
      <c r="THI738" s="747"/>
      <c r="THJ738" s="747"/>
      <c r="THK738" s="747"/>
      <c r="THL738" s="747"/>
      <c r="THM738" s="747"/>
      <c r="THN738" s="747"/>
      <c r="THO738" s="747"/>
      <c r="THP738" s="747"/>
      <c r="THQ738" s="747"/>
      <c r="THR738" s="747"/>
      <c r="THS738" s="747"/>
      <c r="THT738" s="747"/>
      <c r="THU738" s="747"/>
      <c r="THV738" s="747"/>
      <c r="THW738" s="747"/>
      <c r="THX738" s="747"/>
      <c r="THY738" s="747"/>
      <c r="THZ738" s="747"/>
      <c r="TIA738" s="747"/>
      <c r="TIB738" s="747"/>
      <c r="TIC738" s="747"/>
      <c r="TID738" s="747"/>
      <c r="TIE738" s="747"/>
      <c r="TIF738" s="747"/>
      <c r="TIG738" s="747"/>
      <c r="TIH738" s="747"/>
      <c r="TII738" s="747"/>
      <c r="TIJ738" s="747"/>
      <c r="TIK738" s="747"/>
      <c r="TIL738" s="747"/>
      <c r="TIM738" s="747"/>
      <c r="TIN738" s="747"/>
      <c r="TIO738" s="747"/>
      <c r="TIP738" s="747"/>
      <c r="TIQ738" s="747"/>
      <c r="TIR738" s="747"/>
      <c r="TIS738" s="747"/>
      <c r="TIT738" s="747"/>
      <c r="TIU738" s="747"/>
      <c r="TIV738" s="747"/>
      <c r="TIW738" s="747"/>
      <c r="TIX738" s="747"/>
      <c r="TIY738" s="747"/>
      <c r="TIZ738" s="747"/>
      <c r="TJA738" s="747"/>
      <c r="TJB738" s="747"/>
      <c r="TJC738" s="747"/>
      <c r="TJD738" s="747"/>
      <c r="TJE738" s="747"/>
      <c r="TJF738" s="747"/>
      <c r="TJG738" s="747"/>
      <c r="TJH738" s="747"/>
      <c r="TJI738" s="747"/>
      <c r="TJJ738" s="747"/>
      <c r="TJK738" s="747"/>
      <c r="TJL738" s="747"/>
      <c r="TJM738" s="747"/>
      <c r="TJN738" s="747"/>
      <c r="TJO738" s="747"/>
      <c r="TJP738" s="747"/>
      <c r="TJQ738" s="747"/>
      <c r="TJR738" s="747"/>
      <c r="TJS738" s="747"/>
      <c r="TJT738" s="747"/>
      <c r="TJU738" s="747"/>
      <c r="TJV738" s="747"/>
      <c r="TJW738" s="747"/>
      <c r="TJX738" s="747"/>
      <c r="TJY738" s="747"/>
      <c r="TJZ738" s="747"/>
      <c r="TKA738" s="747"/>
      <c r="TKB738" s="747"/>
      <c r="TKC738" s="747"/>
      <c r="TKD738" s="747"/>
      <c r="TKE738" s="747"/>
      <c r="TKF738" s="747"/>
      <c r="TKG738" s="747"/>
      <c r="TKH738" s="747"/>
      <c r="TKI738" s="747"/>
      <c r="TKJ738" s="747"/>
      <c r="TKK738" s="747"/>
      <c r="TKL738" s="747"/>
      <c r="TKM738" s="747"/>
      <c r="TKN738" s="747"/>
      <c r="TKO738" s="747"/>
      <c r="TKP738" s="747"/>
      <c r="TKQ738" s="747"/>
      <c r="TKR738" s="747"/>
      <c r="TKS738" s="747"/>
      <c r="TKT738" s="747"/>
      <c r="TKU738" s="747"/>
      <c r="TKV738" s="747"/>
      <c r="TKW738" s="747"/>
      <c r="TKX738" s="747"/>
      <c r="TKY738" s="747"/>
      <c r="TKZ738" s="747"/>
      <c r="TLA738" s="747"/>
      <c r="TLB738" s="747"/>
      <c r="TLC738" s="747"/>
      <c r="TLD738" s="747"/>
      <c r="TLE738" s="747"/>
      <c r="TLF738" s="747"/>
      <c r="TLG738" s="747"/>
      <c r="TLH738" s="747"/>
      <c r="TLI738" s="747"/>
      <c r="TLJ738" s="747"/>
      <c r="TLK738" s="747"/>
      <c r="TLL738" s="747"/>
      <c r="TLM738" s="747"/>
      <c r="TLN738" s="747"/>
      <c r="TLO738" s="747"/>
      <c r="TLP738" s="747"/>
      <c r="TLQ738" s="747"/>
      <c r="TLR738" s="747"/>
      <c r="TLS738" s="747"/>
      <c r="TLT738" s="747"/>
      <c r="TLU738" s="747"/>
      <c r="TLV738" s="747"/>
      <c r="TLW738" s="747"/>
      <c r="TLX738" s="747"/>
      <c r="TLY738" s="747"/>
      <c r="TLZ738" s="747"/>
      <c r="TMA738" s="747"/>
      <c r="TMB738" s="747"/>
      <c r="TMC738" s="747"/>
      <c r="TMD738" s="747"/>
      <c r="TME738" s="747"/>
      <c r="TMF738" s="747"/>
      <c r="TMG738" s="747"/>
      <c r="TMH738" s="747"/>
      <c r="TMI738" s="747"/>
      <c r="TMJ738" s="747"/>
      <c r="TMK738" s="747"/>
      <c r="TML738" s="747"/>
      <c r="TMM738" s="747"/>
      <c r="TMN738" s="747"/>
      <c r="TMO738" s="747"/>
      <c r="TMP738" s="747"/>
      <c r="TMQ738" s="747"/>
      <c r="TMR738" s="747"/>
      <c r="TMS738" s="747"/>
      <c r="TMT738" s="747"/>
      <c r="TMU738" s="747"/>
      <c r="TMV738" s="747"/>
      <c r="TMW738" s="747"/>
      <c r="TMX738" s="747"/>
      <c r="TMY738" s="747"/>
      <c r="TMZ738" s="747"/>
      <c r="TNA738" s="747"/>
      <c r="TNB738" s="747"/>
      <c r="TNC738" s="747"/>
      <c r="TND738" s="747"/>
      <c r="TNE738" s="747"/>
      <c r="TNF738" s="747"/>
      <c r="TNG738" s="747"/>
      <c r="TNH738" s="747"/>
      <c r="TNI738" s="747"/>
      <c r="TNJ738" s="747"/>
      <c r="TNK738" s="747"/>
      <c r="TNL738" s="747"/>
      <c r="TNM738" s="747"/>
      <c r="TNN738" s="747"/>
      <c r="TNO738" s="747"/>
      <c r="TNP738" s="747"/>
      <c r="TNQ738" s="747"/>
      <c r="TNR738" s="747"/>
      <c r="TNS738" s="747"/>
      <c r="TNT738" s="747"/>
      <c r="TNU738" s="747"/>
      <c r="TNV738" s="747"/>
      <c r="TNW738" s="747"/>
      <c r="TNX738" s="747"/>
      <c r="TNY738" s="747"/>
      <c r="TNZ738" s="747"/>
      <c r="TOA738" s="747"/>
      <c r="TOB738" s="747"/>
      <c r="TOC738" s="747"/>
      <c r="TOD738" s="747"/>
      <c r="TOE738" s="747"/>
      <c r="TOF738" s="747"/>
      <c r="TOG738" s="747"/>
      <c r="TOH738" s="747"/>
      <c r="TOI738" s="747"/>
      <c r="TOJ738" s="747"/>
      <c r="TOK738" s="747"/>
      <c r="TOL738" s="747"/>
      <c r="TOM738" s="747"/>
      <c r="TON738" s="747"/>
      <c r="TOO738" s="747"/>
      <c r="TOP738" s="747"/>
      <c r="TOQ738" s="747"/>
      <c r="TOR738" s="747"/>
      <c r="TOS738" s="747"/>
      <c r="TOT738" s="747"/>
      <c r="TOU738" s="747"/>
      <c r="TOV738" s="747"/>
      <c r="TOW738" s="747"/>
      <c r="TOX738" s="747"/>
      <c r="TOY738" s="747"/>
      <c r="TOZ738" s="747"/>
      <c r="TPA738" s="747"/>
      <c r="TPB738" s="747"/>
      <c r="TPC738" s="747"/>
      <c r="TPD738" s="747"/>
      <c r="TPE738" s="747"/>
      <c r="TPF738" s="747"/>
      <c r="TPG738" s="747"/>
      <c r="TPH738" s="747"/>
      <c r="TPI738" s="747"/>
      <c r="TPJ738" s="747"/>
      <c r="TPK738" s="747"/>
      <c r="TPL738" s="747"/>
      <c r="TPM738" s="747"/>
      <c r="TPN738" s="747"/>
      <c r="TPO738" s="747"/>
      <c r="TPP738" s="747"/>
      <c r="TPQ738" s="747"/>
      <c r="TPR738" s="747"/>
      <c r="TPS738" s="747"/>
      <c r="TPT738" s="747"/>
      <c r="TPU738" s="747"/>
      <c r="TPV738" s="747"/>
      <c r="TPW738" s="747"/>
      <c r="TPX738" s="747"/>
      <c r="TPY738" s="747"/>
      <c r="TPZ738" s="747"/>
      <c r="TQA738" s="747"/>
      <c r="TQB738" s="747"/>
      <c r="TQC738" s="747"/>
      <c r="TQD738" s="747"/>
      <c r="TQE738" s="747"/>
      <c r="TQF738" s="747"/>
      <c r="TQG738" s="747"/>
      <c r="TQH738" s="747"/>
      <c r="TQI738" s="747"/>
      <c r="TQJ738" s="747"/>
      <c r="TQK738" s="747"/>
      <c r="TQL738" s="747"/>
      <c r="TQM738" s="747"/>
      <c r="TQN738" s="747"/>
      <c r="TQO738" s="747"/>
      <c r="TQP738" s="747"/>
      <c r="TQQ738" s="747"/>
      <c r="TQR738" s="747"/>
      <c r="TQS738" s="747"/>
      <c r="TQT738" s="747"/>
      <c r="TQU738" s="747"/>
      <c r="TQV738" s="747"/>
      <c r="TQW738" s="747"/>
      <c r="TQX738" s="747"/>
      <c r="TQY738" s="747"/>
      <c r="TQZ738" s="747"/>
      <c r="TRA738" s="747"/>
      <c r="TRB738" s="747"/>
      <c r="TRC738" s="747"/>
      <c r="TRD738" s="747"/>
      <c r="TRE738" s="747"/>
      <c r="TRF738" s="747"/>
      <c r="TRG738" s="747"/>
      <c r="TRH738" s="747"/>
      <c r="TRI738" s="747"/>
      <c r="TRJ738" s="747"/>
      <c r="TRK738" s="747"/>
      <c r="TRL738" s="747"/>
      <c r="TRM738" s="747"/>
      <c r="TRN738" s="747"/>
      <c r="TRO738" s="747"/>
      <c r="TRP738" s="747"/>
      <c r="TRQ738" s="747"/>
      <c r="TRR738" s="747"/>
      <c r="TRS738" s="747"/>
      <c r="TRT738" s="747"/>
      <c r="TRU738" s="747"/>
      <c r="TRV738" s="747"/>
      <c r="TRW738" s="747"/>
      <c r="TRX738" s="747"/>
      <c r="TRY738" s="747"/>
      <c r="TRZ738" s="747"/>
      <c r="TSA738" s="747"/>
      <c r="TSB738" s="747"/>
      <c r="TSC738" s="747"/>
      <c r="TSD738" s="747"/>
      <c r="TSE738" s="747"/>
      <c r="TSF738" s="747"/>
      <c r="TSG738" s="747"/>
      <c r="TSH738" s="747"/>
      <c r="TSI738" s="747"/>
      <c r="TSJ738" s="747"/>
      <c r="TSK738" s="747"/>
      <c r="TSL738" s="747"/>
      <c r="TSM738" s="747"/>
      <c r="TSN738" s="747"/>
      <c r="TSO738" s="747"/>
      <c r="TSP738" s="747"/>
      <c r="TSQ738" s="747"/>
      <c r="TSR738" s="747"/>
      <c r="TSS738" s="747"/>
      <c r="TST738" s="747"/>
      <c r="TSU738" s="747"/>
      <c r="TSV738" s="747"/>
      <c r="TSW738" s="747"/>
      <c r="TSX738" s="747"/>
      <c r="TSY738" s="747"/>
      <c r="TSZ738" s="747"/>
      <c r="TTA738" s="747"/>
      <c r="TTB738" s="747"/>
      <c r="TTC738" s="747"/>
      <c r="TTD738" s="747"/>
      <c r="TTE738" s="747"/>
      <c r="TTF738" s="747"/>
      <c r="TTG738" s="747"/>
      <c r="TTH738" s="747"/>
      <c r="TTI738" s="747"/>
      <c r="TTJ738" s="747"/>
      <c r="TTK738" s="747"/>
      <c r="TTL738" s="747"/>
      <c r="TTM738" s="747"/>
      <c r="TTN738" s="747"/>
      <c r="TTO738" s="747"/>
      <c r="TTP738" s="747"/>
      <c r="TTQ738" s="747"/>
      <c r="TTR738" s="747"/>
      <c r="TTS738" s="747"/>
      <c r="TTT738" s="747"/>
      <c r="TTU738" s="747"/>
      <c r="TTV738" s="747"/>
      <c r="TTW738" s="747"/>
      <c r="TTX738" s="747"/>
      <c r="TTY738" s="747"/>
      <c r="TTZ738" s="747"/>
      <c r="TUA738" s="747"/>
      <c r="TUB738" s="747"/>
      <c r="TUC738" s="747"/>
      <c r="TUD738" s="747"/>
      <c r="TUE738" s="747"/>
      <c r="TUF738" s="747"/>
      <c r="TUG738" s="747"/>
      <c r="TUH738" s="747"/>
      <c r="TUI738" s="747"/>
      <c r="TUJ738" s="747"/>
      <c r="TUK738" s="747"/>
      <c r="TUL738" s="747"/>
      <c r="TUM738" s="747"/>
      <c r="TUN738" s="747"/>
      <c r="TUO738" s="747"/>
      <c r="TUP738" s="747"/>
      <c r="TUQ738" s="747"/>
      <c r="TUR738" s="747"/>
      <c r="TUS738" s="747"/>
      <c r="TUT738" s="747"/>
      <c r="TUU738" s="747"/>
      <c r="TUV738" s="747"/>
      <c r="TUW738" s="747"/>
      <c r="TUX738" s="747"/>
      <c r="TUY738" s="747"/>
      <c r="TUZ738" s="747"/>
      <c r="TVA738" s="747"/>
      <c r="TVB738" s="747"/>
      <c r="TVC738" s="747"/>
      <c r="TVD738" s="747"/>
      <c r="TVE738" s="747"/>
      <c r="TVF738" s="747"/>
      <c r="TVG738" s="747"/>
      <c r="TVH738" s="747"/>
      <c r="TVI738" s="747"/>
      <c r="TVJ738" s="747"/>
      <c r="TVK738" s="747"/>
      <c r="TVL738" s="747"/>
      <c r="TVM738" s="747"/>
      <c r="TVN738" s="747"/>
      <c r="TVO738" s="747"/>
      <c r="TVP738" s="747"/>
      <c r="TVQ738" s="747"/>
      <c r="TVR738" s="747"/>
      <c r="TVS738" s="747"/>
      <c r="TVT738" s="747"/>
      <c r="TVU738" s="747"/>
      <c r="TVV738" s="747"/>
      <c r="TVW738" s="747"/>
      <c r="TVX738" s="747"/>
      <c r="TVY738" s="747"/>
      <c r="TVZ738" s="747"/>
      <c r="TWA738" s="747"/>
      <c r="TWB738" s="747"/>
      <c r="TWC738" s="747"/>
      <c r="TWD738" s="747"/>
      <c r="TWE738" s="747"/>
      <c r="TWF738" s="747"/>
      <c r="TWG738" s="747"/>
      <c r="TWH738" s="747"/>
      <c r="TWI738" s="747"/>
      <c r="TWJ738" s="747"/>
      <c r="TWK738" s="747"/>
      <c r="TWL738" s="747"/>
      <c r="TWM738" s="747"/>
      <c r="TWN738" s="747"/>
      <c r="TWO738" s="747"/>
      <c r="TWP738" s="747"/>
      <c r="TWQ738" s="747"/>
      <c r="TWR738" s="747"/>
      <c r="TWS738" s="747"/>
      <c r="TWT738" s="747"/>
      <c r="TWU738" s="747"/>
      <c r="TWV738" s="747"/>
      <c r="TWW738" s="747"/>
      <c r="TWX738" s="747"/>
      <c r="TWY738" s="747"/>
      <c r="TWZ738" s="747"/>
      <c r="TXA738" s="747"/>
      <c r="TXB738" s="747"/>
      <c r="TXC738" s="747"/>
      <c r="TXD738" s="747"/>
      <c r="TXE738" s="747"/>
      <c r="TXF738" s="747"/>
      <c r="TXG738" s="747"/>
      <c r="TXH738" s="747"/>
      <c r="TXI738" s="747"/>
      <c r="TXJ738" s="747"/>
      <c r="TXK738" s="747"/>
      <c r="TXL738" s="747"/>
      <c r="TXM738" s="747"/>
      <c r="TXN738" s="747"/>
      <c r="TXO738" s="747"/>
      <c r="TXP738" s="747"/>
      <c r="TXQ738" s="747"/>
      <c r="TXR738" s="747"/>
      <c r="TXS738" s="747"/>
      <c r="TXT738" s="747"/>
      <c r="TXU738" s="747"/>
      <c r="TXV738" s="747"/>
      <c r="TXW738" s="747"/>
      <c r="TXX738" s="747"/>
      <c r="TXY738" s="747"/>
      <c r="TXZ738" s="747"/>
      <c r="TYA738" s="747"/>
      <c r="TYB738" s="747"/>
      <c r="TYC738" s="747"/>
      <c r="TYD738" s="747"/>
      <c r="TYE738" s="747"/>
      <c r="TYF738" s="747"/>
      <c r="TYG738" s="747"/>
      <c r="TYH738" s="747"/>
      <c r="TYI738" s="747"/>
      <c r="TYJ738" s="747"/>
      <c r="TYK738" s="747"/>
      <c r="TYL738" s="747"/>
      <c r="TYM738" s="747"/>
      <c r="TYN738" s="747"/>
      <c r="TYO738" s="747"/>
      <c r="TYP738" s="747"/>
      <c r="TYQ738" s="747"/>
      <c r="TYR738" s="747"/>
      <c r="TYS738" s="747"/>
      <c r="TYT738" s="747"/>
      <c r="TYU738" s="747"/>
      <c r="TYV738" s="747"/>
      <c r="TYW738" s="747"/>
      <c r="TYX738" s="747"/>
      <c r="TYY738" s="747"/>
      <c r="TYZ738" s="747"/>
      <c r="TZA738" s="747"/>
      <c r="TZB738" s="747"/>
      <c r="TZC738" s="747"/>
      <c r="TZD738" s="747"/>
      <c r="TZE738" s="747"/>
      <c r="TZF738" s="747"/>
      <c r="TZG738" s="747"/>
      <c r="TZH738" s="747"/>
      <c r="TZI738" s="747"/>
      <c r="TZJ738" s="747"/>
      <c r="TZK738" s="747"/>
      <c r="TZL738" s="747"/>
      <c r="TZM738" s="747"/>
      <c r="TZN738" s="747"/>
      <c r="TZO738" s="747"/>
      <c r="TZP738" s="747"/>
      <c r="TZQ738" s="747"/>
      <c r="TZR738" s="747"/>
      <c r="TZS738" s="747"/>
      <c r="TZT738" s="747"/>
      <c r="TZU738" s="747"/>
      <c r="TZV738" s="747"/>
      <c r="TZW738" s="747"/>
      <c r="TZX738" s="747"/>
      <c r="TZY738" s="747"/>
      <c r="TZZ738" s="747"/>
      <c r="UAA738" s="747"/>
      <c r="UAB738" s="747"/>
      <c r="UAC738" s="747"/>
      <c r="UAD738" s="747"/>
      <c r="UAE738" s="747"/>
      <c r="UAF738" s="747"/>
      <c r="UAG738" s="747"/>
      <c r="UAH738" s="747"/>
      <c r="UAI738" s="747"/>
      <c r="UAJ738" s="747"/>
      <c r="UAK738" s="747"/>
      <c r="UAL738" s="747"/>
      <c r="UAM738" s="747"/>
      <c r="UAN738" s="747"/>
      <c r="UAO738" s="747"/>
      <c r="UAP738" s="747"/>
      <c r="UAQ738" s="747"/>
      <c r="UAR738" s="747"/>
      <c r="UAS738" s="747"/>
      <c r="UAT738" s="747"/>
      <c r="UAU738" s="747"/>
      <c r="UAV738" s="747"/>
      <c r="UAW738" s="747"/>
      <c r="UAX738" s="747"/>
      <c r="UAY738" s="747"/>
      <c r="UAZ738" s="747"/>
      <c r="UBA738" s="747"/>
      <c r="UBB738" s="747"/>
      <c r="UBC738" s="747"/>
      <c r="UBD738" s="747"/>
      <c r="UBE738" s="747"/>
      <c r="UBF738" s="747"/>
      <c r="UBG738" s="747"/>
      <c r="UBH738" s="747"/>
      <c r="UBI738" s="747"/>
      <c r="UBJ738" s="747"/>
      <c r="UBK738" s="747"/>
      <c r="UBL738" s="747"/>
      <c r="UBM738" s="747"/>
      <c r="UBN738" s="747"/>
      <c r="UBO738" s="747"/>
      <c r="UBP738" s="747"/>
      <c r="UBQ738" s="747"/>
      <c r="UBR738" s="747"/>
      <c r="UBS738" s="747"/>
      <c r="UBT738" s="747"/>
      <c r="UBU738" s="747"/>
      <c r="UBV738" s="747"/>
      <c r="UBW738" s="747"/>
      <c r="UBX738" s="747"/>
      <c r="UBY738" s="747"/>
      <c r="UBZ738" s="747"/>
      <c r="UCA738" s="747"/>
      <c r="UCB738" s="747"/>
      <c r="UCC738" s="747"/>
      <c r="UCD738" s="747"/>
      <c r="UCE738" s="747"/>
      <c r="UCF738" s="747"/>
      <c r="UCG738" s="747"/>
      <c r="UCH738" s="747"/>
      <c r="UCI738" s="747"/>
      <c r="UCJ738" s="747"/>
      <c r="UCK738" s="747"/>
      <c r="UCL738" s="747"/>
      <c r="UCM738" s="747"/>
      <c r="UCN738" s="747"/>
      <c r="UCO738" s="747"/>
      <c r="UCP738" s="747"/>
      <c r="UCQ738" s="747"/>
      <c r="UCR738" s="747"/>
      <c r="UCS738" s="747"/>
      <c r="UCT738" s="747"/>
      <c r="UCU738" s="747"/>
      <c r="UCV738" s="747"/>
      <c r="UCW738" s="747"/>
      <c r="UCX738" s="747"/>
      <c r="UCY738" s="747"/>
      <c r="UCZ738" s="747"/>
      <c r="UDA738" s="747"/>
      <c r="UDB738" s="747"/>
      <c r="UDC738" s="747"/>
      <c r="UDD738" s="747"/>
      <c r="UDE738" s="747"/>
      <c r="UDF738" s="747"/>
      <c r="UDG738" s="747"/>
      <c r="UDH738" s="747"/>
      <c r="UDI738" s="747"/>
      <c r="UDJ738" s="747"/>
      <c r="UDK738" s="747"/>
      <c r="UDL738" s="747"/>
      <c r="UDM738" s="747"/>
      <c r="UDN738" s="747"/>
      <c r="UDO738" s="747"/>
      <c r="UDP738" s="747"/>
      <c r="UDQ738" s="747"/>
      <c r="UDR738" s="747"/>
      <c r="UDS738" s="747"/>
      <c r="UDT738" s="747"/>
      <c r="UDU738" s="747"/>
      <c r="UDV738" s="747"/>
      <c r="UDW738" s="747"/>
      <c r="UDX738" s="747"/>
      <c r="UDY738" s="747"/>
      <c r="UDZ738" s="747"/>
      <c r="UEA738" s="747"/>
      <c r="UEB738" s="747"/>
      <c r="UEC738" s="747"/>
      <c r="UED738" s="747"/>
      <c r="UEE738" s="747"/>
      <c r="UEF738" s="747"/>
      <c r="UEG738" s="747"/>
      <c r="UEH738" s="747"/>
      <c r="UEI738" s="747"/>
      <c r="UEJ738" s="747"/>
      <c r="UEK738" s="747"/>
      <c r="UEL738" s="747"/>
      <c r="UEM738" s="747"/>
      <c r="UEN738" s="747"/>
      <c r="UEO738" s="747"/>
      <c r="UEP738" s="747"/>
      <c r="UEQ738" s="747"/>
      <c r="UER738" s="747"/>
      <c r="UES738" s="747"/>
      <c r="UET738" s="747"/>
      <c r="UEU738" s="747"/>
      <c r="UEV738" s="747"/>
      <c r="UEW738" s="747"/>
      <c r="UEX738" s="747"/>
      <c r="UEY738" s="747"/>
      <c r="UEZ738" s="747"/>
      <c r="UFA738" s="747"/>
      <c r="UFB738" s="747"/>
      <c r="UFC738" s="747"/>
      <c r="UFD738" s="747"/>
      <c r="UFE738" s="747"/>
      <c r="UFF738" s="747"/>
      <c r="UFG738" s="747"/>
      <c r="UFH738" s="747"/>
      <c r="UFI738" s="747"/>
      <c r="UFJ738" s="747"/>
      <c r="UFK738" s="747"/>
      <c r="UFL738" s="747"/>
      <c r="UFM738" s="747"/>
      <c r="UFN738" s="747"/>
      <c r="UFO738" s="747"/>
      <c r="UFP738" s="747"/>
      <c r="UFQ738" s="747"/>
      <c r="UFR738" s="747"/>
      <c r="UFS738" s="747"/>
      <c r="UFT738" s="747"/>
      <c r="UFU738" s="747"/>
      <c r="UFV738" s="747"/>
      <c r="UFW738" s="747"/>
      <c r="UFX738" s="747"/>
      <c r="UFY738" s="747"/>
      <c r="UFZ738" s="747"/>
      <c r="UGA738" s="747"/>
      <c r="UGB738" s="747"/>
      <c r="UGC738" s="747"/>
      <c r="UGD738" s="747"/>
      <c r="UGE738" s="747"/>
      <c r="UGF738" s="747"/>
      <c r="UGG738" s="747"/>
      <c r="UGH738" s="747"/>
      <c r="UGI738" s="747"/>
      <c r="UGJ738" s="747"/>
      <c r="UGK738" s="747"/>
      <c r="UGL738" s="747"/>
      <c r="UGM738" s="747"/>
      <c r="UGN738" s="747"/>
      <c r="UGO738" s="747"/>
      <c r="UGP738" s="747"/>
      <c r="UGQ738" s="747"/>
      <c r="UGR738" s="747"/>
      <c r="UGS738" s="747"/>
      <c r="UGT738" s="747"/>
      <c r="UGU738" s="747"/>
      <c r="UGV738" s="747"/>
      <c r="UGW738" s="747"/>
      <c r="UGX738" s="747"/>
      <c r="UGY738" s="747"/>
      <c r="UGZ738" s="747"/>
      <c r="UHA738" s="747"/>
      <c r="UHB738" s="747"/>
      <c r="UHC738" s="747"/>
      <c r="UHD738" s="747"/>
      <c r="UHE738" s="747"/>
      <c r="UHF738" s="747"/>
      <c r="UHG738" s="747"/>
      <c r="UHH738" s="747"/>
      <c r="UHI738" s="747"/>
      <c r="UHJ738" s="747"/>
      <c r="UHK738" s="747"/>
      <c r="UHL738" s="747"/>
      <c r="UHM738" s="747"/>
      <c r="UHN738" s="747"/>
      <c r="UHO738" s="747"/>
      <c r="UHP738" s="747"/>
      <c r="UHQ738" s="747"/>
      <c r="UHR738" s="747"/>
      <c r="UHS738" s="747"/>
      <c r="UHT738" s="747"/>
      <c r="UHU738" s="747"/>
      <c r="UHV738" s="747"/>
      <c r="UHW738" s="747"/>
      <c r="UHX738" s="747"/>
      <c r="UHY738" s="747"/>
      <c r="UHZ738" s="747"/>
      <c r="UIA738" s="747"/>
      <c r="UIB738" s="747"/>
      <c r="UIC738" s="747"/>
      <c r="UID738" s="747"/>
      <c r="UIE738" s="747"/>
      <c r="UIF738" s="747"/>
      <c r="UIG738" s="747"/>
      <c r="UIH738" s="747"/>
      <c r="UII738" s="747"/>
      <c r="UIJ738" s="747"/>
      <c r="UIK738" s="747"/>
      <c r="UIL738" s="747"/>
      <c r="UIM738" s="747"/>
      <c r="UIN738" s="747"/>
      <c r="UIO738" s="747"/>
      <c r="UIP738" s="747"/>
      <c r="UIQ738" s="747"/>
      <c r="UIR738" s="747"/>
      <c r="UIS738" s="747"/>
      <c r="UIT738" s="747"/>
      <c r="UIU738" s="747"/>
      <c r="UIV738" s="747"/>
      <c r="UIW738" s="747"/>
      <c r="UIX738" s="747"/>
      <c r="UIY738" s="747"/>
      <c r="UIZ738" s="747"/>
      <c r="UJA738" s="747"/>
      <c r="UJB738" s="747"/>
      <c r="UJC738" s="747"/>
      <c r="UJD738" s="747"/>
      <c r="UJE738" s="747"/>
      <c r="UJF738" s="747"/>
      <c r="UJG738" s="747"/>
      <c r="UJH738" s="747"/>
      <c r="UJI738" s="747"/>
      <c r="UJJ738" s="747"/>
      <c r="UJK738" s="747"/>
      <c r="UJL738" s="747"/>
      <c r="UJM738" s="747"/>
      <c r="UJN738" s="747"/>
      <c r="UJO738" s="747"/>
      <c r="UJP738" s="747"/>
      <c r="UJQ738" s="747"/>
      <c r="UJR738" s="747"/>
      <c r="UJS738" s="747"/>
      <c r="UJT738" s="747"/>
      <c r="UJU738" s="747"/>
      <c r="UJV738" s="747"/>
      <c r="UJW738" s="747"/>
      <c r="UJX738" s="747"/>
      <c r="UJY738" s="747"/>
      <c r="UJZ738" s="747"/>
      <c r="UKA738" s="747"/>
      <c r="UKB738" s="747"/>
      <c r="UKC738" s="747"/>
      <c r="UKD738" s="747"/>
      <c r="UKE738" s="747"/>
      <c r="UKF738" s="747"/>
      <c r="UKG738" s="747"/>
      <c r="UKH738" s="747"/>
      <c r="UKI738" s="747"/>
      <c r="UKJ738" s="747"/>
      <c r="UKK738" s="747"/>
      <c r="UKL738" s="747"/>
      <c r="UKM738" s="747"/>
      <c r="UKN738" s="747"/>
      <c r="UKO738" s="747"/>
      <c r="UKP738" s="747"/>
      <c r="UKQ738" s="747"/>
      <c r="UKR738" s="747"/>
      <c r="UKS738" s="747"/>
      <c r="UKT738" s="747"/>
      <c r="UKU738" s="747"/>
      <c r="UKV738" s="747"/>
      <c r="UKW738" s="747"/>
      <c r="UKX738" s="747"/>
      <c r="UKY738" s="747"/>
      <c r="UKZ738" s="747"/>
      <c r="ULA738" s="747"/>
      <c r="ULB738" s="747"/>
      <c r="ULC738" s="747"/>
      <c r="ULD738" s="747"/>
      <c r="ULE738" s="747"/>
      <c r="ULF738" s="747"/>
      <c r="ULG738" s="747"/>
      <c r="ULH738" s="747"/>
      <c r="ULI738" s="747"/>
      <c r="ULJ738" s="747"/>
      <c r="ULK738" s="747"/>
      <c r="ULL738" s="747"/>
      <c r="ULM738" s="747"/>
      <c r="ULN738" s="747"/>
      <c r="ULO738" s="747"/>
      <c r="ULP738" s="747"/>
      <c r="ULQ738" s="747"/>
      <c r="ULR738" s="747"/>
      <c r="ULS738" s="747"/>
      <c r="ULT738" s="747"/>
      <c r="ULU738" s="747"/>
      <c r="ULV738" s="747"/>
      <c r="ULW738" s="747"/>
      <c r="ULX738" s="747"/>
      <c r="ULY738" s="747"/>
      <c r="ULZ738" s="747"/>
      <c r="UMA738" s="747"/>
      <c r="UMB738" s="747"/>
      <c r="UMC738" s="747"/>
      <c r="UMD738" s="747"/>
      <c r="UME738" s="747"/>
      <c r="UMF738" s="747"/>
      <c r="UMG738" s="747"/>
      <c r="UMH738" s="747"/>
      <c r="UMI738" s="747"/>
      <c r="UMJ738" s="747"/>
      <c r="UMK738" s="747"/>
      <c r="UML738" s="747"/>
      <c r="UMM738" s="747"/>
      <c r="UMN738" s="747"/>
      <c r="UMO738" s="747"/>
      <c r="UMP738" s="747"/>
      <c r="UMQ738" s="747"/>
      <c r="UMR738" s="747"/>
      <c r="UMS738" s="747"/>
      <c r="UMT738" s="747"/>
      <c r="UMU738" s="747"/>
      <c r="UMV738" s="747"/>
      <c r="UMW738" s="747"/>
      <c r="UMX738" s="747"/>
      <c r="UMY738" s="747"/>
      <c r="UMZ738" s="747"/>
      <c r="UNA738" s="747"/>
      <c r="UNB738" s="747"/>
      <c r="UNC738" s="747"/>
      <c r="UND738" s="747"/>
      <c r="UNE738" s="747"/>
      <c r="UNF738" s="747"/>
      <c r="UNG738" s="747"/>
      <c r="UNH738" s="747"/>
      <c r="UNI738" s="747"/>
      <c r="UNJ738" s="747"/>
      <c r="UNK738" s="747"/>
      <c r="UNL738" s="747"/>
      <c r="UNM738" s="747"/>
      <c r="UNN738" s="747"/>
      <c r="UNO738" s="747"/>
      <c r="UNP738" s="747"/>
      <c r="UNQ738" s="747"/>
      <c r="UNR738" s="747"/>
      <c r="UNS738" s="747"/>
      <c r="UNT738" s="747"/>
      <c r="UNU738" s="747"/>
      <c r="UNV738" s="747"/>
      <c r="UNW738" s="747"/>
      <c r="UNX738" s="747"/>
      <c r="UNY738" s="747"/>
      <c r="UNZ738" s="747"/>
      <c r="UOA738" s="747"/>
      <c r="UOB738" s="747"/>
      <c r="UOC738" s="747"/>
      <c r="UOD738" s="747"/>
      <c r="UOE738" s="747"/>
      <c r="UOF738" s="747"/>
      <c r="UOG738" s="747"/>
      <c r="UOH738" s="747"/>
      <c r="UOI738" s="747"/>
      <c r="UOJ738" s="747"/>
      <c r="UOK738" s="747"/>
      <c r="UOL738" s="747"/>
      <c r="UOM738" s="747"/>
      <c r="UON738" s="747"/>
      <c r="UOO738" s="747"/>
      <c r="UOP738" s="747"/>
      <c r="UOQ738" s="747"/>
      <c r="UOR738" s="747"/>
      <c r="UOS738" s="747"/>
      <c r="UOT738" s="747"/>
      <c r="UOU738" s="747"/>
      <c r="UOV738" s="747"/>
      <c r="UOW738" s="747"/>
      <c r="UOX738" s="747"/>
      <c r="UOY738" s="747"/>
      <c r="UOZ738" s="747"/>
      <c r="UPA738" s="747"/>
      <c r="UPB738" s="747"/>
      <c r="UPC738" s="747"/>
      <c r="UPD738" s="747"/>
      <c r="UPE738" s="747"/>
      <c r="UPF738" s="747"/>
      <c r="UPG738" s="747"/>
      <c r="UPH738" s="747"/>
      <c r="UPI738" s="747"/>
      <c r="UPJ738" s="747"/>
      <c r="UPK738" s="747"/>
      <c r="UPL738" s="747"/>
      <c r="UPM738" s="747"/>
      <c r="UPN738" s="747"/>
      <c r="UPO738" s="747"/>
      <c r="UPP738" s="747"/>
      <c r="UPQ738" s="747"/>
      <c r="UPR738" s="747"/>
      <c r="UPS738" s="747"/>
      <c r="UPT738" s="747"/>
      <c r="UPU738" s="747"/>
      <c r="UPV738" s="747"/>
      <c r="UPW738" s="747"/>
      <c r="UPX738" s="747"/>
      <c r="UPY738" s="747"/>
      <c r="UPZ738" s="747"/>
      <c r="UQA738" s="747"/>
      <c r="UQB738" s="747"/>
      <c r="UQC738" s="747"/>
      <c r="UQD738" s="747"/>
      <c r="UQE738" s="747"/>
      <c r="UQF738" s="747"/>
      <c r="UQG738" s="747"/>
      <c r="UQH738" s="747"/>
      <c r="UQI738" s="747"/>
      <c r="UQJ738" s="747"/>
      <c r="UQK738" s="747"/>
      <c r="UQL738" s="747"/>
      <c r="UQM738" s="747"/>
      <c r="UQN738" s="747"/>
      <c r="UQO738" s="747"/>
      <c r="UQP738" s="747"/>
      <c r="UQQ738" s="747"/>
      <c r="UQR738" s="747"/>
      <c r="UQS738" s="747"/>
      <c r="UQT738" s="747"/>
      <c r="UQU738" s="747"/>
      <c r="UQV738" s="747"/>
      <c r="UQW738" s="747"/>
      <c r="UQX738" s="747"/>
      <c r="UQY738" s="747"/>
      <c r="UQZ738" s="747"/>
      <c r="URA738" s="747"/>
      <c r="URB738" s="747"/>
      <c r="URC738" s="747"/>
      <c r="URD738" s="747"/>
      <c r="URE738" s="747"/>
      <c r="URF738" s="747"/>
      <c r="URG738" s="747"/>
      <c r="URH738" s="747"/>
      <c r="URI738" s="747"/>
      <c r="URJ738" s="747"/>
      <c r="URK738" s="747"/>
      <c r="URL738" s="747"/>
      <c r="URM738" s="747"/>
      <c r="URN738" s="747"/>
      <c r="URO738" s="747"/>
      <c r="URP738" s="747"/>
      <c r="URQ738" s="747"/>
      <c r="URR738" s="747"/>
      <c r="URS738" s="747"/>
      <c r="URT738" s="747"/>
      <c r="URU738" s="747"/>
      <c r="URV738" s="747"/>
      <c r="URW738" s="747"/>
      <c r="URX738" s="747"/>
      <c r="URY738" s="747"/>
      <c r="URZ738" s="747"/>
      <c r="USA738" s="747"/>
      <c r="USB738" s="747"/>
      <c r="USC738" s="747"/>
      <c r="USD738" s="747"/>
      <c r="USE738" s="747"/>
      <c r="USF738" s="747"/>
      <c r="USG738" s="747"/>
      <c r="USH738" s="747"/>
      <c r="USI738" s="747"/>
      <c r="USJ738" s="747"/>
      <c r="USK738" s="747"/>
      <c r="USL738" s="747"/>
      <c r="USM738" s="747"/>
      <c r="USN738" s="747"/>
      <c r="USO738" s="747"/>
      <c r="USP738" s="747"/>
      <c r="USQ738" s="747"/>
      <c r="USR738" s="747"/>
      <c r="USS738" s="747"/>
      <c r="UST738" s="747"/>
      <c r="USU738" s="747"/>
      <c r="USV738" s="747"/>
      <c r="USW738" s="747"/>
      <c r="USX738" s="747"/>
      <c r="USY738" s="747"/>
      <c r="USZ738" s="747"/>
      <c r="UTA738" s="747"/>
      <c r="UTB738" s="747"/>
      <c r="UTC738" s="747"/>
      <c r="UTD738" s="747"/>
      <c r="UTE738" s="747"/>
      <c r="UTF738" s="747"/>
      <c r="UTG738" s="747"/>
      <c r="UTH738" s="747"/>
      <c r="UTI738" s="747"/>
      <c r="UTJ738" s="747"/>
      <c r="UTK738" s="747"/>
      <c r="UTL738" s="747"/>
      <c r="UTM738" s="747"/>
      <c r="UTN738" s="747"/>
      <c r="UTO738" s="747"/>
      <c r="UTP738" s="747"/>
      <c r="UTQ738" s="747"/>
      <c r="UTR738" s="747"/>
      <c r="UTS738" s="747"/>
      <c r="UTT738" s="747"/>
      <c r="UTU738" s="747"/>
      <c r="UTV738" s="747"/>
      <c r="UTW738" s="747"/>
      <c r="UTX738" s="747"/>
      <c r="UTY738" s="747"/>
      <c r="UTZ738" s="747"/>
      <c r="UUA738" s="747"/>
      <c r="UUB738" s="747"/>
      <c r="UUC738" s="747"/>
      <c r="UUD738" s="747"/>
      <c r="UUE738" s="747"/>
      <c r="UUF738" s="747"/>
      <c r="UUG738" s="747"/>
      <c r="UUH738" s="747"/>
      <c r="UUI738" s="747"/>
      <c r="UUJ738" s="747"/>
      <c r="UUK738" s="747"/>
      <c r="UUL738" s="747"/>
      <c r="UUM738" s="747"/>
      <c r="UUN738" s="747"/>
      <c r="UUO738" s="747"/>
      <c r="UUP738" s="747"/>
      <c r="UUQ738" s="747"/>
      <c r="UUR738" s="747"/>
      <c r="UUS738" s="747"/>
      <c r="UUT738" s="747"/>
      <c r="UUU738" s="747"/>
      <c r="UUV738" s="747"/>
      <c r="UUW738" s="747"/>
      <c r="UUX738" s="747"/>
      <c r="UUY738" s="747"/>
      <c r="UUZ738" s="747"/>
      <c r="UVA738" s="747"/>
      <c r="UVB738" s="747"/>
      <c r="UVC738" s="747"/>
      <c r="UVD738" s="747"/>
      <c r="UVE738" s="747"/>
      <c r="UVF738" s="747"/>
      <c r="UVG738" s="747"/>
      <c r="UVH738" s="747"/>
      <c r="UVI738" s="747"/>
      <c r="UVJ738" s="747"/>
      <c r="UVK738" s="747"/>
      <c r="UVL738" s="747"/>
      <c r="UVM738" s="747"/>
      <c r="UVN738" s="747"/>
      <c r="UVO738" s="747"/>
      <c r="UVP738" s="747"/>
      <c r="UVQ738" s="747"/>
      <c r="UVR738" s="747"/>
      <c r="UVS738" s="747"/>
      <c r="UVT738" s="747"/>
      <c r="UVU738" s="747"/>
      <c r="UVV738" s="747"/>
      <c r="UVW738" s="747"/>
      <c r="UVX738" s="747"/>
      <c r="UVY738" s="747"/>
      <c r="UVZ738" s="747"/>
      <c r="UWA738" s="747"/>
      <c r="UWB738" s="747"/>
      <c r="UWC738" s="747"/>
      <c r="UWD738" s="747"/>
      <c r="UWE738" s="747"/>
      <c r="UWF738" s="747"/>
      <c r="UWG738" s="747"/>
      <c r="UWH738" s="747"/>
      <c r="UWI738" s="747"/>
      <c r="UWJ738" s="747"/>
      <c r="UWK738" s="747"/>
      <c r="UWL738" s="747"/>
      <c r="UWM738" s="747"/>
      <c r="UWN738" s="747"/>
      <c r="UWO738" s="747"/>
      <c r="UWP738" s="747"/>
      <c r="UWQ738" s="747"/>
      <c r="UWR738" s="747"/>
      <c r="UWS738" s="747"/>
      <c r="UWT738" s="747"/>
      <c r="UWU738" s="747"/>
      <c r="UWV738" s="747"/>
      <c r="UWW738" s="747"/>
      <c r="UWX738" s="747"/>
      <c r="UWY738" s="747"/>
      <c r="UWZ738" s="747"/>
      <c r="UXA738" s="747"/>
      <c r="UXB738" s="747"/>
      <c r="UXC738" s="747"/>
      <c r="UXD738" s="747"/>
      <c r="UXE738" s="747"/>
      <c r="UXF738" s="747"/>
      <c r="UXG738" s="747"/>
      <c r="UXH738" s="747"/>
      <c r="UXI738" s="747"/>
      <c r="UXJ738" s="747"/>
      <c r="UXK738" s="747"/>
      <c r="UXL738" s="747"/>
      <c r="UXM738" s="747"/>
      <c r="UXN738" s="747"/>
      <c r="UXO738" s="747"/>
      <c r="UXP738" s="747"/>
      <c r="UXQ738" s="747"/>
      <c r="UXR738" s="747"/>
      <c r="UXS738" s="747"/>
      <c r="UXT738" s="747"/>
      <c r="UXU738" s="747"/>
      <c r="UXV738" s="747"/>
      <c r="UXW738" s="747"/>
      <c r="UXX738" s="747"/>
      <c r="UXY738" s="747"/>
      <c r="UXZ738" s="747"/>
      <c r="UYA738" s="747"/>
      <c r="UYB738" s="747"/>
      <c r="UYC738" s="747"/>
      <c r="UYD738" s="747"/>
      <c r="UYE738" s="747"/>
      <c r="UYF738" s="747"/>
      <c r="UYG738" s="747"/>
      <c r="UYH738" s="747"/>
      <c r="UYI738" s="747"/>
      <c r="UYJ738" s="747"/>
      <c r="UYK738" s="747"/>
      <c r="UYL738" s="747"/>
      <c r="UYM738" s="747"/>
      <c r="UYN738" s="747"/>
      <c r="UYO738" s="747"/>
      <c r="UYP738" s="747"/>
      <c r="UYQ738" s="747"/>
      <c r="UYR738" s="747"/>
      <c r="UYS738" s="747"/>
      <c r="UYT738" s="747"/>
      <c r="UYU738" s="747"/>
      <c r="UYV738" s="747"/>
      <c r="UYW738" s="747"/>
      <c r="UYX738" s="747"/>
      <c r="UYY738" s="747"/>
      <c r="UYZ738" s="747"/>
      <c r="UZA738" s="747"/>
      <c r="UZB738" s="747"/>
      <c r="UZC738" s="747"/>
      <c r="UZD738" s="747"/>
      <c r="UZE738" s="747"/>
      <c r="UZF738" s="747"/>
      <c r="UZG738" s="747"/>
      <c r="UZH738" s="747"/>
      <c r="UZI738" s="747"/>
      <c r="UZJ738" s="747"/>
      <c r="UZK738" s="747"/>
      <c r="UZL738" s="747"/>
      <c r="UZM738" s="747"/>
      <c r="UZN738" s="747"/>
      <c r="UZO738" s="747"/>
      <c r="UZP738" s="747"/>
      <c r="UZQ738" s="747"/>
      <c r="UZR738" s="747"/>
      <c r="UZS738" s="747"/>
      <c r="UZT738" s="747"/>
      <c r="UZU738" s="747"/>
      <c r="UZV738" s="747"/>
      <c r="UZW738" s="747"/>
      <c r="UZX738" s="747"/>
      <c r="UZY738" s="747"/>
      <c r="UZZ738" s="747"/>
      <c r="VAA738" s="747"/>
      <c r="VAB738" s="747"/>
      <c r="VAC738" s="747"/>
      <c r="VAD738" s="747"/>
      <c r="VAE738" s="747"/>
      <c r="VAF738" s="747"/>
      <c r="VAG738" s="747"/>
      <c r="VAH738" s="747"/>
      <c r="VAI738" s="747"/>
      <c r="VAJ738" s="747"/>
      <c r="VAK738" s="747"/>
      <c r="VAL738" s="747"/>
      <c r="VAM738" s="747"/>
      <c r="VAN738" s="747"/>
      <c r="VAO738" s="747"/>
      <c r="VAP738" s="747"/>
      <c r="VAQ738" s="747"/>
      <c r="VAR738" s="747"/>
      <c r="VAS738" s="747"/>
      <c r="VAT738" s="747"/>
      <c r="VAU738" s="747"/>
      <c r="VAV738" s="747"/>
      <c r="VAW738" s="747"/>
      <c r="VAX738" s="747"/>
      <c r="VAY738" s="747"/>
      <c r="VAZ738" s="747"/>
      <c r="VBA738" s="747"/>
      <c r="VBB738" s="747"/>
      <c r="VBC738" s="747"/>
      <c r="VBD738" s="747"/>
      <c r="VBE738" s="747"/>
      <c r="VBF738" s="747"/>
      <c r="VBG738" s="747"/>
      <c r="VBH738" s="747"/>
      <c r="VBI738" s="747"/>
      <c r="VBJ738" s="747"/>
      <c r="VBK738" s="747"/>
      <c r="VBL738" s="747"/>
      <c r="VBM738" s="747"/>
      <c r="VBN738" s="747"/>
      <c r="VBO738" s="747"/>
      <c r="VBP738" s="747"/>
      <c r="VBQ738" s="747"/>
      <c r="VBR738" s="747"/>
      <c r="VBS738" s="747"/>
      <c r="VBT738" s="747"/>
      <c r="VBU738" s="747"/>
      <c r="VBV738" s="747"/>
      <c r="VBW738" s="747"/>
      <c r="VBX738" s="747"/>
      <c r="VBY738" s="747"/>
      <c r="VBZ738" s="747"/>
      <c r="VCA738" s="747"/>
      <c r="VCB738" s="747"/>
      <c r="VCC738" s="747"/>
      <c r="VCD738" s="747"/>
      <c r="VCE738" s="747"/>
      <c r="VCF738" s="747"/>
      <c r="VCG738" s="747"/>
      <c r="VCH738" s="747"/>
      <c r="VCI738" s="747"/>
      <c r="VCJ738" s="747"/>
      <c r="VCK738" s="747"/>
      <c r="VCL738" s="747"/>
      <c r="VCM738" s="747"/>
      <c r="VCN738" s="747"/>
      <c r="VCO738" s="747"/>
      <c r="VCP738" s="747"/>
      <c r="VCQ738" s="747"/>
      <c r="VCR738" s="747"/>
      <c r="VCS738" s="747"/>
      <c r="VCT738" s="747"/>
      <c r="VCU738" s="747"/>
      <c r="VCV738" s="747"/>
      <c r="VCW738" s="747"/>
      <c r="VCX738" s="747"/>
      <c r="VCY738" s="747"/>
      <c r="VCZ738" s="747"/>
      <c r="VDA738" s="747"/>
      <c r="VDB738" s="747"/>
      <c r="VDC738" s="747"/>
      <c r="VDD738" s="747"/>
      <c r="VDE738" s="747"/>
      <c r="VDF738" s="747"/>
      <c r="VDG738" s="747"/>
      <c r="VDH738" s="747"/>
      <c r="VDI738" s="747"/>
      <c r="VDJ738" s="747"/>
      <c r="VDK738" s="747"/>
      <c r="VDL738" s="747"/>
      <c r="VDM738" s="747"/>
      <c r="VDN738" s="747"/>
      <c r="VDO738" s="747"/>
      <c r="VDP738" s="747"/>
      <c r="VDQ738" s="747"/>
      <c r="VDR738" s="747"/>
      <c r="VDS738" s="747"/>
      <c r="VDT738" s="747"/>
      <c r="VDU738" s="747"/>
      <c r="VDV738" s="747"/>
      <c r="VDW738" s="747"/>
      <c r="VDX738" s="747"/>
      <c r="VDY738" s="747"/>
      <c r="VDZ738" s="747"/>
      <c r="VEA738" s="747"/>
      <c r="VEB738" s="747"/>
      <c r="VEC738" s="747"/>
      <c r="VED738" s="747"/>
      <c r="VEE738" s="747"/>
      <c r="VEF738" s="747"/>
      <c r="VEG738" s="747"/>
      <c r="VEH738" s="747"/>
      <c r="VEI738" s="747"/>
      <c r="VEJ738" s="747"/>
      <c r="VEK738" s="747"/>
      <c r="VEL738" s="747"/>
      <c r="VEM738" s="747"/>
      <c r="VEN738" s="747"/>
      <c r="VEO738" s="747"/>
      <c r="VEP738" s="747"/>
      <c r="VEQ738" s="747"/>
      <c r="VER738" s="747"/>
      <c r="VES738" s="747"/>
      <c r="VET738" s="747"/>
      <c r="VEU738" s="747"/>
      <c r="VEV738" s="747"/>
      <c r="VEW738" s="747"/>
      <c r="VEX738" s="747"/>
      <c r="VEY738" s="747"/>
      <c r="VEZ738" s="747"/>
      <c r="VFA738" s="747"/>
      <c r="VFB738" s="747"/>
      <c r="VFC738" s="747"/>
      <c r="VFD738" s="747"/>
      <c r="VFE738" s="747"/>
      <c r="VFF738" s="747"/>
      <c r="VFG738" s="747"/>
      <c r="VFH738" s="747"/>
      <c r="VFI738" s="747"/>
      <c r="VFJ738" s="747"/>
      <c r="VFK738" s="747"/>
      <c r="VFL738" s="747"/>
      <c r="VFM738" s="747"/>
      <c r="VFN738" s="747"/>
      <c r="VFO738" s="747"/>
      <c r="VFP738" s="747"/>
      <c r="VFQ738" s="747"/>
      <c r="VFR738" s="747"/>
      <c r="VFS738" s="747"/>
      <c r="VFT738" s="747"/>
      <c r="VFU738" s="747"/>
      <c r="VFV738" s="747"/>
      <c r="VFW738" s="747"/>
      <c r="VFX738" s="747"/>
      <c r="VFY738" s="747"/>
      <c r="VFZ738" s="747"/>
      <c r="VGA738" s="747"/>
      <c r="VGB738" s="747"/>
      <c r="VGC738" s="747"/>
      <c r="VGD738" s="747"/>
      <c r="VGE738" s="747"/>
      <c r="VGF738" s="747"/>
      <c r="VGG738" s="747"/>
      <c r="VGH738" s="747"/>
      <c r="VGI738" s="747"/>
      <c r="VGJ738" s="747"/>
      <c r="VGK738" s="747"/>
      <c r="VGL738" s="747"/>
      <c r="VGM738" s="747"/>
      <c r="VGN738" s="747"/>
      <c r="VGO738" s="747"/>
      <c r="VGP738" s="747"/>
      <c r="VGQ738" s="747"/>
      <c r="VGR738" s="747"/>
      <c r="VGS738" s="747"/>
      <c r="VGT738" s="747"/>
      <c r="VGU738" s="747"/>
      <c r="VGV738" s="747"/>
      <c r="VGW738" s="747"/>
      <c r="VGX738" s="747"/>
      <c r="VGY738" s="747"/>
      <c r="VGZ738" s="747"/>
      <c r="VHA738" s="747"/>
      <c r="VHB738" s="747"/>
      <c r="VHC738" s="747"/>
      <c r="VHD738" s="747"/>
      <c r="VHE738" s="747"/>
      <c r="VHF738" s="747"/>
      <c r="VHG738" s="747"/>
      <c r="VHH738" s="747"/>
      <c r="VHI738" s="747"/>
      <c r="VHJ738" s="747"/>
      <c r="VHK738" s="747"/>
      <c r="VHL738" s="747"/>
      <c r="VHM738" s="747"/>
      <c r="VHN738" s="747"/>
      <c r="VHO738" s="747"/>
      <c r="VHP738" s="747"/>
      <c r="VHQ738" s="747"/>
      <c r="VHR738" s="747"/>
      <c r="VHS738" s="747"/>
      <c r="VHT738" s="747"/>
      <c r="VHU738" s="747"/>
      <c r="VHV738" s="747"/>
      <c r="VHW738" s="747"/>
      <c r="VHX738" s="747"/>
      <c r="VHY738" s="747"/>
      <c r="VHZ738" s="747"/>
      <c r="VIA738" s="747"/>
      <c r="VIB738" s="747"/>
      <c r="VIC738" s="747"/>
      <c r="VID738" s="747"/>
      <c r="VIE738" s="747"/>
      <c r="VIF738" s="747"/>
      <c r="VIG738" s="747"/>
      <c r="VIH738" s="747"/>
      <c r="VII738" s="747"/>
      <c r="VIJ738" s="747"/>
      <c r="VIK738" s="747"/>
      <c r="VIL738" s="747"/>
      <c r="VIM738" s="747"/>
      <c r="VIN738" s="747"/>
      <c r="VIO738" s="747"/>
      <c r="VIP738" s="747"/>
      <c r="VIQ738" s="747"/>
      <c r="VIR738" s="747"/>
      <c r="VIS738" s="747"/>
      <c r="VIT738" s="747"/>
      <c r="VIU738" s="747"/>
      <c r="VIV738" s="747"/>
      <c r="VIW738" s="747"/>
      <c r="VIX738" s="747"/>
      <c r="VIY738" s="747"/>
      <c r="VIZ738" s="747"/>
      <c r="VJA738" s="747"/>
      <c r="VJB738" s="747"/>
      <c r="VJC738" s="747"/>
      <c r="VJD738" s="747"/>
      <c r="VJE738" s="747"/>
      <c r="VJF738" s="747"/>
      <c r="VJG738" s="747"/>
      <c r="VJH738" s="747"/>
      <c r="VJI738" s="747"/>
      <c r="VJJ738" s="747"/>
      <c r="VJK738" s="747"/>
      <c r="VJL738" s="747"/>
      <c r="VJM738" s="747"/>
      <c r="VJN738" s="747"/>
      <c r="VJO738" s="747"/>
      <c r="VJP738" s="747"/>
      <c r="VJQ738" s="747"/>
      <c r="VJR738" s="747"/>
      <c r="VJS738" s="747"/>
      <c r="VJT738" s="747"/>
      <c r="VJU738" s="747"/>
      <c r="VJV738" s="747"/>
      <c r="VJW738" s="747"/>
      <c r="VJX738" s="747"/>
      <c r="VJY738" s="747"/>
      <c r="VJZ738" s="747"/>
      <c r="VKA738" s="747"/>
      <c r="VKB738" s="747"/>
      <c r="VKC738" s="747"/>
      <c r="VKD738" s="747"/>
      <c r="VKE738" s="747"/>
      <c r="VKF738" s="747"/>
      <c r="VKG738" s="747"/>
      <c r="VKH738" s="747"/>
      <c r="VKI738" s="747"/>
      <c r="VKJ738" s="747"/>
      <c r="VKK738" s="747"/>
      <c r="VKL738" s="747"/>
      <c r="VKM738" s="747"/>
      <c r="VKN738" s="747"/>
      <c r="VKO738" s="747"/>
      <c r="VKP738" s="747"/>
      <c r="VKQ738" s="747"/>
      <c r="VKR738" s="747"/>
      <c r="VKS738" s="747"/>
      <c r="VKT738" s="747"/>
      <c r="VKU738" s="747"/>
      <c r="VKV738" s="747"/>
      <c r="VKW738" s="747"/>
      <c r="VKX738" s="747"/>
      <c r="VKY738" s="747"/>
      <c r="VKZ738" s="747"/>
      <c r="VLA738" s="747"/>
      <c r="VLB738" s="747"/>
      <c r="VLC738" s="747"/>
      <c r="VLD738" s="747"/>
      <c r="VLE738" s="747"/>
      <c r="VLF738" s="747"/>
      <c r="VLG738" s="747"/>
      <c r="VLH738" s="747"/>
      <c r="VLI738" s="747"/>
      <c r="VLJ738" s="747"/>
      <c r="VLK738" s="747"/>
      <c r="VLL738" s="747"/>
      <c r="VLM738" s="747"/>
      <c r="VLN738" s="747"/>
      <c r="VLO738" s="747"/>
      <c r="VLP738" s="747"/>
      <c r="VLQ738" s="747"/>
      <c r="VLR738" s="747"/>
      <c r="VLS738" s="747"/>
      <c r="VLT738" s="747"/>
      <c r="VLU738" s="747"/>
      <c r="VLV738" s="747"/>
      <c r="VLW738" s="747"/>
      <c r="VLX738" s="747"/>
      <c r="VLY738" s="747"/>
      <c r="VLZ738" s="747"/>
      <c r="VMA738" s="747"/>
      <c r="VMB738" s="747"/>
      <c r="VMC738" s="747"/>
      <c r="VMD738" s="747"/>
      <c r="VME738" s="747"/>
      <c r="VMF738" s="747"/>
      <c r="VMG738" s="747"/>
      <c r="VMH738" s="747"/>
      <c r="VMI738" s="747"/>
      <c r="VMJ738" s="747"/>
      <c r="VMK738" s="747"/>
      <c r="VML738" s="747"/>
      <c r="VMM738" s="747"/>
      <c r="VMN738" s="747"/>
      <c r="VMO738" s="747"/>
      <c r="VMP738" s="747"/>
      <c r="VMQ738" s="747"/>
      <c r="VMR738" s="747"/>
      <c r="VMS738" s="747"/>
      <c r="VMT738" s="747"/>
      <c r="VMU738" s="747"/>
      <c r="VMV738" s="747"/>
      <c r="VMW738" s="747"/>
      <c r="VMX738" s="747"/>
      <c r="VMY738" s="747"/>
      <c r="VMZ738" s="747"/>
      <c r="VNA738" s="747"/>
      <c r="VNB738" s="747"/>
      <c r="VNC738" s="747"/>
      <c r="VND738" s="747"/>
      <c r="VNE738" s="747"/>
      <c r="VNF738" s="747"/>
      <c r="VNG738" s="747"/>
      <c r="VNH738" s="747"/>
      <c r="VNI738" s="747"/>
      <c r="VNJ738" s="747"/>
      <c r="VNK738" s="747"/>
      <c r="VNL738" s="747"/>
      <c r="VNM738" s="747"/>
      <c r="VNN738" s="747"/>
      <c r="VNO738" s="747"/>
      <c r="VNP738" s="747"/>
      <c r="VNQ738" s="747"/>
      <c r="VNR738" s="747"/>
      <c r="VNS738" s="747"/>
      <c r="VNT738" s="747"/>
      <c r="VNU738" s="747"/>
      <c r="VNV738" s="747"/>
      <c r="VNW738" s="747"/>
      <c r="VNX738" s="747"/>
      <c r="VNY738" s="747"/>
      <c r="VNZ738" s="747"/>
      <c r="VOA738" s="747"/>
      <c r="VOB738" s="747"/>
      <c r="VOC738" s="747"/>
      <c r="VOD738" s="747"/>
      <c r="VOE738" s="747"/>
      <c r="VOF738" s="747"/>
      <c r="VOG738" s="747"/>
      <c r="VOH738" s="747"/>
      <c r="VOI738" s="747"/>
      <c r="VOJ738" s="747"/>
      <c r="VOK738" s="747"/>
      <c r="VOL738" s="747"/>
      <c r="VOM738" s="747"/>
      <c r="VON738" s="747"/>
      <c r="VOO738" s="747"/>
      <c r="VOP738" s="747"/>
      <c r="VOQ738" s="747"/>
      <c r="VOR738" s="747"/>
      <c r="VOS738" s="747"/>
      <c r="VOT738" s="747"/>
      <c r="VOU738" s="747"/>
      <c r="VOV738" s="747"/>
      <c r="VOW738" s="747"/>
      <c r="VOX738" s="747"/>
      <c r="VOY738" s="747"/>
      <c r="VOZ738" s="747"/>
      <c r="VPA738" s="747"/>
      <c r="VPB738" s="747"/>
      <c r="VPC738" s="747"/>
      <c r="VPD738" s="747"/>
      <c r="VPE738" s="747"/>
      <c r="VPF738" s="747"/>
      <c r="VPG738" s="747"/>
      <c r="VPH738" s="747"/>
      <c r="VPI738" s="747"/>
      <c r="VPJ738" s="747"/>
      <c r="VPK738" s="747"/>
      <c r="VPL738" s="747"/>
      <c r="VPM738" s="747"/>
      <c r="VPN738" s="747"/>
      <c r="VPO738" s="747"/>
      <c r="VPP738" s="747"/>
      <c r="VPQ738" s="747"/>
      <c r="VPR738" s="747"/>
      <c r="VPS738" s="747"/>
      <c r="VPT738" s="747"/>
      <c r="VPU738" s="747"/>
      <c r="VPV738" s="747"/>
      <c r="VPW738" s="747"/>
      <c r="VPX738" s="747"/>
      <c r="VPY738" s="747"/>
      <c r="VPZ738" s="747"/>
      <c r="VQA738" s="747"/>
      <c r="VQB738" s="747"/>
      <c r="VQC738" s="747"/>
      <c r="VQD738" s="747"/>
      <c r="VQE738" s="747"/>
      <c r="VQF738" s="747"/>
      <c r="VQG738" s="747"/>
      <c r="VQH738" s="747"/>
      <c r="VQI738" s="747"/>
      <c r="VQJ738" s="747"/>
      <c r="VQK738" s="747"/>
      <c r="VQL738" s="747"/>
      <c r="VQM738" s="747"/>
      <c r="VQN738" s="747"/>
      <c r="VQO738" s="747"/>
      <c r="VQP738" s="747"/>
      <c r="VQQ738" s="747"/>
      <c r="VQR738" s="747"/>
      <c r="VQS738" s="747"/>
      <c r="VQT738" s="747"/>
      <c r="VQU738" s="747"/>
      <c r="VQV738" s="747"/>
      <c r="VQW738" s="747"/>
      <c r="VQX738" s="747"/>
      <c r="VQY738" s="747"/>
      <c r="VQZ738" s="747"/>
      <c r="VRA738" s="747"/>
      <c r="VRB738" s="747"/>
      <c r="VRC738" s="747"/>
      <c r="VRD738" s="747"/>
      <c r="VRE738" s="747"/>
      <c r="VRF738" s="747"/>
      <c r="VRG738" s="747"/>
      <c r="VRH738" s="747"/>
      <c r="VRI738" s="747"/>
      <c r="VRJ738" s="747"/>
      <c r="VRK738" s="747"/>
      <c r="VRL738" s="747"/>
      <c r="VRM738" s="747"/>
      <c r="VRN738" s="747"/>
      <c r="VRO738" s="747"/>
      <c r="VRP738" s="747"/>
      <c r="VRQ738" s="747"/>
      <c r="VRR738" s="747"/>
      <c r="VRS738" s="747"/>
      <c r="VRT738" s="747"/>
      <c r="VRU738" s="747"/>
      <c r="VRV738" s="747"/>
      <c r="VRW738" s="747"/>
      <c r="VRX738" s="747"/>
      <c r="VRY738" s="747"/>
      <c r="VRZ738" s="747"/>
      <c r="VSA738" s="747"/>
      <c r="VSB738" s="747"/>
      <c r="VSC738" s="747"/>
      <c r="VSD738" s="747"/>
      <c r="VSE738" s="747"/>
      <c r="VSF738" s="747"/>
      <c r="VSG738" s="747"/>
      <c r="VSH738" s="747"/>
      <c r="VSI738" s="747"/>
      <c r="VSJ738" s="747"/>
      <c r="VSK738" s="747"/>
      <c r="VSL738" s="747"/>
      <c r="VSM738" s="747"/>
      <c r="VSN738" s="747"/>
      <c r="VSO738" s="747"/>
      <c r="VSP738" s="747"/>
      <c r="VSQ738" s="747"/>
      <c r="VSR738" s="747"/>
      <c r="VSS738" s="747"/>
      <c r="VST738" s="747"/>
      <c r="VSU738" s="747"/>
      <c r="VSV738" s="747"/>
      <c r="VSW738" s="747"/>
      <c r="VSX738" s="747"/>
      <c r="VSY738" s="747"/>
      <c r="VSZ738" s="747"/>
      <c r="VTA738" s="747"/>
      <c r="VTB738" s="747"/>
      <c r="VTC738" s="747"/>
      <c r="VTD738" s="747"/>
      <c r="VTE738" s="747"/>
      <c r="VTF738" s="747"/>
      <c r="VTG738" s="747"/>
      <c r="VTH738" s="747"/>
      <c r="VTI738" s="747"/>
      <c r="VTJ738" s="747"/>
      <c r="VTK738" s="747"/>
      <c r="VTL738" s="747"/>
      <c r="VTM738" s="747"/>
      <c r="VTN738" s="747"/>
      <c r="VTO738" s="747"/>
      <c r="VTP738" s="747"/>
      <c r="VTQ738" s="747"/>
      <c r="VTR738" s="747"/>
      <c r="VTS738" s="747"/>
      <c r="VTT738" s="747"/>
      <c r="VTU738" s="747"/>
      <c r="VTV738" s="747"/>
      <c r="VTW738" s="747"/>
      <c r="VTX738" s="747"/>
      <c r="VTY738" s="747"/>
      <c r="VTZ738" s="747"/>
      <c r="VUA738" s="747"/>
      <c r="VUB738" s="747"/>
      <c r="VUC738" s="747"/>
      <c r="VUD738" s="747"/>
      <c r="VUE738" s="747"/>
      <c r="VUF738" s="747"/>
      <c r="VUG738" s="747"/>
      <c r="VUH738" s="747"/>
      <c r="VUI738" s="747"/>
      <c r="VUJ738" s="747"/>
      <c r="VUK738" s="747"/>
      <c r="VUL738" s="747"/>
      <c r="VUM738" s="747"/>
      <c r="VUN738" s="747"/>
      <c r="VUO738" s="747"/>
      <c r="VUP738" s="747"/>
      <c r="VUQ738" s="747"/>
      <c r="VUR738" s="747"/>
      <c r="VUS738" s="747"/>
      <c r="VUT738" s="747"/>
      <c r="VUU738" s="747"/>
      <c r="VUV738" s="747"/>
      <c r="VUW738" s="747"/>
      <c r="VUX738" s="747"/>
      <c r="VUY738" s="747"/>
      <c r="VUZ738" s="747"/>
      <c r="VVA738" s="747"/>
      <c r="VVB738" s="747"/>
      <c r="VVC738" s="747"/>
      <c r="VVD738" s="747"/>
      <c r="VVE738" s="747"/>
      <c r="VVF738" s="747"/>
      <c r="VVG738" s="747"/>
      <c r="VVH738" s="747"/>
      <c r="VVI738" s="747"/>
      <c r="VVJ738" s="747"/>
      <c r="VVK738" s="747"/>
      <c r="VVL738" s="747"/>
      <c r="VVM738" s="747"/>
      <c r="VVN738" s="747"/>
      <c r="VVO738" s="747"/>
      <c r="VVP738" s="747"/>
      <c r="VVQ738" s="747"/>
      <c r="VVR738" s="747"/>
      <c r="VVS738" s="747"/>
      <c r="VVT738" s="747"/>
      <c r="VVU738" s="747"/>
      <c r="VVV738" s="747"/>
      <c r="VVW738" s="747"/>
      <c r="VVX738" s="747"/>
      <c r="VVY738" s="747"/>
      <c r="VVZ738" s="747"/>
      <c r="VWA738" s="747"/>
      <c r="VWB738" s="747"/>
      <c r="VWC738" s="747"/>
      <c r="VWD738" s="747"/>
      <c r="VWE738" s="747"/>
      <c r="VWF738" s="747"/>
      <c r="VWG738" s="747"/>
      <c r="VWH738" s="747"/>
      <c r="VWI738" s="747"/>
      <c r="VWJ738" s="747"/>
      <c r="VWK738" s="747"/>
      <c r="VWL738" s="747"/>
      <c r="VWM738" s="747"/>
      <c r="VWN738" s="747"/>
      <c r="VWO738" s="747"/>
      <c r="VWP738" s="747"/>
      <c r="VWQ738" s="747"/>
      <c r="VWR738" s="747"/>
      <c r="VWS738" s="747"/>
      <c r="VWT738" s="747"/>
      <c r="VWU738" s="747"/>
      <c r="VWV738" s="747"/>
      <c r="VWW738" s="747"/>
      <c r="VWX738" s="747"/>
      <c r="VWY738" s="747"/>
      <c r="VWZ738" s="747"/>
      <c r="VXA738" s="747"/>
      <c r="VXB738" s="747"/>
      <c r="VXC738" s="747"/>
      <c r="VXD738" s="747"/>
      <c r="VXE738" s="747"/>
      <c r="VXF738" s="747"/>
      <c r="VXG738" s="747"/>
      <c r="VXH738" s="747"/>
      <c r="VXI738" s="747"/>
      <c r="VXJ738" s="747"/>
      <c r="VXK738" s="747"/>
      <c r="VXL738" s="747"/>
      <c r="VXM738" s="747"/>
      <c r="VXN738" s="747"/>
      <c r="VXO738" s="747"/>
      <c r="VXP738" s="747"/>
      <c r="VXQ738" s="747"/>
      <c r="VXR738" s="747"/>
      <c r="VXS738" s="747"/>
      <c r="VXT738" s="747"/>
      <c r="VXU738" s="747"/>
      <c r="VXV738" s="747"/>
      <c r="VXW738" s="747"/>
      <c r="VXX738" s="747"/>
      <c r="VXY738" s="747"/>
      <c r="VXZ738" s="747"/>
      <c r="VYA738" s="747"/>
      <c r="VYB738" s="747"/>
      <c r="VYC738" s="747"/>
      <c r="VYD738" s="747"/>
      <c r="VYE738" s="747"/>
      <c r="VYF738" s="747"/>
      <c r="VYG738" s="747"/>
      <c r="VYH738" s="747"/>
      <c r="VYI738" s="747"/>
      <c r="VYJ738" s="747"/>
      <c r="VYK738" s="747"/>
      <c r="VYL738" s="747"/>
      <c r="VYM738" s="747"/>
      <c r="VYN738" s="747"/>
      <c r="VYO738" s="747"/>
      <c r="VYP738" s="747"/>
      <c r="VYQ738" s="747"/>
      <c r="VYR738" s="747"/>
      <c r="VYS738" s="747"/>
      <c r="VYT738" s="747"/>
      <c r="VYU738" s="747"/>
      <c r="VYV738" s="747"/>
      <c r="VYW738" s="747"/>
      <c r="VYX738" s="747"/>
      <c r="VYY738" s="747"/>
      <c r="VYZ738" s="747"/>
      <c r="VZA738" s="747"/>
      <c r="VZB738" s="747"/>
      <c r="VZC738" s="747"/>
      <c r="VZD738" s="747"/>
      <c r="VZE738" s="747"/>
      <c r="VZF738" s="747"/>
      <c r="VZG738" s="747"/>
      <c r="VZH738" s="747"/>
      <c r="VZI738" s="747"/>
      <c r="VZJ738" s="747"/>
      <c r="VZK738" s="747"/>
      <c r="VZL738" s="747"/>
      <c r="VZM738" s="747"/>
      <c r="VZN738" s="747"/>
      <c r="VZO738" s="747"/>
      <c r="VZP738" s="747"/>
      <c r="VZQ738" s="747"/>
      <c r="VZR738" s="747"/>
      <c r="VZS738" s="747"/>
      <c r="VZT738" s="747"/>
      <c r="VZU738" s="747"/>
      <c r="VZV738" s="747"/>
      <c r="VZW738" s="747"/>
      <c r="VZX738" s="747"/>
      <c r="VZY738" s="747"/>
      <c r="VZZ738" s="747"/>
      <c r="WAA738" s="747"/>
      <c r="WAB738" s="747"/>
      <c r="WAC738" s="747"/>
      <c r="WAD738" s="747"/>
      <c r="WAE738" s="747"/>
      <c r="WAF738" s="747"/>
      <c r="WAG738" s="747"/>
      <c r="WAH738" s="747"/>
      <c r="WAI738" s="747"/>
      <c r="WAJ738" s="747"/>
      <c r="WAK738" s="747"/>
      <c r="WAL738" s="747"/>
      <c r="WAM738" s="747"/>
      <c r="WAN738" s="747"/>
      <c r="WAO738" s="747"/>
      <c r="WAP738" s="747"/>
      <c r="WAQ738" s="747"/>
      <c r="WAR738" s="747"/>
      <c r="WAS738" s="747"/>
      <c r="WAT738" s="747"/>
      <c r="WAU738" s="747"/>
      <c r="WAV738" s="747"/>
      <c r="WAW738" s="747"/>
      <c r="WAX738" s="747"/>
      <c r="WAY738" s="747"/>
      <c r="WAZ738" s="747"/>
      <c r="WBA738" s="747"/>
      <c r="WBB738" s="747"/>
      <c r="WBC738" s="747"/>
      <c r="WBD738" s="747"/>
      <c r="WBE738" s="747"/>
      <c r="WBF738" s="747"/>
      <c r="WBG738" s="747"/>
      <c r="WBH738" s="747"/>
      <c r="WBI738" s="747"/>
      <c r="WBJ738" s="747"/>
      <c r="WBK738" s="747"/>
      <c r="WBL738" s="747"/>
      <c r="WBM738" s="747"/>
      <c r="WBN738" s="747"/>
      <c r="WBO738" s="747"/>
      <c r="WBP738" s="747"/>
      <c r="WBQ738" s="747"/>
      <c r="WBR738" s="747"/>
      <c r="WBS738" s="747"/>
      <c r="WBT738" s="747"/>
      <c r="WBU738" s="747"/>
      <c r="WBV738" s="747"/>
      <c r="WBW738" s="747"/>
      <c r="WBX738" s="747"/>
      <c r="WBY738" s="747"/>
      <c r="WBZ738" s="747"/>
      <c r="WCA738" s="747"/>
      <c r="WCB738" s="747"/>
      <c r="WCC738" s="747"/>
      <c r="WCD738" s="747"/>
      <c r="WCE738" s="747"/>
      <c r="WCF738" s="747"/>
      <c r="WCG738" s="747"/>
      <c r="WCH738" s="747"/>
      <c r="WCI738" s="747"/>
      <c r="WCJ738" s="747"/>
      <c r="WCK738" s="747"/>
      <c r="WCL738" s="747"/>
      <c r="WCM738" s="747"/>
      <c r="WCN738" s="747"/>
      <c r="WCO738" s="747"/>
      <c r="WCP738" s="747"/>
      <c r="WCQ738" s="747"/>
      <c r="WCR738" s="747"/>
      <c r="WCS738" s="747"/>
      <c r="WCT738" s="747"/>
      <c r="WCU738" s="747"/>
      <c r="WCV738" s="747"/>
      <c r="WCW738" s="747"/>
      <c r="WCX738" s="747"/>
      <c r="WCY738" s="747"/>
      <c r="WCZ738" s="747"/>
      <c r="WDA738" s="747"/>
      <c r="WDB738" s="747"/>
      <c r="WDC738" s="747"/>
      <c r="WDD738" s="747"/>
      <c r="WDE738" s="747"/>
      <c r="WDF738" s="747"/>
      <c r="WDG738" s="747"/>
      <c r="WDH738" s="747"/>
      <c r="WDI738" s="747"/>
      <c r="WDJ738" s="747"/>
      <c r="WDK738" s="747"/>
      <c r="WDL738" s="747"/>
      <c r="WDM738" s="747"/>
      <c r="WDN738" s="747"/>
      <c r="WDO738" s="747"/>
      <c r="WDP738" s="747"/>
      <c r="WDQ738" s="747"/>
      <c r="WDR738" s="747"/>
      <c r="WDS738" s="747"/>
      <c r="WDT738" s="747"/>
      <c r="WDU738" s="747"/>
      <c r="WDV738" s="747"/>
      <c r="WDW738" s="747"/>
      <c r="WDX738" s="747"/>
      <c r="WDY738" s="747"/>
      <c r="WDZ738" s="747"/>
      <c r="WEA738" s="747"/>
      <c r="WEB738" s="747"/>
      <c r="WEC738" s="747"/>
      <c r="WED738" s="747"/>
      <c r="WEE738" s="747"/>
      <c r="WEF738" s="747"/>
      <c r="WEG738" s="747"/>
      <c r="WEH738" s="747"/>
      <c r="WEI738" s="747"/>
      <c r="WEJ738" s="747"/>
      <c r="WEK738" s="747"/>
      <c r="WEL738" s="747"/>
      <c r="WEM738" s="747"/>
      <c r="WEN738" s="747"/>
      <c r="WEO738" s="747"/>
      <c r="WEP738" s="747"/>
      <c r="WEQ738" s="747"/>
      <c r="WER738" s="747"/>
      <c r="WES738" s="747"/>
      <c r="WET738" s="747"/>
      <c r="WEU738" s="747"/>
      <c r="WEV738" s="747"/>
      <c r="WEW738" s="747"/>
      <c r="WEX738" s="747"/>
      <c r="WEY738" s="747"/>
      <c r="WEZ738" s="747"/>
      <c r="WFA738" s="747"/>
      <c r="WFB738" s="747"/>
      <c r="WFC738" s="747"/>
      <c r="WFD738" s="747"/>
      <c r="WFE738" s="747"/>
      <c r="WFF738" s="747"/>
      <c r="WFG738" s="747"/>
      <c r="WFH738" s="747"/>
      <c r="WFI738" s="747"/>
      <c r="WFJ738" s="747"/>
      <c r="WFK738" s="747"/>
      <c r="WFL738" s="747"/>
      <c r="WFM738" s="747"/>
      <c r="WFN738" s="747"/>
      <c r="WFO738" s="747"/>
      <c r="WFP738" s="747"/>
      <c r="WFQ738" s="747"/>
      <c r="WFR738" s="747"/>
      <c r="WFS738" s="747"/>
      <c r="WFT738" s="747"/>
      <c r="WFU738" s="747"/>
      <c r="WFV738" s="747"/>
      <c r="WFW738" s="747"/>
      <c r="WFX738" s="747"/>
      <c r="WFY738" s="747"/>
      <c r="WFZ738" s="747"/>
      <c r="WGA738" s="747"/>
      <c r="WGB738" s="747"/>
      <c r="WGC738" s="747"/>
      <c r="WGD738" s="747"/>
      <c r="WGE738" s="747"/>
      <c r="WGF738" s="747"/>
      <c r="WGG738" s="747"/>
      <c r="WGH738" s="747"/>
      <c r="WGI738" s="747"/>
      <c r="WGJ738" s="747"/>
      <c r="WGK738" s="747"/>
      <c r="WGL738" s="747"/>
      <c r="WGM738" s="747"/>
      <c r="WGN738" s="747"/>
      <c r="WGO738" s="747"/>
      <c r="WGP738" s="747"/>
      <c r="WGQ738" s="747"/>
      <c r="WGR738" s="747"/>
      <c r="WGS738" s="747"/>
      <c r="WGT738" s="747"/>
      <c r="WGU738" s="747"/>
      <c r="WGV738" s="747"/>
      <c r="WGW738" s="747"/>
      <c r="WGX738" s="747"/>
      <c r="WGY738" s="747"/>
      <c r="WGZ738" s="747"/>
      <c r="WHA738" s="747"/>
      <c r="WHB738" s="747"/>
      <c r="WHC738" s="747"/>
      <c r="WHD738" s="747"/>
      <c r="WHE738" s="747"/>
      <c r="WHF738" s="747"/>
      <c r="WHG738" s="747"/>
      <c r="WHH738" s="747"/>
      <c r="WHI738" s="747"/>
      <c r="WHJ738" s="747"/>
      <c r="WHK738" s="747"/>
      <c r="WHL738" s="747"/>
      <c r="WHM738" s="747"/>
      <c r="WHN738" s="747"/>
      <c r="WHO738" s="747"/>
      <c r="WHP738" s="747"/>
      <c r="WHQ738" s="747"/>
      <c r="WHR738" s="747"/>
      <c r="WHS738" s="747"/>
      <c r="WHT738" s="747"/>
      <c r="WHU738" s="747"/>
      <c r="WHV738" s="747"/>
      <c r="WHW738" s="747"/>
      <c r="WHX738" s="747"/>
      <c r="WHY738" s="747"/>
      <c r="WHZ738" s="747"/>
      <c r="WIA738" s="747"/>
      <c r="WIB738" s="747"/>
      <c r="WIC738" s="747"/>
      <c r="WID738" s="747"/>
      <c r="WIE738" s="747"/>
      <c r="WIF738" s="747"/>
      <c r="WIG738" s="747"/>
      <c r="WIH738" s="747"/>
      <c r="WII738" s="747"/>
      <c r="WIJ738" s="747"/>
      <c r="WIK738" s="747"/>
      <c r="WIL738" s="747"/>
      <c r="WIM738" s="747"/>
      <c r="WIN738" s="747"/>
      <c r="WIO738" s="747"/>
      <c r="WIP738" s="747"/>
      <c r="WIQ738" s="747"/>
      <c r="WIR738" s="747"/>
      <c r="WIS738" s="747"/>
      <c r="WIT738" s="747"/>
      <c r="WIU738" s="747"/>
      <c r="WIV738" s="747"/>
      <c r="WIW738" s="747"/>
      <c r="WIX738" s="747"/>
      <c r="WIY738" s="747"/>
      <c r="WIZ738" s="747"/>
      <c r="WJA738" s="747"/>
      <c r="WJB738" s="747"/>
      <c r="WJC738" s="747"/>
      <c r="WJD738" s="747"/>
      <c r="WJE738" s="747"/>
      <c r="WJF738" s="747"/>
      <c r="WJG738" s="747"/>
      <c r="WJH738" s="747"/>
      <c r="WJI738" s="747"/>
      <c r="WJJ738" s="747"/>
      <c r="WJK738" s="747"/>
      <c r="WJL738" s="747"/>
      <c r="WJM738" s="747"/>
      <c r="WJN738" s="747"/>
      <c r="WJO738" s="747"/>
      <c r="WJP738" s="747"/>
      <c r="WJQ738" s="747"/>
      <c r="WJR738" s="747"/>
      <c r="WJS738" s="747"/>
      <c r="WJT738" s="747"/>
      <c r="WJU738" s="747"/>
      <c r="WJV738" s="747"/>
      <c r="WJW738" s="747"/>
      <c r="WJX738" s="747"/>
      <c r="WJY738" s="747"/>
      <c r="WJZ738" s="747"/>
      <c r="WKA738" s="747"/>
      <c r="WKB738" s="747"/>
      <c r="WKC738" s="747"/>
      <c r="WKD738" s="747"/>
      <c r="WKE738" s="747"/>
      <c r="WKF738" s="747"/>
      <c r="WKG738" s="747"/>
      <c r="WKH738" s="747"/>
      <c r="WKI738" s="747"/>
      <c r="WKJ738" s="747"/>
      <c r="WKK738" s="747"/>
      <c r="WKL738" s="747"/>
      <c r="WKM738" s="747"/>
      <c r="WKN738" s="747"/>
      <c r="WKO738" s="747"/>
      <c r="WKP738" s="747"/>
      <c r="WKQ738" s="747"/>
      <c r="WKR738" s="747"/>
      <c r="WKS738" s="747"/>
      <c r="WKT738" s="747"/>
      <c r="WKU738" s="747"/>
      <c r="WKV738" s="747"/>
      <c r="WKW738" s="747"/>
      <c r="WKX738" s="747"/>
      <c r="WKY738" s="747"/>
      <c r="WKZ738" s="747"/>
      <c r="WLA738" s="747"/>
      <c r="WLB738" s="747"/>
      <c r="WLC738" s="747"/>
      <c r="WLD738" s="747"/>
      <c r="WLE738" s="747"/>
      <c r="WLF738" s="747"/>
      <c r="WLG738" s="747"/>
      <c r="WLH738" s="747"/>
      <c r="WLI738" s="747"/>
      <c r="WLJ738" s="747"/>
      <c r="WLK738" s="747"/>
      <c r="WLL738" s="747"/>
      <c r="WLM738" s="747"/>
      <c r="WLN738" s="747"/>
      <c r="WLO738" s="747"/>
      <c r="WLP738" s="747"/>
      <c r="WLQ738" s="747"/>
      <c r="WLR738" s="747"/>
      <c r="WLS738" s="747"/>
      <c r="WLT738" s="747"/>
      <c r="WLU738" s="747"/>
      <c r="WLV738" s="747"/>
      <c r="WLW738" s="747"/>
      <c r="WLX738" s="747"/>
      <c r="WLY738" s="747"/>
      <c r="WLZ738" s="747"/>
      <c r="WMA738" s="747"/>
      <c r="WMB738" s="747"/>
      <c r="WMC738" s="747"/>
      <c r="WMD738" s="747"/>
      <c r="WME738" s="747"/>
      <c r="WMF738" s="747"/>
      <c r="WMG738" s="747"/>
      <c r="WMH738" s="747"/>
      <c r="WMI738" s="747"/>
      <c r="WMJ738" s="747"/>
      <c r="WMK738" s="747"/>
      <c r="WML738" s="747"/>
      <c r="WMM738" s="747"/>
      <c r="WMN738" s="747"/>
      <c r="WMO738" s="747"/>
      <c r="WMP738" s="747"/>
      <c r="WMQ738" s="747"/>
      <c r="WMR738" s="747"/>
      <c r="WMS738" s="747"/>
      <c r="WMT738" s="747"/>
      <c r="WMU738" s="747"/>
      <c r="WMV738" s="747"/>
      <c r="WMW738" s="747"/>
      <c r="WMX738" s="747"/>
      <c r="WMY738" s="747"/>
      <c r="WMZ738" s="747"/>
      <c r="WNA738" s="747"/>
      <c r="WNB738" s="747"/>
      <c r="WNC738" s="747"/>
      <c r="WND738" s="747"/>
      <c r="WNE738" s="747"/>
      <c r="WNF738" s="747"/>
      <c r="WNG738" s="747"/>
      <c r="WNH738" s="747"/>
      <c r="WNI738" s="747"/>
      <c r="WNJ738" s="747"/>
      <c r="WNK738" s="747"/>
      <c r="WNL738" s="747"/>
      <c r="WNM738" s="747"/>
      <c r="WNN738" s="747"/>
      <c r="WNO738" s="747"/>
      <c r="WNP738" s="747"/>
      <c r="WNQ738" s="747"/>
      <c r="WNR738" s="747"/>
      <c r="WNS738" s="747"/>
      <c r="WNT738" s="747"/>
      <c r="WNU738" s="747"/>
      <c r="WNV738" s="747"/>
      <c r="WNW738" s="747"/>
      <c r="WNX738" s="747"/>
      <c r="WNY738" s="747"/>
      <c r="WNZ738" s="747"/>
      <c r="WOA738" s="747"/>
      <c r="WOB738" s="747"/>
      <c r="WOC738" s="747"/>
      <c r="WOD738" s="747"/>
      <c r="WOE738" s="747"/>
      <c r="WOF738" s="747"/>
      <c r="WOG738" s="747"/>
      <c r="WOH738" s="747"/>
      <c r="WOI738" s="747"/>
      <c r="WOJ738" s="747"/>
      <c r="WOK738" s="747"/>
      <c r="WOL738" s="747"/>
      <c r="WOM738" s="747"/>
      <c r="WON738" s="747"/>
      <c r="WOO738" s="747"/>
      <c r="WOP738" s="747"/>
      <c r="WOQ738" s="747"/>
      <c r="WOR738" s="747"/>
      <c r="WOS738" s="747"/>
      <c r="WOT738" s="747"/>
      <c r="WOU738" s="747"/>
      <c r="WOV738" s="747"/>
      <c r="WOW738" s="747"/>
      <c r="WOX738" s="747"/>
      <c r="WOY738" s="747"/>
      <c r="WOZ738" s="747"/>
      <c r="WPA738" s="747"/>
      <c r="WPB738" s="747"/>
      <c r="WPC738" s="747"/>
      <c r="WPD738" s="747"/>
      <c r="WPE738" s="747"/>
      <c r="WPF738" s="747"/>
      <c r="WPG738" s="747"/>
      <c r="WPH738" s="747"/>
      <c r="WPI738" s="747"/>
      <c r="WPJ738" s="747"/>
      <c r="WPK738" s="747"/>
      <c r="WPL738" s="747"/>
      <c r="WPM738" s="747"/>
      <c r="WPN738" s="747"/>
      <c r="WPO738" s="747"/>
      <c r="WPP738" s="747"/>
      <c r="WPQ738" s="747"/>
      <c r="WPR738" s="747"/>
      <c r="WPS738" s="747"/>
      <c r="WPT738" s="747"/>
      <c r="WPU738" s="747"/>
      <c r="WPV738" s="747"/>
      <c r="WPW738" s="747"/>
      <c r="WPX738" s="747"/>
      <c r="WPY738" s="747"/>
      <c r="WPZ738" s="747"/>
      <c r="WQA738" s="747"/>
      <c r="WQB738" s="747"/>
      <c r="WQC738" s="747"/>
      <c r="WQD738" s="747"/>
      <c r="WQE738" s="747"/>
      <c r="WQF738" s="747"/>
      <c r="WQG738" s="747"/>
      <c r="WQH738" s="747"/>
      <c r="WQI738" s="747"/>
      <c r="WQJ738" s="747"/>
      <c r="WQK738" s="747"/>
      <c r="WQL738" s="747"/>
      <c r="WQM738" s="747"/>
      <c r="WQN738" s="747"/>
      <c r="WQO738" s="747"/>
      <c r="WQP738" s="747"/>
      <c r="WQQ738" s="747"/>
      <c r="WQR738" s="747"/>
      <c r="WQS738" s="747"/>
      <c r="WQT738" s="747"/>
      <c r="WQU738" s="747"/>
      <c r="WQV738" s="747"/>
      <c r="WQW738" s="747"/>
      <c r="WQX738" s="747"/>
      <c r="WQY738" s="747"/>
      <c r="WQZ738" s="747"/>
      <c r="WRA738" s="747"/>
      <c r="WRB738" s="747"/>
      <c r="WRC738" s="747"/>
      <c r="WRD738" s="747"/>
      <c r="WRE738" s="747"/>
      <c r="WRF738" s="747"/>
      <c r="WRG738" s="747"/>
      <c r="WRH738" s="747"/>
      <c r="WRI738" s="747"/>
      <c r="WRJ738" s="747"/>
      <c r="WRK738" s="747"/>
      <c r="WRL738" s="747"/>
      <c r="WRM738" s="747"/>
      <c r="WRN738" s="747"/>
      <c r="WRO738" s="747"/>
      <c r="WRP738" s="747"/>
      <c r="WRQ738" s="747"/>
      <c r="WRR738" s="747"/>
      <c r="WRS738" s="747"/>
      <c r="WRT738" s="747"/>
      <c r="WRU738" s="747"/>
      <c r="WRV738" s="747"/>
      <c r="WRW738" s="747"/>
      <c r="WRX738" s="747"/>
      <c r="WRY738" s="747"/>
      <c r="WRZ738" s="747"/>
      <c r="WSA738" s="747"/>
      <c r="WSB738" s="747"/>
      <c r="WSC738" s="747"/>
      <c r="WSD738" s="747"/>
      <c r="WSE738" s="747"/>
      <c r="WSF738" s="747"/>
      <c r="WSG738" s="747"/>
      <c r="WSH738" s="747"/>
      <c r="WSI738" s="747"/>
      <c r="WSJ738" s="747"/>
      <c r="WSK738" s="747"/>
      <c r="WSL738" s="747"/>
      <c r="WSM738" s="747"/>
      <c r="WSN738" s="747"/>
      <c r="WSO738" s="747"/>
      <c r="WSP738" s="747"/>
      <c r="WSQ738" s="747"/>
      <c r="WSR738" s="747"/>
      <c r="WSS738" s="747"/>
      <c r="WST738" s="747"/>
      <c r="WSU738" s="747"/>
      <c r="WSV738" s="747"/>
      <c r="WSW738" s="747"/>
      <c r="WSX738" s="747"/>
      <c r="WSY738" s="747"/>
      <c r="WSZ738" s="747"/>
      <c r="WTA738" s="747"/>
      <c r="WTB738" s="747"/>
      <c r="WTC738" s="747"/>
      <c r="WTD738" s="747"/>
      <c r="WTE738" s="747"/>
      <c r="WTF738" s="747"/>
      <c r="WTG738" s="747"/>
      <c r="WTH738" s="747"/>
      <c r="WTI738" s="747"/>
      <c r="WTJ738" s="747"/>
      <c r="WTK738" s="747"/>
      <c r="WTL738" s="747"/>
      <c r="WTM738" s="747"/>
      <c r="WTN738" s="747"/>
      <c r="WTO738" s="747"/>
      <c r="WTP738" s="747"/>
      <c r="WTQ738" s="747"/>
      <c r="WTR738" s="747"/>
      <c r="WTS738" s="747"/>
      <c r="WTT738" s="747"/>
      <c r="WTU738" s="747"/>
      <c r="WTV738" s="747"/>
      <c r="WTW738" s="747"/>
      <c r="WTX738" s="747"/>
      <c r="WTY738" s="747"/>
      <c r="WTZ738" s="747"/>
      <c r="WUA738" s="747"/>
      <c r="WUB738" s="747"/>
      <c r="WUC738" s="747"/>
      <c r="WUD738" s="747"/>
      <c r="WUE738" s="747"/>
      <c r="WUF738" s="747"/>
      <c r="WUG738" s="747"/>
      <c r="WUH738" s="747"/>
      <c r="WUI738" s="747"/>
      <c r="WUJ738" s="747"/>
      <c r="WUK738" s="747"/>
      <c r="WUL738" s="747"/>
      <c r="WUM738" s="747"/>
      <c r="WUN738" s="747"/>
      <c r="WUO738" s="747"/>
      <c r="WUP738" s="747"/>
      <c r="WUQ738" s="747"/>
      <c r="WUR738" s="747"/>
      <c r="WUS738" s="747"/>
      <c r="WUT738" s="747"/>
      <c r="WUU738" s="747"/>
      <c r="WUV738" s="747"/>
      <c r="WUW738" s="747"/>
      <c r="WUX738" s="747"/>
      <c r="WUY738" s="747"/>
      <c r="WUZ738" s="747"/>
      <c r="WVA738" s="747"/>
      <c r="WVB738" s="747"/>
      <c r="WVC738" s="747"/>
      <c r="WVD738" s="747"/>
      <c r="WVE738" s="747"/>
      <c r="WVF738" s="747"/>
      <c r="WVG738" s="747"/>
      <c r="WVH738" s="747"/>
      <c r="WVI738" s="747"/>
      <c r="WVJ738" s="747"/>
      <c r="WVK738" s="747"/>
      <c r="WVL738" s="747"/>
      <c r="WVM738" s="747"/>
      <c r="WVN738" s="747"/>
      <c r="WVO738" s="747"/>
      <c r="WVP738" s="747"/>
      <c r="WVQ738" s="747"/>
      <c r="WVR738" s="747"/>
      <c r="WVS738" s="747"/>
      <c r="WVT738" s="747"/>
      <c r="WVU738" s="747"/>
      <c r="WVV738" s="747"/>
      <c r="WVW738" s="747"/>
      <c r="WVX738" s="747"/>
      <c r="WVY738" s="747"/>
      <c r="WVZ738" s="747"/>
      <c r="WWA738" s="747"/>
      <c r="WWB738" s="747"/>
      <c r="WWC738" s="747"/>
      <c r="WWD738" s="747"/>
      <c r="WWE738" s="747"/>
      <c r="WWF738" s="747"/>
      <c r="WWG738" s="747"/>
      <c r="WWH738" s="747"/>
      <c r="WWI738" s="747"/>
      <c r="WWJ738" s="747"/>
      <c r="WWK738" s="747"/>
      <c r="WWL738" s="747"/>
      <c r="WWM738" s="747"/>
      <c r="WWN738" s="747"/>
      <c r="WWO738" s="747"/>
      <c r="WWP738" s="747"/>
      <c r="WWQ738" s="747"/>
      <c r="WWR738" s="747"/>
      <c r="WWS738" s="747"/>
      <c r="WWT738" s="747"/>
      <c r="WWU738" s="747"/>
      <c r="WWV738" s="747"/>
      <c r="WWW738" s="747"/>
      <c r="WWX738" s="747"/>
      <c r="WWY738" s="747"/>
      <c r="WWZ738" s="747"/>
      <c r="WXA738" s="747"/>
      <c r="WXB738" s="747"/>
      <c r="WXC738" s="747"/>
      <c r="WXD738" s="747"/>
      <c r="WXE738" s="747"/>
      <c r="WXF738" s="747"/>
      <c r="WXG738" s="747"/>
      <c r="WXH738" s="747"/>
      <c r="WXI738" s="747"/>
      <c r="WXJ738" s="747"/>
      <c r="WXK738" s="747"/>
      <c r="WXL738" s="747"/>
      <c r="WXM738" s="747"/>
      <c r="WXN738" s="747"/>
      <c r="WXO738" s="747"/>
      <c r="WXP738" s="747"/>
      <c r="WXQ738" s="747"/>
      <c r="WXR738" s="747"/>
      <c r="WXS738" s="747"/>
      <c r="WXT738" s="747"/>
      <c r="WXU738" s="747"/>
      <c r="WXV738" s="747"/>
      <c r="WXW738" s="747"/>
      <c r="WXX738" s="747"/>
      <c r="WXY738" s="747"/>
      <c r="WXZ738" s="747"/>
      <c r="WYA738" s="747"/>
      <c r="WYB738" s="747"/>
      <c r="WYC738" s="747"/>
      <c r="WYD738" s="747"/>
      <c r="WYE738" s="747"/>
      <c r="WYF738" s="747"/>
      <c r="WYG738" s="747"/>
      <c r="WYH738" s="747"/>
      <c r="WYI738" s="747"/>
      <c r="WYJ738" s="747"/>
      <c r="WYK738" s="747"/>
      <c r="WYL738" s="747"/>
      <c r="WYM738" s="747"/>
      <c r="WYN738" s="747"/>
      <c r="WYO738" s="747"/>
      <c r="WYP738" s="747"/>
      <c r="WYQ738" s="747"/>
      <c r="WYR738" s="747"/>
      <c r="WYS738" s="747"/>
      <c r="WYT738" s="747"/>
      <c r="WYU738" s="747"/>
      <c r="WYV738" s="747"/>
      <c r="WYW738" s="747"/>
      <c r="WYX738" s="747"/>
      <c r="WYY738" s="747"/>
      <c r="WYZ738" s="747"/>
      <c r="WZA738" s="747"/>
      <c r="WZB738" s="747"/>
      <c r="WZC738" s="747"/>
      <c r="WZD738" s="747"/>
      <c r="WZE738" s="747"/>
      <c r="WZF738" s="747"/>
      <c r="WZG738" s="747"/>
      <c r="WZH738" s="747"/>
      <c r="WZI738" s="747"/>
      <c r="WZJ738" s="747"/>
      <c r="WZK738" s="747"/>
      <c r="WZL738" s="747"/>
      <c r="WZM738" s="747"/>
      <c r="WZN738" s="747"/>
      <c r="WZO738" s="747"/>
      <c r="WZP738" s="747"/>
      <c r="WZQ738" s="747"/>
      <c r="WZR738" s="747"/>
      <c r="WZS738" s="747"/>
      <c r="WZT738" s="747"/>
      <c r="WZU738" s="747"/>
      <c r="WZV738" s="747"/>
      <c r="WZW738" s="747"/>
      <c r="WZX738" s="747"/>
      <c r="WZY738" s="747"/>
      <c r="WZZ738" s="747"/>
      <c r="XAA738" s="747"/>
      <c r="XAB738" s="747"/>
      <c r="XAC738" s="747"/>
      <c r="XAD738" s="747"/>
      <c r="XAE738" s="747"/>
      <c r="XAF738" s="747"/>
      <c r="XAG738" s="747"/>
      <c r="XAH738" s="747"/>
      <c r="XAI738" s="747"/>
      <c r="XAJ738" s="747"/>
      <c r="XAK738" s="747"/>
      <c r="XAL738" s="747"/>
      <c r="XAM738" s="747"/>
      <c r="XAN738" s="747"/>
      <c r="XAO738" s="747"/>
      <c r="XAP738" s="747"/>
      <c r="XAQ738" s="747"/>
      <c r="XAR738" s="747"/>
      <c r="XAS738" s="747"/>
      <c r="XAT738" s="747"/>
      <c r="XAU738" s="747"/>
      <c r="XAV738" s="747"/>
      <c r="XAW738" s="747"/>
      <c r="XAX738" s="747"/>
      <c r="XAY738" s="747"/>
      <c r="XAZ738" s="747"/>
      <c r="XBA738" s="747"/>
      <c r="XBB738" s="747"/>
      <c r="XBC738" s="747"/>
      <c r="XBD738" s="747"/>
      <c r="XBE738" s="747"/>
      <c r="XBF738" s="747"/>
      <c r="XBG738" s="747"/>
      <c r="XBH738" s="747"/>
      <c r="XBI738" s="747"/>
      <c r="XBJ738" s="747"/>
      <c r="XBK738" s="747"/>
      <c r="XBL738" s="747"/>
      <c r="XBM738" s="747"/>
      <c r="XBN738" s="747"/>
      <c r="XBO738" s="747"/>
      <c r="XBP738" s="747"/>
      <c r="XBQ738" s="747"/>
      <c r="XBR738" s="747"/>
      <c r="XBS738" s="747"/>
      <c r="XBT738" s="747"/>
      <c r="XBU738" s="747"/>
      <c r="XBV738" s="747"/>
      <c r="XBW738" s="747"/>
      <c r="XBX738" s="747"/>
      <c r="XBY738" s="747"/>
      <c r="XBZ738" s="747"/>
      <c r="XCA738" s="747"/>
      <c r="XCB738" s="747"/>
      <c r="XCC738" s="747"/>
      <c r="XCD738" s="747"/>
      <c r="XCE738" s="747"/>
      <c r="XCF738" s="747"/>
      <c r="XCG738" s="747"/>
      <c r="XCH738" s="747"/>
      <c r="XCI738" s="747"/>
      <c r="XCJ738" s="747"/>
      <c r="XCK738" s="747"/>
      <c r="XCL738" s="747"/>
      <c r="XCM738" s="747"/>
      <c r="XCN738" s="747"/>
      <c r="XCO738" s="747"/>
      <c r="XCP738" s="747"/>
      <c r="XCQ738" s="747"/>
      <c r="XCR738" s="747"/>
      <c r="XCS738" s="747"/>
      <c r="XCT738" s="747"/>
      <c r="XCU738" s="747"/>
      <c r="XCV738" s="747"/>
      <c r="XCW738" s="747"/>
      <c r="XCX738" s="747"/>
      <c r="XCY738" s="747"/>
      <c r="XCZ738" s="747"/>
      <c r="XDA738" s="747"/>
      <c r="XDB738" s="747"/>
      <c r="XDC738" s="747"/>
      <c r="XDD738" s="747"/>
      <c r="XDE738" s="747"/>
      <c r="XDF738" s="747"/>
      <c r="XDG738" s="747"/>
      <c r="XDH738" s="747"/>
      <c r="XDI738" s="747"/>
      <c r="XDJ738" s="747"/>
      <c r="XDK738" s="747"/>
      <c r="XDL738" s="747"/>
      <c r="XDM738" s="747"/>
      <c r="XDN738" s="747"/>
      <c r="XDO738" s="747"/>
      <c r="XDP738" s="747"/>
      <c r="XDQ738" s="747"/>
      <c r="XDR738" s="747"/>
      <c r="XDS738" s="747"/>
      <c r="XDT738" s="747"/>
      <c r="XDU738" s="747"/>
      <c r="XDV738" s="747"/>
      <c r="XDW738" s="747"/>
      <c r="XDX738" s="747"/>
      <c r="XDY738" s="747"/>
      <c r="XDZ738" s="747"/>
      <c r="XEA738" s="747"/>
      <c r="XEB738" s="747"/>
      <c r="XEC738" s="747"/>
      <c r="XED738" s="747"/>
      <c r="XEE738" s="747"/>
      <c r="XEF738" s="747"/>
      <c r="XEG738" s="747"/>
      <c r="XEH738" s="747"/>
      <c r="XEI738" s="747"/>
      <c r="XEJ738" s="747"/>
      <c r="XEK738" s="747"/>
      <c r="XEL738" s="747"/>
      <c r="XEM738" s="747"/>
      <c r="XEN738" s="747"/>
      <c r="XEO738" s="747"/>
      <c r="XEP738" s="747"/>
      <c r="XEQ738" s="747"/>
      <c r="XER738" s="747"/>
      <c r="XES738" s="747"/>
      <c r="XET738" s="747"/>
      <c r="XEU738" s="747"/>
      <c r="XEV738" s="747"/>
      <c r="XEW738" s="747"/>
      <c r="XEX738" s="747"/>
      <c r="XEY738" s="747"/>
      <c r="XEZ738" s="747"/>
      <c r="XFA738" s="747"/>
      <c r="XFB738" s="747"/>
      <c r="XFC738" s="747"/>
    </row>
    <row r="739" spans="1:16383" s="72" customFormat="1" ht="15.6" customHeight="1">
      <c r="A739" s="136" t="s">
        <v>24</v>
      </c>
      <c r="B739" s="834">
        <v>736</v>
      </c>
      <c r="C739" s="834" t="s">
        <v>4209</v>
      </c>
      <c r="D739" s="834" t="s">
        <v>374</v>
      </c>
      <c r="E739" s="852">
        <v>46156</v>
      </c>
      <c r="F739" s="834" t="s">
        <v>4199</v>
      </c>
      <c r="G739" s="834">
        <v>10</v>
      </c>
      <c r="H739" s="834" t="s">
        <v>1721</v>
      </c>
      <c r="I739" s="834" t="s">
        <v>1638</v>
      </c>
      <c r="J739" s="834"/>
      <c r="K739" s="136"/>
      <c r="L739" s="834"/>
      <c r="M739" s="834"/>
      <c r="N739" s="834"/>
      <c r="O739" s="848" t="s">
        <v>3743</v>
      </c>
      <c r="P739" s="848"/>
      <c r="Q739" s="848"/>
      <c r="R739" s="848"/>
      <c r="S739" s="89"/>
      <c r="T739" s="834"/>
      <c r="U739" s="834"/>
      <c r="V739" s="834"/>
      <c r="W739" s="834"/>
      <c r="X739" s="834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108"/>
      <c r="AJ739" s="108"/>
      <c r="AK739" s="108"/>
      <c r="AL739" s="108"/>
      <c r="AM739" s="80"/>
      <c r="AN739" s="80"/>
      <c r="AO739" s="840"/>
      <c r="AP739" s="851"/>
      <c r="AQ739" s="851"/>
      <c r="AR739" s="851"/>
      <c r="AS739" s="540"/>
      <c r="AT739" s="540"/>
      <c r="AU739" s="541"/>
      <c r="AV739" s="541"/>
      <c r="AW739" s="541"/>
      <c r="AX739" s="541"/>
      <c r="BB739" s="72">
        <f t="shared" si="42"/>
        <v>1</v>
      </c>
    </row>
    <row r="740" spans="1:16383" s="72" customFormat="1">
      <c r="A740" s="751" t="s">
        <v>24</v>
      </c>
      <c r="B740" s="834">
        <v>737</v>
      </c>
      <c r="C740" s="834" t="s">
        <v>4210</v>
      </c>
      <c r="D740" s="834" t="s">
        <v>1641</v>
      </c>
      <c r="E740" s="852">
        <v>46156</v>
      </c>
      <c r="F740" s="834" t="s">
        <v>646</v>
      </c>
      <c r="G740" s="834">
        <v>12</v>
      </c>
      <c r="H740" s="751" t="s">
        <v>1077</v>
      </c>
      <c r="I740" s="751" t="s">
        <v>1138</v>
      </c>
      <c r="J740" s="834"/>
      <c r="K740" s="136"/>
      <c r="L740" s="834"/>
      <c r="M740" s="834"/>
      <c r="N740" s="834"/>
      <c r="O740" s="848" t="s">
        <v>3743</v>
      </c>
      <c r="P740" s="848"/>
      <c r="Q740" s="848"/>
      <c r="R740" s="848"/>
      <c r="S740" s="89"/>
      <c r="T740" s="834"/>
      <c r="U740" s="834"/>
      <c r="V740" s="834"/>
      <c r="W740" s="834"/>
      <c r="X740" s="834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108"/>
      <c r="AJ740" s="108"/>
      <c r="AK740" s="108"/>
      <c r="AL740" s="108"/>
      <c r="AM740" s="80"/>
      <c r="AN740" s="80"/>
      <c r="AO740" s="840"/>
      <c r="AP740" s="851"/>
      <c r="AQ740" s="851"/>
      <c r="AR740" s="851"/>
      <c r="AS740" s="540"/>
      <c r="AT740" s="540"/>
      <c r="AU740" s="541"/>
      <c r="AV740" s="541"/>
      <c r="AW740" s="541"/>
      <c r="AX740" s="541"/>
    </row>
    <row r="741" spans="1:16383" s="72" customFormat="1" ht="15.6" customHeight="1">
      <c r="A741" s="136" t="s">
        <v>24</v>
      </c>
      <c r="B741" s="834">
        <v>738</v>
      </c>
      <c r="C741" s="834" t="s">
        <v>4211</v>
      </c>
      <c r="D741" s="834" t="s">
        <v>657</v>
      </c>
      <c r="E741" s="852">
        <v>46157</v>
      </c>
      <c r="F741" s="834" t="s">
        <v>1342</v>
      </c>
      <c r="G741" s="834">
        <v>12</v>
      </c>
      <c r="H741" s="834" t="s">
        <v>1077</v>
      </c>
      <c r="I741" s="834" t="s">
        <v>1138</v>
      </c>
      <c r="J741" s="834"/>
      <c r="K741" s="136"/>
      <c r="L741" s="834"/>
      <c r="M741" s="834"/>
      <c r="N741" s="834"/>
      <c r="O741" s="848" t="s">
        <v>3743</v>
      </c>
      <c r="P741" s="848"/>
      <c r="Q741" s="848"/>
      <c r="R741" s="848"/>
      <c r="S741" s="89"/>
      <c r="T741" s="834"/>
      <c r="U741" s="834"/>
      <c r="V741" s="834"/>
      <c r="W741" s="834"/>
      <c r="X741" s="834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108"/>
      <c r="AJ741" s="108"/>
      <c r="AK741" s="108"/>
      <c r="AL741" s="108"/>
      <c r="AM741" s="80"/>
      <c r="AN741" s="80"/>
      <c r="AO741" s="840"/>
      <c r="AP741" s="851"/>
      <c r="AQ741" s="851"/>
      <c r="AR741" s="851"/>
      <c r="AS741" s="540"/>
      <c r="AT741" s="540"/>
      <c r="AU741" s="541"/>
      <c r="AV741" s="541"/>
      <c r="AW741" s="541"/>
      <c r="AX741" s="541"/>
      <c r="BB741" s="72">
        <f t="shared" si="42"/>
        <v>1</v>
      </c>
    </row>
    <row r="742" spans="1:16383" s="72" customFormat="1" ht="17.100000000000001" customHeight="1">
      <c r="A742" s="751" t="s">
        <v>24</v>
      </c>
      <c r="B742" s="834">
        <v>739</v>
      </c>
      <c r="C742" s="834" t="s">
        <v>4179</v>
      </c>
      <c r="D742" s="834" t="s">
        <v>606</v>
      </c>
      <c r="E742" s="852">
        <v>46157</v>
      </c>
      <c r="F742" s="834" t="s">
        <v>1342</v>
      </c>
      <c r="G742" s="834">
        <v>15</v>
      </c>
      <c r="H742" s="751" t="s">
        <v>1077</v>
      </c>
      <c r="I742" s="751" t="s">
        <v>1138</v>
      </c>
      <c r="J742" s="699" t="s">
        <v>4180</v>
      </c>
      <c r="K742" s="136"/>
      <c r="L742" s="834"/>
      <c r="M742" s="834"/>
      <c r="N742" s="834"/>
      <c r="O742" s="848" t="s">
        <v>4170</v>
      </c>
      <c r="P742" s="848"/>
      <c r="Q742" s="848"/>
      <c r="R742" s="848"/>
      <c r="S742" s="89"/>
      <c r="T742" s="834"/>
      <c r="U742" s="834"/>
      <c r="V742" s="834"/>
      <c r="W742" s="834"/>
      <c r="X742" s="834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108"/>
      <c r="AJ742" s="108"/>
      <c r="AK742" s="108"/>
      <c r="AL742" s="108"/>
      <c r="AM742" s="80"/>
      <c r="AN742" s="80"/>
      <c r="AO742" s="840"/>
      <c r="AP742" s="851"/>
      <c r="AQ742" s="851"/>
      <c r="AR742" s="851"/>
      <c r="AS742" s="540"/>
      <c r="AT742" s="540"/>
      <c r="AU742" s="541"/>
      <c r="AV742" s="541"/>
      <c r="AW742" s="541"/>
      <c r="AX742" s="541"/>
    </row>
    <row r="743" spans="1:16383" s="537" customFormat="1" ht="15.6" customHeight="1">
      <c r="A743" s="751" t="s">
        <v>24</v>
      </c>
      <c r="B743" s="834">
        <v>740</v>
      </c>
      <c r="C743" s="751" t="s">
        <v>4121</v>
      </c>
      <c r="D743" s="751" t="s">
        <v>64</v>
      </c>
      <c r="E743" s="887">
        <v>46157</v>
      </c>
      <c r="F743" s="751" t="s">
        <v>110</v>
      </c>
      <c r="G743" s="751">
        <v>22</v>
      </c>
      <c r="H743" s="751" t="s">
        <v>1077</v>
      </c>
      <c r="I743" s="751" t="s">
        <v>1138</v>
      </c>
      <c r="J743" s="751" t="s">
        <v>4212</v>
      </c>
      <c r="K743" s="521" t="s">
        <v>3063</v>
      </c>
      <c r="L743" s="723" t="s">
        <v>4213</v>
      </c>
      <c r="M743" s="751"/>
      <c r="N743" s="751"/>
      <c r="O743" s="521"/>
      <c r="P743" s="888"/>
      <c r="Q743" s="888"/>
      <c r="R743" s="888"/>
      <c r="S743" s="529"/>
      <c r="T743" s="751"/>
      <c r="U743" s="751"/>
      <c r="V743" s="751"/>
      <c r="W743" s="751"/>
      <c r="X743" s="533"/>
      <c r="Y743" s="522"/>
      <c r="Z743" s="522"/>
      <c r="AA743" s="522"/>
      <c r="AB743" s="522"/>
      <c r="AC743" s="522"/>
      <c r="AD743" s="522"/>
      <c r="AE743" s="522"/>
      <c r="AF743" s="522"/>
      <c r="AG743" s="522"/>
      <c r="AH743" s="522"/>
      <c r="AI743" s="523"/>
      <c r="AJ743" s="523"/>
      <c r="AK743" s="523"/>
      <c r="AL743" s="523"/>
      <c r="AM743" s="522"/>
      <c r="AN743" s="522"/>
      <c r="AO743" s="886"/>
      <c r="AP743" s="896"/>
      <c r="AQ743" s="896"/>
      <c r="AR743" s="896"/>
      <c r="AS743" s="538"/>
      <c r="AT743" s="538"/>
      <c r="AU743" s="539"/>
      <c r="AV743" s="539"/>
      <c r="AW743" s="539"/>
      <c r="AX743" s="539"/>
    </row>
    <row r="744" spans="1:16383" s="731" customFormat="1" ht="15.6" customHeight="1">
      <c r="A744" s="136" t="s">
        <v>24</v>
      </c>
      <c r="B744" s="834">
        <v>741</v>
      </c>
      <c r="C744" s="136" t="s">
        <v>4214</v>
      </c>
      <c r="D744" s="136" t="s">
        <v>50</v>
      </c>
      <c r="E744" s="124">
        <v>46158</v>
      </c>
      <c r="F744" s="136" t="s">
        <v>927</v>
      </c>
      <c r="G744" s="136">
        <v>26</v>
      </c>
      <c r="H744" s="136" t="s">
        <v>1077</v>
      </c>
      <c r="I744" s="136" t="s">
        <v>1138</v>
      </c>
      <c r="J744" s="136"/>
      <c r="K744" s="136"/>
      <c r="L744" s="136" t="s">
        <v>2108</v>
      </c>
      <c r="M744" s="136"/>
      <c r="N744" s="136" t="s">
        <v>3777</v>
      </c>
      <c r="O744" s="96" t="s">
        <v>4215</v>
      </c>
      <c r="P744" s="400"/>
      <c r="Q744" s="400"/>
      <c r="R744" s="400"/>
      <c r="S744" s="380"/>
      <c r="T744" s="136"/>
      <c r="U744" s="136"/>
      <c r="V744" s="136"/>
      <c r="W744" s="136"/>
      <c r="X744" s="136"/>
      <c r="Y744" s="96"/>
      <c r="Z744" s="96"/>
      <c r="AA744" s="96"/>
      <c r="AB744" s="96"/>
      <c r="AC744" s="96"/>
      <c r="AD744" s="96"/>
      <c r="AE744" s="96"/>
      <c r="AF744" s="96"/>
      <c r="AG744" s="96"/>
      <c r="AH744" s="96"/>
      <c r="AI744" s="107"/>
      <c r="AJ744" s="107"/>
      <c r="AK744" s="107"/>
      <c r="AL744" s="107"/>
      <c r="AM744" s="96"/>
      <c r="AN744" s="96"/>
      <c r="AO744" s="840"/>
      <c r="AP744" s="851"/>
      <c r="AQ744" s="851"/>
      <c r="AR744" s="851"/>
      <c r="AS744" s="540"/>
      <c r="AT744" s="540"/>
      <c r="AU744" s="541"/>
      <c r="AV744" s="541"/>
      <c r="AW744" s="541"/>
      <c r="AX744" s="541"/>
      <c r="AY744" s="72"/>
      <c r="BB744" s="731">
        <f t="shared" si="42"/>
        <v>1</v>
      </c>
    </row>
    <row r="745" spans="1:16383" s="731" customFormat="1" ht="15.6" customHeight="1">
      <c r="A745" s="834" t="s">
        <v>24</v>
      </c>
      <c r="B745" s="834">
        <v>742</v>
      </c>
      <c r="C745" s="136" t="s">
        <v>4216</v>
      </c>
      <c r="D745" s="136" t="s">
        <v>83</v>
      </c>
      <c r="E745" s="124">
        <v>46158</v>
      </c>
      <c r="F745" s="136" t="s">
        <v>718</v>
      </c>
      <c r="G745" s="136">
        <v>17</v>
      </c>
      <c r="H745" s="136" t="s">
        <v>1076</v>
      </c>
      <c r="I745" s="136" t="s">
        <v>3337</v>
      </c>
      <c r="J745" s="98" t="s">
        <v>4186</v>
      </c>
      <c r="K745" s="136"/>
      <c r="L745" s="98" t="s">
        <v>4187</v>
      </c>
      <c r="M745" s="136"/>
      <c r="N745" s="136"/>
      <c r="O745" s="96"/>
      <c r="P745" s="400"/>
      <c r="Q745" s="400"/>
      <c r="R745" s="400"/>
      <c r="S745" s="380"/>
      <c r="T745" s="136"/>
      <c r="U745" s="136"/>
      <c r="V745" s="136"/>
      <c r="W745" s="136"/>
      <c r="X745" s="136"/>
      <c r="Y745" s="96"/>
      <c r="Z745" s="96"/>
      <c r="AA745" s="96"/>
      <c r="AB745" s="96"/>
      <c r="AC745" s="96"/>
      <c r="AD745" s="96"/>
      <c r="AE745" s="96"/>
      <c r="AF745" s="96"/>
      <c r="AG745" s="96"/>
      <c r="AH745" s="96"/>
      <c r="AI745" s="107"/>
      <c r="AJ745" s="107"/>
      <c r="AK745" s="107"/>
      <c r="AL745" s="107"/>
      <c r="AM745" s="96"/>
      <c r="AN745" s="96"/>
      <c r="AO745" s="840"/>
      <c r="AP745" s="851"/>
      <c r="AQ745" s="851"/>
      <c r="AR745" s="851"/>
      <c r="AS745" s="540"/>
      <c r="AT745" s="540"/>
      <c r="AU745" s="541"/>
      <c r="AV745" s="541"/>
      <c r="AW745" s="541"/>
      <c r="AX745" s="541"/>
      <c r="AY745" s="72"/>
      <c r="BB745" s="731">
        <f t="shared" si="42"/>
        <v>1</v>
      </c>
    </row>
    <row r="746" spans="1:16383" s="732" customFormat="1" ht="15.6" customHeight="1">
      <c r="A746" s="751" t="s">
        <v>24</v>
      </c>
      <c r="B746" s="834">
        <v>743</v>
      </c>
      <c r="C746" s="521" t="s">
        <v>4217</v>
      </c>
      <c r="D746" s="521" t="s">
        <v>83</v>
      </c>
      <c r="E746" s="548">
        <v>46158</v>
      </c>
      <c r="F746" s="521" t="s">
        <v>97</v>
      </c>
      <c r="G746" s="521">
        <v>13</v>
      </c>
      <c r="H746" s="521" t="s">
        <v>127</v>
      </c>
      <c r="I746" s="521" t="s">
        <v>28</v>
      </c>
      <c r="J746" s="558"/>
      <c r="K746" s="521"/>
      <c r="L746" s="558"/>
      <c r="M746" s="521"/>
      <c r="N746" s="521"/>
      <c r="O746" s="533" t="s">
        <v>4218</v>
      </c>
      <c r="P746" s="542"/>
      <c r="Q746" s="542"/>
      <c r="R746" s="542"/>
      <c r="S746" s="530"/>
      <c r="T746" s="521"/>
      <c r="U746" s="521"/>
      <c r="V746" s="521"/>
      <c r="W746" s="521"/>
      <c r="X746" s="521"/>
      <c r="Y746" s="534"/>
      <c r="Z746" s="534"/>
      <c r="AA746" s="534"/>
      <c r="AB746" s="534"/>
      <c r="AC746" s="534"/>
      <c r="AD746" s="534"/>
      <c r="AE746" s="534"/>
      <c r="AF746" s="534"/>
      <c r="AG746" s="534"/>
      <c r="AH746" s="534"/>
      <c r="AI746" s="535"/>
      <c r="AJ746" s="535"/>
      <c r="AK746" s="535"/>
      <c r="AL746" s="535"/>
      <c r="AM746" s="534"/>
      <c r="AN746" s="534"/>
      <c r="AO746" s="886"/>
      <c r="AP746" s="896"/>
      <c r="AQ746" s="896"/>
      <c r="AR746" s="896"/>
      <c r="AS746" s="538"/>
      <c r="AT746" s="538"/>
      <c r="AU746" s="539"/>
      <c r="AV746" s="539"/>
      <c r="AW746" s="539"/>
      <c r="AX746" s="539"/>
      <c r="AY746" s="537"/>
    </row>
    <row r="747" spans="1:16383" s="732" customFormat="1" ht="15.6" customHeight="1">
      <c r="A747" s="751" t="s">
        <v>24</v>
      </c>
      <c r="B747" s="834">
        <v>744</v>
      </c>
      <c r="C747" s="521" t="s">
        <v>4219</v>
      </c>
      <c r="D747" s="521" t="s">
        <v>43</v>
      </c>
      <c r="E747" s="548">
        <v>46158</v>
      </c>
      <c r="F747" s="521" t="s">
        <v>412</v>
      </c>
      <c r="G747" s="521">
        <v>9</v>
      </c>
      <c r="H747" s="521" t="s">
        <v>1077</v>
      </c>
      <c r="I747" s="521" t="s">
        <v>1138</v>
      </c>
      <c r="J747" s="558" t="s">
        <v>4220</v>
      </c>
      <c r="K747" s="521"/>
      <c r="L747" s="558"/>
      <c r="M747" s="521"/>
      <c r="N747" s="521"/>
      <c r="O747" s="521" t="s">
        <v>4221</v>
      </c>
      <c r="P747" s="542"/>
      <c r="Q747" s="542"/>
      <c r="R747" s="542"/>
      <c r="S747" s="530"/>
      <c r="T747" s="521"/>
      <c r="U747" s="521"/>
      <c r="V747" s="521"/>
      <c r="W747" s="521"/>
      <c r="X747" s="521"/>
      <c r="Y747" s="534"/>
      <c r="Z747" s="534"/>
      <c r="AA747" s="534"/>
      <c r="AB747" s="534"/>
      <c r="AC747" s="534"/>
      <c r="AD747" s="534"/>
      <c r="AE747" s="534"/>
      <c r="AF747" s="534"/>
      <c r="AG747" s="534"/>
      <c r="AH747" s="534"/>
      <c r="AI747" s="535"/>
      <c r="AJ747" s="535"/>
      <c r="AK747" s="535"/>
      <c r="AL747" s="535"/>
      <c r="AM747" s="534"/>
      <c r="AN747" s="534"/>
      <c r="AO747" s="886"/>
      <c r="AP747" s="896"/>
      <c r="AQ747" s="896"/>
      <c r="AR747" s="896"/>
      <c r="AS747" s="538"/>
      <c r="AT747" s="538"/>
      <c r="AU747" s="539"/>
      <c r="AV747" s="539"/>
      <c r="AW747" s="539"/>
      <c r="AX747" s="539"/>
      <c r="AY747" s="537"/>
    </row>
    <row r="748" spans="1:16383" s="732" customFormat="1" ht="15.6" customHeight="1">
      <c r="A748" s="751" t="s">
        <v>24</v>
      </c>
      <c r="B748" s="834">
        <v>745</v>
      </c>
      <c r="C748" s="521" t="s">
        <v>4222</v>
      </c>
      <c r="D748" s="751" t="s">
        <v>34</v>
      </c>
      <c r="E748" s="548">
        <v>46158</v>
      </c>
      <c r="F748" s="521" t="s">
        <v>161</v>
      </c>
      <c r="G748" s="521">
        <v>12</v>
      </c>
      <c r="H748" s="751" t="s">
        <v>1721</v>
      </c>
      <c r="I748" s="751" t="s">
        <v>1638</v>
      </c>
      <c r="J748" s="558" t="s">
        <v>4223</v>
      </c>
      <c r="K748" s="521"/>
      <c r="L748" s="558" t="s">
        <v>4224</v>
      </c>
      <c r="M748" s="521"/>
      <c r="N748" s="521"/>
      <c r="O748" s="888" t="s">
        <v>3743</v>
      </c>
      <c r="P748" s="542"/>
      <c r="Q748" s="542"/>
      <c r="R748" s="542"/>
      <c r="S748" s="530"/>
      <c r="T748" s="521"/>
      <c r="U748" s="521"/>
      <c r="V748" s="521"/>
      <c r="W748" s="521"/>
      <c r="X748" s="521"/>
      <c r="Y748" s="534"/>
      <c r="Z748" s="534"/>
      <c r="AA748" s="534"/>
      <c r="AB748" s="534"/>
      <c r="AC748" s="534"/>
      <c r="AD748" s="534"/>
      <c r="AE748" s="534"/>
      <c r="AF748" s="534"/>
      <c r="AG748" s="534"/>
      <c r="AH748" s="534"/>
      <c r="AI748" s="535"/>
      <c r="AJ748" s="535"/>
      <c r="AK748" s="535"/>
      <c r="AL748" s="535"/>
      <c r="AM748" s="534"/>
      <c r="AN748" s="534"/>
      <c r="AO748" s="886"/>
      <c r="AP748" s="896"/>
      <c r="AQ748" s="896"/>
      <c r="AR748" s="896"/>
      <c r="AS748" s="538"/>
      <c r="AT748" s="538"/>
      <c r="AU748" s="539"/>
      <c r="AV748" s="539"/>
      <c r="AW748" s="539"/>
      <c r="AX748" s="539"/>
      <c r="AY748" s="537"/>
    </row>
    <row r="749" spans="1:16383" s="72" customFormat="1" ht="15.6" customHeight="1">
      <c r="A749" s="834" t="s">
        <v>24</v>
      </c>
      <c r="B749" s="834">
        <v>746</v>
      </c>
      <c r="C749" s="834"/>
      <c r="D749" s="98" t="s">
        <v>406</v>
      </c>
      <c r="E749" s="242">
        <v>46160</v>
      </c>
      <c r="F749" s="98" t="s">
        <v>4225</v>
      </c>
      <c r="G749" s="98">
        <v>12</v>
      </c>
      <c r="H749" s="98" t="s">
        <v>1077</v>
      </c>
      <c r="I749" s="98" t="s">
        <v>1138</v>
      </c>
      <c r="J749" s="98" t="s">
        <v>4226</v>
      </c>
      <c r="K749" s="136"/>
      <c r="L749" s="834"/>
      <c r="M749" s="834"/>
      <c r="N749" s="834"/>
      <c r="O749" s="848"/>
      <c r="P749" s="848"/>
      <c r="Q749" s="848"/>
      <c r="R749" s="848"/>
      <c r="S749" s="89"/>
      <c r="T749" s="834"/>
      <c r="U749" s="834"/>
      <c r="V749" s="834"/>
      <c r="W749" s="834"/>
      <c r="X749" s="834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108"/>
      <c r="AJ749" s="108"/>
      <c r="AK749" s="108"/>
      <c r="AL749" s="108"/>
      <c r="AM749" s="80"/>
      <c r="AN749" s="80"/>
      <c r="AO749" s="840"/>
      <c r="AP749" s="851"/>
      <c r="AQ749" s="851"/>
      <c r="AR749" s="851"/>
      <c r="AS749" s="540"/>
      <c r="AT749" s="540"/>
      <c r="AU749" s="541"/>
      <c r="AV749" s="541"/>
      <c r="AW749" s="541"/>
      <c r="AX749" s="541"/>
      <c r="BB749" s="72">
        <f t="shared" si="42"/>
        <v>1</v>
      </c>
    </row>
    <row r="750" spans="1:16383" s="72" customFormat="1">
      <c r="A750" s="751" t="s">
        <v>24</v>
      </c>
      <c r="B750" s="834">
        <v>747</v>
      </c>
      <c r="C750" s="834" t="s">
        <v>4210</v>
      </c>
      <c r="D750" s="834" t="s">
        <v>1641</v>
      </c>
      <c r="E750" s="852">
        <v>46161</v>
      </c>
      <c r="F750" s="834" t="s">
        <v>646</v>
      </c>
      <c r="G750" s="834">
        <v>12</v>
      </c>
      <c r="H750" s="751" t="s">
        <v>1077</v>
      </c>
      <c r="I750" s="751" t="s">
        <v>1138</v>
      </c>
      <c r="J750" s="834"/>
      <c r="K750" s="136"/>
      <c r="L750" s="834"/>
      <c r="M750" s="834"/>
      <c r="N750" s="834"/>
      <c r="O750" s="848" t="s">
        <v>3743</v>
      </c>
      <c r="P750" s="848"/>
      <c r="Q750" s="848"/>
      <c r="R750" s="848"/>
      <c r="S750" s="89"/>
      <c r="T750" s="834"/>
      <c r="U750" s="834"/>
      <c r="V750" s="834"/>
      <c r="W750" s="834"/>
      <c r="X750" s="834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108"/>
      <c r="AJ750" s="108"/>
      <c r="AK750" s="108"/>
      <c r="AL750" s="108"/>
      <c r="AM750" s="80"/>
      <c r="AN750" s="80"/>
      <c r="AO750" s="840"/>
      <c r="AP750" s="851"/>
      <c r="AQ750" s="851"/>
      <c r="AR750" s="851"/>
      <c r="AS750" s="540"/>
      <c r="AT750" s="540"/>
      <c r="AU750" s="541"/>
      <c r="AV750" s="541"/>
      <c r="AW750" s="541"/>
      <c r="AX750" s="541"/>
    </row>
    <row r="751" spans="1:16383" ht="15.6" customHeight="1">
      <c r="A751" s="136" t="s">
        <v>24</v>
      </c>
      <c r="B751" s="834">
        <v>748</v>
      </c>
      <c r="C751" s="834" t="s">
        <v>4227</v>
      </c>
      <c r="D751" s="834" t="s">
        <v>374</v>
      </c>
      <c r="E751" s="852">
        <v>46163</v>
      </c>
      <c r="F751" s="834" t="s">
        <v>4199</v>
      </c>
      <c r="G751" s="834">
        <v>10</v>
      </c>
      <c r="H751" s="834" t="s">
        <v>1721</v>
      </c>
      <c r="I751" s="834" t="s">
        <v>1638</v>
      </c>
      <c r="J751" s="834"/>
      <c r="K751" s="136"/>
      <c r="L751" s="834"/>
      <c r="M751" s="834"/>
      <c r="N751" s="834"/>
      <c r="O751" s="848" t="s">
        <v>3743</v>
      </c>
      <c r="P751" s="848"/>
      <c r="Q751" s="848"/>
      <c r="R751" s="848"/>
      <c r="S751" s="89"/>
      <c r="T751" s="834"/>
      <c r="U751" s="834"/>
      <c r="V751" s="834"/>
      <c r="W751" s="834"/>
      <c r="X751" s="834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108"/>
      <c r="AJ751" s="108"/>
      <c r="AK751" s="108"/>
      <c r="AL751" s="108"/>
      <c r="AM751" s="80"/>
      <c r="AN751" s="80"/>
      <c r="AO751" s="832"/>
      <c r="AP751" s="875"/>
      <c r="AQ751" s="875"/>
      <c r="AR751" s="875"/>
      <c r="AS751" s="776"/>
      <c r="AT751" s="776"/>
      <c r="BB751">
        <f t="shared" si="42"/>
        <v>1</v>
      </c>
    </row>
    <row r="752" spans="1:16383" ht="15.6" customHeight="1">
      <c r="A752" s="136" t="s">
        <v>24</v>
      </c>
      <c r="B752" s="834">
        <v>749</v>
      </c>
      <c r="C752" s="834" t="s">
        <v>4102</v>
      </c>
      <c r="D752" s="834" t="s">
        <v>4228</v>
      </c>
      <c r="E752" s="852">
        <v>46163</v>
      </c>
      <c r="F752" s="834" t="s">
        <v>181</v>
      </c>
      <c r="G752" s="834">
        <v>10</v>
      </c>
      <c r="H752" s="834" t="s">
        <v>1077</v>
      </c>
      <c r="I752" s="834" t="s">
        <v>1138</v>
      </c>
      <c r="J752" s="834"/>
      <c r="K752" s="136"/>
      <c r="L752" s="834"/>
      <c r="M752" s="834"/>
      <c r="N752" s="834"/>
      <c r="O752" s="136" t="s">
        <v>2083</v>
      </c>
      <c r="P752" s="848"/>
      <c r="Q752" s="848"/>
      <c r="R752" s="848"/>
      <c r="S752" s="89"/>
      <c r="T752" s="834"/>
      <c r="U752" s="834"/>
      <c r="V752" s="834"/>
      <c r="W752" s="834"/>
      <c r="X752" s="834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108"/>
      <c r="AJ752" s="108"/>
      <c r="AK752" s="108"/>
      <c r="AL752" s="108"/>
      <c r="AM752" s="80"/>
      <c r="AN752" s="80"/>
      <c r="AO752" s="832"/>
      <c r="AP752" s="875"/>
      <c r="AQ752" s="875"/>
      <c r="AR752" s="875"/>
      <c r="AS752" s="776"/>
      <c r="AT752" s="776"/>
      <c r="BB752">
        <f t="shared" si="42"/>
        <v>1</v>
      </c>
    </row>
    <row r="753" spans="1:54" s="72" customFormat="1">
      <c r="A753" s="751" t="s">
        <v>24</v>
      </c>
      <c r="B753" s="834">
        <v>750</v>
      </c>
      <c r="C753" s="834" t="s">
        <v>4229</v>
      </c>
      <c r="D753" s="834" t="s">
        <v>1641</v>
      </c>
      <c r="E753" s="852">
        <v>46163</v>
      </c>
      <c r="F753" s="834" t="s">
        <v>1642</v>
      </c>
      <c r="G753" s="834">
        <v>15</v>
      </c>
      <c r="H753" s="751" t="s">
        <v>1077</v>
      </c>
      <c r="I753" s="751" t="s">
        <v>1138</v>
      </c>
      <c r="J753" s="834"/>
      <c r="K753" s="136"/>
      <c r="L753" s="834"/>
      <c r="M753" s="834"/>
      <c r="N753" s="834"/>
      <c r="O753" s="848" t="s">
        <v>3743</v>
      </c>
      <c r="P753" s="848"/>
      <c r="Q753" s="848"/>
      <c r="R753" s="848"/>
      <c r="S753" s="89"/>
      <c r="T753" s="834"/>
      <c r="U753" s="834"/>
      <c r="V753" s="834"/>
      <c r="W753" s="834"/>
      <c r="X753" s="834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108"/>
      <c r="AJ753" s="108"/>
      <c r="AK753" s="108"/>
      <c r="AL753" s="108"/>
      <c r="AM753" s="80"/>
      <c r="AN753" s="80"/>
      <c r="AO753" s="840"/>
      <c r="AP753" s="851"/>
      <c r="AQ753" s="851"/>
      <c r="AR753" s="851"/>
      <c r="AS753" s="540"/>
      <c r="AT753" s="540"/>
      <c r="AU753" s="541"/>
      <c r="AV753" s="541"/>
      <c r="AW753" s="541"/>
      <c r="AX753" s="541"/>
    </row>
    <row r="754" spans="1:54" ht="15.6" customHeight="1">
      <c r="A754" s="136" t="s">
        <v>24</v>
      </c>
      <c r="B754" s="834">
        <v>751</v>
      </c>
      <c r="C754" s="834" t="s">
        <v>4230</v>
      </c>
      <c r="D754" s="834" t="s">
        <v>64</v>
      </c>
      <c r="E754" s="852">
        <v>46164</v>
      </c>
      <c r="F754" s="834" t="s">
        <v>202</v>
      </c>
      <c r="G754" s="834">
        <v>17</v>
      </c>
      <c r="H754" s="834" t="s">
        <v>3056</v>
      </c>
      <c r="I754" s="834" t="s">
        <v>47</v>
      </c>
      <c r="J754" s="834" t="s">
        <v>4231</v>
      </c>
      <c r="K754" s="136"/>
      <c r="L754" s="834"/>
      <c r="M754" s="834"/>
      <c r="N754" s="834"/>
      <c r="O754" s="136" t="s">
        <v>4221</v>
      </c>
      <c r="P754" s="848"/>
      <c r="Q754" s="848"/>
      <c r="R754" s="848"/>
      <c r="S754" s="89"/>
      <c r="T754" s="834"/>
      <c r="U754" s="834"/>
      <c r="V754" s="834"/>
      <c r="W754" s="834"/>
      <c r="X754" s="834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108"/>
      <c r="AJ754" s="108"/>
      <c r="AK754" s="108"/>
      <c r="AL754" s="108"/>
      <c r="AM754" s="80"/>
      <c r="AN754" s="80"/>
      <c r="AO754" s="832"/>
      <c r="AP754" s="875"/>
      <c r="AQ754" s="875"/>
      <c r="AR754" s="875"/>
      <c r="AS754" s="776"/>
      <c r="AT754" s="776"/>
      <c r="BB754">
        <f t="shared" si="42"/>
        <v>1</v>
      </c>
    </row>
    <row r="755" spans="1:54" s="537" customFormat="1">
      <c r="A755" s="751" t="s">
        <v>24</v>
      </c>
      <c r="B755" s="834">
        <v>752</v>
      </c>
      <c r="C755" s="886" t="s">
        <v>4232</v>
      </c>
      <c r="D755" s="751" t="s">
        <v>50</v>
      </c>
      <c r="E755" s="887">
        <v>46164</v>
      </c>
      <c r="F755" s="751" t="s">
        <v>110</v>
      </c>
      <c r="G755" s="751">
        <v>22</v>
      </c>
      <c r="H755" s="751" t="s">
        <v>1077</v>
      </c>
      <c r="I755" s="751" t="s">
        <v>1138</v>
      </c>
      <c r="J755" s="751" t="s">
        <v>4162</v>
      </c>
      <c r="K755" s="521"/>
      <c r="L755" s="751"/>
      <c r="M755" s="751"/>
      <c r="N755" s="751"/>
      <c r="O755" s="888"/>
      <c r="P755" s="888"/>
      <c r="Q755" s="888"/>
      <c r="R755" s="888"/>
      <c r="S755" s="529"/>
      <c r="T755" s="751"/>
      <c r="U755" s="751"/>
      <c r="V755" s="751"/>
      <c r="W755" s="751"/>
      <c r="X755" s="751"/>
      <c r="Y755" s="522"/>
      <c r="Z755" s="522"/>
      <c r="AA755" s="522"/>
      <c r="AB755" s="522"/>
      <c r="AC755" s="522"/>
      <c r="AD755" s="522"/>
      <c r="AE755" s="522"/>
      <c r="AF755" s="522"/>
      <c r="AG755" s="522"/>
      <c r="AH755" s="522"/>
      <c r="AI755" s="523"/>
      <c r="AJ755" s="523"/>
      <c r="AK755" s="523"/>
      <c r="AL755" s="523"/>
      <c r="AM755" s="522"/>
      <c r="AN755" s="522"/>
      <c r="AO755" s="886"/>
      <c r="AP755" s="896"/>
      <c r="AQ755" s="896"/>
      <c r="AR755" s="896"/>
      <c r="AS755" s="538"/>
      <c r="AT755" s="538"/>
      <c r="AU755" s="539"/>
      <c r="AV755" s="539"/>
      <c r="AW755" s="539"/>
      <c r="AX755" s="539"/>
    </row>
    <row r="756" spans="1:54" s="706" customFormat="1">
      <c r="A756" s="751" t="s">
        <v>24</v>
      </c>
      <c r="B756" s="834">
        <v>753</v>
      </c>
      <c r="C756" t="s">
        <v>4233</v>
      </c>
      <c r="D756" t="s">
        <v>4234</v>
      </c>
      <c r="E756" t="s">
        <v>4235</v>
      </c>
      <c r="F756" s="751" t="s">
        <v>4236</v>
      </c>
      <c r="G756" s="751">
        <v>14</v>
      </c>
      <c r="H756" s="751" t="s">
        <v>127</v>
      </c>
      <c r="I756" s="898" t="s">
        <v>178</v>
      </c>
      <c r="J756" s="751"/>
      <c r="K756" s="521"/>
      <c r="L756" s="751"/>
      <c r="M756" s="751"/>
      <c r="N756" s="751"/>
      <c r="O756" s="848" t="s">
        <v>4158</v>
      </c>
      <c r="P756" s="888"/>
      <c r="Q756" s="888"/>
      <c r="R756" s="888"/>
      <c r="S756" s="529"/>
      <c r="T756" s="751"/>
      <c r="U756" s="751"/>
      <c r="V756" s="751"/>
      <c r="W756" s="751"/>
      <c r="X756" s="751"/>
      <c r="Y756" s="522"/>
      <c r="Z756" s="522"/>
      <c r="AA756" s="522"/>
      <c r="AB756" s="522"/>
      <c r="AC756" s="522"/>
      <c r="AD756" s="522"/>
      <c r="AE756" s="522"/>
      <c r="AF756" s="522"/>
      <c r="AG756" s="522"/>
      <c r="AH756" s="522"/>
      <c r="AI756" s="523"/>
      <c r="AJ756" s="523"/>
      <c r="AK756" s="523"/>
      <c r="AL756" s="523"/>
      <c r="AM756" s="522"/>
      <c r="AN756" s="522"/>
      <c r="AO756" s="924"/>
      <c r="AP756" s="925"/>
      <c r="AQ756" s="925"/>
      <c r="AR756" s="925"/>
      <c r="AS756" s="704"/>
      <c r="AT756" s="704"/>
      <c r="AU756" s="705"/>
      <c r="AV756" s="705"/>
      <c r="AW756" s="705"/>
      <c r="AX756" s="705"/>
    </row>
    <row r="757" spans="1:54" s="706" customFormat="1">
      <c r="A757" s="751" t="s">
        <v>24</v>
      </c>
      <c r="B757" s="834">
        <v>754</v>
      </c>
      <c r="C757" t="s">
        <v>4237</v>
      </c>
      <c r="D757" t="s">
        <v>4234</v>
      </c>
      <c r="E757" t="s">
        <v>4235</v>
      </c>
      <c r="F757" s="751" t="s">
        <v>97</v>
      </c>
      <c r="G757" s="751">
        <v>12</v>
      </c>
      <c r="H757" s="751" t="s">
        <v>127</v>
      </c>
      <c r="I757" s="898" t="s">
        <v>178</v>
      </c>
      <c r="J757" s="751"/>
      <c r="K757" s="521"/>
      <c r="L757" s="751"/>
      <c r="M757" s="751"/>
      <c r="N757" s="751"/>
      <c r="O757" s="848" t="s">
        <v>4238</v>
      </c>
      <c r="P757" s="888"/>
      <c r="Q757" s="888"/>
      <c r="R757" s="888"/>
      <c r="S757" s="529"/>
      <c r="T757" s="751"/>
      <c r="U757" s="751"/>
      <c r="V757" s="751"/>
      <c r="W757" s="751"/>
      <c r="X757" s="751"/>
      <c r="Y757" s="522"/>
      <c r="Z757" s="522"/>
      <c r="AA757" s="522"/>
      <c r="AB757" s="522"/>
      <c r="AC757" s="522"/>
      <c r="AD757" s="522"/>
      <c r="AE757" s="522"/>
      <c r="AF757" s="522"/>
      <c r="AG757" s="522"/>
      <c r="AH757" s="522"/>
      <c r="AI757" s="523"/>
      <c r="AJ757" s="523"/>
      <c r="AK757" s="523"/>
      <c r="AL757" s="523"/>
      <c r="AM757" s="522"/>
      <c r="AN757" s="522"/>
      <c r="AO757" s="924"/>
      <c r="AP757" s="925"/>
      <c r="AQ757" s="925"/>
      <c r="AR757" s="925"/>
      <c r="AS757" s="704"/>
      <c r="AT757" s="704"/>
      <c r="AU757" s="705"/>
      <c r="AV757" s="705"/>
      <c r="AW757" s="705"/>
      <c r="AX757" s="705"/>
    </row>
    <row r="758" spans="1:54" ht="15.6" customHeight="1">
      <c r="A758" s="136" t="s">
        <v>24</v>
      </c>
      <c r="B758" s="834">
        <v>755</v>
      </c>
      <c r="C758" s="834" t="s">
        <v>4239</v>
      </c>
      <c r="D758" s="834" t="s">
        <v>34</v>
      </c>
      <c r="E758" s="852">
        <v>46165</v>
      </c>
      <c r="F758" s="834" t="s">
        <v>272</v>
      </c>
      <c r="G758" s="834">
        <v>12</v>
      </c>
      <c r="H758" s="834" t="s">
        <v>1721</v>
      </c>
      <c r="I758" s="834" t="s">
        <v>1638</v>
      </c>
      <c r="J758" s="834"/>
      <c r="K758" s="136"/>
      <c r="L758" s="834"/>
      <c r="M758" s="834"/>
      <c r="N758" s="834"/>
      <c r="O758" s="98" t="s">
        <v>4135</v>
      </c>
      <c r="P758" s="848"/>
      <c r="Q758" s="848"/>
      <c r="R758" s="848"/>
      <c r="S758" s="89"/>
      <c r="T758" s="834"/>
      <c r="U758" s="834"/>
      <c r="V758" s="834"/>
      <c r="W758" s="834"/>
      <c r="X758" s="834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108"/>
      <c r="AJ758" s="108"/>
      <c r="AK758" s="108"/>
      <c r="AL758" s="108"/>
      <c r="AM758" s="80"/>
      <c r="AN758" s="80"/>
      <c r="AO758" s="832"/>
      <c r="AP758" s="875"/>
      <c r="AQ758" s="875"/>
      <c r="AR758" s="875"/>
      <c r="AS758" s="776"/>
      <c r="AT758" s="776"/>
      <c r="BB758">
        <f t="shared" si="42"/>
        <v>1</v>
      </c>
    </row>
    <row r="759" spans="1:54" s="72" customFormat="1" ht="15.6" customHeight="1">
      <c r="A759" s="834" t="s">
        <v>24</v>
      </c>
      <c r="B759" s="834">
        <v>756</v>
      </c>
      <c r="C759" s="840" t="s">
        <v>4240</v>
      </c>
      <c r="D759" s="834" t="s">
        <v>43</v>
      </c>
      <c r="E759" s="852">
        <v>46165</v>
      </c>
      <c r="F759" s="834" t="s">
        <v>1621</v>
      </c>
      <c r="G759" s="834">
        <v>10</v>
      </c>
      <c r="H759" s="834" t="s">
        <v>3056</v>
      </c>
      <c r="I759" s="834" t="s">
        <v>47</v>
      </c>
      <c r="J759" s="834"/>
      <c r="K759" s="136"/>
      <c r="L759" s="834"/>
      <c r="M759" s="834"/>
      <c r="N759" s="834"/>
      <c r="O759" s="848" t="s">
        <v>4158</v>
      </c>
      <c r="P759" s="848"/>
      <c r="Q759" s="848"/>
      <c r="R759" s="848"/>
      <c r="S759" s="89"/>
      <c r="T759" s="834"/>
      <c r="U759" s="834"/>
      <c r="V759" s="834"/>
      <c r="W759" s="834"/>
      <c r="X759" s="834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108"/>
      <c r="AJ759" s="108"/>
      <c r="AK759" s="108"/>
      <c r="AL759" s="108"/>
      <c r="AM759" s="80"/>
      <c r="AN759" s="80"/>
      <c r="AO759" s="840"/>
      <c r="AP759" s="851"/>
      <c r="AQ759" s="851"/>
      <c r="AR759" s="851"/>
      <c r="AS759" s="540"/>
      <c r="AT759" s="540"/>
      <c r="AU759" s="541"/>
      <c r="AV759" s="541"/>
      <c r="AW759" s="541"/>
      <c r="AX759" s="541"/>
    </row>
    <row r="760" spans="1:54" s="537" customFormat="1">
      <c r="A760" s="751" t="s">
        <v>24</v>
      </c>
      <c r="B760" s="834">
        <v>757</v>
      </c>
      <c r="C760" s="751" t="s">
        <v>4241</v>
      </c>
      <c r="D760" s="751" t="s">
        <v>4242</v>
      </c>
      <c r="E760" s="887">
        <v>46165</v>
      </c>
      <c r="F760" s="751" t="s">
        <v>1342</v>
      </c>
      <c r="G760" s="751">
        <v>18</v>
      </c>
      <c r="H760" s="751" t="s">
        <v>1721</v>
      </c>
      <c r="I760" s="751" t="s">
        <v>1638</v>
      </c>
      <c r="J760" s="751"/>
      <c r="K760" s="521"/>
      <c r="L760" s="751"/>
      <c r="M760" s="751"/>
      <c r="N760" s="751"/>
      <c r="O760" s="888" t="s">
        <v>4183</v>
      </c>
      <c r="P760" s="888"/>
      <c r="Q760" s="888"/>
      <c r="R760" s="888"/>
      <c r="S760" s="529"/>
      <c r="T760" s="751"/>
      <c r="U760" s="751"/>
      <c r="V760" s="751"/>
      <c r="W760" s="751"/>
      <c r="X760" s="751"/>
      <c r="Y760" s="522"/>
      <c r="Z760" s="522"/>
      <c r="AA760" s="522"/>
      <c r="AB760" s="522"/>
      <c r="AC760" s="522"/>
      <c r="AD760" s="522"/>
      <c r="AE760" s="522"/>
      <c r="AF760" s="522"/>
      <c r="AG760" s="522"/>
      <c r="AH760" s="522"/>
      <c r="AI760" s="523"/>
      <c r="AJ760" s="523"/>
      <c r="AK760" s="523"/>
      <c r="AL760" s="523"/>
      <c r="AM760" s="522"/>
      <c r="AN760" s="522"/>
      <c r="AO760" s="886"/>
      <c r="AP760" s="896"/>
      <c r="AQ760" s="896"/>
      <c r="AR760" s="896"/>
      <c r="AS760" s="538"/>
      <c r="AT760" s="538"/>
      <c r="AU760" s="539"/>
      <c r="AV760" s="539"/>
      <c r="AW760" s="539"/>
      <c r="AX760" s="539"/>
    </row>
    <row r="761" spans="1:54" ht="15.6" customHeight="1">
      <c r="A761" s="136" t="s">
        <v>24</v>
      </c>
      <c r="B761" s="834">
        <v>758</v>
      </c>
      <c r="C761" s="834" t="s">
        <v>4243</v>
      </c>
      <c r="D761" s="834" t="s">
        <v>1131</v>
      </c>
      <c r="E761" s="852">
        <v>46165</v>
      </c>
      <c r="F761" s="834" t="s">
        <v>1342</v>
      </c>
      <c r="G761" s="834">
        <v>10</v>
      </c>
      <c r="H761" s="834" t="s">
        <v>1077</v>
      </c>
      <c r="I761" s="834" t="s">
        <v>1138</v>
      </c>
      <c r="J761" s="136"/>
      <c r="K761" s="136"/>
      <c r="L761" s="136"/>
      <c r="M761" s="136"/>
      <c r="N761" s="136"/>
      <c r="O761" s="136" t="s">
        <v>4049</v>
      </c>
      <c r="P761" s="848"/>
      <c r="Q761" s="848"/>
      <c r="R761" s="848"/>
      <c r="S761" s="89"/>
      <c r="T761" s="834"/>
      <c r="U761" s="834"/>
      <c r="V761" s="834"/>
      <c r="W761" s="834"/>
      <c r="X761" s="834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108"/>
      <c r="AJ761" s="108"/>
      <c r="AK761" s="108"/>
      <c r="AL761" s="108"/>
      <c r="AM761" s="80"/>
      <c r="AN761" s="80"/>
      <c r="AO761" s="832"/>
      <c r="AP761" s="875"/>
      <c r="AQ761" s="875"/>
      <c r="AR761" s="875"/>
      <c r="AS761" s="776"/>
      <c r="AT761" s="776"/>
      <c r="BB761">
        <f t="shared" si="42"/>
        <v>1</v>
      </c>
    </row>
    <row r="762" spans="1:54" s="72" customFormat="1">
      <c r="A762" s="751" t="s">
        <v>24</v>
      </c>
      <c r="B762" s="834">
        <v>759</v>
      </c>
      <c r="C762" s="834" t="s">
        <v>4244</v>
      </c>
      <c r="D762" s="834" t="s">
        <v>43</v>
      </c>
      <c r="E762" s="852">
        <v>46165</v>
      </c>
      <c r="F762" s="834" t="s">
        <v>395</v>
      </c>
      <c r="G762" s="834">
        <v>15</v>
      </c>
      <c r="H762" s="521" t="s">
        <v>1721</v>
      </c>
      <c r="I762" s="521" t="s">
        <v>1638</v>
      </c>
      <c r="J762" s="834"/>
      <c r="K762" s="136"/>
      <c r="L762" s="834"/>
      <c r="M762" s="834"/>
      <c r="N762" s="834"/>
      <c r="O762" s="848" t="s">
        <v>3743</v>
      </c>
      <c r="P762" s="848"/>
      <c r="Q762" s="848"/>
      <c r="R762" s="848"/>
      <c r="S762" s="89"/>
      <c r="T762" s="834"/>
      <c r="U762" s="834"/>
      <c r="V762" s="834"/>
      <c r="W762" s="834"/>
      <c r="X762" s="834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108"/>
      <c r="AJ762" s="108"/>
      <c r="AK762" s="108"/>
      <c r="AL762" s="108"/>
      <c r="AM762" s="80"/>
      <c r="AN762" s="80"/>
      <c r="AO762" s="840"/>
      <c r="AP762" s="851"/>
      <c r="AQ762" s="851"/>
      <c r="AR762" s="851"/>
      <c r="AS762" s="540"/>
      <c r="AT762" s="540"/>
      <c r="AU762" s="541"/>
      <c r="AV762" s="541"/>
      <c r="AW762" s="541"/>
      <c r="AX762" s="541"/>
    </row>
    <row r="763" spans="1:54" s="711" customFormat="1" ht="16.5" customHeight="1">
      <c r="A763" s="585" t="s">
        <v>24</v>
      </c>
      <c r="B763" s="834">
        <v>760</v>
      </c>
      <c r="C763" s="898" t="s">
        <v>4098</v>
      </c>
      <c r="D763" s="898" t="s">
        <v>4234</v>
      </c>
      <c r="E763" s="926">
        <v>46165</v>
      </c>
      <c r="F763" s="898" t="s">
        <v>97</v>
      </c>
      <c r="G763" s="898">
        <v>12</v>
      </c>
      <c r="H763" s="898" t="s">
        <v>127</v>
      </c>
      <c r="I763" s="898" t="s">
        <v>178</v>
      </c>
      <c r="J763" s="585"/>
      <c r="K763" s="585" t="s">
        <v>3058</v>
      </c>
      <c r="L763" s="585"/>
      <c r="M763" s="545"/>
      <c r="N763" s="545"/>
      <c r="O763" s="585" t="s">
        <v>4245</v>
      </c>
      <c r="P763" s="899"/>
      <c r="Q763" s="899"/>
      <c r="R763" s="899"/>
      <c r="S763" s="707"/>
      <c r="T763" s="898"/>
      <c r="U763" s="898"/>
      <c r="V763" s="898"/>
      <c r="W763" s="898"/>
      <c r="X763" s="708" t="s">
        <v>32</v>
      </c>
      <c r="Y763" s="709"/>
      <c r="Z763" s="709"/>
      <c r="AA763" s="709"/>
      <c r="AB763" s="709"/>
      <c r="AC763" s="709"/>
      <c r="AD763" s="709"/>
      <c r="AE763" s="709"/>
      <c r="AF763" s="709"/>
      <c r="AG763" s="709"/>
      <c r="AH763" s="709"/>
      <c r="AI763" s="710"/>
      <c r="AJ763" s="710"/>
      <c r="AK763" s="710"/>
      <c r="AL763" s="710"/>
      <c r="AM763" s="709"/>
      <c r="AN763" s="709"/>
      <c r="AO763" s="900"/>
      <c r="AP763" s="927"/>
      <c r="AQ763" s="927"/>
      <c r="AR763" s="927"/>
      <c r="AS763" s="927"/>
      <c r="AT763" s="927"/>
      <c r="AU763" s="928"/>
      <c r="AV763" s="928"/>
      <c r="AW763" s="928"/>
      <c r="AX763" s="928"/>
      <c r="AY763" s="900"/>
      <c r="AZ763" s="900"/>
      <c r="BA763" s="900"/>
      <c r="BB763" s="900">
        <f>IF(E763&gt;1,1,"")</f>
        <v>1</v>
      </c>
    </row>
    <row r="764" spans="1:54" s="711" customFormat="1" ht="16.5" customHeight="1">
      <c r="A764" s="585" t="s">
        <v>24</v>
      </c>
      <c r="B764" s="834">
        <v>761</v>
      </c>
      <c r="C764" s="898"/>
      <c r="D764" s="898" t="s">
        <v>4234</v>
      </c>
      <c r="E764" s="926">
        <v>46165</v>
      </c>
      <c r="F764" s="898" t="s">
        <v>4236</v>
      </c>
      <c r="G764" s="898">
        <v>12</v>
      </c>
      <c r="H764" s="898" t="s">
        <v>127</v>
      </c>
      <c r="I764" s="898" t="s">
        <v>178</v>
      </c>
      <c r="J764" s="585"/>
      <c r="K764" s="585" t="s">
        <v>3058</v>
      </c>
      <c r="L764" s="585" t="s">
        <v>2108</v>
      </c>
      <c r="M764" s="545"/>
      <c r="N764" s="545"/>
      <c r="O764" s="585" t="s">
        <v>4245</v>
      </c>
      <c r="P764" s="899"/>
      <c r="Q764" s="899"/>
      <c r="R764" s="899"/>
      <c r="S764" s="707"/>
      <c r="T764" s="898"/>
      <c r="U764" s="898"/>
      <c r="V764" s="898"/>
      <c r="W764" s="898"/>
      <c r="X764" s="708" t="s">
        <v>32</v>
      </c>
      <c r="Y764" s="709"/>
      <c r="Z764" s="709"/>
      <c r="AA764" s="709"/>
      <c r="AB764" s="709"/>
      <c r="AC764" s="709"/>
      <c r="AD764" s="709"/>
      <c r="AE764" s="709"/>
      <c r="AF764" s="709"/>
      <c r="AG764" s="709"/>
      <c r="AH764" s="709"/>
      <c r="AI764" s="710"/>
      <c r="AJ764" s="710"/>
      <c r="AK764" s="710"/>
      <c r="AL764" s="710"/>
      <c r="AM764" s="709"/>
      <c r="AN764" s="709"/>
      <c r="AO764" s="900"/>
      <c r="AP764" s="927"/>
      <c r="AQ764" s="927"/>
      <c r="AR764" s="927"/>
      <c r="AS764" s="927"/>
      <c r="AT764" s="927"/>
      <c r="AU764" s="928"/>
      <c r="AV764" s="928"/>
      <c r="AW764" s="928"/>
      <c r="AX764" s="928"/>
      <c r="AY764" s="900"/>
      <c r="AZ764" s="900"/>
      <c r="BA764" s="900"/>
      <c r="BB764" s="900">
        <f>IF(E764&gt;1,1,"")</f>
        <v>1</v>
      </c>
    </row>
    <row r="765" spans="1:54" ht="15.6" customHeight="1">
      <c r="A765" s="136" t="s">
        <v>24</v>
      </c>
      <c r="B765" s="834">
        <v>762</v>
      </c>
      <c r="C765" s="834" t="s">
        <v>4201</v>
      </c>
      <c r="D765" s="834" t="s">
        <v>43</v>
      </c>
      <c r="E765" s="852">
        <v>46167</v>
      </c>
      <c r="F765" s="834" t="s">
        <v>1626</v>
      </c>
      <c r="G765" s="834">
        <v>15</v>
      </c>
      <c r="H765" s="834" t="s">
        <v>1077</v>
      </c>
      <c r="I765" s="834" t="s">
        <v>1138</v>
      </c>
      <c r="J765" s="834" t="s">
        <v>4159</v>
      </c>
      <c r="K765" s="136"/>
      <c r="L765" s="834"/>
      <c r="M765" s="834"/>
      <c r="N765" s="834"/>
      <c r="O765" s="848" t="s">
        <v>3743</v>
      </c>
      <c r="P765" s="848"/>
      <c r="Q765" s="848"/>
      <c r="R765" s="848"/>
      <c r="S765" s="89"/>
      <c r="T765" s="834"/>
      <c r="U765" s="834"/>
      <c r="V765" s="834"/>
      <c r="W765" s="834"/>
      <c r="X765" s="834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108"/>
      <c r="AJ765" s="108"/>
      <c r="AK765" s="108"/>
      <c r="AL765" s="108"/>
      <c r="AM765" s="80"/>
      <c r="AN765" s="80"/>
      <c r="AO765" s="832"/>
      <c r="AP765" s="875"/>
      <c r="AQ765" s="875"/>
      <c r="AR765" s="875"/>
      <c r="AS765" s="776"/>
      <c r="AT765" s="776"/>
      <c r="BB765">
        <f t="shared" ref="BB765" si="47">IF(E765&gt;1,1,"")</f>
        <v>1</v>
      </c>
    </row>
    <row r="766" spans="1:54" ht="15.6" customHeight="1">
      <c r="A766" s="136" t="s">
        <v>24</v>
      </c>
      <c r="B766" s="834">
        <v>763</v>
      </c>
      <c r="C766" s="834" t="s">
        <v>4246</v>
      </c>
      <c r="D766" s="834" t="s">
        <v>50</v>
      </c>
      <c r="E766" s="852">
        <v>46171</v>
      </c>
      <c r="F766" s="834" t="s">
        <v>4247</v>
      </c>
      <c r="G766" s="834">
        <v>17</v>
      </c>
      <c r="H766" s="834" t="s">
        <v>1077</v>
      </c>
      <c r="I766" s="834" t="s">
        <v>1138</v>
      </c>
      <c r="J766" s="136"/>
      <c r="K766" s="136"/>
      <c r="L766" s="136"/>
      <c r="M766" s="136"/>
      <c r="N766" s="136"/>
      <c r="O766" s="136" t="s">
        <v>4049</v>
      </c>
      <c r="P766" s="848"/>
      <c r="Q766" s="848"/>
      <c r="R766" s="848"/>
      <c r="S766" s="89"/>
      <c r="T766" s="834"/>
      <c r="U766" s="834"/>
      <c r="V766" s="834"/>
      <c r="W766" s="834"/>
      <c r="X766" s="834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108"/>
      <c r="AJ766" s="108"/>
      <c r="AK766" s="108"/>
      <c r="AL766" s="108"/>
      <c r="AM766" s="80"/>
      <c r="AN766" s="80"/>
      <c r="AO766" s="832"/>
      <c r="AP766" s="875"/>
      <c r="AQ766" s="875"/>
      <c r="AR766" s="875"/>
      <c r="AS766" s="776"/>
      <c r="AT766" s="776"/>
    </row>
    <row r="767" spans="1:54" s="732" customFormat="1">
      <c r="A767" s="521" t="s">
        <v>24</v>
      </c>
      <c r="B767" s="834">
        <v>764</v>
      </c>
      <c r="C767" s="543" t="s">
        <v>4248</v>
      </c>
      <c r="D767" s="521" t="s">
        <v>34</v>
      </c>
      <c r="E767" s="548">
        <v>46172</v>
      </c>
      <c r="F767" s="521" t="s">
        <v>187</v>
      </c>
      <c r="G767" s="521">
        <v>11</v>
      </c>
      <c r="H767" s="751" t="s">
        <v>1077</v>
      </c>
      <c r="I767" s="751" t="s">
        <v>1138</v>
      </c>
      <c r="J767" s="521"/>
      <c r="K767" s="521"/>
      <c r="L767" s="521"/>
      <c r="M767" s="521"/>
      <c r="N767" s="521"/>
      <c r="O767" s="568" t="s">
        <v>4135</v>
      </c>
      <c r="P767" s="542"/>
      <c r="Q767" s="542"/>
      <c r="R767" s="542"/>
      <c r="S767" s="530"/>
      <c r="T767" s="521"/>
      <c r="U767" s="521"/>
      <c r="V767" s="521"/>
      <c r="W767" s="521"/>
      <c r="X767" s="521"/>
      <c r="Y767" s="534"/>
      <c r="Z767" s="534"/>
      <c r="AA767" s="534"/>
      <c r="AB767" s="534"/>
      <c r="AC767" s="534"/>
      <c r="AD767" s="534"/>
      <c r="AE767" s="534"/>
      <c r="AF767" s="534"/>
      <c r="AG767" s="534"/>
      <c r="AH767" s="534"/>
      <c r="AI767" s="535"/>
      <c r="AJ767" s="535"/>
      <c r="AK767" s="535"/>
      <c r="AL767" s="535"/>
      <c r="AM767" s="534"/>
      <c r="AN767" s="534"/>
      <c r="AO767" s="543"/>
      <c r="AP767" s="559"/>
      <c r="AQ767" s="559"/>
      <c r="AR767" s="559"/>
      <c r="AS767" s="749"/>
      <c r="AT767" s="749"/>
      <c r="AU767" s="750"/>
      <c r="AV767" s="750"/>
      <c r="AW767" s="750"/>
      <c r="AX767" s="750"/>
    </row>
    <row r="768" spans="1:54" s="72" customFormat="1">
      <c r="A768" s="751" t="s">
        <v>24</v>
      </c>
      <c r="B768" s="834">
        <v>765</v>
      </c>
      <c r="C768" s="834" t="s">
        <v>4249</v>
      </c>
      <c r="D768" s="834" t="s">
        <v>50</v>
      </c>
      <c r="E768" s="852">
        <v>46172</v>
      </c>
      <c r="F768" s="834" t="s">
        <v>395</v>
      </c>
      <c r="G768" s="834">
        <v>15</v>
      </c>
      <c r="H768" s="521" t="s">
        <v>1721</v>
      </c>
      <c r="I768" s="521" t="s">
        <v>1638</v>
      </c>
      <c r="J768" s="834"/>
      <c r="K768" s="136"/>
      <c r="L768" s="834"/>
      <c r="M768" s="834"/>
      <c r="N768" s="834"/>
      <c r="O768" s="848" t="s">
        <v>3743</v>
      </c>
      <c r="P768" s="848"/>
      <c r="Q768" s="848"/>
      <c r="R768" s="848"/>
      <c r="S768" s="89"/>
      <c r="T768" s="834"/>
      <c r="U768" s="834"/>
      <c r="V768" s="834"/>
      <c r="W768" s="834"/>
      <c r="X768" s="834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108"/>
      <c r="AJ768" s="108"/>
      <c r="AK768" s="108"/>
      <c r="AL768" s="108"/>
      <c r="AM768" s="80"/>
      <c r="AN768" s="80"/>
      <c r="AO768" s="840"/>
      <c r="AP768" s="851"/>
      <c r="AQ768" s="851"/>
      <c r="AR768" s="851"/>
      <c r="AS768" s="540"/>
      <c r="AT768" s="540"/>
      <c r="AU768" s="541"/>
      <c r="AV768" s="541"/>
      <c r="AW768" s="541"/>
      <c r="AX768" s="541"/>
    </row>
    <row r="769" spans="1:54" ht="15.6" customHeight="1">
      <c r="A769" s="136" t="s">
        <v>24</v>
      </c>
      <c r="B769" s="834">
        <v>766</v>
      </c>
      <c r="C769" s="834" t="s">
        <v>4250</v>
      </c>
      <c r="D769" s="834" t="s">
        <v>34</v>
      </c>
      <c r="E769" s="852">
        <v>46172</v>
      </c>
      <c r="F769" s="834" t="s">
        <v>2684</v>
      </c>
      <c r="G769" s="834">
        <v>22</v>
      </c>
      <c r="H769" s="834" t="s">
        <v>1721</v>
      </c>
      <c r="I769" s="834" t="s">
        <v>1638</v>
      </c>
      <c r="J769" s="834"/>
      <c r="K769" s="136"/>
      <c r="L769" s="834"/>
      <c r="M769" s="834"/>
      <c r="N769" s="834"/>
      <c r="O769" s="136" t="s">
        <v>2083</v>
      </c>
      <c r="P769" s="848"/>
      <c r="Q769" s="848"/>
      <c r="R769" s="848"/>
      <c r="S769" s="89"/>
      <c r="T769" s="834"/>
      <c r="U769" s="834"/>
      <c r="V769" s="834"/>
      <c r="W769" s="834"/>
      <c r="X769" s="834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108"/>
      <c r="AJ769" s="108"/>
      <c r="AK769" s="108"/>
      <c r="AL769" s="108"/>
      <c r="AM769" s="80"/>
      <c r="AN769" s="80"/>
      <c r="AO769" s="832"/>
      <c r="AP769" s="875"/>
      <c r="AQ769" s="875"/>
      <c r="AR769" s="875"/>
      <c r="AS769" s="776"/>
      <c r="AT769" s="776"/>
      <c r="BB769">
        <f t="shared" si="42"/>
        <v>1</v>
      </c>
    </row>
    <row r="770" spans="1:54" s="72" customFormat="1">
      <c r="A770" s="751" t="s">
        <v>24</v>
      </c>
      <c r="B770" s="834">
        <v>767</v>
      </c>
      <c r="C770" s="834" t="s">
        <v>4251</v>
      </c>
      <c r="D770" s="834" t="s">
        <v>1641</v>
      </c>
      <c r="E770" s="852">
        <v>46177</v>
      </c>
      <c r="F770" s="834" t="s">
        <v>1642</v>
      </c>
      <c r="G770" s="834">
        <v>15</v>
      </c>
      <c r="H770" s="751" t="s">
        <v>1077</v>
      </c>
      <c r="I770" s="751" t="s">
        <v>1138</v>
      </c>
      <c r="J770" s="834"/>
      <c r="K770" s="136"/>
      <c r="L770" s="834"/>
      <c r="M770" s="834"/>
      <c r="N770" s="834"/>
      <c r="O770" s="848" t="s">
        <v>3743</v>
      </c>
      <c r="P770" s="848"/>
      <c r="Q770" s="848"/>
      <c r="R770" s="848"/>
      <c r="S770" s="89"/>
      <c r="T770" s="834"/>
      <c r="U770" s="834"/>
      <c r="V770" s="834"/>
      <c r="W770" s="834"/>
      <c r="X770" s="834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108"/>
      <c r="AJ770" s="108"/>
      <c r="AK770" s="108"/>
      <c r="AL770" s="108"/>
      <c r="AM770" s="80"/>
      <c r="AN770" s="80"/>
      <c r="AO770" s="840"/>
      <c r="AP770" s="851"/>
      <c r="AQ770" s="851"/>
      <c r="AR770" s="851"/>
      <c r="AS770" s="540"/>
      <c r="AT770" s="540"/>
      <c r="AU770" s="541"/>
      <c r="AV770" s="541"/>
      <c r="AW770" s="541"/>
      <c r="AX770" s="541"/>
    </row>
    <row r="771" spans="1:54" s="537" customFormat="1">
      <c r="A771" s="751" t="s">
        <v>24</v>
      </c>
      <c r="B771" s="834">
        <v>768</v>
      </c>
      <c r="C771" s="751" t="s">
        <v>4252</v>
      </c>
      <c r="D771" s="751" t="s">
        <v>43</v>
      </c>
      <c r="E771" s="887">
        <v>46151</v>
      </c>
      <c r="F771" s="751" t="s">
        <v>439</v>
      </c>
      <c r="G771" s="751">
        <v>36</v>
      </c>
      <c r="H771" s="751" t="s">
        <v>3056</v>
      </c>
      <c r="I771" s="751" t="s">
        <v>47</v>
      </c>
      <c r="J771" s="751"/>
      <c r="K771" s="521"/>
      <c r="L771" s="751"/>
      <c r="M771" s="751"/>
      <c r="N771" s="751"/>
      <c r="O771" s="888" t="s">
        <v>2083</v>
      </c>
      <c r="P771" s="888"/>
      <c r="Q771" s="888"/>
      <c r="R771" s="888"/>
      <c r="S771" s="529"/>
      <c r="T771" s="751"/>
      <c r="U771" s="751"/>
      <c r="V771" s="751"/>
      <c r="W771" s="751"/>
      <c r="X771" s="751"/>
      <c r="Y771" s="522"/>
      <c r="Z771" s="522"/>
      <c r="AA771" s="522"/>
      <c r="AB771" s="522"/>
      <c r="AC771" s="522"/>
      <c r="AD771" s="522"/>
      <c r="AE771" s="522"/>
      <c r="AF771" s="522"/>
      <c r="AG771" s="522"/>
      <c r="AH771" s="522"/>
      <c r="AI771" s="523"/>
      <c r="AJ771" s="523"/>
      <c r="AK771" s="523"/>
      <c r="AL771" s="523"/>
      <c r="AM771" s="522"/>
      <c r="AN771" s="522"/>
      <c r="AO771" s="886"/>
      <c r="AP771" s="896"/>
      <c r="AQ771" s="896"/>
      <c r="AR771" s="896"/>
      <c r="AS771" s="538"/>
      <c r="AT771" s="538"/>
      <c r="AU771" s="539"/>
      <c r="AV771" s="539"/>
      <c r="AW771" s="539"/>
      <c r="AX771" s="539"/>
    </row>
    <row r="772" spans="1:54" ht="15.6" customHeight="1">
      <c r="A772" s="834" t="s">
        <v>24</v>
      </c>
      <c r="B772" s="834">
        <v>769</v>
      </c>
      <c r="C772" s="834" t="s">
        <v>4253</v>
      </c>
      <c r="D772" s="834" t="s">
        <v>1641</v>
      </c>
      <c r="E772" s="852">
        <v>46181</v>
      </c>
      <c r="F772" s="834" t="s">
        <v>666</v>
      </c>
      <c r="G772" s="834">
        <v>22</v>
      </c>
      <c r="H772" s="834" t="s">
        <v>1077</v>
      </c>
      <c r="I772" s="834" t="s">
        <v>1138</v>
      </c>
      <c r="J772" s="834"/>
      <c r="K772" s="136"/>
      <c r="L772" s="834"/>
      <c r="M772" s="834"/>
      <c r="N772" s="834"/>
      <c r="O772" s="848"/>
      <c r="P772" s="848"/>
      <c r="Q772" s="848"/>
      <c r="R772" s="848"/>
      <c r="S772" s="89"/>
      <c r="T772" s="834"/>
      <c r="U772" s="834"/>
      <c r="V772" s="834"/>
      <c r="W772" s="834"/>
      <c r="X772" s="834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108"/>
      <c r="AJ772" s="108"/>
      <c r="AK772" s="108"/>
      <c r="AL772" s="108"/>
      <c r="AM772" s="80"/>
      <c r="AN772" s="80"/>
      <c r="AO772" s="832"/>
      <c r="AP772" s="875"/>
      <c r="AQ772" s="875"/>
      <c r="AR772" s="875"/>
      <c r="AS772" s="776"/>
      <c r="AT772" s="776"/>
      <c r="BB772">
        <f>IF(E772&gt;1,1,"")</f>
        <v>1</v>
      </c>
    </row>
    <row r="773" spans="1:54" ht="15.6" customHeight="1">
      <c r="A773" s="834" t="s">
        <v>24</v>
      </c>
      <c r="B773" s="834">
        <v>770</v>
      </c>
      <c r="C773" s="834" t="s">
        <v>4254</v>
      </c>
      <c r="D773" s="834" t="s">
        <v>129</v>
      </c>
      <c r="E773" s="852">
        <v>46182</v>
      </c>
      <c r="F773" s="834" t="s">
        <v>666</v>
      </c>
      <c r="G773" s="834">
        <v>22</v>
      </c>
      <c r="H773" s="834" t="s">
        <v>1077</v>
      </c>
      <c r="I773" s="834" t="s">
        <v>1138</v>
      </c>
      <c r="J773" s="834"/>
      <c r="K773" s="136"/>
      <c r="L773" s="834"/>
      <c r="M773" s="834"/>
      <c r="N773" s="834"/>
      <c r="O773" s="848"/>
      <c r="P773" s="848"/>
      <c r="Q773" s="848"/>
      <c r="R773" s="848"/>
      <c r="S773" s="89"/>
      <c r="T773" s="834"/>
      <c r="U773" s="834"/>
      <c r="V773" s="834"/>
      <c r="W773" s="834"/>
      <c r="X773" s="834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108"/>
      <c r="AJ773" s="108"/>
      <c r="AK773" s="108"/>
      <c r="AL773" s="108"/>
      <c r="AM773" s="80"/>
      <c r="AN773" s="80"/>
      <c r="AO773" s="832"/>
      <c r="AP773" s="875"/>
      <c r="AQ773" s="875"/>
      <c r="AR773" s="875"/>
      <c r="AS773" s="776"/>
      <c r="AT773" s="776"/>
      <c r="BB773">
        <f>IF(E773&gt;1,1,"")</f>
        <v>1</v>
      </c>
    </row>
    <row r="774" spans="1:54" ht="15.6" customHeight="1">
      <c r="A774" s="834" t="s">
        <v>24</v>
      </c>
      <c r="B774" s="834">
        <v>771</v>
      </c>
      <c r="C774" s="834" t="s">
        <v>4255</v>
      </c>
      <c r="D774" s="834" t="s">
        <v>374</v>
      </c>
      <c r="E774" s="852">
        <v>46185</v>
      </c>
      <c r="F774" s="834" t="s">
        <v>202</v>
      </c>
      <c r="G774" s="834">
        <v>12</v>
      </c>
      <c r="H774" s="834" t="s">
        <v>3056</v>
      </c>
      <c r="I774" s="834" t="s">
        <v>47</v>
      </c>
      <c r="J774" s="834" t="s">
        <v>4256</v>
      </c>
      <c r="K774" s="136"/>
      <c r="L774" s="834"/>
      <c r="M774" s="834"/>
      <c r="N774" s="834"/>
      <c r="O774" s="848" t="s">
        <v>4170</v>
      </c>
      <c r="P774" s="848"/>
      <c r="Q774" s="848"/>
      <c r="R774" s="848"/>
      <c r="S774" s="89"/>
      <c r="T774" s="834"/>
      <c r="U774" s="834"/>
      <c r="V774" s="834"/>
      <c r="W774" s="834"/>
      <c r="X774" s="834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108"/>
      <c r="AJ774" s="108"/>
      <c r="AK774" s="108"/>
      <c r="AL774" s="108"/>
      <c r="AM774" s="80"/>
      <c r="AN774" s="80"/>
      <c r="AO774" s="832"/>
      <c r="AP774" s="875"/>
      <c r="AQ774" s="875"/>
      <c r="AR774" s="875"/>
      <c r="AS774" s="776"/>
      <c r="AT774" s="776"/>
    </row>
    <row r="775" spans="1:54" s="524" customFormat="1" ht="15.6" customHeight="1">
      <c r="A775" s="751" t="s">
        <v>24</v>
      </c>
      <c r="B775" s="834">
        <v>772</v>
      </c>
      <c r="C775" s="751" t="s">
        <v>4257</v>
      </c>
      <c r="D775" s="751" t="s">
        <v>50</v>
      </c>
      <c r="E775" s="887">
        <v>46185</v>
      </c>
      <c r="F775" s="751" t="s">
        <v>167</v>
      </c>
      <c r="G775" s="751">
        <v>30</v>
      </c>
      <c r="H775" s="751" t="s">
        <v>3056</v>
      </c>
      <c r="I775" s="751" t="s">
        <v>47</v>
      </c>
      <c r="J775" s="751"/>
      <c r="K775" s="521"/>
      <c r="L775" s="751"/>
      <c r="M775" s="751"/>
      <c r="N775" s="751"/>
      <c r="O775" s="521" t="s">
        <v>2083</v>
      </c>
      <c r="P775" s="888"/>
      <c r="Q775" s="888"/>
      <c r="R775" s="888"/>
      <c r="S775" s="529"/>
      <c r="T775" s="751"/>
      <c r="U775" s="751"/>
      <c r="V775" s="751"/>
      <c r="W775" s="751"/>
      <c r="X775" s="751"/>
      <c r="Y775" s="522"/>
      <c r="Z775" s="522"/>
      <c r="AA775" s="522"/>
      <c r="AB775" s="522"/>
      <c r="AC775" s="522"/>
      <c r="AD775" s="522"/>
      <c r="AE775" s="522"/>
      <c r="AF775" s="522"/>
      <c r="AG775" s="522"/>
      <c r="AH775" s="522"/>
      <c r="AI775" s="523"/>
      <c r="AJ775" s="523"/>
      <c r="AK775" s="523"/>
      <c r="AL775" s="523"/>
      <c r="AM775" s="522"/>
      <c r="AN775" s="522"/>
      <c r="AO775" s="889"/>
      <c r="AP775" s="890"/>
      <c r="AQ775" s="890"/>
      <c r="AR775" s="890"/>
      <c r="AS775" s="525"/>
      <c r="AT775" s="525"/>
      <c r="AU775" s="526"/>
      <c r="AV775" s="526"/>
      <c r="AW775" s="526"/>
      <c r="AX775" s="526"/>
    </row>
    <row r="776" spans="1:54" s="561" customFormat="1" ht="16.5" customHeight="1">
      <c r="A776" s="521" t="s">
        <v>24</v>
      </c>
      <c r="B776" s="834">
        <v>773</v>
      </c>
      <c r="C776" s="521"/>
      <c r="D776" s="521" t="s">
        <v>406</v>
      </c>
      <c r="E776" s="548">
        <v>46186</v>
      </c>
      <c r="F776" s="521" t="s">
        <v>4258</v>
      </c>
      <c r="G776" s="521">
        <v>13</v>
      </c>
      <c r="H776" s="521" t="s">
        <v>1076</v>
      </c>
      <c r="I776" s="521" t="s">
        <v>3337</v>
      </c>
      <c r="J776" s="558" t="s">
        <v>4186</v>
      </c>
      <c r="K776" s="558"/>
      <c r="L776" s="558" t="s">
        <v>4259</v>
      </c>
      <c r="M776" s="558" t="s">
        <v>4260</v>
      </c>
      <c r="N776" s="558"/>
      <c r="O776" s="521" t="s">
        <v>2050</v>
      </c>
      <c r="P776" s="568"/>
      <c r="Q776" s="568"/>
      <c r="R776" s="568"/>
      <c r="S776" s="583"/>
      <c r="T776" s="558"/>
      <c r="U776" s="558"/>
      <c r="V776" s="558"/>
      <c r="W776" s="558"/>
      <c r="X776" s="533" t="s">
        <v>32</v>
      </c>
      <c r="Y776" s="533"/>
      <c r="Z776" s="533"/>
      <c r="AA776" s="533"/>
      <c r="AB776" s="533"/>
      <c r="AC776" s="533"/>
      <c r="AD776" s="533"/>
      <c r="AE776" s="533"/>
      <c r="AF776" s="533"/>
      <c r="AG776" s="533"/>
      <c r="AH776" s="533"/>
      <c r="AI776" s="584"/>
      <c r="AJ776" s="584"/>
      <c r="AK776" s="584"/>
      <c r="AL776" s="584"/>
      <c r="AM776" s="533"/>
      <c r="AN776" s="533"/>
      <c r="AO776" s="886"/>
      <c r="AP776" s="896"/>
      <c r="AQ776" s="896"/>
      <c r="AR776" s="896"/>
      <c r="AS776" s="896"/>
      <c r="AT776" s="896"/>
      <c r="AU776" s="897"/>
      <c r="AV776" s="897"/>
      <c r="AW776" s="897"/>
      <c r="AX776" s="897"/>
      <c r="AY776" s="886"/>
      <c r="BB776" s="561">
        <f t="shared" ref="BB776" si="48">IF(E776&gt;1,1,"")</f>
        <v>1</v>
      </c>
    </row>
    <row r="777" spans="1:54" s="72" customFormat="1">
      <c r="A777" s="751" t="s">
        <v>24</v>
      </c>
      <c r="B777" s="834">
        <v>774</v>
      </c>
      <c r="C777" s="834" t="s">
        <v>4261</v>
      </c>
      <c r="D777" s="834" t="s">
        <v>477</v>
      </c>
      <c r="E777" s="852">
        <v>46186</v>
      </c>
      <c r="F777" s="834" t="s">
        <v>395</v>
      </c>
      <c r="G777" s="834">
        <v>15</v>
      </c>
      <c r="H777" s="521" t="s">
        <v>1721</v>
      </c>
      <c r="I777" s="521" t="s">
        <v>1638</v>
      </c>
      <c r="J777" s="834"/>
      <c r="K777" s="136"/>
      <c r="L777" s="834"/>
      <c r="M777" s="834"/>
      <c r="N777" s="834"/>
      <c r="O777" s="848" t="s">
        <v>3743</v>
      </c>
      <c r="P777" s="848"/>
      <c r="Q777" s="848"/>
      <c r="R777" s="848"/>
      <c r="S777" s="89"/>
      <c r="T777" s="834"/>
      <c r="U777" s="834"/>
      <c r="V777" s="834"/>
      <c r="W777" s="834"/>
      <c r="X777" s="834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108"/>
      <c r="AJ777" s="108"/>
      <c r="AK777" s="108"/>
      <c r="AL777" s="108"/>
      <c r="AM777" s="80"/>
      <c r="AN777" s="80"/>
      <c r="AO777" s="840"/>
      <c r="AP777" s="851"/>
      <c r="AQ777" s="851"/>
      <c r="AR777" s="851"/>
      <c r="AS777" s="540"/>
      <c r="AT777" s="540"/>
      <c r="AU777" s="541"/>
      <c r="AV777" s="541"/>
      <c r="AW777" s="541"/>
      <c r="AX777" s="541"/>
    </row>
    <row r="778" spans="1:54" s="72" customFormat="1">
      <c r="A778" s="751" t="s">
        <v>24</v>
      </c>
      <c r="B778" s="834">
        <v>775</v>
      </c>
      <c r="C778" s="834" t="s">
        <v>4262</v>
      </c>
      <c r="D778" s="834" t="s">
        <v>1641</v>
      </c>
      <c r="E778" s="852">
        <v>46191</v>
      </c>
      <c r="F778" s="834" t="s">
        <v>646</v>
      </c>
      <c r="G778" s="834">
        <v>8</v>
      </c>
      <c r="H778" s="751" t="s">
        <v>1077</v>
      </c>
      <c r="I778" s="751" t="s">
        <v>1138</v>
      </c>
      <c r="J778" s="834"/>
      <c r="K778" s="136"/>
      <c r="L778" s="834"/>
      <c r="M778" s="834"/>
      <c r="N778" s="834"/>
      <c r="O778" s="848" t="s">
        <v>3743</v>
      </c>
      <c r="P778" s="848"/>
      <c r="Q778" s="848"/>
      <c r="R778" s="848"/>
      <c r="S778" s="89"/>
      <c r="T778" s="834"/>
      <c r="U778" s="834"/>
      <c r="V778" s="834"/>
      <c r="W778" s="834"/>
      <c r="X778" s="834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108"/>
      <c r="AJ778" s="108"/>
      <c r="AK778" s="108"/>
      <c r="AL778" s="108"/>
      <c r="AM778" s="80"/>
      <c r="AN778" s="80"/>
      <c r="AO778" s="840"/>
      <c r="AP778" s="851"/>
      <c r="AQ778" s="851"/>
      <c r="AR778" s="851"/>
      <c r="AS778" s="540"/>
      <c r="AT778" s="540"/>
      <c r="AU778" s="541"/>
      <c r="AV778" s="541"/>
      <c r="AW778" s="541"/>
      <c r="AX778" s="541"/>
    </row>
    <row r="779" spans="1:54" s="72" customFormat="1">
      <c r="A779" s="751" t="s">
        <v>24</v>
      </c>
      <c r="B779" s="834">
        <v>776</v>
      </c>
      <c r="C779" s="834" t="s">
        <v>4263</v>
      </c>
      <c r="D779" s="834" t="s">
        <v>1641</v>
      </c>
      <c r="E779" s="852">
        <v>46191</v>
      </c>
      <c r="F779" s="834" t="s">
        <v>1642</v>
      </c>
      <c r="G779" s="834">
        <v>15</v>
      </c>
      <c r="H779" s="751" t="s">
        <v>1077</v>
      </c>
      <c r="I779" s="751" t="s">
        <v>1138</v>
      </c>
      <c r="J779" s="834"/>
      <c r="K779" s="136"/>
      <c r="L779" s="834"/>
      <c r="M779" s="834"/>
      <c r="N779" s="834"/>
      <c r="O779" s="848" t="s">
        <v>3743</v>
      </c>
      <c r="P779" s="848"/>
      <c r="Q779" s="848"/>
      <c r="R779" s="848"/>
      <c r="S779" s="89"/>
      <c r="T779" s="834"/>
      <c r="U779" s="834"/>
      <c r="V779" s="834"/>
      <c r="W779" s="834"/>
      <c r="X779" s="834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108"/>
      <c r="AJ779" s="108"/>
      <c r="AK779" s="108"/>
      <c r="AL779" s="108"/>
      <c r="AM779" s="80"/>
      <c r="AN779" s="80"/>
      <c r="AO779" s="840"/>
      <c r="AP779" s="851"/>
      <c r="AQ779" s="851"/>
      <c r="AR779" s="851"/>
      <c r="AS779" s="540"/>
      <c r="AT779" s="540"/>
      <c r="AU779" s="541"/>
      <c r="AV779" s="541"/>
      <c r="AW779" s="541"/>
      <c r="AX779" s="541"/>
    </row>
    <row r="780" spans="1:54" s="537" customFormat="1">
      <c r="A780" s="751" t="s">
        <v>24</v>
      </c>
      <c r="B780" s="834">
        <v>777</v>
      </c>
      <c r="C780" s="886" t="s">
        <v>4232</v>
      </c>
      <c r="D780" s="751" t="s">
        <v>50</v>
      </c>
      <c r="E780" s="887">
        <v>46192</v>
      </c>
      <c r="F780" s="751" t="s">
        <v>110</v>
      </c>
      <c r="G780" s="751">
        <v>22</v>
      </c>
      <c r="H780" s="751" t="s">
        <v>1077</v>
      </c>
      <c r="I780" s="751" t="s">
        <v>1138</v>
      </c>
      <c r="J780" s="751" t="s">
        <v>4162</v>
      </c>
      <c r="K780" s="521"/>
      <c r="L780" s="751"/>
      <c r="M780" s="751"/>
      <c r="N780" s="751"/>
      <c r="O780" s="888"/>
      <c r="P780" s="888"/>
      <c r="Q780" s="888"/>
      <c r="R780" s="888"/>
      <c r="S780" s="529"/>
      <c r="T780" s="751"/>
      <c r="U780" s="751"/>
      <c r="V780" s="751"/>
      <c r="W780" s="751"/>
      <c r="X780" s="751"/>
      <c r="Y780" s="522"/>
      <c r="Z780" s="522"/>
      <c r="AA780" s="522"/>
      <c r="AB780" s="522"/>
      <c r="AC780" s="522"/>
      <c r="AD780" s="522"/>
      <c r="AE780" s="522"/>
      <c r="AF780" s="522"/>
      <c r="AG780" s="522"/>
      <c r="AH780" s="522"/>
      <c r="AI780" s="523"/>
      <c r="AJ780" s="523"/>
      <c r="AK780" s="523"/>
      <c r="AL780" s="523"/>
      <c r="AM780" s="522"/>
      <c r="AN780" s="522"/>
      <c r="AO780" s="886"/>
      <c r="AP780" s="896"/>
      <c r="AQ780" s="896"/>
      <c r="AR780" s="896"/>
      <c r="AS780" s="538"/>
      <c r="AT780" s="538"/>
      <c r="AU780" s="539"/>
      <c r="AV780" s="539"/>
      <c r="AW780" s="539"/>
      <c r="AX780" s="539"/>
    </row>
    <row r="781" spans="1:54" ht="15.6" customHeight="1">
      <c r="A781" s="834" t="s">
        <v>24</v>
      </c>
      <c r="B781" s="834">
        <v>778</v>
      </c>
      <c r="C781" s="834" t="s">
        <v>4264</v>
      </c>
      <c r="D781" s="834" t="s">
        <v>102</v>
      </c>
      <c r="E781" s="852">
        <v>46196</v>
      </c>
      <c r="F781" s="834" t="s">
        <v>4265</v>
      </c>
      <c r="G781" s="834">
        <v>11</v>
      </c>
      <c r="H781" s="834" t="s">
        <v>3056</v>
      </c>
      <c r="I781" s="834" t="s">
        <v>47</v>
      </c>
      <c r="J781" s="834"/>
      <c r="K781" s="136"/>
      <c r="L781" s="834" t="s">
        <v>4266</v>
      </c>
      <c r="M781" s="834"/>
      <c r="N781" s="834"/>
      <c r="O781" s="848" t="s">
        <v>3743</v>
      </c>
      <c r="P781" s="848"/>
      <c r="Q781" s="848"/>
      <c r="R781" s="848"/>
      <c r="S781" s="89"/>
      <c r="T781" s="834"/>
      <c r="U781" s="834"/>
      <c r="V781" s="834"/>
      <c r="W781" s="834"/>
      <c r="X781" s="834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108"/>
      <c r="AJ781" s="108"/>
      <c r="AK781" s="108"/>
      <c r="AL781" s="108"/>
      <c r="AM781" s="80"/>
      <c r="AN781" s="80"/>
      <c r="AO781" s="832"/>
      <c r="AP781" s="875"/>
      <c r="AQ781" s="875"/>
      <c r="AR781" s="875"/>
      <c r="AS781" s="776"/>
      <c r="AT781" s="776"/>
      <c r="BB781">
        <f>IF(E781&gt;1,1,"")</f>
        <v>1</v>
      </c>
    </row>
    <row r="782" spans="1:54" s="72" customFormat="1">
      <c r="A782" s="751" t="s">
        <v>24</v>
      </c>
      <c r="B782" s="834">
        <v>779</v>
      </c>
      <c r="C782" s="834" t="s">
        <v>4262</v>
      </c>
      <c r="D782" s="834" t="s">
        <v>1641</v>
      </c>
      <c r="E782" s="852">
        <v>46198</v>
      </c>
      <c r="F782" s="834" t="s">
        <v>646</v>
      </c>
      <c r="G782" s="834">
        <v>8</v>
      </c>
      <c r="H782" s="751" t="s">
        <v>1077</v>
      </c>
      <c r="I782" s="751" t="s">
        <v>1138</v>
      </c>
      <c r="J782" s="834"/>
      <c r="K782" s="136"/>
      <c r="L782" s="834"/>
      <c r="M782" s="834"/>
      <c r="N782" s="834"/>
      <c r="O782" s="848" t="s">
        <v>3743</v>
      </c>
      <c r="P782" s="848"/>
      <c r="Q782" s="848"/>
      <c r="R782" s="848"/>
      <c r="S782" s="89"/>
      <c r="T782" s="834"/>
      <c r="U782" s="834"/>
      <c r="V782" s="834"/>
      <c r="W782" s="834"/>
      <c r="X782" s="834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108"/>
      <c r="AJ782" s="108"/>
      <c r="AK782" s="108"/>
      <c r="AL782" s="108"/>
      <c r="AM782" s="80"/>
      <c r="AN782" s="80"/>
      <c r="AO782" s="840"/>
      <c r="AP782" s="851"/>
      <c r="AQ782" s="851"/>
      <c r="AR782" s="851"/>
      <c r="AS782" s="540"/>
      <c r="AT782" s="540"/>
      <c r="AU782" s="541"/>
      <c r="AV782" s="541"/>
      <c r="AW782" s="541"/>
      <c r="AX782" s="541"/>
    </row>
    <row r="783" spans="1:54" s="536" customFormat="1" ht="15.6" customHeight="1">
      <c r="A783" s="751" t="s">
        <v>24</v>
      </c>
      <c r="B783" s="834">
        <v>780</v>
      </c>
      <c r="C783" s="521" t="s">
        <v>4219</v>
      </c>
      <c r="D783" s="521" t="s">
        <v>43</v>
      </c>
      <c r="E783" s="548">
        <v>46200</v>
      </c>
      <c r="F783" s="521" t="s">
        <v>412</v>
      </c>
      <c r="G783" s="521">
        <v>9</v>
      </c>
      <c r="H783" s="521" t="s">
        <v>1077</v>
      </c>
      <c r="I783" s="521" t="s">
        <v>1138</v>
      </c>
      <c r="J783" s="558" t="s">
        <v>4267</v>
      </c>
      <c r="K783" s="521"/>
      <c r="L783" s="558"/>
      <c r="M783" s="521"/>
      <c r="N783" s="521"/>
      <c r="O783" s="521" t="s">
        <v>4221</v>
      </c>
      <c r="P783" s="542"/>
      <c r="Q783" s="542"/>
      <c r="R783" s="542"/>
      <c r="S783" s="530"/>
      <c r="T783" s="521"/>
      <c r="U783" s="521"/>
      <c r="V783" s="521"/>
      <c r="W783" s="521"/>
      <c r="X783" s="521"/>
      <c r="Y783" s="534"/>
      <c r="Z783" s="534"/>
      <c r="AA783" s="534"/>
      <c r="AB783" s="534"/>
      <c r="AC783" s="534"/>
      <c r="AD783" s="534"/>
      <c r="AE783" s="534"/>
      <c r="AF783" s="534"/>
      <c r="AG783" s="534"/>
      <c r="AH783" s="534"/>
      <c r="AI783" s="535"/>
      <c r="AJ783" s="535"/>
      <c r="AK783" s="535"/>
      <c r="AL783" s="535"/>
      <c r="AM783" s="534"/>
      <c r="AN783" s="534"/>
      <c r="AO783" s="889"/>
      <c r="AP783" s="890"/>
      <c r="AQ783" s="890"/>
      <c r="AR783" s="890"/>
      <c r="AS783" s="525"/>
      <c r="AT783" s="525"/>
      <c r="AU783" s="526"/>
      <c r="AV783" s="526"/>
      <c r="AW783" s="526"/>
      <c r="AX783" s="526"/>
      <c r="AY783" s="524"/>
    </row>
    <row r="784" spans="1:54" s="72" customFormat="1">
      <c r="A784" s="751" t="s">
        <v>24</v>
      </c>
      <c r="B784" s="834">
        <v>781</v>
      </c>
      <c r="C784" s="834" t="s">
        <v>4268</v>
      </c>
      <c r="D784" s="834" t="s">
        <v>1641</v>
      </c>
      <c r="E784" s="852">
        <v>46205</v>
      </c>
      <c r="F784" s="834" t="s">
        <v>1642</v>
      </c>
      <c r="G784" s="834">
        <v>15</v>
      </c>
      <c r="H784" s="751" t="s">
        <v>1077</v>
      </c>
      <c r="I784" s="751" t="s">
        <v>1138</v>
      </c>
      <c r="J784" s="834"/>
      <c r="K784" s="136"/>
      <c r="L784" s="834"/>
      <c r="M784" s="834"/>
      <c r="N784" s="834"/>
      <c r="O784" s="848" t="s">
        <v>3743</v>
      </c>
      <c r="P784" s="848"/>
      <c r="Q784" s="848"/>
      <c r="R784" s="848"/>
      <c r="S784" s="89"/>
      <c r="T784" s="834"/>
      <c r="U784" s="834"/>
      <c r="V784" s="834"/>
      <c r="W784" s="834"/>
      <c r="X784" s="834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108"/>
      <c r="AJ784" s="108"/>
      <c r="AK784" s="108"/>
      <c r="AL784" s="108"/>
      <c r="AM784" s="80"/>
      <c r="AN784" s="80"/>
      <c r="AO784" s="840"/>
      <c r="AP784" s="851"/>
      <c r="AQ784" s="851"/>
      <c r="AR784" s="851"/>
      <c r="AS784" s="540"/>
      <c r="AT784" s="540"/>
      <c r="AU784" s="541"/>
      <c r="AV784" s="541"/>
      <c r="AW784" s="541"/>
      <c r="AX784" s="541"/>
    </row>
    <row r="785" spans="1:54" ht="15.6" customHeight="1">
      <c r="A785" s="834" t="s">
        <v>24</v>
      </c>
      <c r="B785" s="834">
        <v>782</v>
      </c>
      <c r="C785" s="834" t="s">
        <v>4269</v>
      </c>
      <c r="D785" s="834" t="s">
        <v>50</v>
      </c>
      <c r="E785" s="852">
        <v>46221</v>
      </c>
      <c r="F785" s="834" t="s">
        <v>202</v>
      </c>
      <c r="G785" s="834">
        <v>23</v>
      </c>
      <c r="H785" s="834" t="s">
        <v>3056</v>
      </c>
      <c r="I785" s="834" t="s">
        <v>47</v>
      </c>
      <c r="J785" s="834"/>
      <c r="K785" s="136"/>
      <c r="L785" s="834"/>
      <c r="M785" s="834"/>
      <c r="N785" s="834"/>
      <c r="O785" s="848" t="s">
        <v>2579</v>
      </c>
      <c r="P785" s="848"/>
      <c r="Q785" s="848"/>
      <c r="R785" s="848"/>
      <c r="S785" s="89"/>
      <c r="T785" s="834"/>
      <c r="U785" s="834"/>
      <c r="V785" s="834"/>
      <c r="W785" s="834"/>
      <c r="X785" s="834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108"/>
      <c r="AJ785" s="108"/>
      <c r="AK785" s="108"/>
      <c r="AL785" s="108"/>
      <c r="AM785" s="80"/>
      <c r="AN785" s="80"/>
      <c r="AO785" s="832"/>
      <c r="AP785" s="875"/>
      <c r="AQ785" s="875"/>
      <c r="AR785" s="875"/>
      <c r="AS785" s="776"/>
      <c r="AT785" s="776"/>
      <c r="BB785">
        <f>IF(E785&gt;1,1,"")</f>
        <v>1</v>
      </c>
    </row>
    <row r="786" spans="1:54" s="537" customFormat="1">
      <c r="A786" s="751" t="s">
        <v>24</v>
      </c>
      <c r="B786" s="834">
        <v>783</v>
      </c>
      <c r="C786" s="886" t="s">
        <v>4270</v>
      </c>
      <c r="D786" s="751" t="s">
        <v>43</v>
      </c>
      <c r="E786" s="887">
        <v>46224</v>
      </c>
      <c r="F786" s="751" t="s">
        <v>110</v>
      </c>
      <c r="G786" s="751">
        <v>22</v>
      </c>
      <c r="H786" s="751" t="s">
        <v>1077</v>
      </c>
      <c r="I786" s="751" t="s">
        <v>1138</v>
      </c>
      <c r="J786" s="751" t="s">
        <v>4162</v>
      </c>
      <c r="K786" s="521"/>
      <c r="L786" s="751"/>
      <c r="M786" s="751"/>
      <c r="N786" s="751"/>
      <c r="O786" s="888"/>
      <c r="P786" s="888"/>
      <c r="Q786" s="888"/>
      <c r="R786" s="888"/>
      <c r="S786" s="529"/>
      <c r="T786" s="751"/>
      <c r="U786" s="751"/>
      <c r="V786" s="751"/>
      <c r="W786" s="751"/>
      <c r="X786" s="751"/>
      <c r="Y786" s="522"/>
      <c r="Z786" s="522"/>
      <c r="AA786" s="522"/>
      <c r="AB786" s="522"/>
      <c r="AC786" s="522"/>
      <c r="AD786" s="522"/>
      <c r="AE786" s="522"/>
      <c r="AF786" s="522"/>
      <c r="AG786" s="522"/>
      <c r="AH786" s="522"/>
      <c r="AI786" s="523"/>
      <c r="AJ786" s="523"/>
      <c r="AK786" s="523"/>
      <c r="AL786" s="523"/>
      <c r="AM786" s="522"/>
      <c r="AN786" s="522"/>
      <c r="AO786" s="886"/>
      <c r="AP786" s="896"/>
      <c r="AQ786" s="896"/>
      <c r="AR786" s="896"/>
      <c r="AS786" s="538"/>
      <c r="AT786" s="538"/>
      <c r="AU786" s="539"/>
      <c r="AV786" s="539"/>
      <c r="AW786" s="539"/>
      <c r="AX786" s="539"/>
    </row>
    <row r="787" spans="1:54" ht="15.6" customHeight="1">
      <c r="A787" s="834" t="s">
        <v>24</v>
      </c>
      <c r="B787" s="834">
        <v>784</v>
      </c>
      <c r="C787" s="834" t="s">
        <v>4271</v>
      </c>
      <c r="D787" s="834" t="s">
        <v>606</v>
      </c>
      <c r="E787" s="852">
        <v>46266</v>
      </c>
      <c r="F787" s="834" t="s">
        <v>666</v>
      </c>
      <c r="G787" s="834">
        <v>22</v>
      </c>
      <c r="H787" s="834" t="s">
        <v>1077</v>
      </c>
      <c r="I787" s="834" t="s">
        <v>1138</v>
      </c>
      <c r="J787" s="834"/>
      <c r="K787" s="136"/>
      <c r="L787" s="834"/>
      <c r="M787" s="834"/>
      <c r="N787" s="834"/>
      <c r="O787" s="848"/>
      <c r="P787" s="848"/>
      <c r="Q787" s="848"/>
      <c r="R787" s="848"/>
      <c r="S787" s="89"/>
      <c r="T787" s="834"/>
      <c r="U787" s="834"/>
      <c r="V787" s="834"/>
      <c r="W787" s="834"/>
      <c r="X787" s="834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108"/>
      <c r="AJ787" s="108"/>
      <c r="AK787" s="108"/>
      <c r="AL787" s="108"/>
      <c r="AM787" s="80"/>
      <c r="AN787" s="80"/>
      <c r="AO787" s="832"/>
      <c r="AP787" s="875"/>
      <c r="AQ787" s="875"/>
      <c r="AR787" s="875"/>
      <c r="AS787" s="776"/>
      <c r="AT787" s="776"/>
      <c r="BB787">
        <f>IF(E787&gt;1,1,"")</f>
        <v>1</v>
      </c>
    </row>
    <row r="788" spans="1:54" ht="15.6" customHeight="1">
      <c r="A788" s="834" t="s">
        <v>24</v>
      </c>
      <c r="B788" s="834">
        <v>785</v>
      </c>
      <c r="C788" s="834" t="s">
        <v>4272</v>
      </c>
      <c r="D788" s="834" t="s">
        <v>2307</v>
      </c>
      <c r="E788" s="852">
        <v>46267</v>
      </c>
      <c r="F788" s="834" t="s">
        <v>666</v>
      </c>
      <c r="G788" s="834">
        <v>22</v>
      </c>
      <c r="H788" s="834" t="s">
        <v>1077</v>
      </c>
      <c r="I788" s="834" t="s">
        <v>1138</v>
      </c>
      <c r="J788" s="834"/>
      <c r="K788" s="136"/>
      <c r="L788" s="834"/>
      <c r="M788" s="834"/>
      <c r="N788" s="834"/>
      <c r="O788" s="848"/>
      <c r="P788" s="848"/>
      <c r="Q788" s="848"/>
      <c r="R788" s="848"/>
      <c r="S788" s="89"/>
      <c r="T788" s="834"/>
      <c r="U788" s="834"/>
      <c r="V788" s="834"/>
      <c r="W788" s="834"/>
      <c r="X788" s="834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108"/>
      <c r="AJ788" s="108"/>
      <c r="AK788" s="108"/>
      <c r="AL788" s="108"/>
      <c r="AM788" s="80"/>
      <c r="AN788" s="80"/>
      <c r="AO788" s="832"/>
      <c r="AP788" s="875"/>
      <c r="AQ788" s="875"/>
      <c r="AR788" s="875"/>
      <c r="AS788" s="776"/>
      <c r="AT788" s="776"/>
      <c r="BB788">
        <f t="shared" ref="BB788:BB800" si="49">IF(E788&gt;1,1,"")</f>
        <v>1</v>
      </c>
    </row>
    <row r="789" spans="1:54" s="615" customFormat="1">
      <c r="A789" s="751" t="s">
        <v>24</v>
      </c>
      <c r="B789" s="834">
        <v>786</v>
      </c>
      <c r="C789" s="834" t="s">
        <v>4273</v>
      </c>
      <c r="D789" s="834" t="s">
        <v>50</v>
      </c>
      <c r="E789" s="852">
        <v>46279</v>
      </c>
      <c r="F789" s="834" t="s">
        <v>439</v>
      </c>
      <c r="G789" s="834">
        <v>36</v>
      </c>
      <c r="H789" s="751" t="s">
        <v>3056</v>
      </c>
      <c r="I789" s="751" t="s">
        <v>47</v>
      </c>
      <c r="J789" s="834"/>
      <c r="K789" s="136"/>
      <c r="L789" s="834"/>
      <c r="M789" s="834"/>
      <c r="N789" s="834"/>
      <c r="O789" s="848" t="s">
        <v>3743</v>
      </c>
      <c r="P789" s="848"/>
      <c r="Q789" s="848"/>
      <c r="R789" s="848"/>
      <c r="S789" s="89"/>
      <c r="T789" s="834"/>
      <c r="U789" s="834"/>
      <c r="V789" s="834"/>
      <c r="W789" s="834"/>
      <c r="X789" s="834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108"/>
      <c r="AJ789" s="108"/>
      <c r="AK789" s="108"/>
      <c r="AL789" s="108"/>
      <c r="AM789" s="80"/>
      <c r="AN789" s="80"/>
      <c r="AO789" s="929"/>
      <c r="AP789" s="930"/>
      <c r="AQ789" s="930"/>
      <c r="AR789" s="930"/>
      <c r="AS789" s="616"/>
      <c r="AT789" s="616"/>
      <c r="AU789" s="617"/>
      <c r="AV789" s="617"/>
      <c r="AW789" s="617"/>
      <c r="AX789" s="617"/>
    </row>
    <row r="790" spans="1:54" ht="15.6" customHeight="1">
      <c r="A790" s="834" t="s">
        <v>24</v>
      </c>
      <c r="B790" s="834">
        <v>787</v>
      </c>
      <c r="C790" s="834" t="s">
        <v>4274</v>
      </c>
      <c r="D790" s="834" t="s">
        <v>43</v>
      </c>
      <c r="E790" s="852">
        <v>46283</v>
      </c>
      <c r="F790" s="834" t="s">
        <v>202</v>
      </c>
      <c r="G790" s="834">
        <v>17</v>
      </c>
      <c r="H790" s="834" t="s">
        <v>3056</v>
      </c>
      <c r="I790" s="834" t="s">
        <v>47</v>
      </c>
      <c r="J790" s="834"/>
      <c r="K790" s="136"/>
      <c r="L790" s="834"/>
      <c r="M790" s="834"/>
      <c r="N790" s="834"/>
      <c r="O790" s="848" t="s">
        <v>3743</v>
      </c>
      <c r="P790" s="848"/>
      <c r="Q790" s="848"/>
      <c r="R790" s="848"/>
      <c r="S790" s="89"/>
      <c r="T790" s="834"/>
      <c r="U790" s="834"/>
      <c r="V790" s="834"/>
      <c r="W790" s="834"/>
      <c r="X790" s="834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108"/>
      <c r="AJ790" s="108"/>
      <c r="AK790" s="108"/>
      <c r="AL790" s="108"/>
      <c r="AM790" s="80"/>
      <c r="AN790" s="80"/>
      <c r="AO790" s="832"/>
      <c r="AP790" s="875"/>
      <c r="AQ790" s="875"/>
      <c r="AR790" s="875"/>
      <c r="AS790" s="776"/>
      <c r="AT790" s="776"/>
      <c r="BB790">
        <f t="shared" si="49"/>
        <v>1</v>
      </c>
    </row>
    <row r="791" spans="1:54" ht="15.6" customHeight="1">
      <c r="A791" s="834" t="s">
        <v>24</v>
      </c>
      <c r="B791" s="834">
        <v>788</v>
      </c>
      <c r="C791" s="834" t="s">
        <v>4275</v>
      </c>
      <c r="D791" s="834" t="s">
        <v>469</v>
      </c>
      <c r="E791" s="852">
        <v>46289</v>
      </c>
      <c r="F791" s="834" t="s">
        <v>4265</v>
      </c>
      <c r="G791" s="834">
        <v>11</v>
      </c>
      <c r="H791" s="834" t="s">
        <v>3056</v>
      </c>
      <c r="I791" s="834" t="s">
        <v>47</v>
      </c>
      <c r="J791" s="834"/>
      <c r="K791" s="136"/>
      <c r="L791" s="834"/>
      <c r="M791" s="834"/>
      <c r="N791" s="834"/>
      <c r="O791" s="848" t="s">
        <v>3743</v>
      </c>
      <c r="P791" s="848"/>
      <c r="Q791" s="848"/>
      <c r="R791" s="848"/>
      <c r="S791" s="89"/>
      <c r="T791" s="834"/>
      <c r="U791" s="834"/>
      <c r="V791" s="834"/>
      <c r="W791" s="834"/>
      <c r="X791" s="834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108"/>
      <c r="AJ791" s="108"/>
      <c r="AK791" s="108"/>
      <c r="AL791" s="108"/>
      <c r="AM791" s="80"/>
      <c r="AN791" s="80"/>
      <c r="AO791" s="832"/>
      <c r="AP791" s="875"/>
      <c r="AQ791" s="875"/>
      <c r="AR791" s="875"/>
      <c r="AS791" s="776"/>
      <c r="AT791" s="776"/>
      <c r="BB791">
        <f t="shared" si="49"/>
        <v>1</v>
      </c>
    </row>
    <row r="792" spans="1:54" ht="15.6" customHeight="1">
      <c r="A792" s="834" t="s">
        <v>24</v>
      </c>
      <c r="B792" s="834">
        <v>789</v>
      </c>
      <c r="C792" s="834" t="s">
        <v>4276</v>
      </c>
      <c r="D792" s="834" t="s">
        <v>374</v>
      </c>
      <c r="E792" s="852">
        <v>46293</v>
      </c>
      <c r="F792" s="834" t="s">
        <v>202</v>
      </c>
      <c r="G792" s="834">
        <v>23</v>
      </c>
      <c r="H792" s="834" t="s">
        <v>3056</v>
      </c>
      <c r="I792" s="834" t="s">
        <v>47</v>
      </c>
      <c r="J792" s="834"/>
      <c r="K792" s="136"/>
      <c r="L792" s="834"/>
      <c r="M792" s="834"/>
      <c r="N792" s="834"/>
      <c r="O792" s="848" t="s">
        <v>2579</v>
      </c>
      <c r="P792" s="848"/>
      <c r="Q792" s="848"/>
      <c r="R792" s="848"/>
      <c r="S792" s="89"/>
      <c r="T792" s="834"/>
      <c r="U792" s="834"/>
      <c r="V792" s="834"/>
      <c r="W792" s="834"/>
      <c r="X792" s="834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108"/>
      <c r="AJ792" s="108"/>
      <c r="AK792" s="108"/>
      <c r="AL792" s="108"/>
      <c r="AM792" s="80"/>
      <c r="AN792" s="80"/>
      <c r="AO792" s="832"/>
      <c r="AP792" s="875"/>
      <c r="AQ792" s="875"/>
      <c r="AR792" s="875"/>
      <c r="AS792" s="776"/>
      <c r="AT792" s="776"/>
      <c r="BB792">
        <f>IF(E792&gt;1,1,"")</f>
        <v>1</v>
      </c>
    </row>
    <row r="793" spans="1:54" s="524" customFormat="1" ht="15.6" customHeight="1">
      <c r="A793" s="751" t="s">
        <v>24</v>
      </c>
      <c r="B793" s="834">
        <v>790</v>
      </c>
      <c r="C793" s="751" t="s">
        <v>4277</v>
      </c>
      <c r="D793" s="751" t="s">
        <v>64</v>
      </c>
      <c r="E793" s="887">
        <v>46291</v>
      </c>
      <c r="F793" s="751" t="s">
        <v>412</v>
      </c>
      <c r="G793" s="751">
        <v>9</v>
      </c>
      <c r="H793" s="751" t="s">
        <v>1077</v>
      </c>
      <c r="I793" s="751" t="s">
        <v>1138</v>
      </c>
      <c r="J793" s="558" t="s">
        <v>4278</v>
      </c>
      <c r="K793" s="521"/>
      <c r="L793" s="751"/>
      <c r="M793" s="751"/>
      <c r="N793" s="751"/>
      <c r="O793" s="848" t="s">
        <v>4170</v>
      </c>
      <c r="P793" s="888"/>
      <c r="Q793" s="888"/>
      <c r="R793" s="888"/>
      <c r="S793" s="529"/>
      <c r="T793" s="751"/>
      <c r="U793" s="751"/>
      <c r="V793" s="751"/>
      <c r="W793" s="751"/>
      <c r="X793" s="751"/>
      <c r="Y793" s="522"/>
      <c r="Z793" s="522"/>
      <c r="AA793" s="522"/>
      <c r="AB793" s="522"/>
      <c r="AC793" s="522"/>
      <c r="AD793" s="522"/>
      <c r="AE793" s="522"/>
      <c r="AF793" s="522"/>
      <c r="AG793" s="522"/>
      <c r="AH793" s="522"/>
      <c r="AI793" s="523"/>
      <c r="AJ793" s="523"/>
      <c r="AK793" s="523"/>
      <c r="AL793" s="523"/>
      <c r="AM793" s="522"/>
      <c r="AN793" s="522"/>
      <c r="AO793" s="889"/>
      <c r="AP793" s="890"/>
      <c r="AQ793" s="890"/>
      <c r="AR793" s="890"/>
      <c r="AS793" s="525"/>
      <c r="AT793" s="525"/>
      <c r="AU793" s="526"/>
      <c r="AV793" s="526"/>
      <c r="AW793" s="526"/>
      <c r="AX793" s="526"/>
      <c r="BB793" s="524">
        <f>IF(E793&gt;1,1,"")</f>
        <v>1</v>
      </c>
    </row>
    <row r="794" spans="1:54" s="524" customFormat="1" ht="15.6" customHeight="1">
      <c r="A794" s="751" t="s">
        <v>24</v>
      </c>
      <c r="B794" s="834">
        <v>791</v>
      </c>
      <c r="C794" s="751" t="s">
        <v>4277</v>
      </c>
      <c r="D794" s="751" t="s">
        <v>64</v>
      </c>
      <c r="E794" s="887">
        <v>46291</v>
      </c>
      <c r="F794" s="751" t="s">
        <v>412</v>
      </c>
      <c r="G794" s="751">
        <v>9</v>
      </c>
      <c r="H794" s="751" t="s">
        <v>1077</v>
      </c>
      <c r="I794" s="751" t="s">
        <v>1138</v>
      </c>
      <c r="J794" s="558" t="s">
        <v>3696</v>
      </c>
      <c r="K794" s="521"/>
      <c r="L794" s="751"/>
      <c r="M794" s="751"/>
      <c r="N794" s="751"/>
      <c r="O794" s="848" t="s">
        <v>4170</v>
      </c>
      <c r="P794" s="888"/>
      <c r="Q794" s="888"/>
      <c r="R794" s="888"/>
      <c r="S794" s="529"/>
      <c r="T794" s="751"/>
      <c r="U794" s="751"/>
      <c r="V794" s="751"/>
      <c r="W794" s="751"/>
      <c r="X794" s="751"/>
      <c r="Y794" s="522"/>
      <c r="Z794" s="522"/>
      <c r="AA794" s="522"/>
      <c r="AB794" s="522"/>
      <c r="AC794" s="522"/>
      <c r="AD794" s="522"/>
      <c r="AE794" s="522"/>
      <c r="AF794" s="522"/>
      <c r="AG794" s="522"/>
      <c r="AH794" s="522"/>
      <c r="AI794" s="523"/>
      <c r="AJ794" s="523"/>
      <c r="AK794" s="523"/>
      <c r="AL794" s="523"/>
      <c r="AM794" s="522"/>
      <c r="AN794" s="522"/>
      <c r="AO794" s="889"/>
      <c r="AP794" s="890"/>
      <c r="AQ794" s="890"/>
      <c r="AR794" s="890"/>
      <c r="AS794" s="525"/>
      <c r="AT794" s="525"/>
      <c r="AU794" s="526"/>
      <c r="AV794" s="526"/>
      <c r="AW794" s="526"/>
      <c r="AX794" s="526"/>
      <c r="BB794" s="524">
        <f>IF(E794&gt;1,1,"")</f>
        <v>1</v>
      </c>
    </row>
    <row r="795" spans="1:54" s="524" customFormat="1" ht="15.6" customHeight="1">
      <c r="A795" s="751" t="s">
        <v>24</v>
      </c>
      <c r="B795" s="834">
        <v>792</v>
      </c>
      <c r="C795" s="751" t="s">
        <v>4279</v>
      </c>
      <c r="D795" s="751" t="s">
        <v>43</v>
      </c>
      <c r="E795" s="887">
        <v>46276</v>
      </c>
      <c r="F795" s="751" t="s">
        <v>202</v>
      </c>
      <c r="G795" s="751">
        <v>12</v>
      </c>
      <c r="H795" s="751" t="s">
        <v>3056</v>
      </c>
      <c r="I795" s="751" t="s">
        <v>47</v>
      </c>
      <c r="J795" s="751">
        <v>4</v>
      </c>
      <c r="K795" s="521"/>
      <c r="L795" s="751"/>
      <c r="M795" s="751"/>
      <c r="N795" s="751"/>
      <c r="O795" s="888" t="s">
        <v>4170</v>
      </c>
      <c r="P795" s="888"/>
      <c r="Q795" s="888"/>
      <c r="R795" s="888"/>
      <c r="S795" s="529"/>
      <c r="T795" s="751"/>
      <c r="U795" s="751"/>
      <c r="V795" s="751"/>
      <c r="W795" s="751"/>
      <c r="X795" s="751"/>
      <c r="Y795" s="522"/>
      <c r="Z795" s="522"/>
      <c r="AA795" s="522"/>
      <c r="AB795" s="522"/>
      <c r="AC795" s="522"/>
      <c r="AD795" s="522"/>
      <c r="AE795" s="522"/>
      <c r="AF795" s="522"/>
      <c r="AG795" s="522"/>
      <c r="AH795" s="522"/>
      <c r="AI795" s="523"/>
      <c r="AJ795" s="523"/>
      <c r="AK795" s="523"/>
      <c r="AL795" s="523"/>
      <c r="AM795" s="522"/>
      <c r="AN795" s="522"/>
      <c r="AO795" s="889"/>
      <c r="AP795" s="890"/>
      <c r="AQ795" s="890"/>
      <c r="AR795" s="890"/>
      <c r="AS795" s="525"/>
      <c r="AT795" s="525"/>
      <c r="AU795" s="526"/>
      <c r="AV795" s="526"/>
      <c r="AW795" s="526"/>
      <c r="AX795" s="526"/>
      <c r="BB795" s="524">
        <f t="shared" si="49"/>
        <v>1</v>
      </c>
    </row>
    <row r="796" spans="1:54" s="524" customFormat="1" ht="15.6" customHeight="1">
      <c r="A796" s="751" t="s">
        <v>24</v>
      </c>
      <c r="B796" s="834">
        <v>793</v>
      </c>
      <c r="C796" s="751" t="s">
        <v>4279</v>
      </c>
      <c r="D796" s="751" t="s">
        <v>43</v>
      </c>
      <c r="E796" s="887">
        <v>46290</v>
      </c>
      <c r="F796" s="751" t="s">
        <v>202</v>
      </c>
      <c r="G796" s="751">
        <v>12</v>
      </c>
      <c r="H796" s="751" t="s">
        <v>3056</v>
      </c>
      <c r="I796" s="751" t="s">
        <v>47</v>
      </c>
      <c r="J796" s="751" t="s">
        <v>3696</v>
      </c>
      <c r="K796" s="521"/>
      <c r="L796" s="751"/>
      <c r="M796" s="751"/>
      <c r="N796" s="751"/>
      <c r="O796" s="888" t="s">
        <v>4170</v>
      </c>
      <c r="P796" s="888"/>
      <c r="Q796" s="888"/>
      <c r="R796" s="888"/>
      <c r="S796" s="529"/>
      <c r="T796" s="751"/>
      <c r="U796" s="751"/>
      <c r="V796" s="751"/>
      <c r="W796" s="751"/>
      <c r="X796" s="751"/>
      <c r="Y796" s="522"/>
      <c r="Z796" s="522"/>
      <c r="AA796" s="522"/>
      <c r="AB796" s="522"/>
      <c r="AC796" s="522"/>
      <c r="AD796" s="522"/>
      <c r="AE796" s="522"/>
      <c r="AF796" s="522"/>
      <c r="AG796" s="522"/>
      <c r="AH796" s="522"/>
      <c r="AI796" s="523"/>
      <c r="AJ796" s="523"/>
      <c r="AK796" s="523"/>
      <c r="AL796" s="523"/>
      <c r="AM796" s="522"/>
      <c r="AN796" s="522"/>
      <c r="AO796" s="889"/>
      <c r="AP796" s="890"/>
      <c r="AQ796" s="890"/>
      <c r="AR796" s="890"/>
      <c r="AS796" s="525"/>
      <c r="AT796" s="525"/>
      <c r="AU796" s="526"/>
      <c r="AV796" s="526"/>
      <c r="AW796" s="526"/>
      <c r="AX796" s="526"/>
      <c r="BB796" s="524">
        <f t="shared" ref="BB796" si="50">IF(E796&gt;1,1,"")</f>
        <v>1</v>
      </c>
    </row>
    <row r="797" spans="1:54" s="580" customFormat="1">
      <c r="A797" s="521" t="s">
        <v>24</v>
      </c>
      <c r="B797" s="834">
        <v>794</v>
      </c>
      <c r="C797" s="543" t="s">
        <v>4280</v>
      </c>
      <c r="D797" s="521" t="s">
        <v>34</v>
      </c>
      <c r="E797" s="548">
        <v>46333</v>
      </c>
      <c r="F797" s="521" t="s">
        <v>167</v>
      </c>
      <c r="G797" s="521">
        <v>20</v>
      </c>
      <c r="H797" s="521" t="s">
        <v>1721</v>
      </c>
      <c r="I797" s="521" t="s">
        <v>1638</v>
      </c>
      <c r="J797" s="521"/>
      <c r="K797" s="521"/>
      <c r="L797" s="521"/>
      <c r="M797" s="521"/>
      <c r="N797" s="521"/>
      <c r="O797" s="568" t="s">
        <v>4135</v>
      </c>
      <c r="P797" s="542"/>
      <c r="Q797" s="542"/>
      <c r="R797" s="542"/>
      <c r="S797" s="530"/>
      <c r="T797" s="521"/>
      <c r="U797" s="521"/>
      <c r="V797" s="521"/>
      <c r="W797" s="521"/>
      <c r="X797" s="521"/>
      <c r="Y797" s="534"/>
      <c r="Z797" s="534"/>
      <c r="AA797" s="534"/>
      <c r="AB797" s="534"/>
      <c r="AC797" s="534"/>
      <c r="AD797" s="534"/>
      <c r="AE797" s="534"/>
      <c r="AF797" s="534"/>
      <c r="AG797" s="534"/>
      <c r="AH797" s="534"/>
      <c r="AI797" s="535"/>
      <c r="AJ797" s="535"/>
      <c r="AK797" s="535"/>
      <c r="AL797" s="535"/>
      <c r="AM797" s="534"/>
      <c r="AN797" s="534"/>
      <c r="AO797" s="635"/>
      <c r="AP797" s="636"/>
      <c r="AQ797" s="636"/>
      <c r="AR797" s="636"/>
      <c r="AS797" s="581"/>
      <c r="AT797" s="581"/>
      <c r="AU797" s="582"/>
      <c r="AV797" s="582"/>
      <c r="AW797" s="582"/>
      <c r="AX797" s="582"/>
    </row>
    <row r="798" spans="1:54" s="524" customFormat="1" ht="15.6" customHeight="1">
      <c r="A798" s="751" t="s">
        <v>24</v>
      </c>
      <c r="B798" s="834">
        <v>795</v>
      </c>
      <c r="C798" s="751" t="s">
        <v>4281</v>
      </c>
      <c r="D798" s="751" t="s">
        <v>178</v>
      </c>
      <c r="E798" s="887">
        <v>46339</v>
      </c>
      <c r="F798" s="751" t="s">
        <v>202</v>
      </c>
      <c r="G798" s="751">
        <v>12</v>
      </c>
      <c r="H798" s="751" t="s">
        <v>3056</v>
      </c>
      <c r="I798" s="751" t="s">
        <v>47</v>
      </c>
      <c r="J798" s="751" t="s">
        <v>4282</v>
      </c>
      <c r="K798" s="521"/>
      <c r="L798" s="751"/>
      <c r="M798" s="751"/>
      <c r="N798" s="751"/>
      <c r="O798" s="888" t="s">
        <v>4170</v>
      </c>
      <c r="P798" s="888"/>
      <c r="Q798" s="888"/>
      <c r="R798" s="888"/>
      <c r="S798" s="529"/>
      <c r="T798" s="751"/>
      <c r="U798" s="751"/>
      <c r="V798" s="751"/>
      <c r="W798" s="751"/>
      <c r="X798" s="751"/>
      <c r="Y798" s="522"/>
      <c r="Z798" s="522"/>
      <c r="AA798" s="522"/>
      <c r="AB798" s="522"/>
      <c r="AC798" s="522"/>
      <c r="AD798" s="522"/>
      <c r="AE798" s="522"/>
      <c r="AF798" s="522"/>
      <c r="AG798" s="522"/>
      <c r="AH798" s="522"/>
      <c r="AI798" s="523"/>
      <c r="AJ798" s="523"/>
      <c r="AK798" s="523"/>
      <c r="AL798" s="523"/>
      <c r="AM798" s="522"/>
      <c r="AN798" s="522"/>
      <c r="AO798" s="889"/>
      <c r="AP798" s="890"/>
      <c r="AQ798" s="890"/>
      <c r="AR798" s="890"/>
      <c r="AS798" s="525"/>
      <c r="AT798" s="525"/>
      <c r="AU798" s="526"/>
      <c r="AV798" s="526"/>
      <c r="AW798" s="526"/>
      <c r="AX798" s="526"/>
    </row>
    <row r="799" spans="1:54" s="580" customFormat="1">
      <c r="A799" s="521" t="s">
        <v>24</v>
      </c>
      <c r="B799" s="834">
        <v>796</v>
      </c>
      <c r="C799" s="543" t="s">
        <v>4283</v>
      </c>
      <c r="D799" s="521" t="s">
        <v>34</v>
      </c>
      <c r="E799" s="548">
        <v>46340</v>
      </c>
      <c r="F799" s="521" t="s">
        <v>167</v>
      </c>
      <c r="G799" s="521">
        <v>20</v>
      </c>
      <c r="H799" s="521" t="s">
        <v>1721</v>
      </c>
      <c r="I799" s="521" t="s">
        <v>1638</v>
      </c>
      <c r="J799" s="521"/>
      <c r="K799" s="521"/>
      <c r="L799" s="521"/>
      <c r="M799" s="521"/>
      <c r="N799" s="521"/>
      <c r="O799" s="568" t="s">
        <v>4135</v>
      </c>
      <c r="P799" s="542"/>
      <c r="Q799" s="542"/>
      <c r="R799" s="542"/>
      <c r="S799" s="530"/>
      <c r="T799" s="521"/>
      <c r="U799" s="521"/>
      <c r="V799" s="521"/>
      <c r="W799" s="521"/>
      <c r="X799" s="521"/>
      <c r="Y799" s="534"/>
      <c r="Z799" s="534"/>
      <c r="AA799" s="534"/>
      <c r="AB799" s="534"/>
      <c r="AC799" s="534"/>
      <c r="AD799" s="534"/>
      <c r="AE799" s="534"/>
      <c r="AF799" s="534"/>
      <c r="AG799" s="534"/>
      <c r="AH799" s="534"/>
      <c r="AI799" s="535"/>
      <c r="AJ799" s="535"/>
      <c r="AK799" s="535"/>
      <c r="AL799" s="535"/>
      <c r="AM799" s="534"/>
      <c r="AN799" s="534"/>
      <c r="AO799" s="635"/>
      <c r="AP799" s="636"/>
      <c r="AQ799" s="636"/>
      <c r="AR799" s="636"/>
      <c r="AS799" s="581"/>
      <c r="AT799" s="581"/>
      <c r="AU799" s="582"/>
      <c r="AV799" s="582"/>
      <c r="AW799" s="582"/>
      <c r="AX799" s="582"/>
    </row>
    <row r="800" spans="1:54" ht="15.6" customHeight="1">
      <c r="A800" s="834" t="s">
        <v>24</v>
      </c>
      <c r="B800" s="834">
        <v>797</v>
      </c>
      <c r="C800" s="834" t="s">
        <v>4284</v>
      </c>
      <c r="D800" s="834" t="s">
        <v>50</v>
      </c>
      <c r="E800" s="852">
        <v>46346</v>
      </c>
      <c r="F800" s="834" t="s">
        <v>202</v>
      </c>
      <c r="G800" s="834">
        <v>17</v>
      </c>
      <c r="H800" s="834" t="s">
        <v>3056</v>
      </c>
      <c r="I800" s="834" t="s">
        <v>47</v>
      </c>
      <c r="J800" s="834"/>
      <c r="K800" s="136"/>
      <c r="L800" s="834"/>
      <c r="M800" s="834"/>
      <c r="N800" s="834"/>
      <c r="O800" s="848" t="s">
        <v>3743</v>
      </c>
      <c r="P800" s="848"/>
      <c r="Q800" s="848"/>
      <c r="R800" s="848"/>
      <c r="S800" s="89"/>
      <c r="T800" s="834"/>
      <c r="U800" s="834"/>
      <c r="V800" s="834"/>
      <c r="W800" s="834"/>
      <c r="X800" s="834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108"/>
      <c r="AJ800" s="108"/>
      <c r="AK800" s="108"/>
      <c r="AL800" s="108"/>
      <c r="AM800" s="80"/>
      <c r="AN800" s="80"/>
      <c r="AO800" s="832"/>
      <c r="AP800" s="875"/>
      <c r="AQ800" s="875"/>
      <c r="AR800" s="875"/>
      <c r="AS800" s="776"/>
      <c r="AT800" s="776"/>
      <c r="BB800">
        <f t="shared" si="49"/>
        <v>1</v>
      </c>
    </row>
    <row r="801" spans="1:54" s="524" customFormat="1" ht="15.6" customHeight="1">
      <c r="A801" s="903" t="s">
        <v>24</v>
      </c>
      <c r="B801" s="834">
        <v>798</v>
      </c>
      <c r="C801" s="903" t="s">
        <v>4285</v>
      </c>
      <c r="D801" s="903" t="s">
        <v>50</v>
      </c>
      <c r="E801" s="906">
        <v>46347</v>
      </c>
      <c r="F801" s="903" t="s">
        <v>412</v>
      </c>
      <c r="G801" s="903">
        <v>9</v>
      </c>
      <c r="H801" s="903" t="s">
        <v>1077</v>
      </c>
      <c r="I801" s="903" t="s">
        <v>1138</v>
      </c>
      <c r="J801" s="698" t="s">
        <v>4286</v>
      </c>
      <c r="K801" s="545"/>
      <c r="L801" s="903"/>
      <c r="M801" s="903"/>
      <c r="N801" s="903"/>
      <c r="O801" s="931" t="s">
        <v>4170</v>
      </c>
      <c r="P801" s="904"/>
      <c r="Q801" s="904"/>
      <c r="R801" s="904"/>
      <c r="S801" s="637"/>
      <c r="T801" s="903"/>
      <c r="U801" s="903"/>
      <c r="V801" s="903"/>
      <c r="W801" s="903"/>
      <c r="X801" s="903"/>
      <c r="Y801" s="595"/>
      <c r="Z801" s="595"/>
      <c r="AA801" s="595"/>
      <c r="AB801" s="595"/>
      <c r="AC801" s="595"/>
      <c r="AD801" s="595"/>
      <c r="AE801" s="595"/>
      <c r="AF801" s="595"/>
      <c r="AG801" s="595"/>
      <c r="AH801" s="595"/>
      <c r="AI801" s="596"/>
      <c r="AJ801" s="596"/>
      <c r="AK801" s="596"/>
      <c r="AL801" s="596"/>
      <c r="AM801" s="595"/>
      <c r="AN801" s="595"/>
      <c r="AO801" s="889"/>
      <c r="AP801" s="890"/>
      <c r="AQ801" s="890"/>
      <c r="AR801" s="890"/>
      <c r="AS801" s="525"/>
      <c r="AT801" s="525"/>
      <c r="AU801" s="526"/>
      <c r="AV801" s="526"/>
      <c r="AW801" s="526"/>
      <c r="AX801" s="526"/>
      <c r="BB801" s="524">
        <f>IF(E801&gt;1,1,"")</f>
        <v>1</v>
      </c>
    </row>
    <row r="802" spans="1:54" s="537" customFormat="1" ht="15.6" customHeight="1">
      <c r="A802" s="751" t="s">
        <v>24</v>
      </c>
      <c r="B802" s="834">
        <v>799</v>
      </c>
      <c r="C802" s="751" t="s">
        <v>4285</v>
      </c>
      <c r="D802" s="751" t="s">
        <v>50</v>
      </c>
      <c r="E802" s="887">
        <v>46361</v>
      </c>
      <c r="F802" s="751" t="s">
        <v>412</v>
      </c>
      <c r="G802" s="751">
        <v>9</v>
      </c>
      <c r="H802" s="751" t="s">
        <v>1077</v>
      </c>
      <c r="I802" s="751" t="s">
        <v>1138</v>
      </c>
      <c r="J802" s="699" t="s">
        <v>4287</v>
      </c>
      <c r="K802" s="521"/>
      <c r="L802" s="751"/>
      <c r="M802" s="751"/>
      <c r="N802" s="751"/>
      <c r="O802" s="848" t="s">
        <v>4170</v>
      </c>
      <c r="P802" s="888"/>
      <c r="Q802" s="888"/>
      <c r="R802" s="888"/>
      <c r="S802" s="529"/>
      <c r="T802" s="751"/>
      <c r="U802" s="751"/>
      <c r="V802" s="751"/>
      <c r="W802" s="751"/>
      <c r="X802" s="751"/>
      <c r="Y802" s="522"/>
      <c r="Z802" s="522"/>
      <c r="AA802" s="522"/>
      <c r="AB802" s="522"/>
      <c r="AC802" s="522"/>
      <c r="AD802" s="522"/>
      <c r="AE802" s="522"/>
      <c r="AF802" s="522"/>
      <c r="AG802" s="522"/>
      <c r="AH802" s="522"/>
      <c r="AI802" s="523"/>
      <c r="AJ802" s="523"/>
      <c r="AK802" s="523"/>
      <c r="AL802" s="523"/>
      <c r="AM802" s="522"/>
      <c r="AN802" s="522"/>
      <c r="AO802" s="886"/>
      <c r="AP802" s="896"/>
      <c r="AQ802" s="896"/>
      <c r="AR802" s="896"/>
      <c r="AS802" s="538"/>
      <c r="AT802" s="538"/>
      <c r="AU802" s="539"/>
      <c r="AV802" s="539"/>
      <c r="AW802" s="539"/>
      <c r="AX802" s="539"/>
      <c r="BB802" s="537">
        <f>IF(E802&gt;1,1,"")</f>
        <v>1</v>
      </c>
    </row>
    <row r="805" spans="1:54">
      <c r="A805" s="830"/>
      <c r="B805" s="830"/>
      <c r="C805" s="830"/>
      <c r="D805" s="830"/>
      <c r="E805" s="932"/>
      <c r="F805" s="830"/>
      <c r="G805" s="933"/>
      <c r="H805" s="830"/>
      <c r="I805" s="830"/>
      <c r="J805" s="830"/>
      <c r="K805" s="830"/>
      <c r="L805" s="830"/>
      <c r="M805" s="830"/>
      <c r="N805" s="830"/>
      <c r="O805" s="892"/>
      <c r="P805" s="892"/>
      <c r="Q805" s="892"/>
      <c r="R805" s="892"/>
      <c r="T805" s="830"/>
      <c r="U805" s="830"/>
      <c r="V805" s="830"/>
      <c r="W805" s="830"/>
      <c r="X805" s="830"/>
      <c r="AO805" s="832"/>
      <c r="AP805" s="875"/>
      <c r="AQ805" s="875"/>
      <c r="AR805" s="875"/>
      <c r="AS805" s="776"/>
      <c r="AT805" s="776"/>
    </row>
    <row r="806" spans="1:54">
      <c r="A806" s="830"/>
      <c r="B806" s="830"/>
      <c r="C806" s="830"/>
      <c r="D806" s="830"/>
      <c r="E806" s="932"/>
      <c r="F806" s="830"/>
      <c r="G806" s="933"/>
      <c r="H806" s="830"/>
      <c r="I806" s="830"/>
      <c r="J806" s="830"/>
      <c r="K806" s="830"/>
      <c r="L806" s="830"/>
      <c r="M806" s="830"/>
      <c r="N806" s="830"/>
      <c r="O806" s="892"/>
      <c r="P806" s="892"/>
      <c r="Q806" s="892"/>
      <c r="R806" s="892"/>
      <c r="T806" s="830"/>
      <c r="U806" s="830"/>
      <c r="V806" s="830"/>
      <c r="W806" s="830"/>
      <c r="X806" s="830"/>
      <c r="AO806" s="832"/>
      <c r="AP806" s="875"/>
      <c r="AQ806" s="875"/>
      <c r="AR806" s="875"/>
      <c r="AS806" s="776"/>
      <c r="AT806" s="776"/>
    </row>
  </sheetData>
  <autoFilter ref="A1:AY707" xr:uid="{00000000-0009-0000-0000-000001000000}"/>
  <mergeCells count="9">
    <mergeCell ref="AI2:AL2"/>
    <mergeCell ref="AM2:AM3"/>
    <mergeCell ref="AN2:AN3"/>
    <mergeCell ref="X2:Z2"/>
    <mergeCell ref="AA2:AC2"/>
    <mergeCell ref="AD2:AD3"/>
    <mergeCell ref="AE2:AF2"/>
    <mergeCell ref="AG2:AG3"/>
    <mergeCell ref="AH2:AH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BA41"/>
  <sheetViews>
    <sheetView zoomScale="90" zoomScaleNormal="90" workbookViewId="0">
      <pane xSplit="5" ySplit="3" topLeftCell="H4" activePane="bottomRight" state="frozen"/>
      <selection pane="bottomRight" activeCell="L19" sqref="L19"/>
      <selection pane="bottomLeft" activeCell="X358" sqref="X358"/>
      <selection pane="topRight" activeCell="X358" sqref="X358"/>
    </sheetView>
  </sheetViews>
  <sheetFormatPr defaultColWidth="8.625" defaultRowHeight="15.75"/>
  <cols>
    <col min="1" max="1" width="11.125" style="10" customWidth="1"/>
    <col min="2" max="4" width="7.625" style="10" customWidth="1"/>
    <col min="5" max="5" width="4.5" style="10" bestFit="1" customWidth="1"/>
    <col min="6" max="13" width="7.625" style="10" customWidth="1"/>
    <col min="14" max="14" width="7.625" style="213" customWidth="1"/>
    <col min="15" max="18" width="7.625" style="10" customWidth="1"/>
    <col min="19" max="21" width="7.625" style="42" customWidth="1"/>
    <col min="22" max="25" width="7.625" style="10" customWidth="1"/>
    <col min="26" max="27" width="7.625" style="42" customWidth="1"/>
    <col min="28" max="31" width="7.625" style="10" customWidth="1"/>
    <col min="32" max="33" width="7.625" style="42" customWidth="1"/>
    <col min="34" max="37" width="7.625" style="10" customWidth="1"/>
    <col min="38" max="38" width="7.625" style="42" customWidth="1"/>
    <col min="39" max="39" width="1.625" style="42" customWidth="1"/>
    <col min="40" max="40" width="5.625" style="42" customWidth="1"/>
    <col min="41" max="41" width="5.5" style="10" customWidth="1"/>
    <col min="42" max="42" width="10.625" style="10" customWidth="1"/>
    <col min="43" max="43" width="7.125" style="10" customWidth="1"/>
    <col min="44" max="44" width="8.625" style="10"/>
    <col min="46" max="52" width="8.625" style="10"/>
    <col min="53" max="53" width="7.625" style="10" customWidth="1"/>
    <col min="54" max="16384" width="8.625" style="10"/>
  </cols>
  <sheetData>
    <row r="1" spans="1:53" ht="12" customHeight="1">
      <c r="A1" s="785"/>
      <c r="B1" s="137">
        <v>2022</v>
      </c>
      <c r="C1" s="137">
        <v>2023</v>
      </c>
      <c r="D1" s="137">
        <v>2024</v>
      </c>
      <c r="E1" s="137">
        <v>2025</v>
      </c>
      <c r="F1" s="137">
        <v>2026</v>
      </c>
      <c r="G1" s="138" t="s">
        <v>4288</v>
      </c>
      <c r="H1" s="137">
        <v>2022</v>
      </c>
      <c r="I1" s="137">
        <v>2023</v>
      </c>
      <c r="J1" s="137">
        <v>2024</v>
      </c>
      <c r="K1" s="137">
        <v>2025</v>
      </c>
      <c r="L1" s="137">
        <v>2026</v>
      </c>
      <c r="M1" s="138" t="s">
        <v>4288</v>
      </c>
      <c r="N1" s="139">
        <v>2022</v>
      </c>
      <c r="O1" s="137">
        <v>2023</v>
      </c>
      <c r="P1" s="137">
        <v>2024</v>
      </c>
      <c r="Q1" s="137">
        <v>2025</v>
      </c>
      <c r="R1" s="137">
        <v>2026</v>
      </c>
      <c r="S1" s="138" t="s">
        <v>4288</v>
      </c>
      <c r="T1" s="140"/>
      <c r="U1" s="774">
        <v>2022</v>
      </c>
      <c r="V1" s="137">
        <v>2023</v>
      </c>
      <c r="W1" s="137">
        <v>2024</v>
      </c>
      <c r="X1" s="137">
        <v>2025</v>
      </c>
      <c r="Y1" s="137">
        <v>2026</v>
      </c>
      <c r="Z1" s="138" t="s">
        <v>4288</v>
      </c>
      <c r="AA1" s="137">
        <v>2022</v>
      </c>
      <c r="AB1" s="137">
        <v>2023</v>
      </c>
      <c r="AC1" s="137">
        <v>2024</v>
      </c>
      <c r="AD1" s="137">
        <v>2025</v>
      </c>
      <c r="AE1" s="137">
        <v>2026</v>
      </c>
      <c r="AF1" s="138" t="s">
        <v>4288</v>
      </c>
      <c r="AG1" s="137">
        <v>2022</v>
      </c>
      <c r="AH1" s="137">
        <v>2023</v>
      </c>
      <c r="AI1" s="137">
        <v>2024</v>
      </c>
      <c r="AJ1" s="137">
        <v>2025</v>
      </c>
      <c r="AK1" s="137">
        <v>2026</v>
      </c>
      <c r="AL1" s="138" t="s">
        <v>4288</v>
      </c>
      <c r="AM1" s="141"/>
      <c r="AN1" s="142">
        <v>2022</v>
      </c>
      <c r="AO1" s="142">
        <v>2023</v>
      </c>
      <c r="AP1" s="143">
        <v>2023</v>
      </c>
      <c r="AQ1" s="144">
        <v>2024</v>
      </c>
      <c r="AR1" s="145">
        <v>2024</v>
      </c>
      <c r="AS1" s="776"/>
      <c r="AT1" s="776"/>
      <c r="AU1" s="776"/>
      <c r="AV1" s="776"/>
      <c r="AW1" s="776"/>
      <c r="AX1" s="773"/>
      <c r="AY1" s="776"/>
      <c r="AZ1" s="776"/>
      <c r="BA1" s="773"/>
    </row>
    <row r="2" spans="1:53" ht="12" customHeight="1" thickBot="1">
      <c r="A2" s="785"/>
      <c r="B2" s="787" t="s">
        <v>4289</v>
      </c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788"/>
      <c r="O2" s="788"/>
      <c r="P2" s="788"/>
      <c r="Q2" s="788"/>
      <c r="R2" s="788"/>
      <c r="S2" s="789"/>
      <c r="T2" s="146"/>
      <c r="U2" s="787" t="s">
        <v>4290</v>
      </c>
      <c r="V2" s="788"/>
      <c r="W2" s="788"/>
      <c r="X2" s="788"/>
      <c r="Y2" s="788"/>
      <c r="Z2" s="788"/>
      <c r="AA2" s="788"/>
      <c r="AB2" s="788"/>
      <c r="AC2" s="788"/>
      <c r="AD2" s="788"/>
      <c r="AE2" s="788"/>
      <c r="AF2" s="788"/>
      <c r="AG2" s="788"/>
      <c r="AH2" s="788"/>
      <c r="AI2" s="788"/>
      <c r="AJ2" s="788"/>
      <c r="AK2" s="788"/>
      <c r="AL2" s="789"/>
      <c r="AM2" s="147"/>
      <c r="AN2" s="147"/>
      <c r="AO2" s="790" t="s">
        <v>4291</v>
      </c>
      <c r="AP2" s="791"/>
      <c r="AQ2" s="791"/>
      <c r="AR2" s="792"/>
      <c r="AS2" s="776"/>
      <c r="AT2" s="776"/>
      <c r="AU2" s="776"/>
      <c r="AV2" s="776"/>
      <c r="AW2" s="776"/>
      <c r="AX2" s="773"/>
      <c r="AY2" s="776"/>
      <c r="AZ2" s="776"/>
      <c r="BA2" s="773"/>
    </row>
    <row r="3" spans="1:53" s="155" customFormat="1" ht="33.75">
      <c r="A3" s="786"/>
      <c r="B3" s="793" t="s">
        <v>4292</v>
      </c>
      <c r="C3" s="793"/>
      <c r="D3" s="793"/>
      <c r="E3" s="793"/>
      <c r="F3" s="793"/>
      <c r="G3" s="138" t="s">
        <v>4288</v>
      </c>
      <c r="H3" s="793" t="s">
        <v>4293</v>
      </c>
      <c r="I3" s="793"/>
      <c r="J3" s="793"/>
      <c r="K3" s="793"/>
      <c r="L3" s="793"/>
      <c r="M3" s="138" t="s">
        <v>4288</v>
      </c>
      <c r="N3" s="793" t="s">
        <v>4294</v>
      </c>
      <c r="O3" s="793"/>
      <c r="P3" s="793"/>
      <c r="Q3" s="793"/>
      <c r="R3" s="793"/>
      <c r="S3" s="138" t="s">
        <v>4288</v>
      </c>
      <c r="T3" s="140"/>
      <c r="U3" s="794" t="s">
        <v>4292</v>
      </c>
      <c r="V3" s="794"/>
      <c r="W3" s="794"/>
      <c r="X3" s="794"/>
      <c r="Y3" s="795"/>
      <c r="Z3" s="148" t="s">
        <v>4288</v>
      </c>
      <c r="AA3" s="796" t="s">
        <v>4293</v>
      </c>
      <c r="AB3" s="794"/>
      <c r="AC3" s="794"/>
      <c r="AD3" s="794"/>
      <c r="AE3" s="795"/>
      <c r="AF3" s="149" t="s">
        <v>4288</v>
      </c>
      <c r="AG3" s="797" t="s">
        <v>4295</v>
      </c>
      <c r="AH3" s="794"/>
      <c r="AI3" s="794"/>
      <c r="AJ3" s="794"/>
      <c r="AK3" s="795"/>
      <c r="AL3" s="149" t="s">
        <v>4288</v>
      </c>
      <c r="AM3" s="150"/>
      <c r="AN3" s="151" t="s">
        <v>4296</v>
      </c>
      <c r="AO3" s="151" t="s">
        <v>4296</v>
      </c>
      <c r="AP3" s="152" t="s">
        <v>4297</v>
      </c>
      <c r="AQ3" s="153" t="s">
        <v>4296</v>
      </c>
      <c r="AR3" s="154" t="s">
        <v>4297</v>
      </c>
      <c r="AX3" s="775"/>
      <c r="BA3" s="775"/>
    </row>
    <row r="4" spans="1:53">
      <c r="A4" s="156" t="s">
        <v>4298</v>
      </c>
      <c r="B4" s="157">
        <f>55</f>
        <v>55</v>
      </c>
      <c r="C4" s="158">
        <f>92</f>
        <v>92</v>
      </c>
      <c r="D4" s="158">
        <v>79</v>
      </c>
      <c r="E4" s="158">
        <v>134</v>
      </c>
      <c r="F4" s="158">
        <v>99</v>
      </c>
      <c r="G4" s="159">
        <f>(F4-E4)/E4</f>
        <v>-0.26119402985074625</v>
      </c>
      <c r="H4" s="160">
        <f>16</f>
        <v>16</v>
      </c>
      <c r="I4" s="137">
        <f>34</f>
        <v>34</v>
      </c>
      <c r="J4" s="137">
        <v>62</v>
      </c>
      <c r="K4" s="137">
        <v>48</v>
      </c>
      <c r="L4" s="137">
        <v>85</v>
      </c>
      <c r="M4" s="159">
        <f>(L4-K4)/K4</f>
        <v>0.77083333333333337</v>
      </c>
      <c r="N4" s="161">
        <f>B4+H4</f>
        <v>71</v>
      </c>
      <c r="O4" s="162">
        <f>+C4+I4</f>
        <v>126</v>
      </c>
      <c r="P4" s="162">
        <f>+D4+J4</f>
        <v>141</v>
      </c>
      <c r="Q4" s="162">
        <f>+E4+K4</f>
        <v>182</v>
      </c>
      <c r="R4" s="162">
        <f>+F4+L4</f>
        <v>184</v>
      </c>
      <c r="S4" s="159">
        <f>(R4-Q4)/Q4</f>
        <v>1.098901098901099E-2</v>
      </c>
      <c r="T4" s="163"/>
      <c r="U4" s="164">
        <v>594</v>
      </c>
      <c r="V4" s="165">
        <v>1380</v>
      </c>
      <c r="W4" s="158">
        <v>1075</v>
      </c>
      <c r="X4" s="166">
        <v>1454</v>
      </c>
      <c r="Y4" s="166">
        <v>1315</v>
      </c>
      <c r="Z4" s="167">
        <f>(Y4-X4)/X4</f>
        <v>-9.5598349381017883E-2</v>
      </c>
      <c r="AA4" s="160">
        <f>46</f>
        <v>46</v>
      </c>
      <c r="AB4" s="168">
        <v>87</v>
      </c>
      <c r="AC4" s="137">
        <v>972</v>
      </c>
      <c r="AD4" s="772">
        <v>466</v>
      </c>
      <c r="AE4" s="772">
        <v>579</v>
      </c>
      <c r="AF4" s="167">
        <f>(AE4-AD4)/AD4</f>
        <v>0.24248927038626608</v>
      </c>
      <c r="AG4" s="161">
        <f>U4+AA4</f>
        <v>640</v>
      </c>
      <c r="AH4" s="162">
        <f t="shared" ref="AH4:AK15" si="0">+V4+AB4</f>
        <v>1467</v>
      </c>
      <c r="AI4" s="162">
        <f>+W4+AC4</f>
        <v>2047</v>
      </c>
      <c r="AJ4" s="162">
        <f>+X4+AD4</f>
        <v>1920</v>
      </c>
      <c r="AK4" s="162">
        <f>+Y4+AE4</f>
        <v>1894</v>
      </c>
      <c r="AL4" s="167">
        <f>(AK4-AJ4)/AJ4</f>
        <v>-1.3541666666666667E-2</v>
      </c>
      <c r="AM4" s="169"/>
      <c r="AN4" s="170"/>
      <c r="AO4" s="170">
        <v>31</v>
      </c>
      <c r="AP4" s="171">
        <f t="shared" ref="AP4:AP15" si="1">O4/AO4</f>
        <v>4.064516129032258</v>
      </c>
      <c r="AQ4" s="172">
        <v>41</v>
      </c>
      <c r="AR4" s="173">
        <f t="shared" ref="AR4:AR15" si="2">P4/AQ4</f>
        <v>3.4390243902439024</v>
      </c>
      <c r="AS4" s="776"/>
      <c r="AT4" s="776"/>
      <c r="AU4" s="776"/>
      <c r="AV4" s="776"/>
      <c r="AW4" s="776"/>
      <c r="AX4" s="137"/>
      <c r="AY4" s="776"/>
      <c r="AZ4" s="776"/>
      <c r="BA4" s="162"/>
    </row>
    <row r="5" spans="1:53">
      <c r="A5" s="156" t="s">
        <v>4299</v>
      </c>
      <c r="B5" s="157">
        <f>30</f>
        <v>30</v>
      </c>
      <c r="C5" s="158">
        <f>71</f>
        <v>71</v>
      </c>
      <c r="D5" s="158">
        <v>50</v>
      </c>
      <c r="E5" s="158">
        <v>108</v>
      </c>
      <c r="F5" s="158">
        <v>68</v>
      </c>
      <c r="G5" s="159">
        <f t="shared" ref="G5:G16" si="3">(F5-E5)/E5</f>
        <v>-0.37037037037037035</v>
      </c>
      <c r="H5" s="160">
        <f>25</f>
        <v>25</v>
      </c>
      <c r="I5" s="137">
        <f>22+3</f>
        <v>25</v>
      </c>
      <c r="J5" s="137">
        <v>43</v>
      </c>
      <c r="K5" s="137">
        <v>50</v>
      </c>
      <c r="L5" s="137">
        <v>84</v>
      </c>
      <c r="M5" s="159">
        <f t="shared" ref="M5:M16" si="4">(L5-K5)/K5</f>
        <v>0.68</v>
      </c>
      <c r="N5" s="161">
        <f t="shared" ref="N5:N13" si="5">B5+H5</f>
        <v>55</v>
      </c>
      <c r="O5" s="162">
        <f t="shared" ref="O5:R15" si="6">+C5+I5</f>
        <v>96</v>
      </c>
      <c r="P5" s="162">
        <f t="shared" si="6"/>
        <v>93</v>
      </c>
      <c r="Q5" s="162">
        <f t="shared" si="6"/>
        <v>158</v>
      </c>
      <c r="R5" s="162">
        <f t="shared" si="6"/>
        <v>152</v>
      </c>
      <c r="S5" s="159">
        <f t="shared" ref="S5:S16" si="7">(R5-Q5)/Q5</f>
        <v>-3.7974683544303799E-2</v>
      </c>
      <c r="T5" s="163"/>
      <c r="U5" s="164">
        <f>341+96</f>
        <v>437</v>
      </c>
      <c r="V5" s="165">
        <v>1002</v>
      </c>
      <c r="W5" s="158">
        <v>736</v>
      </c>
      <c r="X5" s="166">
        <v>1260</v>
      </c>
      <c r="Y5" s="166">
        <v>891</v>
      </c>
      <c r="Z5" s="167">
        <f t="shared" ref="Z5:Z16" si="8">(Y5-X5)/X5</f>
        <v>-0.29285714285714287</v>
      </c>
      <c r="AA5" s="160">
        <v>141</v>
      </c>
      <c r="AB5" s="168">
        <v>79</v>
      </c>
      <c r="AC5" s="137">
        <v>287</v>
      </c>
      <c r="AD5" s="772">
        <v>418</v>
      </c>
      <c r="AE5" s="772">
        <v>620</v>
      </c>
      <c r="AF5" s="167">
        <f t="shared" ref="AF5:AF15" si="9">(AE5-AD5)/AD5</f>
        <v>0.48325358851674644</v>
      </c>
      <c r="AG5" s="161">
        <f t="shared" ref="AG5:AG15" si="10">U5+AA5</f>
        <v>578</v>
      </c>
      <c r="AH5" s="162">
        <f t="shared" si="0"/>
        <v>1081</v>
      </c>
      <c r="AI5" s="162">
        <f t="shared" si="0"/>
        <v>1023</v>
      </c>
      <c r="AJ5" s="162">
        <f t="shared" si="0"/>
        <v>1678</v>
      </c>
      <c r="AK5" s="162">
        <f t="shared" si="0"/>
        <v>1511</v>
      </c>
      <c r="AL5" s="167">
        <f t="shared" ref="AL5:AL16" si="11">(AK5-AJ5)/AJ5</f>
        <v>-9.9523241954707992E-2</v>
      </c>
      <c r="AM5" s="169"/>
      <c r="AN5" s="170"/>
      <c r="AO5" s="170">
        <v>32</v>
      </c>
      <c r="AP5" s="171">
        <f t="shared" si="1"/>
        <v>3</v>
      </c>
      <c r="AQ5" s="172">
        <v>41</v>
      </c>
      <c r="AR5" s="173">
        <f t="shared" si="2"/>
        <v>2.2682926829268291</v>
      </c>
      <c r="AS5" s="776"/>
      <c r="AT5" s="776"/>
      <c r="AU5" s="776"/>
      <c r="AV5" s="776"/>
      <c r="AW5" s="776"/>
      <c r="AX5" s="137"/>
      <c r="AY5" s="776"/>
      <c r="AZ5" s="776"/>
      <c r="BA5" s="162"/>
    </row>
    <row r="6" spans="1:53">
      <c r="A6" s="156" t="s">
        <v>4300</v>
      </c>
      <c r="B6" s="157">
        <f>47</f>
        <v>47</v>
      </c>
      <c r="C6" s="158">
        <f>75</f>
        <v>75</v>
      </c>
      <c r="D6" s="158">
        <v>66</v>
      </c>
      <c r="E6" s="158">
        <v>106</v>
      </c>
      <c r="F6" s="158">
        <v>84</v>
      </c>
      <c r="G6" s="159">
        <f t="shared" si="3"/>
        <v>-0.20754716981132076</v>
      </c>
      <c r="H6" s="160">
        <f>20</f>
        <v>20</v>
      </c>
      <c r="I6" s="137">
        <f>42+2</f>
        <v>44</v>
      </c>
      <c r="J6" s="137">
        <v>78</v>
      </c>
      <c r="K6" s="137">
        <v>68</v>
      </c>
      <c r="L6" s="137">
        <v>112</v>
      </c>
      <c r="M6" s="159">
        <f t="shared" si="4"/>
        <v>0.6470588235294118</v>
      </c>
      <c r="N6" s="161">
        <f t="shared" si="5"/>
        <v>67</v>
      </c>
      <c r="O6" s="162">
        <f t="shared" si="6"/>
        <v>119</v>
      </c>
      <c r="P6" s="162">
        <f t="shared" si="6"/>
        <v>144</v>
      </c>
      <c r="Q6" s="162">
        <f t="shared" si="6"/>
        <v>174</v>
      </c>
      <c r="R6" s="162">
        <f t="shared" si="6"/>
        <v>196</v>
      </c>
      <c r="S6" s="159">
        <f t="shared" si="7"/>
        <v>0.12643678160919541</v>
      </c>
      <c r="T6" s="163"/>
      <c r="U6" s="164">
        <v>656</v>
      </c>
      <c r="V6" s="165">
        <v>1053</v>
      </c>
      <c r="W6" s="158">
        <v>738</v>
      </c>
      <c r="X6" s="166">
        <f>1362</f>
        <v>1362</v>
      </c>
      <c r="Y6" s="166">
        <v>1063</v>
      </c>
      <c r="Z6" s="167">
        <f t="shared" si="8"/>
        <v>-0.2195301027900147</v>
      </c>
      <c r="AA6" s="160">
        <v>87</v>
      </c>
      <c r="AB6" s="168">
        <v>181</v>
      </c>
      <c r="AC6" s="137">
        <v>929</v>
      </c>
      <c r="AD6" s="772">
        <f>397</f>
        <v>397</v>
      </c>
      <c r="AE6" s="772">
        <v>726</v>
      </c>
      <c r="AF6" s="167">
        <f t="shared" si="9"/>
        <v>0.82871536523929468</v>
      </c>
      <c r="AG6" s="161">
        <f t="shared" si="10"/>
        <v>743</v>
      </c>
      <c r="AH6" s="162">
        <f t="shared" si="0"/>
        <v>1234</v>
      </c>
      <c r="AI6" s="162">
        <f t="shared" si="0"/>
        <v>1667</v>
      </c>
      <c r="AJ6" s="162">
        <f t="shared" si="0"/>
        <v>1759</v>
      </c>
      <c r="AK6" s="162">
        <f t="shared" si="0"/>
        <v>1789</v>
      </c>
      <c r="AL6" s="167">
        <f t="shared" si="11"/>
        <v>1.7055144968732235E-2</v>
      </c>
      <c r="AM6" s="169"/>
      <c r="AN6" s="174"/>
      <c r="AO6" s="174">
        <v>32</v>
      </c>
      <c r="AP6" s="175">
        <f t="shared" si="1"/>
        <v>3.71875</v>
      </c>
      <c r="AQ6" s="176">
        <v>41</v>
      </c>
      <c r="AR6" s="177">
        <f t="shared" si="2"/>
        <v>3.5121951219512195</v>
      </c>
      <c r="AS6" s="776"/>
      <c r="AT6" s="776"/>
      <c r="AU6" s="776"/>
      <c r="AV6" s="776"/>
      <c r="AW6" s="776"/>
      <c r="AX6" s="176"/>
      <c r="AY6" s="776"/>
      <c r="AZ6" s="776"/>
      <c r="BA6" s="176"/>
    </row>
    <row r="7" spans="1:53" s="182" customFormat="1">
      <c r="A7" s="156" t="s">
        <v>4301</v>
      </c>
      <c r="B7" s="157">
        <f>67</f>
        <v>67</v>
      </c>
      <c r="C7" s="158">
        <f>65</f>
        <v>65</v>
      </c>
      <c r="D7" s="158">
        <v>66</v>
      </c>
      <c r="E7" s="158">
        <v>51</v>
      </c>
      <c r="F7" s="158"/>
      <c r="G7" s="159">
        <f t="shared" si="3"/>
        <v>-1</v>
      </c>
      <c r="H7" s="160">
        <f>24</f>
        <v>24</v>
      </c>
      <c r="I7" s="137">
        <f>33+5</f>
        <v>38</v>
      </c>
      <c r="J7" s="137">
        <v>73</v>
      </c>
      <c r="K7" s="137">
        <v>76</v>
      </c>
      <c r="L7" s="137"/>
      <c r="M7" s="159">
        <f t="shared" si="4"/>
        <v>-1</v>
      </c>
      <c r="N7" s="161">
        <f t="shared" si="5"/>
        <v>91</v>
      </c>
      <c r="O7" s="162">
        <f t="shared" si="6"/>
        <v>103</v>
      </c>
      <c r="P7" s="162">
        <f t="shared" si="6"/>
        <v>139</v>
      </c>
      <c r="Q7" s="162">
        <f t="shared" si="6"/>
        <v>127</v>
      </c>
      <c r="R7" s="162">
        <f t="shared" si="6"/>
        <v>0</v>
      </c>
      <c r="S7" s="159">
        <f t="shared" si="7"/>
        <v>-1</v>
      </c>
      <c r="T7" s="163"/>
      <c r="U7" s="164">
        <v>908</v>
      </c>
      <c r="V7" s="165">
        <v>748</v>
      </c>
      <c r="W7" s="158">
        <v>766</v>
      </c>
      <c r="X7" s="166">
        <v>589</v>
      </c>
      <c r="Y7" s="166"/>
      <c r="Z7" s="167">
        <f t="shared" si="8"/>
        <v>-1</v>
      </c>
      <c r="AA7" s="160">
        <v>120</v>
      </c>
      <c r="AB7" s="168">
        <v>167</v>
      </c>
      <c r="AC7" s="137">
        <v>405</v>
      </c>
      <c r="AD7" s="772">
        <v>544</v>
      </c>
      <c r="AE7" s="772"/>
      <c r="AF7" s="167">
        <f t="shared" si="9"/>
        <v>-1</v>
      </c>
      <c r="AG7" s="161">
        <f t="shared" si="10"/>
        <v>1028</v>
      </c>
      <c r="AH7" s="162">
        <f t="shared" si="0"/>
        <v>915</v>
      </c>
      <c r="AI7" s="162">
        <f t="shared" si="0"/>
        <v>1171</v>
      </c>
      <c r="AJ7" s="162">
        <f t="shared" si="0"/>
        <v>1133</v>
      </c>
      <c r="AK7" s="162">
        <f t="shared" si="0"/>
        <v>0</v>
      </c>
      <c r="AL7" s="167">
        <f t="shared" si="11"/>
        <v>-1</v>
      </c>
      <c r="AM7" s="169" t="s">
        <v>2051</v>
      </c>
      <c r="AN7" s="178"/>
      <c r="AO7" s="178">
        <v>31</v>
      </c>
      <c r="AP7" s="179">
        <f t="shared" si="1"/>
        <v>3.3225806451612905</v>
      </c>
      <c r="AQ7" s="180">
        <v>41</v>
      </c>
      <c r="AR7" s="181">
        <f t="shared" si="2"/>
        <v>3.3902439024390243</v>
      </c>
      <c r="AS7" s="776"/>
      <c r="AT7" s="776"/>
      <c r="AX7" s="176"/>
      <c r="BA7" s="176"/>
    </row>
    <row r="8" spans="1:53">
      <c r="A8" s="156" t="s">
        <v>4302</v>
      </c>
      <c r="B8" s="157">
        <f>42</f>
        <v>42</v>
      </c>
      <c r="C8" s="158">
        <v>62</v>
      </c>
      <c r="D8" s="158">
        <v>71</v>
      </c>
      <c r="E8" s="158">
        <v>85</v>
      </c>
      <c r="F8" s="158"/>
      <c r="G8" s="159">
        <f t="shared" si="3"/>
        <v>-1</v>
      </c>
      <c r="H8" s="160">
        <f>28+4</f>
        <v>32</v>
      </c>
      <c r="I8" s="137">
        <f>34+6</f>
        <v>40</v>
      </c>
      <c r="J8" s="137">
        <v>89</v>
      </c>
      <c r="K8" s="137">
        <v>70</v>
      </c>
      <c r="L8" s="137"/>
      <c r="M8" s="159">
        <f t="shared" si="4"/>
        <v>-1</v>
      </c>
      <c r="N8" s="161">
        <f t="shared" si="5"/>
        <v>74</v>
      </c>
      <c r="O8" s="162">
        <f t="shared" si="6"/>
        <v>102</v>
      </c>
      <c r="P8" s="162">
        <f t="shared" si="6"/>
        <v>160</v>
      </c>
      <c r="Q8" s="162">
        <f t="shared" si="6"/>
        <v>155</v>
      </c>
      <c r="R8" s="162">
        <f t="shared" si="6"/>
        <v>0</v>
      </c>
      <c r="S8" s="159">
        <f t="shared" si="7"/>
        <v>-1</v>
      </c>
      <c r="T8" s="163"/>
      <c r="U8" s="164">
        <v>517</v>
      </c>
      <c r="V8" s="165">
        <v>653</v>
      </c>
      <c r="W8" s="158">
        <v>752</v>
      </c>
      <c r="X8" s="166">
        <v>1091</v>
      </c>
      <c r="Y8" s="166"/>
      <c r="Z8" s="167">
        <f t="shared" si="8"/>
        <v>-1</v>
      </c>
      <c r="AA8" s="160">
        <v>556</v>
      </c>
      <c r="AB8" s="168">
        <v>111</v>
      </c>
      <c r="AC8" s="137">
        <v>433</v>
      </c>
      <c r="AD8" s="772">
        <v>653</v>
      </c>
      <c r="AE8" s="772"/>
      <c r="AF8" s="167">
        <f t="shared" si="9"/>
        <v>-1</v>
      </c>
      <c r="AG8" s="161">
        <f t="shared" si="10"/>
        <v>1073</v>
      </c>
      <c r="AH8" s="162">
        <f t="shared" si="0"/>
        <v>764</v>
      </c>
      <c r="AI8" s="162">
        <f t="shared" si="0"/>
        <v>1185</v>
      </c>
      <c r="AJ8" s="162">
        <f t="shared" si="0"/>
        <v>1744</v>
      </c>
      <c r="AK8" s="162">
        <f t="shared" si="0"/>
        <v>0</v>
      </c>
      <c r="AL8" s="167">
        <f t="shared" si="11"/>
        <v>-1</v>
      </c>
      <c r="AM8" s="169"/>
      <c r="AN8" s="170"/>
      <c r="AO8" s="170">
        <v>33</v>
      </c>
      <c r="AP8" s="171">
        <f t="shared" si="1"/>
        <v>3.0909090909090908</v>
      </c>
      <c r="AQ8" s="172">
        <v>41</v>
      </c>
      <c r="AR8" s="173">
        <f t="shared" si="2"/>
        <v>3.9024390243902438</v>
      </c>
      <c r="AS8" s="776"/>
      <c r="AT8" s="776"/>
      <c r="AU8" s="776"/>
      <c r="AV8" s="776"/>
      <c r="AW8" s="776"/>
      <c r="AX8" s="137"/>
      <c r="AY8" s="776"/>
      <c r="AZ8" s="776"/>
      <c r="BA8" s="162"/>
    </row>
    <row r="9" spans="1:53">
      <c r="A9" s="156" t="s">
        <v>4303</v>
      </c>
      <c r="B9" s="157">
        <f>46</f>
        <v>46</v>
      </c>
      <c r="C9" s="158">
        <v>55</v>
      </c>
      <c r="D9" s="158">
        <v>105</v>
      </c>
      <c r="E9" s="158">
        <v>52</v>
      </c>
      <c r="F9" s="158"/>
      <c r="G9" s="159">
        <f t="shared" si="3"/>
        <v>-1</v>
      </c>
      <c r="H9" s="160">
        <f>26</f>
        <v>26</v>
      </c>
      <c r="I9" s="137">
        <f>32+4</f>
        <v>36</v>
      </c>
      <c r="J9" s="137">
        <v>49</v>
      </c>
      <c r="K9" s="137">
        <v>72</v>
      </c>
      <c r="L9" s="137"/>
      <c r="M9" s="159">
        <f t="shared" si="4"/>
        <v>-1</v>
      </c>
      <c r="N9" s="161">
        <f t="shared" si="5"/>
        <v>72</v>
      </c>
      <c r="O9" s="162">
        <f t="shared" si="6"/>
        <v>91</v>
      </c>
      <c r="P9" s="162">
        <f t="shared" si="6"/>
        <v>154</v>
      </c>
      <c r="Q9" s="162">
        <f t="shared" si="6"/>
        <v>124</v>
      </c>
      <c r="R9" s="162">
        <f t="shared" si="6"/>
        <v>0</v>
      </c>
      <c r="S9" s="159">
        <f t="shared" si="7"/>
        <v>-1</v>
      </c>
      <c r="T9" s="163"/>
      <c r="U9" s="164">
        <v>579</v>
      </c>
      <c r="V9" s="165">
        <v>617</v>
      </c>
      <c r="W9" s="158">
        <v>1238</v>
      </c>
      <c r="X9" s="166">
        <v>636</v>
      </c>
      <c r="Y9" s="166"/>
      <c r="Z9" s="167">
        <f t="shared" si="8"/>
        <v>-1</v>
      </c>
      <c r="AA9" s="160">
        <v>123</v>
      </c>
      <c r="AB9" s="168">
        <v>131</v>
      </c>
      <c r="AC9" s="137">
        <v>290</v>
      </c>
      <c r="AD9" s="772">
        <v>701</v>
      </c>
      <c r="AE9" s="772"/>
      <c r="AF9" s="167">
        <f t="shared" si="9"/>
        <v>-1</v>
      </c>
      <c r="AG9" s="161">
        <f t="shared" si="10"/>
        <v>702</v>
      </c>
      <c r="AH9" s="162">
        <f t="shared" si="0"/>
        <v>748</v>
      </c>
      <c r="AI9" s="162">
        <f t="shared" si="0"/>
        <v>1528</v>
      </c>
      <c r="AJ9" s="162">
        <f t="shared" si="0"/>
        <v>1337</v>
      </c>
      <c r="AK9" s="162">
        <f t="shared" si="0"/>
        <v>0</v>
      </c>
      <c r="AL9" s="167">
        <f t="shared" si="11"/>
        <v>-1</v>
      </c>
      <c r="AM9" s="169"/>
      <c r="AN9" s="170"/>
      <c r="AO9" s="170">
        <v>34</v>
      </c>
      <c r="AP9" s="171">
        <f t="shared" si="1"/>
        <v>2.6764705882352939</v>
      </c>
      <c r="AQ9" s="172">
        <v>41</v>
      </c>
      <c r="AR9" s="173">
        <f t="shared" si="2"/>
        <v>3.7560975609756095</v>
      </c>
      <c r="AS9" s="776"/>
      <c r="AT9" s="776"/>
      <c r="AU9" s="776"/>
      <c r="AV9" s="776"/>
      <c r="AW9" s="776"/>
      <c r="AX9" s="137"/>
      <c r="AY9" s="776"/>
      <c r="AZ9" s="776"/>
      <c r="BA9" s="162"/>
    </row>
    <row r="10" spans="1:53">
      <c r="A10" s="156" t="s">
        <v>4304</v>
      </c>
      <c r="B10" s="157">
        <f>53</f>
        <v>53</v>
      </c>
      <c r="C10" s="158">
        <f>51</f>
        <v>51</v>
      </c>
      <c r="D10" s="158">
        <v>66</v>
      </c>
      <c r="E10" s="158">
        <v>42</v>
      </c>
      <c r="F10" s="158"/>
      <c r="G10" s="159">
        <f t="shared" si="3"/>
        <v>-1</v>
      </c>
      <c r="H10" s="160">
        <f>29+1</f>
        <v>30</v>
      </c>
      <c r="I10" s="137">
        <f>52+6</f>
        <v>58</v>
      </c>
      <c r="J10" s="137">
        <v>67</v>
      </c>
      <c r="K10" s="137">
        <v>64</v>
      </c>
      <c r="L10" s="137"/>
      <c r="M10" s="159">
        <f t="shared" si="4"/>
        <v>-1</v>
      </c>
      <c r="N10" s="161">
        <f t="shared" si="5"/>
        <v>83</v>
      </c>
      <c r="O10" s="162">
        <f t="shared" si="6"/>
        <v>109</v>
      </c>
      <c r="P10" s="162">
        <f t="shared" si="6"/>
        <v>133</v>
      </c>
      <c r="Q10" s="162">
        <f t="shared" si="6"/>
        <v>106</v>
      </c>
      <c r="R10" s="162">
        <f t="shared" si="6"/>
        <v>0</v>
      </c>
      <c r="S10" s="159">
        <f t="shared" si="7"/>
        <v>-1</v>
      </c>
      <c r="T10" s="163"/>
      <c r="U10" s="164">
        <v>824</v>
      </c>
      <c r="V10" s="165">
        <v>615</v>
      </c>
      <c r="W10" s="158">
        <v>662</v>
      </c>
      <c r="X10" s="166">
        <v>512</v>
      </c>
      <c r="Y10" s="166"/>
      <c r="Z10" s="167">
        <f t="shared" si="8"/>
        <v>-1</v>
      </c>
      <c r="AA10" s="160">
        <v>122</v>
      </c>
      <c r="AB10" s="168">
        <v>265</v>
      </c>
      <c r="AC10" s="137">
        <v>281</v>
      </c>
      <c r="AD10" s="772">
        <v>470</v>
      </c>
      <c r="AE10" s="772"/>
      <c r="AF10" s="167">
        <f t="shared" si="9"/>
        <v>-1</v>
      </c>
      <c r="AG10" s="161">
        <f t="shared" si="10"/>
        <v>946</v>
      </c>
      <c r="AH10" s="162">
        <f t="shared" si="0"/>
        <v>880</v>
      </c>
      <c r="AI10" s="162">
        <f t="shared" si="0"/>
        <v>943</v>
      </c>
      <c r="AJ10" s="162">
        <f t="shared" si="0"/>
        <v>982</v>
      </c>
      <c r="AK10" s="162">
        <f t="shared" si="0"/>
        <v>0</v>
      </c>
      <c r="AL10" s="167">
        <f t="shared" si="11"/>
        <v>-1</v>
      </c>
      <c r="AM10" s="169"/>
      <c r="AN10" s="170"/>
      <c r="AO10" s="170">
        <v>33</v>
      </c>
      <c r="AP10" s="171">
        <f t="shared" si="1"/>
        <v>3.3030303030303032</v>
      </c>
      <c r="AQ10" s="172">
        <v>45</v>
      </c>
      <c r="AR10" s="173">
        <f t="shared" si="2"/>
        <v>2.9555555555555557</v>
      </c>
      <c r="AS10" s="776"/>
      <c r="AT10" s="776"/>
      <c r="AU10" s="776"/>
      <c r="AV10" s="776"/>
      <c r="AW10" s="776"/>
      <c r="AX10" s="137"/>
      <c r="AY10" s="776"/>
      <c r="AZ10" s="776"/>
      <c r="BA10" s="162"/>
    </row>
    <row r="11" spans="1:53">
      <c r="A11" s="156" t="s">
        <v>4305</v>
      </c>
      <c r="B11" s="157">
        <f>13</f>
        <v>13</v>
      </c>
      <c r="C11" s="157">
        <f>14</f>
        <v>14</v>
      </c>
      <c r="D11" s="157">
        <v>33</v>
      </c>
      <c r="E11" s="157">
        <v>30</v>
      </c>
      <c r="F11" s="157"/>
      <c r="G11" s="159">
        <f t="shared" si="3"/>
        <v>-1</v>
      </c>
      <c r="H11" s="160">
        <f>29</f>
        <v>29</v>
      </c>
      <c r="I11" s="160">
        <f>34+5</f>
        <v>39</v>
      </c>
      <c r="J11" s="160">
        <v>35</v>
      </c>
      <c r="K11" s="160">
        <v>47</v>
      </c>
      <c r="L11" s="160"/>
      <c r="M11" s="159">
        <f t="shared" si="4"/>
        <v>-1</v>
      </c>
      <c r="N11" s="161">
        <f t="shared" si="5"/>
        <v>42</v>
      </c>
      <c r="O11" s="161">
        <f>+C11+I11</f>
        <v>53</v>
      </c>
      <c r="P11" s="161">
        <v>68</v>
      </c>
      <c r="Q11" s="162">
        <f>+E11+K11</f>
        <v>77</v>
      </c>
      <c r="R11" s="162">
        <f t="shared" si="6"/>
        <v>0</v>
      </c>
      <c r="S11" s="159">
        <f t="shared" si="7"/>
        <v>-1</v>
      </c>
      <c r="T11" s="163"/>
      <c r="U11" s="164">
        <v>153</v>
      </c>
      <c r="V11" s="157">
        <v>144</v>
      </c>
      <c r="W11" s="157">
        <v>337</v>
      </c>
      <c r="X11" s="183">
        <v>451</v>
      </c>
      <c r="Y11" s="183"/>
      <c r="Z11" s="167">
        <f t="shared" si="8"/>
        <v>-1</v>
      </c>
      <c r="AA11" s="160">
        <v>111</v>
      </c>
      <c r="AB11" s="160">
        <v>106</v>
      </c>
      <c r="AC11" s="160">
        <v>102</v>
      </c>
      <c r="AD11" s="184">
        <v>246</v>
      </c>
      <c r="AE11" s="184"/>
      <c r="AF11" s="167">
        <f t="shared" si="9"/>
        <v>-1</v>
      </c>
      <c r="AG11" s="161">
        <f t="shared" si="10"/>
        <v>264</v>
      </c>
      <c r="AH11" s="161">
        <f t="shared" si="0"/>
        <v>250</v>
      </c>
      <c r="AI11" s="161">
        <f t="shared" si="0"/>
        <v>439</v>
      </c>
      <c r="AJ11" s="162">
        <f t="shared" si="0"/>
        <v>697</v>
      </c>
      <c r="AK11" s="162">
        <f t="shared" si="0"/>
        <v>0</v>
      </c>
      <c r="AL11" s="167">
        <f t="shared" si="11"/>
        <v>-1</v>
      </c>
      <c r="AM11" s="169"/>
      <c r="AN11" s="170"/>
      <c r="AO11" s="170">
        <v>32</v>
      </c>
      <c r="AP11" s="171">
        <f t="shared" si="1"/>
        <v>1.65625</v>
      </c>
      <c r="AQ11" s="172">
        <v>43</v>
      </c>
      <c r="AR11" s="173">
        <f t="shared" si="2"/>
        <v>1.5813953488372092</v>
      </c>
      <c r="AS11" s="776"/>
      <c r="AT11" s="776"/>
      <c r="AU11" s="776"/>
      <c r="AV11" s="776"/>
      <c r="AW11" s="776"/>
      <c r="AX11" s="180"/>
      <c r="AY11" s="776"/>
      <c r="AZ11" s="776"/>
      <c r="BA11" s="180"/>
    </row>
    <row r="12" spans="1:53">
      <c r="A12" s="156" t="s">
        <v>4306</v>
      </c>
      <c r="B12" s="157">
        <f>65</f>
        <v>65</v>
      </c>
      <c r="C12" s="157">
        <v>61</v>
      </c>
      <c r="D12" s="157">
        <v>85</v>
      </c>
      <c r="E12" s="157">
        <v>54</v>
      </c>
      <c r="F12" s="157"/>
      <c r="G12" s="159">
        <f t="shared" si="3"/>
        <v>-1</v>
      </c>
      <c r="H12" s="160">
        <f>47+2</f>
        <v>49</v>
      </c>
      <c r="I12" s="160">
        <v>47</v>
      </c>
      <c r="J12" s="160">
        <v>50</v>
      </c>
      <c r="K12" s="160">
        <v>85</v>
      </c>
      <c r="L12" s="160"/>
      <c r="M12" s="159">
        <f t="shared" si="4"/>
        <v>-1</v>
      </c>
      <c r="N12" s="161">
        <f t="shared" si="5"/>
        <v>114</v>
      </c>
      <c r="O12" s="161">
        <f>+C12+I12</f>
        <v>108</v>
      </c>
      <c r="P12" s="161">
        <f>+D12+J12</f>
        <v>135</v>
      </c>
      <c r="Q12" s="162">
        <f>+E12+K12</f>
        <v>139</v>
      </c>
      <c r="R12" s="162">
        <f t="shared" si="6"/>
        <v>0</v>
      </c>
      <c r="S12" s="159">
        <f t="shared" si="7"/>
        <v>-1</v>
      </c>
      <c r="T12" s="163"/>
      <c r="U12" s="164">
        <v>781</v>
      </c>
      <c r="V12" s="157">
        <v>685</v>
      </c>
      <c r="W12" s="157">
        <v>1030</v>
      </c>
      <c r="X12" s="183">
        <v>708</v>
      </c>
      <c r="Y12" s="183"/>
      <c r="Z12" s="167">
        <f t="shared" si="8"/>
        <v>-1</v>
      </c>
      <c r="AA12" s="160">
        <v>124</v>
      </c>
      <c r="AB12" s="160">
        <v>179</v>
      </c>
      <c r="AC12" s="160">
        <v>237</v>
      </c>
      <c r="AD12" s="184">
        <v>410</v>
      </c>
      <c r="AE12" s="184"/>
      <c r="AF12" s="167">
        <f t="shared" si="9"/>
        <v>-1</v>
      </c>
      <c r="AG12" s="161">
        <f t="shared" si="10"/>
        <v>905</v>
      </c>
      <c r="AH12" s="161">
        <f t="shared" si="0"/>
        <v>864</v>
      </c>
      <c r="AI12" s="161">
        <f t="shared" si="0"/>
        <v>1267</v>
      </c>
      <c r="AJ12" s="162">
        <f t="shared" si="0"/>
        <v>1118</v>
      </c>
      <c r="AK12" s="162">
        <f t="shared" si="0"/>
        <v>0</v>
      </c>
      <c r="AL12" s="167">
        <f t="shared" si="11"/>
        <v>-1</v>
      </c>
      <c r="AM12" s="169"/>
      <c r="AN12" s="178"/>
      <c r="AO12" s="178">
        <v>35</v>
      </c>
      <c r="AP12" s="179">
        <f t="shared" si="1"/>
        <v>3.0857142857142859</v>
      </c>
      <c r="AQ12" s="180">
        <v>41</v>
      </c>
      <c r="AR12" s="181">
        <f t="shared" si="2"/>
        <v>3.2926829268292681</v>
      </c>
      <c r="AS12" s="776"/>
      <c r="AT12" s="776"/>
      <c r="AU12" s="776"/>
      <c r="AV12" s="776"/>
      <c r="AW12" s="776"/>
      <c r="AX12" s="180"/>
      <c r="AY12" s="776"/>
      <c r="AZ12" s="776"/>
      <c r="BA12" s="180"/>
    </row>
    <row r="13" spans="1:53" s="182" customFormat="1">
      <c r="A13" s="156" t="s">
        <v>4307</v>
      </c>
      <c r="B13" s="157">
        <f>88</f>
        <v>88</v>
      </c>
      <c r="C13" s="158">
        <v>80</v>
      </c>
      <c r="D13" s="158">
        <v>136</v>
      </c>
      <c r="E13" s="158">
        <v>103</v>
      </c>
      <c r="F13" s="158"/>
      <c r="G13" s="159">
        <f t="shared" si="3"/>
        <v>-1</v>
      </c>
      <c r="H13" s="160">
        <f>47</f>
        <v>47</v>
      </c>
      <c r="I13" s="137">
        <v>64</v>
      </c>
      <c r="J13" s="137">
        <v>63</v>
      </c>
      <c r="K13" s="137">
        <v>111</v>
      </c>
      <c r="L13" s="137"/>
      <c r="M13" s="159">
        <f t="shared" si="4"/>
        <v>-1</v>
      </c>
      <c r="N13" s="161">
        <f t="shared" si="5"/>
        <v>135</v>
      </c>
      <c r="O13" s="161">
        <f>+C13+I13</f>
        <v>144</v>
      </c>
      <c r="P13" s="161">
        <f>+D13+J13</f>
        <v>199</v>
      </c>
      <c r="Q13" s="162">
        <f>+E13+K13</f>
        <v>214</v>
      </c>
      <c r="R13" s="162">
        <f t="shared" si="6"/>
        <v>0</v>
      </c>
      <c r="S13" s="159">
        <f t="shared" si="7"/>
        <v>-1</v>
      </c>
      <c r="T13" s="163"/>
      <c r="U13" s="164">
        <v>1104</v>
      </c>
      <c r="V13" s="165">
        <v>1012</v>
      </c>
      <c r="W13" s="158">
        <v>1612</v>
      </c>
      <c r="X13" s="166">
        <v>1271</v>
      </c>
      <c r="Y13" s="166"/>
      <c r="Z13" s="167">
        <f t="shared" si="8"/>
        <v>-1</v>
      </c>
      <c r="AA13" s="160">
        <v>414</v>
      </c>
      <c r="AB13" s="168">
        <v>560</v>
      </c>
      <c r="AC13" s="137">
        <v>322</v>
      </c>
      <c r="AD13" s="772">
        <v>1131</v>
      </c>
      <c r="AE13" s="772"/>
      <c r="AF13" s="167">
        <f t="shared" si="9"/>
        <v>-1</v>
      </c>
      <c r="AG13" s="161">
        <f t="shared" si="10"/>
        <v>1518</v>
      </c>
      <c r="AH13" s="162">
        <f t="shared" si="0"/>
        <v>1572</v>
      </c>
      <c r="AI13" s="162">
        <f t="shared" si="0"/>
        <v>1934</v>
      </c>
      <c r="AJ13" s="162">
        <f t="shared" si="0"/>
        <v>2402</v>
      </c>
      <c r="AK13" s="162">
        <f t="shared" si="0"/>
        <v>0</v>
      </c>
      <c r="AL13" s="167">
        <f t="shared" si="11"/>
        <v>-1</v>
      </c>
      <c r="AM13" s="169"/>
      <c r="AN13" s="174"/>
      <c r="AO13" s="174">
        <v>35</v>
      </c>
      <c r="AP13" s="175">
        <f t="shared" si="1"/>
        <v>4.1142857142857139</v>
      </c>
      <c r="AQ13" s="176">
        <v>42</v>
      </c>
      <c r="AR13" s="177">
        <f t="shared" si="2"/>
        <v>4.7380952380952381</v>
      </c>
      <c r="AX13" s="176"/>
      <c r="BA13" s="176"/>
    </row>
    <row r="14" spans="1:53" s="182" customFormat="1">
      <c r="A14" s="156" t="s">
        <v>4308</v>
      </c>
      <c r="B14" s="157">
        <f>124</f>
        <v>124</v>
      </c>
      <c r="C14" s="158">
        <v>102</v>
      </c>
      <c r="D14" s="158">
        <v>149</v>
      </c>
      <c r="E14" s="158">
        <f>149</f>
        <v>149</v>
      </c>
      <c r="F14" s="158"/>
      <c r="G14" s="159">
        <f t="shared" si="3"/>
        <v>-1</v>
      </c>
      <c r="H14" s="160">
        <f>39+2</f>
        <v>41</v>
      </c>
      <c r="I14" s="137">
        <v>55</v>
      </c>
      <c r="J14" s="137">
        <v>89</v>
      </c>
      <c r="K14" s="137">
        <v>131</v>
      </c>
      <c r="L14" s="137"/>
      <c r="M14" s="159">
        <f t="shared" si="4"/>
        <v>-1</v>
      </c>
      <c r="N14" s="161">
        <f>B14+H14</f>
        <v>165</v>
      </c>
      <c r="O14" s="161">
        <f>+C14+I14</f>
        <v>157</v>
      </c>
      <c r="P14" s="161">
        <f>+D14+J14</f>
        <v>238</v>
      </c>
      <c r="Q14" s="162">
        <f>+E14+K14</f>
        <v>280</v>
      </c>
      <c r="R14" s="162">
        <f t="shared" si="6"/>
        <v>0</v>
      </c>
      <c r="S14" s="159">
        <f t="shared" si="7"/>
        <v>-1</v>
      </c>
      <c r="T14" s="163"/>
      <c r="U14" s="164">
        <v>1521</v>
      </c>
      <c r="V14" s="165">
        <v>1288</v>
      </c>
      <c r="W14" s="158">
        <v>1877</v>
      </c>
      <c r="X14" s="166">
        <v>1970</v>
      </c>
      <c r="Y14" s="166"/>
      <c r="Z14" s="167">
        <f t="shared" si="8"/>
        <v>-1</v>
      </c>
      <c r="AA14" s="160">
        <v>188</v>
      </c>
      <c r="AB14" s="168">
        <v>377</v>
      </c>
      <c r="AC14" s="137">
        <f>792</f>
        <v>792</v>
      </c>
      <c r="AD14" s="772">
        <v>1633</v>
      </c>
      <c r="AE14" s="772"/>
      <c r="AF14" s="167">
        <f t="shared" si="9"/>
        <v>-1</v>
      </c>
      <c r="AG14" s="161">
        <f t="shared" si="10"/>
        <v>1709</v>
      </c>
      <c r="AH14" s="162">
        <f t="shared" si="0"/>
        <v>1665</v>
      </c>
      <c r="AI14" s="162">
        <f t="shared" si="0"/>
        <v>2669</v>
      </c>
      <c r="AJ14" s="162">
        <f t="shared" si="0"/>
        <v>3603</v>
      </c>
      <c r="AK14" s="162">
        <f t="shared" si="0"/>
        <v>0</v>
      </c>
      <c r="AL14" s="167">
        <f t="shared" si="11"/>
        <v>-1</v>
      </c>
      <c r="AM14" s="169"/>
      <c r="AN14" s="174"/>
      <c r="AO14" s="174">
        <v>41</v>
      </c>
      <c r="AP14" s="175">
        <f t="shared" si="1"/>
        <v>3.8292682926829267</v>
      </c>
      <c r="AQ14" s="176">
        <v>41</v>
      </c>
      <c r="AR14" s="177">
        <f t="shared" si="2"/>
        <v>5.8048780487804876</v>
      </c>
      <c r="AX14" s="176"/>
      <c r="BA14" s="176"/>
    </row>
    <row r="15" spans="1:53" s="182" customFormat="1" ht="16.5" thickBot="1">
      <c r="A15" s="156" t="s">
        <v>4309</v>
      </c>
      <c r="B15" s="158">
        <f>137</f>
        <v>137</v>
      </c>
      <c r="C15" s="158">
        <v>116</v>
      </c>
      <c r="D15" s="158">
        <v>169</v>
      </c>
      <c r="E15" s="158">
        <v>197</v>
      </c>
      <c r="F15" s="158"/>
      <c r="G15" s="159">
        <f t="shared" si="3"/>
        <v>-1</v>
      </c>
      <c r="H15" s="160">
        <f>36</f>
        <v>36</v>
      </c>
      <c r="I15" s="137">
        <v>61</v>
      </c>
      <c r="J15" s="137">
        <v>93</v>
      </c>
      <c r="K15" s="137">
        <v>146</v>
      </c>
      <c r="L15" s="137"/>
      <c r="M15" s="159">
        <f t="shared" si="4"/>
        <v>-1</v>
      </c>
      <c r="N15" s="161">
        <f>B15+H15</f>
        <v>173</v>
      </c>
      <c r="O15" s="161">
        <f>+C15+I15</f>
        <v>177</v>
      </c>
      <c r="P15" s="161">
        <f>+D15+J15</f>
        <v>262</v>
      </c>
      <c r="Q15" s="162">
        <f>+E15+K15</f>
        <v>343</v>
      </c>
      <c r="R15" s="162">
        <f t="shared" si="6"/>
        <v>0</v>
      </c>
      <c r="S15" s="159">
        <f t="shared" si="7"/>
        <v>-1</v>
      </c>
      <c r="T15" s="163"/>
      <c r="U15" s="185">
        <v>1824</v>
      </c>
      <c r="V15" s="186">
        <v>1544</v>
      </c>
      <c r="W15" s="187">
        <v>3338</v>
      </c>
      <c r="X15" s="188">
        <v>3112</v>
      </c>
      <c r="Y15" s="188"/>
      <c r="Z15" s="167">
        <f t="shared" si="8"/>
        <v>-1</v>
      </c>
      <c r="AA15" s="189">
        <v>117</v>
      </c>
      <c r="AB15" s="190">
        <v>411</v>
      </c>
      <c r="AC15" s="191">
        <v>671</v>
      </c>
      <c r="AD15" s="192">
        <v>1571</v>
      </c>
      <c r="AE15" s="192"/>
      <c r="AF15" s="167">
        <f t="shared" si="9"/>
        <v>-1</v>
      </c>
      <c r="AG15" s="161">
        <f t="shared" si="10"/>
        <v>1941</v>
      </c>
      <c r="AH15" s="162">
        <f t="shared" si="0"/>
        <v>1955</v>
      </c>
      <c r="AI15" s="162">
        <f>+W15+AC15</f>
        <v>4009</v>
      </c>
      <c r="AJ15" s="162">
        <f t="shared" si="0"/>
        <v>4683</v>
      </c>
      <c r="AK15" s="162">
        <f t="shared" si="0"/>
        <v>0</v>
      </c>
      <c r="AL15" s="167">
        <f t="shared" si="11"/>
        <v>-1</v>
      </c>
      <c r="AM15" s="193"/>
      <c r="AN15" s="194">
        <v>41</v>
      </c>
      <c r="AO15" s="194">
        <v>41</v>
      </c>
      <c r="AP15" s="195">
        <f t="shared" si="1"/>
        <v>4.3170731707317076</v>
      </c>
      <c r="AQ15" s="196">
        <v>41</v>
      </c>
      <c r="AR15" s="197">
        <f t="shared" si="2"/>
        <v>6.3902439024390247</v>
      </c>
      <c r="AX15" s="176"/>
      <c r="BA15" s="176"/>
    </row>
    <row r="16" spans="1:53" ht="24.75" thickBot="1">
      <c r="A16" s="198" t="s">
        <v>4310</v>
      </c>
      <c r="B16" s="199">
        <f>SUM(B4:B15)</f>
        <v>767</v>
      </c>
      <c r="C16" s="200">
        <f>SUM(C4:C15)</f>
        <v>844</v>
      </c>
      <c r="D16" s="200">
        <f>SUM(D4:D15)</f>
        <v>1075</v>
      </c>
      <c r="E16" s="200">
        <f>SUM(E4:E15)</f>
        <v>1111</v>
      </c>
      <c r="F16" s="200">
        <f>SUM(F4:F15)</f>
        <v>251</v>
      </c>
      <c r="G16" s="159">
        <f t="shared" si="3"/>
        <v>-0.77407740774077405</v>
      </c>
      <c r="H16" s="201">
        <f>SUM(H4:H15)</f>
        <v>375</v>
      </c>
      <c r="I16" s="200">
        <f>SUM(I4:I15)</f>
        <v>541</v>
      </c>
      <c r="J16" s="200">
        <f>SUM(J4:J15)</f>
        <v>791</v>
      </c>
      <c r="K16" s="200">
        <f>SUM(K4:K15)</f>
        <v>968</v>
      </c>
      <c r="L16" s="200">
        <f>SUM(L4:L15)</f>
        <v>281</v>
      </c>
      <c r="M16" s="159">
        <f t="shared" si="4"/>
        <v>-0.70971074380165289</v>
      </c>
      <c r="N16" s="201">
        <f>SUM(N4:N15)</f>
        <v>1142</v>
      </c>
      <c r="O16" s="200">
        <f>SUM(O4:O15)</f>
        <v>1385</v>
      </c>
      <c r="P16" s="200">
        <f>SUM(P4:P15)</f>
        <v>1866</v>
      </c>
      <c r="Q16" s="200">
        <f>SUM(Q4:Q15)</f>
        <v>2079</v>
      </c>
      <c r="R16" s="200">
        <f>SUM(R4:R15)</f>
        <v>532</v>
      </c>
      <c r="S16" s="159">
        <f t="shared" si="7"/>
        <v>-0.74410774410774416</v>
      </c>
      <c r="T16" s="202"/>
      <c r="U16" s="203">
        <f>SUM(U4:U15)</f>
        <v>9898</v>
      </c>
      <c r="V16" s="204">
        <f>SUM(V4:V15)</f>
        <v>10741</v>
      </c>
      <c r="W16" s="205">
        <f>SUM(W4:W15)</f>
        <v>14161</v>
      </c>
      <c r="X16" s="205">
        <f>SUM(X4:X15)</f>
        <v>14416</v>
      </c>
      <c r="Y16" s="205">
        <f>SUM(Y4:Y15)</f>
        <v>3269</v>
      </c>
      <c r="Z16" s="167">
        <f t="shared" si="8"/>
        <v>-0.77323806881243062</v>
      </c>
      <c r="AA16" s="206">
        <f>SUM(AA4:AA15)</f>
        <v>2149</v>
      </c>
      <c r="AB16" s="207">
        <f>SUM(AB4:AB15)</f>
        <v>2654</v>
      </c>
      <c r="AC16" s="205">
        <f>SUM(AC4:AC15)</f>
        <v>5721</v>
      </c>
      <c r="AD16" s="205">
        <f>SUM(AD4:AD15)</f>
        <v>8640</v>
      </c>
      <c r="AE16" s="205">
        <f>SUM(AE4:AE15)</f>
        <v>1925</v>
      </c>
      <c r="AF16" s="167">
        <f>(AE16-AD16)/AD16</f>
        <v>-0.77719907407407407</v>
      </c>
      <c r="AG16" s="208">
        <f>SUM(AG4:AG15)</f>
        <v>12047</v>
      </c>
      <c r="AH16" s="209">
        <f>SUM(AH4:AH15)</f>
        <v>13395</v>
      </c>
      <c r="AI16" s="210">
        <f>SUM(AI4:AI15)</f>
        <v>19882</v>
      </c>
      <c r="AJ16" s="210">
        <f>SUM(AJ4:AJ15)</f>
        <v>23056</v>
      </c>
      <c r="AK16" s="210">
        <f>SUM(AK4:AK15)</f>
        <v>5194</v>
      </c>
      <c r="AL16" s="167">
        <f t="shared" si="11"/>
        <v>-0.7747224149895906</v>
      </c>
      <c r="AM16" s="169"/>
      <c r="AN16" s="169"/>
      <c r="AO16" s="211"/>
      <c r="AP16" s="42"/>
      <c r="AQ16" s="211"/>
      <c r="AR16" s="42"/>
      <c r="AS16" s="776"/>
      <c r="AT16" s="776"/>
      <c r="AU16" s="776"/>
      <c r="AV16" s="776"/>
      <c r="AW16" s="776"/>
      <c r="AX16" s="200"/>
      <c r="AY16" s="776"/>
      <c r="AZ16" s="776"/>
      <c r="BA16" s="211"/>
    </row>
    <row r="17" spans="1:53">
      <c r="A17" s="42"/>
      <c r="B17" s="518">
        <f>+B16/N16</f>
        <v>0.67162872154115583</v>
      </c>
      <c r="C17" s="518">
        <f>+C16/O16</f>
        <v>0.60938628158844765</v>
      </c>
      <c r="D17" s="518">
        <f>+D16/P16</f>
        <v>0.57609860664523049</v>
      </c>
      <c r="E17" s="518">
        <f>+E16/Q16</f>
        <v>0.53439153439153442</v>
      </c>
      <c r="F17" s="518">
        <f>+F16/R16</f>
        <v>0.4718045112781955</v>
      </c>
      <c r="G17" s="42"/>
      <c r="H17" s="518">
        <f>+H16/N16</f>
        <v>0.32837127845884412</v>
      </c>
      <c r="I17" s="518">
        <f>+I16/O16</f>
        <v>0.39061371841155235</v>
      </c>
      <c r="J17" s="518">
        <f>+J16/P16</f>
        <v>0.42390139335476956</v>
      </c>
      <c r="K17" s="518">
        <f>+K16/Q16</f>
        <v>0.46560846560846558</v>
      </c>
      <c r="L17" s="518">
        <f>+L16/R16</f>
        <v>0.52819548872180455</v>
      </c>
      <c r="M17" s="42"/>
      <c r="N17" s="212"/>
      <c r="O17" s="42"/>
      <c r="P17" s="42"/>
      <c r="Q17" s="42"/>
      <c r="R17" s="42"/>
      <c r="U17" s="518">
        <f>+U16/AG16</f>
        <v>0.82161533991865199</v>
      </c>
      <c r="V17" s="518">
        <f>+V16/AH16</f>
        <v>0.801866368047779</v>
      </c>
      <c r="W17" s="518">
        <f>+W16/AI16</f>
        <v>0.71225228850216271</v>
      </c>
      <c r="X17" s="518">
        <f>+X16/AJ16</f>
        <v>0.62526023594725888</v>
      </c>
      <c r="Y17" s="518">
        <f>+Y16/AK16</f>
        <v>0.62938005390835583</v>
      </c>
      <c r="AA17" s="518">
        <f>+AA16/AG16</f>
        <v>0.17838466008134804</v>
      </c>
      <c r="AB17" s="518">
        <f>+AB16/AH16</f>
        <v>0.19813363195222097</v>
      </c>
      <c r="AC17" s="518">
        <f>+AC16/AI16</f>
        <v>0.28774771149783723</v>
      </c>
      <c r="AD17" s="518">
        <f>+AD16/AJ16</f>
        <v>0.37473976405274118</v>
      </c>
      <c r="AE17" s="518">
        <f>+AE16/AK16</f>
        <v>0.37061994609164423</v>
      </c>
      <c r="AH17" s="42"/>
      <c r="AI17" s="42"/>
      <c r="AJ17" s="42"/>
      <c r="AK17" s="42"/>
      <c r="AO17" s="42"/>
      <c r="AP17" s="42"/>
      <c r="AQ17" s="42"/>
      <c r="AR17" s="42"/>
      <c r="AS17" s="776"/>
      <c r="AT17" s="776"/>
      <c r="AU17" s="776"/>
      <c r="AV17" s="776"/>
      <c r="AW17" s="776"/>
      <c r="AX17" s="42"/>
      <c r="AY17" s="776"/>
      <c r="AZ17" s="776"/>
      <c r="BA17" s="42"/>
    </row>
    <row r="18" spans="1:53" ht="14.8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212"/>
      <c r="O18" s="42"/>
      <c r="P18" s="42"/>
      <c r="Q18" s="42"/>
      <c r="R18" s="42"/>
      <c r="V18" s="42"/>
      <c r="W18" s="42"/>
      <c r="X18" s="42"/>
      <c r="Y18" s="42"/>
      <c r="AB18" s="42"/>
      <c r="AC18" s="42"/>
      <c r="AD18" s="42"/>
      <c r="AE18" s="42"/>
      <c r="AH18" s="42"/>
      <c r="AI18" s="42"/>
      <c r="AJ18" s="42"/>
      <c r="AK18" s="42"/>
      <c r="AO18" s="42"/>
      <c r="AP18" s="42"/>
      <c r="AQ18" s="42"/>
      <c r="AR18" s="42"/>
      <c r="AS18" s="776"/>
      <c r="AT18" s="776"/>
      <c r="AU18" s="776"/>
      <c r="AV18" s="776"/>
      <c r="AW18" s="776"/>
      <c r="AX18" s="42"/>
      <c r="AY18" s="776"/>
      <c r="AZ18" s="776"/>
      <c r="BA18" s="42"/>
    </row>
    <row r="19" spans="1:5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212"/>
      <c r="O19" s="42"/>
      <c r="P19" s="42"/>
      <c r="Q19" s="42"/>
      <c r="R19" s="42"/>
      <c r="V19" s="42"/>
      <c r="W19" s="42"/>
      <c r="X19" s="42"/>
      <c r="Y19" s="42"/>
      <c r="AB19" s="42"/>
      <c r="AC19" s="42"/>
      <c r="AD19" s="42"/>
      <c r="AE19" s="42"/>
      <c r="AH19" s="42"/>
      <c r="AI19" s="42"/>
      <c r="AJ19" s="42"/>
      <c r="AK19" s="42"/>
      <c r="AO19" s="42"/>
      <c r="AP19" s="42"/>
      <c r="AQ19" s="42"/>
      <c r="AR19" s="42"/>
      <c r="AS19" s="776"/>
      <c r="AT19" s="776"/>
      <c r="AU19" s="776"/>
      <c r="AV19" s="776"/>
      <c r="AW19" s="776"/>
      <c r="AX19" s="42"/>
      <c r="AY19" s="776"/>
      <c r="AZ19" s="776"/>
      <c r="BA19" s="42"/>
    </row>
    <row r="20" spans="1:5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212"/>
      <c r="O20" s="42"/>
      <c r="P20" s="42"/>
      <c r="Q20" s="42"/>
      <c r="R20" s="42"/>
      <c r="V20" s="42"/>
      <c r="W20" s="42"/>
      <c r="X20" s="42"/>
      <c r="Y20" s="42"/>
      <c r="AB20" s="42"/>
      <c r="AC20" s="42"/>
      <c r="AD20" s="42"/>
      <c r="AE20" s="42"/>
      <c r="AH20" s="42"/>
      <c r="AI20" s="42"/>
      <c r="AJ20" s="42"/>
      <c r="AK20" s="42"/>
      <c r="AO20" s="42"/>
      <c r="AP20" s="42"/>
      <c r="AQ20" s="42"/>
      <c r="AR20" s="42"/>
      <c r="AS20" s="776"/>
      <c r="AT20" s="776"/>
      <c r="AU20" s="776"/>
      <c r="AV20" s="776"/>
      <c r="AW20" s="776"/>
      <c r="AX20" s="42"/>
      <c r="AY20" s="776"/>
      <c r="AZ20" s="776"/>
      <c r="BA20" s="42"/>
    </row>
    <row r="21" spans="1:5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212"/>
      <c r="O21" s="42"/>
      <c r="P21" s="42"/>
      <c r="Q21" s="42"/>
      <c r="R21" s="42"/>
      <c r="V21" s="42"/>
      <c r="W21" s="42"/>
      <c r="X21" s="42"/>
      <c r="Y21" s="42"/>
      <c r="AB21" s="42"/>
      <c r="AC21" s="42"/>
      <c r="AD21" s="42"/>
      <c r="AE21" s="42"/>
      <c r="AH21" s="42"/>
      <c r="AI21" s="42"/>
      <c r="AJ21" s="42"/>
      <c r="AK21" s="42"/>
      <c r="AO21" s="42"/>
      <c r="AP21" s="42"/>
      <c r="AQ21" s="42"/>
      <c r="AR21" s="42"/>
      <c r="AS21" s="776"/>
      <c r="AT21" s="776"/>
      <c r="AU21" s="776"/>
      <c r="AV21" s="776"/>
      <c r="AW21" s="776"/>
      <c r="AX21" s="42"/>
      <c r="AY21" s="776"/>
      <c r="AZ21" s="776"/>
      <c r="BA21" s="42"/>
    </row>
    <row r="22" spans="1:5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212"/>
      <c r="O22" s="42"/>
      <c r="P22" s="42"/>
      <c r="Q22" s="42"/>
      <c r="R22" s="42"/>
      <c r="V22" s="42"/>
      <c r="W22" s="42"/>
      <c r="X22" s="42"/>
      <c r="Y22" s="42"/>
      <c r="AB22" s="42"/>
      <c r="AC22" s="42"/>
      <c r="AD22" s="42"/>
      <c r="AE22" s="42"/>
      <c r="AH22" s="42"/>
      <c r="AI22" s="42"/>
      <c r="AJ22" s="42"/>
      <c r="AK22" s="42"/>
      <c r="AO22" s="42"/>
      <c r="AP22" s="42"/>
      <c r="AQ22" s="42"/>
      <c r="AR22" s="42"/>
      <c r="AS22" s="776"/>
      <c r="AT22" s="776"/>
      <c r="AU22" s="776"/>
      <c r="AV22" s="776"/>
      <c r="AW22" s="776"/>
      <c r="AX22" s="42"/>
      <c r="AY22" s="776"/>
      <c r="AZ22" s="776"/>
      <c r="BA22" s="42"/>
    </row>
    <row r="23" spans="1:5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212"/>
      <c r="O23" s="42"/>
      <c r="P23" s="42"/>
      <c r="Q23" s="42"/>
      <c r="R23" s="42"/>
      <c r="V23" s="42"/>
      <c r="W23" s="42"/>
      <c r="X23" s="42"/>
      <c r="Y23" s="42"/>
      <c r="AB23" s="42"/>
      <c r="AC23" s="42"/>
      <c r="AD23" s="42"/>
      <c r="AE23" s="42"/>
      <c r="AH23" s="42"/>
      <c r="AI23" s="42"/>
      <c r="AJ23" s="42"/>
      <c r="AK23" s="42"/>
      <c r="AO23" s="42"/>
      <c r="AP23" s="42"/>
      <c r="AQ23" s="42"/>
      <c r="AR23" s="42"/>
      <c r="AS23" s="776"/>
      <c r="AT23" s="776"/>
      <c r="AU23" s="776"/>
      <c r="AV23" s="776"/>
      <c r="AW23" s="776"/>
      <c r="AX23" s="42"/>
      <c r="AY23" s="776"/>
      <c r="AZ23" s="776"/>
      <c r="BA23" s="42"/>
    </row>
    <row r="24" spans="1:5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212"/>
      <c r="O24" s="42"/>
      <c r="P24" s="42"/>
      <c r="Q24" s="42"/>
      <c r="R24" s="42"/>
      <c r="V24" s="42"/>
      <c r="W24" s="42"/>
      <c r="X24" s="42"/>
      <c r="Y24" s="42"/>
      <c r="AB24" s="42"/>
      <c r="AC24" s="776"/>
      <c r="AD24" s="776"/>
      <c r="AE24" s="776"/>
      <c r="AH24" s="776"/>
      <c r="AI24" s="776"/>
      <c r="AJ24" s="776"/>
      <c r="AK24" s="776"/>
      <c r="AO24" s="776"/>
      <c r="AP24" s="776"/>
      <c r="AQ24" s="776"/>
      <c r="AR24" s="776"/>
      <c r="AT24" s="776"/>
      <c r="AU24" s="776"/>
      <c r="AV24" s="776"/>
      <c r="AW24" s="776"/>
      <c r="AX24" s="776"/>
      <c r="AY24" s="776"/>
      <c r="AZ24" s="776"/>
      <c r="BA24" s="776"/>
    </row>
    <row r="25" spans="1:5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212"/>
      <c r="O25" s="42"/>
      <c r="P25" s="42"/>
      <c r="Q25" s="42"/>
      <c r="R25" s="42"/>
      <c r="V25" s="42"/>
      <c r="W25" s="42"/>
      <c r="X25" s="42"/>
      <c r="Y25" s="42"/>
      <c r="AB25" s="42"/>
      <c r="AC25" s="776"/>
      <c r="AD25" s="776"/>
      <c r="AE25" s="776"/>
      <c r="AH25" s="776"/>
      <c r="AI25" s="776"/>
      <c r="AJ25" s="776"/>
      <c r="AK25" s="776"/>
      <c r="AO25" s="776"/>
      <c r="AP25" s="776"/>
      <c r="AQ25" s="776"/>
      <c r="AR25" s="776"/>
      <c r="AT25" s="776"/>
      <c r="AU25" s="776"/>
      <c r="AV25" s="776"/>
      <c r="AW25" s="776"/>
      <c r="AX25" s="776"/>
      <c r="AY25" s="776"/>
      <c r="AZ25" s="776"/>
      <c r="BA25" s="776"/>
    </row>
    <row r="26" spans="1:5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212"/>
      <c r="O26" s="42"/>
      <c r="P26" s="42"/>
      <c r="Q26" s="42"/>
      <c r="R26" s="42"/>
      <c r="V26" s="42"/>
      <c r="W26" s="42"/>
      <c r="X26" s="42"/>
      <c r="Y26" s="42"/>
      <c r="AB26" s="42"/>
      <c r="AC26" s="776"/>
      <c r="AD26" s="776"/>
      <c r="AE26" s="776"/>
      <c r="AH26" s="776"/>
      <c r="AI26" s="776"/>
      <c r="AJ26" s="776"/>
      <c r="AK26" s="776"/>
      <c r="AO26" s="776"/>
      <c r="AP26" s="776"/>
      <c r="AQ26" s="776"/>
      <c r="AR26" s="776"/>
      <c r="AT26" s="776"/>
      <c r="AU26" s="776"/>
      <c r="AV26" s="776"/>
      <c r="AW26" s="776"/>
      <c r="AX26" s="776"/>
      <c r="AY26" s="776"/>
      <c r="AZ26" s="776"/>
      <c r="BA26" s="776"/>
    </row>
    <row r="27" spans="1:5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212"/>
      <c r="O27" s="42"/>
      <c r="P27" s="42"/>
      <c r="Q27" s="42"/>
      <c r="R27" s="42"/>
      <c r="V27" s="42"/>
      <c r="W27" s="42"/>
      <c r="X27" s="42"/>
      <c r="Y27" s="42"/>
      <c r="AB27" s="42"/>
      <c r="AC27" s="776"/>
      <c r="AD27" s="776"/>
      <c r="AE27" s="776"/>
      <c r="AH27" s="776"/>
      <c r="AI27" s="776"/>
      <c r="AJ27" s="776"/>
      <c r="AK27" s="776"/>
      <c r="AO27" s="776"/>
      <c r="AP27" s="776"/>
      <c r="AQ27" s="776"/>
      <c r="AR27" s="776"/>
      <c r="AT27" s="776"/>
      <c r="AU27" s="776"/>
      <c r="AV27" s="776"/>
      <c r="AW27" s="776"/>
      <c r="AX27" s="776"/>
      <c r="AY27" s="776"/>
      <c r="AZ27" s="776"/>
      <c r="BA27" s="776"/>
    </row>
    <row r="28" spans="1:5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212"/>
      <c r="O28" s="42"/>
      <c r="P28" s="42"/>
      <c r="Q28" s="42"/>
      <c r="R28" s="42"/>
      <c r="V28" s="42"/>
      <c r="W28" s="42"/>
      <c r="X28" s="42"/>
      <c r="Y28" s="42"/>
      <c r="AB28" s="42"/>
      <c r="AC28" s="776"/>
      <c r="AD28" s="776"/>
      <c r="AE28" s="776"/>
      <c r="AH28" s="776"/>
      <c r="AI28" s="776"/>
      <c r="AJ28" s="776"/>
      <c r="AK28" s="776"/>
      <c r="AO28" s="776"/>
      <c r="AP28" s="776"/>
      <c r="AQ28" s="776"/>
      <c r="AR28" s="776"/>
      <c r="AT28" s="776"/>
      <c r="AU28" s="776"/>
      <c r="AV28" s="776"/>
      <c r="AW28" s="776"/>
      <c r="AX28" s="776"/>
      <c r="AY28" s="776"/>
      <c r="AZ28" s="776"/>
      <c r="BA28" s="776"/>
    </row>
    <row r="29" spans="1:5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212"/>
      <c r="O29" s="42"/>
      <c r="P29" s="42"/>
      <c r="Q29" s="42"/>
      <c r="R29" s="42"/>
      <c r="V29" s="42"/>
      <c r="W29" s="42"/>
      <c r="X29" s="42"/>
      <c r="Y29" s="42"/>
      <c r="AB29" s="42"/>
      <c r="AC29" s="776"/>
      <c r="AD29" s="776"/>
      <c r="AE29" s="776"/>
      <c r="AH29" s="776"/>
      <c r="AI29" s="776"/>
      <c r="AJ29" s="776"/>
      <c r="AK29" s="776"/>
      <c r="AO29" s="776"/>
      <c r="AP29" s="776"/>
      <c r="AQ29" s="776"/>
      <c r="AR29" s="776"/>
      <c r="AT29" s="776"/>
      <c r="AU29" s="776"/>
      <c r="AV29" s="776"/>
      <c r="AW29" s="776"/>
      <c r="AX29" s="776"/>
      <c r="AY29" s="776"/>
      <c r="AZ29" s="776"/>
      <c r="BA29" s="776"/>
    </row>
    <row r="30" spans="1:5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212"/>
      <c r="O30" s="42"/>
      <c r="P30" s="42"/>
      <c r="Q30" s="42"/>
      <c r="R30" s="42"/>
      <c r="V30" s="42"/>
      <c r="W30" s="42"/>
      <c r="X30" s="42"/>
      <c r="Y30" s="42"/>
      <c r="AB30" s="42"/>
      <c r="AC30" s="776"/>
      <c r="AD30" s="776"/>
      <c r="AE30" s="776"/>
      <c r="AH30" s="776"/>
      <c r="AI30" s="776"/>
      <c r="AJ30" s="776"/>
      <c r="AK30" s="776"/>
      <c r="AO30" s="776"/>
      <c r="AP30" s="776"/>
      <c r="AQ30" s="776"/>
      <c r="AR30" s="776"/>
      <c r="AT30" s="776"/>
      <c r="AU30" s="776"/>
      <c r="AV30" s="776"/>
      <c r="AW30" s="776"/>
      <c r="AX30" s="776"/>
      <c r="AY30" s="776"/>
      <c r="AZ30" s="776"/>
      <c r="BA30" s="776"/>
    </row>
    <row r="31" spans="1:5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212"/>
      <c r="O31" s="42"/>
      <c r="P31" s="42"/>
      <c r="Q31" s="42"/>
      <c r="R31" s="42"/>
      <c r="V31" s="42"/>
      <c r="W31" s="42"/>
      <c r="X31" s="42"/>
      <c r="Y31" s="42"/>
      <c r="AB31" s="42"/>
      <c r="AC31" s="776"/>
      <c r="AD31" s="776"/>
      <c r="AE31" s="776"/>
      <c r="AH31" s="776"/>
      <c r="AI31" s="776"/>
      <c r="AJ31" s="776"/>
      <c r="AK31" s="776"/>
      <c r="AO31" s="776"/>
      <c r="AP31" s="776"/>
      <c r="AQ31" s="776"/>
      <c r="AR31" s="776"/>
      <c r="AT31" s="776"/>
      <c r="AU31" s="776"/>
      <c r="AV31" s="776"/>
      <c r="AW31" s="776"/>
      <c r="AX31" s="776"/>
      <c r="AY31" s="776"/>
      <c r="AZ31" s="776"/>
      <c r="BA31" s="776"/>
    </row>
    <row r="32" spans="1:5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212"/>
      <c r="O32" s="42"/>
      <c r="P32" s="42"/>
      <c r="Q32" s="42"/>
      <c r="R32" s="42"/>
      <c r="V32" s="42"/>
      <c r="W32" s="42"/>
      <c r="X32" s="42"/>
      <c r="Y32" s="42"/>
      <c r="AB32" s="42"/>
      <c r="AC32" s="776"/>
      <c r="AD32" s="776"/>
      <c r="AE32" s="776"/>
      <c r="AH32" s="776"/>
      <c r="AI32" s="776"/>
      <c r="AJ32" s="776"/>
      <c r="AK32" s="776"/>
      <c r="AO32" s="776"/>
      <c r="AP32" s="776"/>
      <c r="AQ32" s="776"/>
      <c r="AR32" s="776"/>
      <c r="AT32" s="776"/>
      <c r="AU32" s="776"/>
      <c r="AV32" s="776"/>
      <c r="AW32" s="776"/>
      <c r="AX32" s="776"/>
      <c r="AY32" s="776"/>
      <c r="AZ32" s="776"/>
      <c r="BA32" s="776"/>
    </row>
    <row r="33" spans="1:28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212"/>
      <c r="O33" s="42"/>
      <c r="P33" s="42"/>
      <c r="Q33" s="42"/>
      <c r="R33" s="42"/>
      <c r="V33" s="42"/>
      <c r="W33" s="42"/>
      <c r="X33" s="42"/>
      <c r="Y33" s="42"/>
      <c r="AB33" s="42"/>
    </row>
    <row r="34" spans="1:28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212"/>
      <c r="O34" s="42"/>
      <c r="P34" s="42"/>
      <c r="Q34" s="42"/>
      <c r="R34" s="42"/>
      <c r="V34" s="42"/>
      <c r="W34" s="42"/>
      <c r="X34" s="42"/>
      <c r="Y34" s="42"/>
      <c r="AB34" s="42"/>
    </row>
    <row r="35" spans="1:28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212"/>
      <c r="O35" s="42"/>
      <c r="P35" s="42"/>
      <c r="Q35" s="42"/>
      <c r="R35" s="42"/>
      <c r="V35" s="42"/>
      <c r="W35" s="42"/>
      <c r="X35" s="42"/>
      <c r="Y35" s="42"/>
      <c r="AB35" s="42"/>
    </row>
    <row r="36" spans="1:28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212"/>
      <c r="O36" s="42"/>
      <c r="P36" s="42"/>
      <c r="Q36" s="42"/>
      <c r="R36" s="42"/>
      <c r="V36" s="42"/>
      <c r="W36" s="42"/>
      <c r="X36" s="42"/>
      <c r="Y36" s="42"/>
      <c r="AB36" s="42"/>
    </row>
    <row r="37" spans="1:28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212"/>
      <c r="O37" s="42"/>
      <c r="P37" s="42"/>
      <c r="Q37" s="42"/>
      <c r="R37" s="42"/>
      <c r="V37" s="42"/>
      <c r="W37" s="42"/>
      <c r="X37" s="42"/>
      <c r="Y37" s="42"/>
      <c r="AB37" s="42"/>
    </row>
    <row r="38" spans="1:2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212"/>
      <c r="O38" s="42"/>
      <c r="P38" s="42"/>
      <c r="Q38" s="42"/>
      <c r="R38" s="42"/>
      <c r="V38" s="42"/>
      <c r="W38" s="42"/>
      <c r="X38" s="42"/>
      <c r="Y38" s="42"/>
      <c r="AB38" s="42"/>
    </row>
    <row r="39" spans="1:28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212"/>
      <c r="O39" s="42"/>
      <c r="P39" s="42"/>
      <c r="Q39" s="42"/>
      <c r="R39" s="42"/>
      <c r="V39" s="42"/>
      <c r="W39" s="42"/>
      <c r="X39" s="42"/>
      <c r="Y39" s="42"/>
      <c r="AB39" s="42"/>
    </row>
    <row r="40" spans="1:28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212"/>
      <c r="O40" s="42"/>
      <c r="P40" s="42"/>
      <c r="Q40" s="42"/>
      <c r="R40" s="42"/>
      <c r="V40" s="42"/>
      <c r="W40" s="42"/>
      <c r="X40" s="42"/>
      <c r="Y40" s="42"/>
      <c r="AB40" s="42"/>
    </row>
    <row r="41" spans="1:28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212"/>
      <c r="O41" s="42"/>
      <c r="P41" s="42"/>
      <c r="Q41" s="42"/>
      <c r="R41" s="42"/>
      <c r="V41" s="42"/>
      <c r="W41" s="42"/>
      <c r="X41" s="42"/>
      <c r="Y41" s="42"/>
      <c r="AB41" s="42"/>
    </row>
  </sheetData>
  <autoFilter ref="A3:W166" xr:uid="{00000000-0009-0000-0000-000002000000}"/>
  <mergeCells count="10">
    <mergeCell ref="A1:A3"/>
    <mergeCell ref="B2:S2"/>
    <mergeCell ref="U2:AL2"/>
    <mergeCell ref="AO2:AR2"/>
    <mergeCell ref="B3:F3"/>
    <mergeCell ref="H3:L3"/>
    <mergeCell ref="N3:R3"/>
    <mergeCell ref="U3:Y3"/>
    <mergeCell ref="AA3:AE3"/>
    <mergeCell ref="AG3:A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K25" sqref="K24:K25"/>
    </sheetView>
  </sheetViews>
  <sheetFormatPr defaultColWidth="8.875" defaultRowHeight="15.75"/>
  <cols>
    <col min="2" max="2" width="15.625" bestFit="1" customWidth="1"/>
    <col min="3" max="3" width="14.875" customWidth="1"/>
    <col min="4" max="4" width="15.625" customWidth="1"/>
    <col min="5" max="5" width="16.125" customWidth="1"/>
    <col min="6" max="6" width="15.5" customWidth="1"/>
    <col min="7" max="7" width="15.375" customWidth="1"/>
    <col min="8" max="9" width="13.375" customWidth="1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16.5" thickBo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19.5" thickBot="1">
      <c r="A4" s="35"/>
      <c r="B4" s="35"/>
      <c r="C4" s="532" t="s">
        <v>4311</v>
      </c>
      <c r="D4" s="531" t="s">
        <v>4312</v>
      </c>
      <c r="E4" s="389" t="s">
        <v>4313</v>
      </c>
      <c r="F4" s="389" t="s">
        <v>4314</v>
      </c>
      <c r="G4" s="389" t="s">
        <v>4315</v>
      </c>
      <c r="H4" s="389" t="s">
        <v>4316</v>
      </c>
      <c r="I4" s="389" t="s">
        <v>4317</v>
      </c>
      <c r="J4" s="35"/>
      <c r="K4" s="35"/>
      <c r="L4" s="35"/>
      <c r="M4" s="35"/>
      <c r="N4" s="35"/>
    </row>
    <row r="5" spans="1:16" s="84" customFormat="1" ht="27.6" customHeight="1">
      <c r="A5" s="385"/>
      <c r="B5" s="392" t="s">
        <v>4318</v>
      </c>
      <c r="C5" s="393">
        <v>0</v>
      </c>
      <c r="D5" s="393">
        <v>4</v>
      </c>
      <c r="E5" s="393">
        <v>4</v>
      </c>
      <c r="F5" s="576">
        <v>2</v>
      </c>
      <c r="G5" s="393">
        <v>0</v>
      </c>
      <c r="H5" s="393">
        <v>0</v>
      </c>
      <c r="I5" s="393">
        <v>3</v>
      </c>
      <c r="J5" s="385"/>
      <c r="K5" s="385"/>
      <c r="L5" s="385"/>
      <c r="M5" s="385"/>
      <c r="N5" s="385"/>
    </row>
    <row r="6" spans="1:16" s="84" customFormat="1" ht="27.6" customHeight="1">
      <c r="A6" s="385"/>
      <c r="B6" s="394" t="s">
        <v>4319</v>
      </c>
      <c r="C6" s="394">
        <v>0</v>
      </c>
      <c r="D6" s="394">
        <v>5</v>
      </c>
      <c r="E6" s="394">
        <v>5</v>
      </c>
      <c r="F6" s="577">
        <v>0</v>
      </c>
      <c r="G6" s="394">
        <v>0</v>
      </c>
      <c r="H6" s="394">
        <v>0</v>
      </c>
      <c r="I6" s="394">
        <v>1</v>
      </c>
      <c r="J6" s="385"/>
      <c r="K6" s="385"/>
      <c r="L6" s="385"/>
      <c r="M6" s="385"/>
      <c r="N6" s="385"/>
    </row>
    <row r="7" spans="1:16" s="84" customFormat="1" ht="27.6" customHeight="1">
      <c r="A7" s="385"/>
      <c r="B7" s="395" t="s">
        <v>4320</v>
      </c>
      <c r="C7" s="395">
        <v>0</v>
      </c>
      <c r="D7" s="395">
        <v>4</v>
      </c>
      <c r="E7" s="395">
        <v>1</v>
      </c>
      <c r="F7" s="578">
        <v>0</v>
      </c>
      <c r="G7" s="395">
        <v>0</v>
      </c>
      <c r="H7" s="395">
        <v>0</v>
      </c>
      <c r="I7" s="395">
        <v>3</v>
      </c>
      <c r="J7" s="385"/>
      <c r="K7" s="385"/>
      <c r="L7" s="385"/>
      <c r="M7" s="385"/>
      <c r="N7" s="385"/>
    </row>
    <row r="8" spans="1:16" s="84" customFormat="1" ht="27.6" customHeight="1">
      <c r="A8" s="385"/>
      <c r="B8" s="396" t="s">
        <v>4321</v>
      </c>
      <c r="C8" s="396">
        <v>0</v>
      </c>
      <c r="D8" s="396">
        <v>4</v>
      </c>
      <c r="E8" s="396">
        <v>11</v>
      </c>
      <c r="F8" s="575">
        <v>15</v>
      </c>
      <c r="G8" s="396">
        <v>0</v>
      </c>
      <c r="H8" s="396">
        <v>0</v>
      </c>
      <c r="I8" s="396">
        <v>3</v>
      </c>
      <c r="J8" s="385"/>
      <c r="K8" s="385"/>
      <c r="L8" s="385"/>
      <c r="M8" s="385"/>
      <c r="N8" s="385"/>
    </row>
    <row r="9" spans="1:16" s="84" customFormat="1" ht="27.6" customHeight="1">
      <c r="A9" s="385"/>
      <c r="B9" s="397" t="s">
        <v>4322</v>
      </c>
      <c r="C9" s="397">
        <v>2</v>
      </c>
      <c r="D9" s="397">
        <v>6</v>
      </c>
      <c r="E9" s="397">
        <v>9</v>
      </c>
      <c r="F9" s="579">
        <v>1</v>
      </c>
      <c r="G9" s="397">
        <v>0</v>
      </c>
      <c r="H9" s="397">
        <v>0</v>
      </c>
      <c r="I9" s="397">
        <v>5</v>
      </c>
      <c r="J9" s="385"/>
      <c r="K9" s="385"/>
      <c r="L9" s="385"/>
      <c r="M9" s="385"/>
      <c r="N9" s="385"/>
    </row>
    <row r="10" spans="1:16" s="84" customFormat="1" ht="27.6" customHeight="1">
      <c r="A10" s="385"/>
      <c r="B10" s="398" t="s">
        <v>1334</v>
      </c>
      <c r="C10" s="398">
        <v>0</v>
      </c>
      <c r="D10" s="398">
        <v>0</v>
      </c>
      <c r="E10" s="398">
        <v>0</v>
      </c>
      <c r="F10" s="735">
        <v>0</v>
      </c>
      <c r="G10" s="398">
        <v>0</v>
      </c>
      <c r="H10" s="398">
        <v>0</v>
      </c>
      <c r="I10" s="398">
        <v>0</v>
      </c>
      <c r="J10" s="385"/>
      <c r="K10" s="385"/>
      <c r="L10" s="385"/>
      <c r="M10" s="385"/>
      <c r="N10" s="385"/>
    </row>
    <row r="11" spans="1:16" s="84" customFormat="1" ht="27.6" customHeight="1">
      <c r="A11" s="385"/>
      <c r="B11" s="390" t="s">
        <v>4292</v>
      </c>
      <c r="C11" s="386">
        <f>SUM(C5:C10)</f>
        <v>2</v>
      </c>
      <c r="D11" s="386">
        <f>SUM(D5:D10)</f>
        <v>23</v>
      </c>
      <c r="E11" s="386">
        <f>SUM(E5:E9)</f>
        <v>30</v>
      </c>
      <c r="F11" s="736">
        <f>SUM(F5:F10)</f>
        <v>18</v>
      </c>
      <c r="G11" s="386">
        <f t="shared" ref="G11" si="0">SUM(G5:G10)</f>
        <v>0</v>
      </c>
      <c r="H11" s="386">
        <f>SUM(C11:G11)</f>
        <v>73</v>
      </c>
      <c r="I11" s="390"/>
      <c r="J11" s="385"/>
      <c r="K11" s="385"/>
      <c r="L11" s="385"/>
      <c r="M11" s="385"/>
      <c r="N11" s="385"/>
    </row>
    <row r="12" spans="1:16" s="84" customFormat="1" ht="27.6" customHeight="1">
      <c r="A12" s="385"/>
      <c r="B12" s="390" t="s">
        <v>4323</v>
      </c>
      <c r="C12" s="386"/>
      <c r="D12" s="386"/>
      <c r="E12" s="386"/>
      <c r="F12" s="386"/>
      <c r="G12" s="386"/>
      <c r="H12" s="386"/>
      <c r="I12" s="390"/>
      <c r="J12" s="385"/>
      <c r="K12" s="385"/>
      <c r="L12" s="385"/>
      <c r="M12" s="385"/>
      <c r="N12" s="385"/>
    </row>
    <row r="13" spans="1:16" ht="21">
      <c r="A13" s="35"/>
      <c r="B13" s="391" t="s">
        <v>2342</v>
      </c>
      <c r="C13" s="387">
        <v>0</v>
      </c>
      <c r="D13" s="387">
        <v>12</v>
      </c>
      <c r="E13" s="387">
        <v>23</v>
      </c>
      <c r="F13" s="741">
        <v>25</v>
      </c>
      <c r="G13" s="387">
        <v>0</v>
      </c>
      <c r="H13" s="386">
        <v>60</v>
      </c>
      <c r="I13" s="387"/>
      <c r="J13" s="35"/>
      <c r="K13" s="35"/>
      <c r="L13" s="35"/>
      <c r="M13" s="35"/>
      <c r="N13" s="35"/>
    </row>
    <row r="14" spans="1:16" ht="21">
      <c r="A14" s="35"/>
      <c r="B14" s="519" t="s">
        <v>4324</v>
      </c>
      <c r="C14" s="520"/>
      <c r="D14" s="520"/>
      <c r="E14" s="520"/>
      <c r="F14" s="520"/>
      <c r="G14" s="520"/>
      <c r="H14" s="520"/>
      <c r="I14" s="520"/>
      <c r="J14" s="35"/>
      <c r="K14" s="35"/>
      <c r="L14" s="35"/>
      <c r="M14" s="35"/>
      <c r="N14" s="35"/>
    </row>
    <row r="15" spans="1:16" ht="21.75" thickBot="1">
      <c r="A15" s="35"/>
      <c r="B15" s="388" t="s">
        <v>4316</v>
      </c>
      <c r="C15" s="388">
        <f>SUM(C11:C13)</f>
        <v>2</v>
      </c>
      <c r="D15" s="388">
        <f>SUM(D11:D13)</f>
        <v>35</v>
      </c>
      <c r="E15" s="388">
        <f t="shared" ref="E15:G15" si="1">SUM(E11:E13)</f>
        <v>53</v>
      </c>
      <c r="F15" s="388">
        <f t="shared" si="1"/>
        <v>43</v>
      </c>
      <c r="G15" s="388">
        <f t="shared" si="1"/>
        <v>0</v>
      </c>
      <c r="H15" s="388">
        <f>SUM(H11+H13)</f>
        <v>133</v>
      </c>
      <c r="I15" s="388">
        <f>SUM(I5:I9)</f>
        <v>15</v>
      </c>
      <c r="J15" s="35"/>
      <c r="K15" s="35"/>
      <c r="L15" s="35"/>
      <c r="M15" s="35"/>
      <c r="N15" s="35"/>
    </row>
    <row r="16" spans="1:16">
      <c r="A16" s="35"/>
      <c r="B16" s="34"/>
      <c r="C16" s="34"/>
      <c r="D16" s="34"/>
      <c r="E16" s="734"/>
      <c r="F16" s="34"/>
      <c r="G16" s="34"/>
      <c r="H16" s="34"/>
      <c r="I16" s="34"/>
      <c r="J16" s="35"/>
      <c r="K16" s="35"/>
      <c r="L16" s="35"/>
      <c r="M16" s="35"/>
      <c r="N16" s="35"/>
    </row>
    <row r="17" spans="1:14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4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4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4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1:14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1:14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14">
      <c r="J25" s="35"/>
      <c r="K25" s="35"/>
      <c r="L25" s="35"/>
      <c r="M25" s="35"/>
      <c r="N25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T58"/>
  <sheetViews>
    <sheetView zoomScaleNormal="70" workbookViewId="0">
      <pane xSplit="3" ySplit="6" topLeftCell="K7" activePane="bottomRight" state="frozen"/>
      <selection pane="bottomRight" activeCell="U24" sqref="U24"/>
      <selection pane="bottomLeft" activeCell="A7" sqref="A7"/>
      <selection pane="topRight" activeCell="D1" sqref="D1"/>
    </sheetView>
  </sheetViews>
  <sheetFormatPr defaultColWidth="11.875" defaultRowHeight="15.75"/>
  <cols>
    <col min="1" max="1" width="18.125" style="404" customWidth="1"/>
    <col min="2" max="3" width="11.5" style="404" customWidth="1"/>
    <col min="4" max="4" width="16.125" style="404" customWidth="1"/>
    <col min="5" max="6" width="11.5" style="404" customWidth="1"/>
    <col min="7" max="7" width="19.125" style="404" customWidth="1"/>
    <col min="8" max="8" width="11.5" style="404" customWidth="1"/>
    <col min="9" max="10" width="11.875" style="404"/>
    <col min="11" max="11" width="29" style="404" customWidth="1"/>
    <col min="12" max="27" width="11.875" style="404"/>
    <col min="28" max="29" width="15.125" style="404" customWidth="1"/>
    <col min="30" max="30" width="19.625" style="404" bestFit="1" customWidth="1"/>
    <col min="31" max="31" width="15.125" style="404" customWidth="1"/>
    <col min="32" max="33" width="11.875" style="404"/>
    <col min="34" max="34" width="4.875" style="404" customWidth="1"/>
    <col min="35" max="36" width="15.125" style="404" customWidth="1"/>
    <col min="37" max="37" width="22" style="404" bestFit="1" customWidth="1"/>
    <col min="38" max="38" width="15.125" style="404" customWidth="1"/>
    <col min="39" max="40" width="11.875" style="404"/>
    <col min="41" max="46" width="11.875" customWidth="1"/>
    <col min="47" max="16384" width="11.875" style="404"/>
  </cols>
  <sheetData>
    <row r="2" spans="1:40" customFormat="1" ht="21">
      <c r="A2" s="401" t="s">
        <v>4325</v>
      </c>
      <c r="B2" s="402"/>
      <c r="C2" s="402"/>
      <c r="D2" s="402"/>
      <c r="E2" s="402"/>
      <c r="F2" s="402"/>
      <c r="G2" s="403">
        <v>46054</v>
      </c>
      <c r="H2" s="404"/>
      <c r="I2" s="405"/>
      <c r="J2" s="405"/>
      <c r="K2" s="405"/>
      <c r="L2" s="405"/>
      <c r="M2" s="405"/>
      <c r="N2" s="405"/>
      <c r="O2" s="404"/>
      <c r="P2" s="404"/>
      <c r="Q2" s="404"/>
      <c r="R2" s="404"/>
      <c r="S2" s="404"/>
      <c r="T2" s="404"/>
      <c r="U2" s="404"/>
      <c r="V2" s="404"/>
      <c r="W2" s="404"/>
      <c r="X2" s="404"/>
      <c r="Y2" s="404"/>
      <c r="Z2" s="404"/>
      <c r="AA2" s="404"/>
      <c r="AB2" s="406" t="s">
        <v>4326</v>
      </c>
      <c r="AC2" s="404"/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</row>
    <row r="3" spans="1:40" customFormat="1">
      <c r="A3" s="406"/>
      <c r="B3" s="404"/>
      <c r="C3" s="404"/>
      <c r="D3" s="404"/>
      <c r="E3" s="404"/>
      <c r="F3" s="404"/>
      <c r="G3" s="404"/>
      <c r="H3" s="404"/>
      <c r="I3" s="405"/>
      <c r="J3" s="405"/>
      <c r="K3" s="405"/>
      <c r="L3" s="405"/>
      <c r="M3" s="405"/>
      <c r="N3" s="405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  <c r="AG3" s="404"/>
      <c r="AH3" s="404"/>
      <c r="AI3" s="404"/>
      <c r="AJ3" s="404"/>
      <c r="AK3" s="404"/>
      <c r="AL3" s="404"/>
      <c r="AM3" s="404"/>
      <c r="AN3" s="404"/>
    </row>
    <row r="4" spans="1:40" customFormat="1" ht="16.5" thickBot="1">
      <c r="A4" s="407" t="s">
        <v>4327</v>
      </c>
      <c r="B4" s="402"/>
      <c r="C4" s="402"/>
      <c r="D4" s="402"/>
      <c r="E4" s="402"/>
      <c r="F4" s="402"/>
      <c r="G4" s="404"/>
      <c r="H4" s="404"/>
      <c r="I4" s="405"/>
      <c r="J4" s="405"/>
      <c r="K4" s="405"/>
      <c r="L4" s="405"/>
      <c r="M4" s="407" t="s">
        <v>4328</v>
      </c>
      <c r="N4" s="402"/>
      <c r="O4" s="402"/>
      <c r="P4" s="402"/>
      <c r="Q4" s="402"/>
      <c r="R4" s="402"/>
      <c r="S4" s="402"/>
      <c r="T4" s="402"/>
      <c r="U4" s="402"/>
      <c r="V4" s="402"/>
      <c r="W4" s="404"/>
      <c r="X4" s="404"/>
      <c r="Y4" s="404"/>
      <c r="Z4" s="404"/>
      <c r="AA4" s="404"/>
      <c r="AB4" s="406" t="s">
        <v>4329</v>
      </c>
      <c r="AC4" s="404"/>
      <c r="AD4" s="404"/>
      <c r="AE4" s="404"/>
      <c r="AF4" s="404"/>
      <c r="AG4" s="404"/>
      <c r="AH4" s="404"/>
      <c r="AI4" s="404" t="s">
        <v>4330</v>
      </c>
      <c r="AJ4" s="404"/>
      <c r="AK4" s="404"/>
      <c r="AL4" s="404"/>
      <c r="AM4" s="404"/>
      <c r="AN4" s="404"/>
    </row>
    <row r="5" spans="1:40" s="412" customFormat="1" ht="17.100000000000001" customHeight="1" thickBot="1">
      <c r="A5" s="408"/>
      <c r="B5" s="798" t="s">
        <v>4331</v>
      </c>
      <c r="C5" s="799"/>
      <c r="D5" s="409" t="s">
        <v>4332</v>
      </c>
      <c r="E5" s="800" t="s">
        <v>4333</v>
      </c>
      <c r="F5" s="801"/>
      <c r="G5" s="410" t="s">
        <v>4332</v>
      </c>
      <c r="H5" s="411" t="s">
        <v>4334</v>
      </c>
      <c r="L5" s="413" t="s">
        <v>4335</v>
      </c>
      <c r="M5" s="414" t="s">
        <v>16</v>
      </c>
      <c r="N5" s="415" t="s">
        <v>4336</v>
      </c>
      <c r="O5" s="414" t="s">
        <v>16</v>
      </c>
      <c r="P5" s="415" t="s">
        <v>4336</v>
      </c>
      <c r="Q5" s="414" t="s">
        <v>16</v>
      </c>
      <c r="R5" s="415" t="s">
        <v>4336</v>
      </c>
      <c r="S5" s="414" t="s">
        <v>16</v>
      </c>
      <c r="T5" s="415" t="s">
        <v>4336</v>
      </c>
      <c r="U5" s="414" t="s">
        <v>16</v>
      </c>
      <c r="V5" s="415" t="s">
        <v>4336</v>
      </c>
      <c r="W5" s="414" t="s">
        <v>16</v>
      </c>
      <c r="X5" s="416" t="s">
        <v>16</v>
      </c>
      <c r="Y5" s="415" t="s">
        <v>4337</v>
      </c>
      <c r="AB5" s="417">
        <v>45292</v>
      </c>
      <c r="AI5" s="412" t="s">
        <v>4338</v>
      </c>
    </row>
    <row r="6" spans="1:40" s="426" customFormat="1" ht="20.100000000000001" customHeight="1" thickBot="1">
      <c r="A6" s="418"/>
      <c r="B6" s="419" t="s">
        <v>4339</v>
      </c>
      <c r="C6" s="420" t="s">
        <v>4340</v>
      </c>
      <c r="D6" s="421" t="s">
        <v>4341</v>
      </c>
      <c r="E6" s="422" t="s">
        <v>4339</v>
      </c>
      <c r="F6" s="423" t="s">
        <v>4340</v>
      </c>
      <c r="G6" s="424" t="s">
        <v>4341</v>
      </c>
      <c r="H6" s="425" t="s">
        <v>4342</v>
      </c>
      <c r="L6" s="427" t="s">
        <v>4343</v>
      </c>
      <c r="M6" s="428">
        <v>20</v>
      </c>
      <c r="N6" s="428">
        <v>20</v>
      </c>
      <c r="O6" s="428">
        <v>20</v>
      </c>
      <c r="P6" s="428">
        <v>20</v>
      </c>
      <c r="Q6" s="428">
        <v>20</v>
      </c>
      <c r="R6" s="428">
        <v>20</v>
      </c>
      <c r="S6" s="428">
        <v>20</v>
      </c>
      <c r="T6" s="428">
        <v>20</v>
      </c>
      <c r="U6" s="428">
        <v>20</v>
      </c>
      <c r="V6" s="428">
        <v>20</v>
      </c>
      <c r="W6" s="428">
        <v>20</v>
      </c>
      <c r="X6" s="428">
        <v>20</v>
      </c>
      <c r="Y6" s="428">
        <v>20</v>
      </c>
      <c r="AA6" s="429" t="s">
        <v>4331</v>
      </c>
      <c r="AB6" s="430" t="s">
        <v>4289</v>
      </c>
      <c r="AC6" s="431" t="s">
        <v>4344</v>
      </c>
      <c r="AD6" s="432" t="s">
        <v>4345</v>
      </c>
      <c r="AE6" s="433" t="s">
        <v>4346</v>
      </c>
      <c r="AF6" s="434" t="s">
        <v>4347</v>
      </c>
      <c r="AG6" s="435" t="s">
        <v>4347</v>
      </c>
      <c r="AH6" s="436"/>
      <c r="AI6" s="430" t="s">
        <v>4338</v>
      </c>
      <c r="AJ6" s="431" t="s">
        <v>4344</v>
      </c>
      <c r="AK6" s="432" t="s">
        <v>4348</v>
      </c>
      <c r="AL6" s="433" t="s">
        <v>4349</v>
      </c>
      <c r="AM6" s="434" t="s">
        <v>4350</v>
      </c>
      <c r="AN6" s="435" t="s">
        <v>4350</v>
      </c>
    </row>
    <row r="7" spans="1:40" customFormat="1">
      <c r="A7" s="802" t="s">
        <v>4351</v>
      </c>
      <c r="B7" s="437">
        <v>1</v>
      </c>
      <c r="C7" s="438">
        <v>4</v>
      </c>
      <c r="D7" s="439">
        <v>0</v>
      </c>
      <c r="E7" s="440">
        <f>+B7*4</f>
        <v>4</v>
      </c>
      <c r="F7" s="441">
        <f>+C7*4</f>
        <v>16</v>
      </c>
      <c r="G7" s="441">
        <v>0</v>
      </c>
      <c r="H7" s="442">
        <f>+D7+G7</f>
        <v>0</v>
      </c>
      <c r="I7" s="404"/>
      <c r="J7" s="404"/>
      <c r="K7" s="404"/>
      <c r="L7" s="427" t="s">
        <v>4352</v>
      </c>
      <c r="M7" s="428">
        <v>17.5</v>
      </c>
      <c r="N7" s="443">
        <v>21</v>
      </c>
      <c r="O7" s="428">
        <v>19</v>
      </c>
      <c r="P7" s="443">
        <v>15</v>
      </c>
      <c r="Q7" s="428">
        <v>19</v>
      </c>
      <c r="R7" s="443">
        <v>19</v>
      </c>
      <c r="S7" s="428">
        <v>17</v>
      </c>
      <c r="T7" s="443">
        <v>19</v>
      </c>
      <c r="U7" s="443">
        <v>19</v>
      </c>
      <c r="V7" s="443">
        <v>5</v>
      </c>
      <c r="W7" s="428">
        <v>14.5</v>
      </c>
      <c r="X7" s="444">
        <v>18</v>
      </c>
      <c r="Y7" s="443">
        <v>18</v>
      </c>
      <c r="Z7" s="404"/>
      <c r="AA7" s="445">
        <v>1</v>
      </c>
      <c r="AB7" s="446">
        <f t="shared" ref="AB7:AE8" si="0">+AB19+AB32</f>
        <v>72</v>
      </c>
      <c r="AC7" s="447">
        <f t="shared" si="0"/>
        <v>548</v>
      </c>
      <c r="AD7" s="440">
        <f t="shared" si="0"/>
        <v>37</v>
      </c>
      <c r="AE7" s="441">
        <f t="shared" si="0"/>
        <v>269</v>
      </c>
      <c r="AF7" s="448">
        <f t="shared" ref="AF7:AG10" si="1">-1+(AB7/AD7)</f>
        <v>0.94594594594594605</v>
      </c>
      <c r="AG7" s="449">
        <f t="shared" si="1"/>
        <v>1.037174721189591</v>
      </c>
      <c r="AH7" s="450"/>
      <c r="AI7" s="446">
        <f t="shared" ref="AI7:AL8" si="2">+AI19+AI32</f>
        <v>11</v>
      </c>
      <c r="AJ7" s="447">
        <f t="shared" si="2"/>
        <v>245</v>
      </c>
      <c r="AK7" s="440">
        <f t="shared" si="2"/>
        <v>25</v>
      </c>
      <c r="AL7" s="441">
        <f t="shared" si="2"/>
        <v>196</v>
      </c>
      <c r="AM7" s="448">
        <f t="shared" ref="AM7:AN10" si="3">-1+(AI7/AK7)</f>
        <v>-0.56000000000000005</v>
      </c>
      <c r="AN7" s="449">
        <f t="shared" si="3"/>
        <v>0.25</v>
      </c>
    </row>
    <row r="8" spans="1:40" customFormat="1">
      <c r="A8" s="803"/>
      <c r="B8" s="437">
        <v>5</v>
      </c>
      <c r="C8" s="438">
        <v>10</v>
      </c>
      <c r="D8" s="439">
        <v>3</v>
      </c>
      <c r="E8" s="440">
        <v>17</v>
      </c>
      <c r="F8" s="441">
        <f>+C8*4</f>
        <v>40</v>
      </c>
      <c r="G8" s="441">
        <v>3</v>
      </c>
      <c r="H8" s="442">
        <f>+D8+G8</f>
        <v>6</v>
      </c>
      <c r="I8" s="404"/>
      <c r="J8" s="404"/>
      <c r="K8" s="404"/>
      <c r="L8" s="451" t="s">
        <v>4353</v>
      </c>
      <c r="M8" s="452" t="s">
        <v>2982</v>
      </c>
      <c r="N8" s="452" t="s">
        <v>4203</v>
      </c>
      <c r="O8" s="452" t="s">
        <v>4354</v>
      </c>
      <c r="P8" s="452" t="s">
        <v>4355</v>
      </c>
      <c r="Q8" s="452" t="s">
        <v>4356</v>
      </c>
      <c r="R8" s="452" t="s">
        <v>4357</v>
      </c>
      <c r="S8" s="452" t="s">
        <v>4358</v>
      </c>
      <c r="T8" s="452" t="s">
        <v>4359</v>
      </c>
      <c r="U8" s="452" t="s">
        <v>4360</v>
      </c>
      <c r="V8" s="452" t="s">
        <v>4361</v>
      </c>
      <c r="W8" s="453" t="s">
        <v>4362</v>
      </c>
      <c r="X8" s="454" t="s">
        <v>4363</v>
      </c>
      <c r="Y8" s="455" t="s">
        <v>4364</v>
      </c>
      <c r="Z8" s="404"/>
      <c r="AA8" s="445">
        <v>2</v>
      </c>
      <c r="AB8" s="446">
        <f t="shared" si="0"/>
        <v>47</v>
      </c>
      <c r="AC8" s="447">
        <f t="shared" si="0"/>
        <v>388</v>
      </c>
      <c r="AD8" s="440">
        <f t="shared" si="0"/>
        <v>14</v>
      </c>
      <c r="AE8" s="441">
        <f t="shared" si="0"/>
        <v>100</v>
      </c>
      <c r="AF8" s="448">
        <f t="shared" si="1"/>
        <v>2.3571428571428572</v>
      </c>
      <c r="AG8" s="449">
        <f t="shared" si="1"/>
        <v>2.88</v>
      </c>
      <c r="AH8" s="450"/>
      <c r="AI8" s="446">
        <f t="shared" si="2"/>
        <v>12</v>
      </c>
      <c r="AJ8" s="447">
        <f t="shared" si="2"/>
        <v>831</v>
      </c>
      <c r="AK8" s="440">
        <f t="shared" si="2"/>
        <v>6</v>
      </c>
      <c r="AL8" s="441">
        <f t="shared" si="2"/>
        <v>51</v>
      </c>
      <c r="AM8" s="448">
        <f t="shared" si="3"/>
        <v>1</v>
      </c>
      <c r="AN8" s="449">
        <f t="shared" si="3"/>
        <v>15.294117647058822</v>
      </c>
    </row>
    <row r="9" spans="1:40" customFormat="1" ht="16.5" thickBot="1">
      <c r="A9" s="803"/>
      <c r="B9" s="437">
        <v>11</v>
      </c>
      <c r="C9" s="438">
        <v>15</v>
      </c>
      <c r="D9" s="439">
        <v>6</v>
      </c>
      <c r="E9" s="440">
        <v>41</v>
      </c>
      <c r="F9" s="441">
        <f>+C9*4</f>
        <v>60</v>
      </c>
      <c r="G9" s="441">
        <v>6</v>
      </c>
      <c r="H9" s="442">
        <f>+D9+G9</f>
        <v>12</v>
      </c>
      <c r="I9" s="404"/>
      <c r="J9" s="404"/>
      <c r="K9" s="404"/>
      <c r="L9" s="445" t="s">
        <v>4365</v>
      </c>
      <c r="M9" s="456">
        <v>1</v>
      </c>
      <c r="N9" s="457">
        <v>1</v>
      </c>
      <c r="O9" s="456">
        <v>2</v>
      </c>
      <c r="P9" s="457">
        <v>2</v>
      </c>
      <c r="Q9" s="456">
        <v>3</v>
      </c>
      <c r="R9" s="457">
        <v>3</v>
      </c>
      <c r="S9" s="456">
        <v>4</v>
      </c>
      <c r="T9" s="457">
        <v>4</v>
      </c>
      <c r="U9" s="458">
        <v>5</v>
      </c>
      <c r="V9" s="458">
        <v>5</v>
      </c>
      <c r="W9" s="456">
        <v>1</v>
      </c>
      <c r="X9" s="459">
        <v>1</v>
      </c>
      <c r="Y9" s="457">
        <v>1</v>
      </c>
      <c r="Z9" s="404"/>
      <c r="AA9" s="445">
        <v>3</v>
      </c>
      <c r="AB9" s="446">
        <f t="shared" ref="AB9:AE10" si="4">+AB22+AB40</f>
        <v>25</v>
      </c>
      <c r="AC9" s="447">
        <f t="shared" si="4"/>
        <v>186</v>
      </c>
      <c r="AD9" s="440">
        <f t="shared" si="4"/>
        <v>18</v>
      </c>
      <c r="AE9" s="441">
        <f t="shared" si="4"/>
        <v>126</v>
      </c>
      <c r="AF9" s="448">
        <f t="shared" si="1"/>
        <v>0.38888888888888884</v>
      </c>
      <c r="AG9" s="449">
        <f t="shared" si="1"/>
        <v>0.47619047619047628</v>
      </c>
      <c r="AH9" s="450"/>
      <c r="AI9" s="446">
        <f t="shared" ref="AI9:AL10" si="5">+AI22+AI40</f>
        <v>7</v>
      </c>
      <c r="AJ9" s="447">
        <f t="shared" si="5"/>
        <v>114</v>
      </c>
      <c r="AK9" s="440">
        <f t="shared" si="5"/>
        <v>10</v>
      </c>
      <c r="AL9" s="441">
        <f t="shared" si="5"/>
        <v>63</v>
      </c>
      <c r="AM9" s="448">
        <f t="shared" si="3"/>
        <v>-0.30000000000000004</v>
      </c>
      <c r="AN9" s="449">
        <f t="shared" si="3"/>
        <v>0.80952380952380953</v>
      </c>
    </row>
    <row r="10" spans="1:40" customFormat="1" ht="16.5" thickBot="1">
      <c r="A10" s="804"/>
      <c r="B10" s="460">
        <v>16</v>
      </c>
      <c r="C10" s="461"/>
      <c r="D10" s="462">
        <v>9</v>
      </c>
      <c r="E10" s="463">
        <v>61</v>
      </c>
      <c r="F10" s="464"/>
      <c r="G10" s="464">
        <v>9</v>
      </c>
      <c r="H10" s="465">
        <f>+D10+G10</f>
        <v>18</v>
      </c>
      <c r="I10" s="404"/>
      <c r="J10" s="404"/>
      <c r="K10" s="404"/>
      <c r="L10" s="466">
        <f>SUM(M10:W10)</f>
        <v>276.62</v>
      </c>
      <c r="M10" s="467">
        <f>+F17</f>
        <v>8.73</v>
      </c>
      <c r="N10" s="468">
        <f>+M10</f>
        <v>8.73</v>
      </c>
      <c r="O10" s="467">
        <f>+F22</f>
        <v>6.6</v>
      </c>
      <c r="P10" s="468">
        <f>+O10</f>
        <v>6.6</v>
      </c>
      <c r="Q10" s="467">
        <f>+F27</f>
        <v>12.45</v>
      </c>
      <c r="R10" s="468">
        <f>+Q10</f>
        <v>12.45</v>
      </c>
      <c r="S10" s="467">
        <f>+F32</f>
        <v>42.230000000000004</v>
      </c>
      <c r="T10" s="468">
        <f>+S10</f>
        <v>42.230000000000004</v>
      </c>
      <c r="U10" s="468">
        <f>+F37</f>
        <v>11.7</v>
      </c>
      <c r="V10" s="468">
        <f>+F37</f>
        <v>11.7</v>
      </c>
      <c r="W10" s="467">
        <f>+Y10</f>
        <v>113.2</v>
      </c>
      <c r="X10" s="469">
        <f>+M10</f>
        <v>8.73</v>
      </c>
      <c r="Y10" s="468">
        <f>+F57</f>
        <v>113.2</v>
      </c>
      <c r="Z10" s="404"/>
      <c r="AA10" s="445">
        <v>4</v>
      </c>
      <c r="AB10" s="446">
        <f t="shared" si="4"/>
        <v>26</v>
      </c>
      <c r="AC10" s="447">
        <f t="shared" si="4"/>
        <v>556</v>
      </c>
      <c r="AD10" s="440">
        <f t="shared" si="4"/>
        <v>30</v>
      </c>
      <c r="AE10" s="441">
        <f t="shared" si="4"/>
        <v>222</v>
      </c>
      <c r="AF10" s="448">
        <f t="shared" si="1"/>
        <v>-0.1333333333333333</v>
      </c>
      <c r="AG10" s="449">
        <f t="shared" si="1"/>
        <v>1.5045045045045047</v>
      </c>
      <c r="AH10" s="450"/>
      <c r="AI10" s="446">
        <f t="shared" si="5"/>
        <v>9</v>
      </c>
      <c r="AJ10" s="447">
        <f t="shared" si="5"/>
        <v>143</v>
      </c>
      <c r="AK10" s="440">
        <f t="shared" si="5"/>
        <v>22</v>
      </c>
      <c r="AL10" s="441">
        <f t="shared" si="5"/>
        <v>132</v>
      </c>
      <c r="AM10" s="448">
        <f t="shared" si="3"/>
        <v>-0.59090909090909083</v>
      </c>
      <c r="AN10" s="449">
        <f t="shared" si="3"/>
        <v>8.3333333333333259E-2</v>
      </c>
    </row>
    <row r="11" spans="1:40" customFormat="1" ht="16.5" thickBot="1">
      <c r="A11" s="445"/>
      <c r="B11" s="445"/>
      <c r="C11" s="445"/>
      <c r="D11" s="445"/>
      <c r="E11" s="445"/>
      <c r="F11" s="445"/>
      <c r="G11" s="404"/>
      <c r="H11" s="404"/>
      <c r="I11" s="404"/>
      <c r="J11" s="404"/>
      <c r="K11" s="404"/>
      <c r="L11" s="451" t="s">
        <v>4366</v>
      </c>
      <c r="M11" s="470">
        <f>+M10/M6*M7</f>
        <v>7.6387499999999999</v>
      </c>
      <c r="N11" s="471">
        <f t="shared" ref="N11:R11" si="6">+N10/N6*N7</f>
        <v>9.1664999999999992</v>
      </c>
      <c r="O11" s="470">
        <f t="shared" si="6"/>
        <v>6.27</v>
      </c>
      <c r="P11" s="471">
        <f t="shared" si="6"/>
        <v>4.9499999999999993</v>
      </c>
      <c r="Q11" s="470">
        <f>+Q10/Q6*Q7</f>
        <v>11.827499999999999</v>
      </c>
      <c r="R11" s="471">
        <f t="shared" si="6"/>
        <v>11.827499999999999</v>
      </c>
      <c r="S11" s="470">
        <f>+S10/S6*S7</f>
        <v>35.895500000000006</v>
      </c>
      <c r="T11" s="471">
        <f t="shared" ref="T11:X11" si="7">+T10/T6*T7</f>
        <v>40.118500000000004</v>
      </c>
      <c r="U11" s="471">
        <f t="shared" si="7"/>
        <v>11.114999999999998</v>
      </c>
      <c r="V11" s="471">
        <f t="shared" si="7"/>
        <v>2.9249999999999998</v>
      </c>
      <c r="W11" s="471">
        <f t="shared" si="7"/>
        <v>82.070000000000007</v>
      </c>
      <c r="X11" s="471">
        <f t="shared" si="7"/>
        <v>7.8570000000000002</v>
      </c>
      <c r="Y11" s="471">
        <f>+Y10/Y6*Y7</f>
        <v>101.88</v>
      </c>
      <c r="Z11" s="472">
        <f>SUM(M11:Y11)</f>
        <v>333.54124999999999</v>
      </c>
      <c r="AA11" s="445"/>
      <c r="AB11" s="446"/>
      <c r="AC11" s="447"/>
      <c r="AD11" s="440"/>
      <c r="AE11" s="441"/>
      <c r="AF11" s="473"/>
      <c r="AG11" s="474"/>
      <c r="AH11" s="445"/>
      <c r="AI11" s="446"/>
      <c r="AJ11" s="447"/>
      <c r="AK11" s="440"/>
      <c r="AL11" s="441"/>
      <c r="AM11" s="473"/>
      <c r="AN11" s="474"/>
    </row>
    <row r="12" spans="1:40" customFormat="1" ht="16.5" thickBot="1">
      <c r="A12" s="475" t="s">
        <v>4367</v>
      </c>
      <c r="B12" s="476"/>
      <c r="C12" s="476"/>
      <c r="D12" s="476"/>
      <c r="E12" s="476"/>
      <c r="F12" s="476"/>
      <c r="G12" s="404"/>
      <c r="H12" s="477" t="s">
        <v>4368</v>
      </c>
      <c r="I12" s="404"/>
      <c r="J12" s="404"/>
      <c r="K12" s="404"/>
      <c r="L12" s="404"/>
      <c r="M12" s="466"/>
      <c r="N12" s="466"/>
      <c r="O12" s="466"/>
      <c r="P12" s="466"/>
      <c r="Q12" s="466"/>
      <c r="R12" s="466"/>
      <c r="S12" s="466"/>
      <c r="T12" s="466"/>
      <c r="U12" s="466"/>
      <c r="V12" s="466"/>
      <c r="W12" s="466" t="s">
        <v>4203</v>
      </c>
      <c r="X12" s="466" t="s">
        <v>4203</v>
      </c>
      <c r="Y12" s="466"/>
      <c r="Z12" s="404"/>
      <c r="AA12" s="445" t="s">
        <v>4334</v>
      </c>
      <c r="AB12" s="456">
        <f>SUM(AB7:AB11)</f>
        <v>170</v>
      </c>
      <c r="AC12" s="457">
        <f>SUM(AC7:AC11)</f>
        <v>1678</v>
      </c>
      <c r="AD12" s="463">
        <f>SUM(AD7:AD11)</f>
        <v>99</v>
      </c>
      <c r="AE12" s="464">
        <f>SUM(AE7:AE11)</f>
        <v>717</v>
      </c>
      <c r="AF12" s="478">
        <f>-1+(AB12/AD12)</f>
        <v>0.71717171717171713</v>
      </c>
      <c r="AG12" s="479">
        <f>-1+(AC12/AE12)</f>
        <v>1.3403068340306836</v>
      </c>
      <c r="AH12" s="480"/>
      <c r="AI12" s="456">
        <f>SUM(AI7:AI11)</f>
        <v>39</v>
      </c>
      <c r="AJ12" s="457">
        <f>SUM(AJ7:AJ11)</f>
        <v>1333</v>
      </c>
      <c r="AK12" s="463">
        <f>SUM(AK7:AK11)</f>
        <v>63</v>
      </c>
      <c r="AL12" s="464">
        <f>SUM(AL7:AL11)</f>
        <v>442</v>
      </c>
      <c r="AM12" s="478">
        <f>-1+(AI12/AK12)</f>
        <v>-0.38095238095238093</v>
      </c>
      <c r="AN12" s="479">
        <f>-1+(AJ12/AL12)</f>
        <v>2.0158371040723981</v>
      </c>
    </row>
    <row r="13" spans="1:40" customFormat="1">
      <c r="A13" s="476"/>
      <c r="B13" s="476" t="s">
        <v>4369</v>
      </c>
      <c r="C13" s="476" t="s">
        <v>4370</v>
      </c>
      <c r="D13" s="476" t="s">
        <v>4334</v>
      </c>
      <c r="E13" s="476" t="s">
        <v>4371</v>
      </c>
      <c r="F13" s="476" t="s">
        <v>4372</v>
      </c>
      <c r="G13" s="406" t="s">
        <v>4373</v>
      </c>
      <c r="H13" s="481" t="s">
        <v>4374</v>
      </c>
      <c r="I13" s="404"/>
      <c r="J13" s="404"/>
      <c r="K13" s="404"/>
      <c r="L13" s="404"/>
      <c r="M13" s="472">
        <f>+M11</f>
        <v>7.6387499999999999</v>
      </c>
      <c r="N13" s="472">
        <f>+N11</f>
        <v>9.1664999999999992</v>
      </c>
      <c r="O13" s="472">
        <f t="shared" ref="O13:X13" si="8">+O11</f>
        <v>6.27</v>
      </c>
      <c r="P13" s="472">
        <f t="shared" si="8"/>
        <v>4.9499999999999993</v>
      </c>
      <c r="Q13" s="472">
        <f t="shared" si="8"/>
        <v>11.827499999999999</v>
      </c>
      <c r="R13" s="472">
        <f t="shared" si="8"/>
        <v>11.827499999999999</v>
      </c>
      <c r="S13" s="472">
        <f t="shared" si="8"/>
        <v>35.895500000000006</v>
      </c>
      <c r="T13" s="472">
        <f>+T11</f>
        <v>40.118500000000004</v>
      </c>
      <c r="U13" s="472">
        <f t="shared" ref="U13:V13" si="9">+U11</f>
        <v>11.114999999999998</v>
      </c>
      <c r="V13" s="472">
        <f t="shared" si="9"/>
        <v>2.9249999999999998</v>
      </c>
      <c r="W13" s="472">
        <f t="shared" si="8"/>
        <v>82.070000000000007</v>
      </c>
      <c r="X13" s="472">
        <f t="shared" si="8"/>
        <v>7.8570000000000002</v>
      </c>
      <c r="Y13" s="472">
        <f>+Y11</f>
        <v>101.88</v>
      </c>
      <c r="Z13" s="472">
        <f>SUM(M13:Y13)</f>
        <v>333.54124999999999</v>
      </c>
      <c r="AA13" s="445"/>
      <c r="AB13" s="445"/>
      <c r="AC13" s="445"/>
      <c r="AD13" s="404"/>
      <c r="AE13" s="404"/>
      <c r="AF13" s="404"/>
      <c r="AG13" s="404"/>
      <c r="AH13" s="404"/>
      <c r="AI13" s="404"/>
      <c r="AJ13" s="404"/>
      <c r="AK13" s="404"/>
      <c r="AL13" s="404"/>
      <c r="AM13" s="404"/>
      <c r="AN13" s="404"/>
    </row>
    <row r="14" spans="1:40" customFormat="1">
      <c r="A14" s="476" t="s">
        <v>4375</v>
      </c>
      <c r="B14" s="475">
        <v>4</v>
      </c>
      <c r="C14" s="482">
        <v>0</v>
      </c>
      <c r="D14" s="476">
        <f>+B14*C14</f>
        <v>0</v>
      </c>
      <c r="E14" s="476">
        <v>2</v>
      </c>
      <c r="F14" s="483">
        <f>+D14/E14</f>
        <v>0</v>
      </c>
      <c r="G14" s="406" t="s">
        <v>4376</v>
      </c>
      <c r="H14" s="484" t="s">
        <v>4377</v>
      </c>
      <c r="I14" s="404"/>
      <c r="J14" s="404"/>
      <c r="K14" s="404"/>
      <c r="L14" s="406" t="s">
        <v>4378</v>
      </c>
      <c r="M14" s="472">
        <v>0</v>
      </c>
      <c r="N14" s="472">
        <v>0</v>
      </c>
      <c r="O14" s="472">
        <v>0</v>
      </c>
      <c r="P14" s="472">
        <v>0</v>
      </c>
      <c r="Q14" s="472">
        <v>0</v>
      </c>
      <c r="R14" s="472">
        <v>0</v>
      </c>
      <c r="S14" s="472">
        <v>0</v>
      </c>
      <c r="T14" s="472">
        <v>0</v>
      </c>
      <c r="U14" s="472">
        <v>0</v>
      </c>
      <c r="V14" s="472">
        <v>0</v>
      </c>
      <c r="W14" s="472">
        <v>0</v>
      </c>
      <c r="X14" s="472">
        <v>0</v>
      </c>
      <c r="Y14" s="472">
        <v>0</v>
      </c>
      <c r="Z14" s="472">
        <f>SUM(M14:Y14)</f>
        <v>0</v>
      </c>
      <c r="AA14" s="445"/>
      <c r="AB14" s="445"/>
      <c r="AC14" s="445"/>
      <c r="AD14" s="404"/>
      <c r="AE14" s="404"/>
      <c r="AF14" s="404"/>
      <c r="AG14" s="404"/>
      <c r="AH14" s="404"/>
      <c r="AI14" s="404"/>
      <c r="AJ14" s="404"/>
      <c r="AK14" s="404"/>
      <c r="AL14" s="404"/>
      <c r="AM14" s="404"/>
      <c r="AN14" s="404"/>
    </row>
    <row r="15" spans="1:40" customFormat="1">
      <c r="A15" s="476" t="s">
        <v>4333</v>
      </c>
      <c r="B15" s="476">
        <v>22</v>
      </c>
      <c r="C15" s="485">
        <v>3</v>
      </c>
      <c r="D15" s="476">
        <f>+B15*C15</f>
        <v>66</v>
      </c>
      <c r="E15" s="476">
        <v>10</v>
      </c>
      <c r="F15" s="483">
        <f>+D15/E15</f>
        <v>6.6</v>
      </c>
      <c r="G15" s="404"/>
      <c r="H15" s="481" t="s">
        <v>4379</v>
      </c>
      <c r="I15" s="404"/>
      <c r="J15" s="404"/>
      <c r="K15" s="404"/>
      <c r="L15" s="406" t="s">
        <v>4380</v>
      </c>
      <c r="M15" s="486">
        <f>+M14/M6*M7</f>
        <v>0</v>
      </c>
      <c r="N15" s="486">
        <f>+N14/N6*N7</f>
        <v>0</v>
      </c>
      <c r="O15" s="486">
        <f t="shared" ref="O15:Y15" si="10">+O14/O6*O7</f>
        <v>0</v>
      </c>
      <c r="P15" s="486">
        <f t="shared" si="10"/>
        <v>0</v>
      </c>
      <c r="Q15" s="486">
        <f t="shared" si="10"/>
        <v>0</v>
      </c>
      <c r="R15" s="486">
        <f>+R14/R6*R7</f>
        <v>0</v>
      </c>
      <c r="S15" s="486">
        <f t="shared" si="10"/>
        <v>0</v>
      </c>
      <c r="T15" s="486">
        <f t="shared" si="10"/>
        <v>0</v>
      </c>
      <c r="U15" s="486">
        <f t="shared" si="10"/>
        <v>0</v>
      </c>
      <c r="V15" s="486">
        <f t="shared" si="10"/>
        <v>0</v>
      </c>
      <c r="W15" s="486">
        <f t="shared" si="10"/>
        <v>0</v>
      </c>
      <c r="X15" s="486">
        <f>+X14/X6*X7</f>
        <v>0</v>
      </c>
      <c r="Y15" s="486">
        <f t="shared" si="10"/>
        <v>0</v>
      </c>
      <c r="Z15" s="472">
        <f>SUM(M15:Y15)</f>
        <v>0</v>
      </c>
      <c r="AA15" s="404"/>
      <c r="AB15" s="406" t="s">
        <v>4293</v>
      </c>
      <c r="AC15" s="404"/>
      <c r="AD15" s="404"/>
      <c r="AE15" s="404"/>
      <c r="AF15" s="404"/>
      <c r="AG15" s="404"/>
      <c r="AH15" s="404"/>
      <c r="AI15" s="404"/>
      <c r="AJ15" s="404"/>
      <c r="AK15" s="404"/>
      <c r="AL15" s="404"/>
      <c r="AM15" s="404"/>
      <c r="AN15" s="404"/>
    </row>
    <row r="16" spans="1:40" customFormat="1">
      <c r="A16" s="476" t="s">
        <v>4293</v>
      </c>
      <c r="B16" s="476">
        <v>3</v>
      </c>
      <c r="C16" s="485"/>
      <c r="D16" s="476"/>
      <c r="E16" s="476"/>
      <c r="F16" s="483">
        <v>2.13</v>
      </c>
      <c r="G16" s="404"/>
      <c r="H16" s="481"/>
      <c r="I16" s="404"/>
      <c r="J16" s="404"/>
      <c r="K16" s="404"/>
      <c r="L16" s="487" t="s">
        <v>4381</v>
      </c>
      <c r="M16" s="404"/>
      <c r="N16" s="404"/>
      <c r="O16" s="404"/>
      <c r="P16" s="404"/>
      <c r="Q16" s="404"/>
      <c r="R16" s="404"/>
      <c r="S16" s="404"/>
      <c r="T16" s="404"/>
      <c r="U16" s="404"/>
      <c r="V16" s="404"/>
      <c r="W16" s="404"/>
      <c r="X16" s="404"/>
      <c r="Y16" s="404"/>
      <c r="Z16" s="404"/>
      <c r="AA16" s="404"/>
      <c r="AB16" s="406"/>
      <c r="AC16" s="404"/>
      <c r="AD16" s="404"/>
      <c r="AE16" s="404"/>
      <c r="AF16" s="404"/>
      <c r="AG16" s="404"/>
      <c r="AH16" s="404"/>
      <c r="AI16" s="404"/>
      <c r="AJ16" s="404"/>
      <c r="AK16" s="404"/>
      <c r="AL16" s="404"/>
      <c r="AM16" s="404"/>
      <c r="AN16" s="404"/>
    </row>
    <row r="17" spans="1:40" customFormat="1" ht="16.5" thickBot="1">
      <c r="A17" s="476"/>
      <c r="B17" s="476"/>
      <c r="C17" s="476"/>
      <c r="D17" s="476"/>
      <c r="E17" s="476">
        <v>9</v>
      </c>
      <c r="F17" s="488">
        <f>SUM(F14:F16)</f>
        <v>8.73</v>
      </c>
      <c r="G17" s="406"/>
      <c r="H17" s="481" t="s">
        <v>4382</v>
      </c>
      <c r="I17" s="404"/>
      <c r="J17" s="404"/>
      <c r="K17" s="404"/>
      <c r="L17" s="404" t="s">
        <v>4334</v>
      </c>
      <c r="M17" s="472">
        <f>+M13+M15</f>
        <v>7.6387499999999999</v>
      </c>
      <c r="N17" s="472">
        <f t="shared" ref="N17:Y17" si="11">+N13+N15</f>
        <v>9.1664999999999992</v>
      </c>
      <c r="O17" s="472">
        <f t="shared" si="11"/>
        <v>6.27</v>
      </c>
      <c r="P17" s="472">
        <f t="shared" si="11"/>
        <v>4.9499999999999993</v>
      </c>
      <c r="Q17" s="472">
        <f t="shared" si="11"/>
        <v>11.827499999999999</v>
      </c>
      <c r="R17" s="472">
        <f t="shared" si="11"/>
        <v>11.827499999999999</v>
      </c>
      <c r="S17" s="472">
        <f t="shared" si="11"/>
        <v>35.895500000000006</v>
      </c>
      <c r="T17" s="472">
        <f t="shared" si="11"/>
        <v>40.118500000000004</v>
      </c>
      <c r="U17" s="472">
        <f t="shared" si="11"/>
        <v>11.114999999999998</v>
      </c>
      <c r="V17" s="472">
        <f t="shared" si="11"/>
        <v>2.9249999999999998</v>
      </c>
      <c r="W17" s="472">
        <f t="shared" si="11"/>
        <v>82.070000000000007</v>
      </c>
      <c r="X17" s="472">
        <f>+X13+X15</f>
        <v>7.8570000000000002</v>
      </c>
      <c r="Y17" s="472">
        <f t="shared" si="11"/>
        <v>101.88</v>
      </c>
      <c r="Z17" s="472">
        <f>SUM(M17:Y17)</f>
        <v>333.54124999999999</v>
      </c>
      <c r="AA17" s="412"/>
      <c r="AB17" s="417">
        <v>45292</v>
      </c>
      <c r="AC17" s="412"/>
      <c r="AD17" s="412"/>
      <c r="AE17" s="412"/>
      <c r="AF17" s="412"/>
      <c r="AG17" s="412"/>
      <c r="AH17" s="412"/>
      <c r="AI17" s="412"/>
      <c r="AJ17" s="412"/>
      <c r="AK17" s="412"/>
      <c r="AL17" s="412"/>
      <c r="AM17" s="404"/>
      <c r="AN17" s="404"/>
    </row>
    <row r="18" spans="1:40" customFormat="1">
      <c r="A18" s="476"/>
      <c r="B18" s="476" t="s">
        <v>4369</v>
      </c>
      <c r="C18" s="476" t="s">
        <v>4370</v>
      </c>
      <c r="D18" s="476" t="s">
        <v>4334</v>
      </c>
      <c r="E18" s="476" t="s">
        <v>4371</v>
      </c>
      <c r="F18" s="483" t="s">
        <v>4372</v>
      </c>
      <c r="G18" s="406" t="s">
        <v>4383</v>
      </c>
      <c r="H18" s="481" t="s">
        <v>4384</v>
      </c>
      <c r="I18" s="404"/>
      <c r="J18" s="404"/>
      <c r="K18" s="404"/>
      <c r="L18" s="404"/>
      <c r="M18" s="404" t="s">
        <v>4385</v>
      </c>
      <c r="N18" s="404"/>
      <c r="O18" s="404"/>
      <c r="P18" s="404"/>
      <c r="Q18" s="404"/>
      <c r="R18" s="404"/>
      <c r="S18" s="404"/>
      <c r="T18" s="404"/>
      <c r="U18" s="404"/>
      <c r="V18" s="404"/>
      <c r="W18" s="404"/>
      <c r="X18" s="404"/>
      <c r="Y18" s="404"/>
      <c r="Z18" s="404"/>
      <c r="AA18" s="429" t="s">
        <v>4331</v>
      </c>
      <c r="AB18" s="430" t="s">
        <v>4289</v>
      </c>
      <c r="AC18" s="431" t="s">
        <v>4344</v>
      </c>
      <c r="AD18" s="432" t="s">
        <v>4345</v>
      </c>
      <c r="AE18" s="433" t="s">
        <v>4346</v>
      </c>
      <c r="AF18" s="434" t="s">
        <v>4347</v>
      </c>
      <c r="AG18" s="435" t="s">
        <v>4347</v>
      </c>
      <c r="AH18" s="436"/>
      <c r="AI18" s="430" t="s">
        <v>4338</v>
      </c>
      <c r="AJ18" s="431" t="s">
        <v>4344</v>
      </c>
      <c r="AK18" s="432" t="s">
        <v>4348</v>
      </c>
      <c r="AL18" s="433" t="s">
        <v>4349</v>
      </c>
      <c r="AM18" s="434" t="s">
        <v>4350</v>
      </c>
      <c r="AN18" s="435" t="s">
        <v>4350</v>
      </c>
    </row>
    <row r="19" spans="1:40" customFormat="1">
      <c r="A19" s="476" t="s">
        <v>4375</v>
      </c>
      <c r="B19" s="475">
        <v>1</v>
      </c>
      <c r="C19" s="482">
        <v>0</v>
      </c>
      <c r="D19" s="476">
        <f>+B19*C19</f>
        <v>0</v>
      </c>
      <c r="E19" s="476">
        <v>2</v>
      </c>
      <c r="F19" s="483">
        <f>+D19/E19</f>
        <v>0</v>
      </c>
      <c r="G19" s="406" t="s">
        <v>4386</v>
      </c>
      <c r="H19" s="481" t="s">
        <v>4387</v>
      </c>
      <c r="I19" s="404"/>
      <c r="J19" s="404"/>
      <c r="K19" s="404"/>
      <c r="L19" s="404"/>
      <c r="M19" s="404" t="s">
        <v>2982</v>
      </c>
      <c r="N19" s="404"/>
      <c r="O19" s="404" t="s">
        <v>4354</v>
      </c>
      <c r="P19" s="404" t="s">
        <v>4355</v>
      </c>
      <c r="Q19" s="404" t="s">
        <v>4356</v>
      </c>
      <c r="R19" s="404" t="s">
        <v>4357</v>
      </c>
      <c r="S19" s="404" t="s">
        <v>4358</v>
      </c>
      <c r="T19" s="404" t="s">
        <v>4359</v>
      </c>
      <c r="U19" s="404" t="s">
        <v>4388</v>
      </c>
      <c r="V19" s="404" t="s">
        <v>4361</v>
      </c>
      <c r="W19" s="404" t="s">
        <v>4362</v>
      </c>
      <c r="X19" s="404" t="s">
        <v>4363</v>
      </c>
      <c r="Y19" s="404" t="s">
        <v>4364</v>
      </c>
      <c r="Z19" s="404"/>
      <c r="AA19" s="445">
        <v>1</v>
      </c>
      <c r="AB19" s="428">
        <v>37</v>
      </c>
      <c r="AC19" s="443">
        <v>166</v>
      </c>
      <c r="AD19" s="428">
        <v>23</v>
      </c>
      <c r="AE19" s="443">
        <f>+AD19*5</f>
        <v>115</v>
      </c>
      <c r="AF19" s="448">
        <f>-1+(AB19/AD19)</f>
        <v>0.60869565217391308</v>
      </c>
      <c r="AG19" s="449">
        <f>-1+(AC19/AE19)</f>
        <v>0.44347826086956532</v>
      </c>
      <c r="AH19" s="450"/>
      <c r="AI19" s="428">
        <v>0</v>
      </c>
      <c r="AJ19" s="443">
        <v>0</v>
      </c>
      <c r="AK19" s="428">
        <v>14</v>
      </c>
      <c r="AL19" s="443">
        <f>+AK19*3</f>
        <v>42</v>
      </c>
      <c r="AM19" s="448">
        <f>-1+(AI19/AK19)</f>
        <v>-1</v>
      </c>
      <c r="AN19" s="449">
        <f>-1+(AJ19/AL19)</f>
        <v>-1</v>
      </c>
    </row>
    <row r="20" spans="1:40" customFormat="1">
      <c r="A20" s="476" t="s">
        <v>4333</v>
      </c>
      <c r="B20" s="476">
        <f>+B15</f>
        <v>22</v>
      </c>
      <c r="C20" s="476">
        <f>+C15</f>
        <v>3</v>
      </c>
      <c r="D20" s="476">
        <f>+B20*C20</f>
        <v>66</v>
      </c>
      <c r="E20" s="476">
        <v>10</v>
      </c>
      <c r="F20" s="483">
        <f>+D20/E20</f>
        <v>6.6</v>
      </c>
      <c r="G20" s="404"/>
      <c r="H20" s="489" t="s">
        <v>4389</v>
      </c>
      <c r="I20" s="404"/>
      <c r="J20" s="404"/>
      <c r="K20" s="404"/>
      <c r="L20" s="404" t="s">
        <v>4390</v>
      </c>
      <c r="M20" s="472">
        <f>+M7/M6*50</f>
        <v>43.75</v>
      </c>
      <c r="N20" s="472">
        <f t="shared" ref="N20:Y20" si="12">+N7/N6*50</f>
        <v>52.5</v>
      </c>
      <c r="O20" s="472">
        <f t="shared" si="12"/>
        <v>47.5</v>
      </c>
      <c r="P20" s="472">
        <f t="shared" si="12"/>
        <v>37.5</v>
      </c>
      <c r="Q20" s="472">
        <f t="shared" si="12"/>
        <v>47.5</v>
      </c>
      <c r="R20" s="472">
        <f t="shared" si="12"/>
        <v>47.5</v>
      </c>
      <c r="S20" s="472">
        <f t="shared" si="12"/>
        <v>42.5</v>
      </c>
      <c r="T20" s="472">
        <f t="shared" si="12"/>
        <v>47.5</v>
      </c>
      <c r="U20" s="472">
        <f t="shared" si="12"/>
        <v>47.5</v>
      </c>
      <c r="V20" s="472">
        <f t="shared" si="12"/>
        <v>12.5</v>
      </c>
      <c r="W20" s="472">
        <f t="shared" si="12"/>
        <v>36.25</v>
      </c>
      <c r="X20" s="472">
        <f t="shared" si="12"/>
        <v>45</v>
      </c>
      <c r="Y20" s="472">
        <f t="shared" si="12"/>
        <v>45</v>
      </c>
      <c r="Z20" s="404"/>
      <c r="AA20" s="445">
        <v>2</v>
      </c>
      <c r="AB20" s="428">
        <v>27</v>
      </c>
      <c r="AC20" s="443">
        <v>166</v>
      </c>
      <c r="AD20" s="428">
        <v>9</v>
      </c>
      <c r="AE20" s="443">
        <f>+AD20*5</f>
        <v>45</v>
      </c>
      <c r="AF20" s="448">
        <f>-1+(AB20/AD20)</f>
        <v>2</v>
      </c>
      <c r="AG20" s="449">
        <f>-1+(AC20/AE20)</f>
        <v>2.6888888888888891</v>
      </c>
      <c r="AH20" s="450"/>
      <c r="AI20" s="428">
        <v>5</v>
      </c>
      <c r="AJ20" s="443">
        <v>705</v>
      </c>
      <c r="AK20" s="428">
        <v>3</v>
      </c>
      <c r="AL20" s="443">
        <f>+AK20*3</f>
        <v>9</v>
      </c>
      <c r="AM20" s="448">
        <f>-1+(AI20/AK20)</f>
        <v>0.66666666666666674</v>
      </c>
      <c r="AN20" s="449">
        <f>-1+(AJ20/AL20)</f>
        <v>77.333333333333329</v>
      </c>
    </row>
    <row r="21" spans="1:40" customFormat="1">
      <c r="A21" s="476" t="s">
        <v>4293</v>
      </c>
      <c r="B21" s="476">
        <v>3</v>
      </c>
      <c r="C21" s="476"/>
      <c r="D21" s="476"/>
      <c r="E21" s="476"/>
      <c r="F21" s="483">
        <v>0</v>
      </c>
      <c r="G21" s="404"/>
      <c r="H21" s="489"/>
      <c r="I21" s="404"/>
      <c r="J21" s="404"/>
      <c r="K21" s="404"/>
      <c r="L21" s="487" t="s">
        <v>4380</v>
      </c>
      <c r="M21" s="490">
        <f>IF(M17&lt;M20,M20,M17)</f>
        <v>43.75</v>
      </c>
      <c r="N21" s="490">
        <f t="shared" ref="N21:Y21" si="13">IF(N17&lt;N20,N20,N17)</f>
        <v>52.5</v>
      </c>
      <c r="O21" s="490">
        <f t="shared" si="13"/>
        <v>47.5</v>
      </c>
      <c r="P21" s="490">
        <f t="shared" si="13"/>
        <v>37.5</v>
      </c>
      <c r="Q21" s="490">
        <f t="shared" si="13"/>
        <v>47.5</v>
      </c>
      <c r="R21" s="490">
        <f t="shared" si="13"/>
        <v>47.5</v>
      </c>
      <c r="S21" s="490">
        <f t="shared" si="13"/>
        <v>42.5</v>
      </c>
      <c r="T21" s="490">
        <f>IF(T17&lt;T20,T20,T17)</f>
        <v>47.5</v>
      </c>
      <c r="U21" s="490"/>
      <c r="V21" s="490"/>
      <c r="W21" s="490">
        <f t="shared" si="13"/>
        <v>82.070000000000007</v>
      </c>
      <c r="X21" s="490">
        <f t="shared" si="13"/>
        <v>45</v>
      </c>
      <c r="Y21" s="490">
        <f t="shared" si="13"/>
        <v>101.88</v>
      </c>
      <c r="Z21" s="404"/>
      <c r="AA21" s="445"/>
      <c r="AB21" s="428"/>
      <c r="AC21" s="443"/>
      <c r="AD21" s="428"/>
      <c r="AE21" s="443"/>
      <c r="AF21" s="448"/>
      <c r="AG21" s="449"/>
      <c r="AH21" s="450"/>
      <c r="AI21" s="428"/>
      <c r="AJ21" s="443"/>
      <c r="AK21" s="428"/>
      <c r="AL21" s="443"/>
      <c r="AM21" s="448"/>
      <c r="AN21" s="449"/>
    </row>
    <row r="22" spans="1:40" customFormat="1">
      <c r="A22" s="476"/>
      <c r="B22" s="476"/>
      <c r="C22" s="476"/>
      <c r="D22" s="476"/>
      <c r="E22" s="476"/>
      <c r="F22" s="488">
        <f>SUM(F19:F21)</f>
        <v>6.6</v>
      </c>
      <c r="G22" s="406"/>
      <c r="H22" s="484" t="s">
        <v>4391</v>
      </c>
      <c r="I22" s="404"/>
      <c r="J22" s="404"/>
      <c r="K22" s="404"/>
      <c r="L22" s="404"/>
      <c r="M22" s="404"/>
      <c r="N22" s="445"/>
      <c r="O22" s="445"/>
      <c r="P22" s="445"/>
      <c r="Q22" s="445"/>
      <c r="R22" s="445"/>
      <c r="S22" s="445"/>
      <c r="T22" s="445"/>
      <c r="U22" s="445"/>
      <c r="V22" s="445"/>
      <c r="W22" s="445"/>
      <c r="X22" s="445"/>
      <c r="Y22" s="445"/>
      <c r="Z22" s="445"/>
      <c r="AA22" s="445">
        <v>3</v>
      </c>
      <c r="AB22" s="428">
        <v>15</v>
      </c>
      <c r="AC22" s="443">
        <v>59</v>
      </c>
      <c r="AD22" s="428">
        <v>12</v>
      </c>
      <c r="AE22" s="443">
        <f>+AD22*5</f>
        <v>60</v>
      </c>
      <c r="AF22" s="448">
        <f>-1+(AB22/AD22)</f>
        <v>0.25</v>
      </c>
      <c r="AG22" s="449">
        <f>-1+(AC22/AE22)</f>
        <v>-1.6666666666666718E-2</v>
      </c>
      <c r="AH22" s="450"/>
      <c r="AI22" s="428">
        <v>1</v>
      </c>
      <c r="AJ22" s="443">
        <v>24</v>
      </c>
      <c r="AK22" s="428">
        <v>7</v>
      </c>
      <c r="AL22" s="443">
        <f>+AK22*3</f>
        <v>21</v>
      </c>
      <c r="AM22" s="448">
        <f>-1+(AI22/AK22)</f>
        <v>-0.85714285714285721</v>
      </c>
      <c r="AN22" s="449">
        <f>-1+(AJ22/AL22)</f>
        <v>0.14285714285714279</v>
      </c>
    </row>
    <row r="23" spans="1:40" customFormat="1">
      <c r="A23" s="476"/>
      <c r="B23" s="476" t="s">
        <v>4369</v>
      </c>
      <c r="C23" s="476" t="s">
        <v>4370</v>
      </c>
      <c r="D23" s="476" t="s">
        <v>4334</v>
      </c>
      <c r="E23" s="476" t="s">
        <v>4371</v>
      </c>
      <c r="F23" s="483" t="s">
        <v>4372</v>
      </c>
      <c r="G23" s="406" t="s">
        <v>4392</v>
      </c>
      <c r="H23" s="484" t="s">
        <v>4393</v>
      </c>
      <c r="I23" s="404"/>
      <c r="J23" s="404"/>
      <c r="K23" s="404"/>
      <c r="L23" s="404"/>
      <c r="M23" s="445"/>
      <c r="N23" s="445"/>
      <c r="O23" s="445"/>
      <c r="P23" s="445"/>
      <c r="Q23" s="445"/>
      <c r="R23" s="445"/>
      <c r="S23" s="445"/>
      <c r="T23" s="445"/>
      <c r="U23" s="445"/>
      <c r="V23" s="445"/>
      <c r="W23" s="445"/>
      <c r="X23" s="445"/>
      <c r="Y23" s="445"/>
      <c r="Z23" s="445"/>
      <c r="AA23" s="445">
        <v>4</v>
      </c>
      <c r="AB23" s="428">
        <v>25</v>
      </c>
      <c r="AC23" s="443">
        <v>538</v>
      </c>
      <c r="AD23" s="428">
        <v>18</v>
      </c>
      <c r="AE23" s="443">
        <f>+AD23*5</f>
        <v>90</v>
      </c>
      <c r="AF23" s="448">
        <f>-1+(AB23/AD23)</f>
        <v>0.38888888888888884</v>
      </c>
      <c r="AG23" s="449">
        <f>-1+(AC23/AE23)</f>
        <v>4.9777777777777779</v>
      </c>
      <c r="AH23" s="450"/>
      <c r="AI23" s="428">
        <v>2</v>
      </c>
      <c r="AJ23" s="443">
        <v>16</v>
      </c>
      <c r="AK23" s="428">
        <v>16</v>
      </c>
      <c r="AL23" s="443">
        <f>+AK23*3</f>
        <v>48</v>
      </c>
      <c r="AM23" s="448">
        <f>-1+(AI23/AK23)</f>
        <v>-0.875</v>
      </c>
      <c r="AN23" s="449">
        <f>-1+(AJ23/AL23)</f>
        <v>-0.66666666666666674</v>
      </c>
    </row>
    <row r="24" spans="1:40" customFormat="1">
      <c r="A24" s="476" t="s">
        <v>4375</v>
      </c>
      <c r="B24" s="475">
        <v>3</v>
      </c>
      <c r="C24" s="482">
        <v>0</v>
      </c>
      <c r="D24" s="476">
        <f>+B24*C24</f>
        <v>0</v>
      </c>
      <c r="E24" s="476">
        <v>2</v>
      </c>
      <c r="F24" s="483">
        <f>+D24/E24</f>
        <v>0</v>
      </c>
      <c r="G24" s="406" t="s">
        <v>4394</v>
      </c>
      <c r="H24" s="491" t="s">
        <v>4395</v>
      </c>
      <c r="I24" s="404"/>
      <c r="J24" s="404"/>
      <c r="K24" s="404"/>
      <c r="L24" s="404"/>
      <c r="M24" s="404"/>
      <c r="N24" s="404"/>
      <c r="O24" s="404"/>
      <c r="P24" s="404"/>
      <c r="Q24" s="404"/>
      <c r="R24" s="404"/>
      <c r="S24" s="404"/>
      <c r="T24" s="404"/>
      <c r="U24" s="404"/>
      <c r="V24" s="404"/>
      <c r="W24" s="404"/>
      <c r="X24" s="404"/>
      <c r="Y24" s="404"/>
      <c r="Z24" s="404"/>
      <c r="AA24" s="445"/>
      <c r="AB24" s="446"/>
      <c r="AC24" s="447"/>
      <c r="AD24" s="440"/>
      <c r="AE24" s="441"/>
      <c r="AF24" s="473"/>
      <c r="AG24" s="474"/>
      <c r="AH24" s="445"/>
      <c r="AI24" s="446"/>
      <c r="AJ24" s="447"/>
      <c r="AK24" s="440"/>
      <c r="AL24" s="441"/>
      <c r="AM24" s="473"/>
      <c r="AN24" s="474"/>
    </row>
    <row r="25" spans="1:40" customFormat="1" ht="16.5" thickBot="1">
      <c r="A25" s="476" t="s">
        <v>4333</v>
      </c>
      <c r="B25" s="476">
        <f>+B20</f>
        <v>22</v>
      </c>
      <c r="C25" s="476">
        <f>+C20</f>
        <v>3</v>
      </c>
      <c r="D25" s="476">
        <f>+B25*C25</f>
        <v>66</v>
      </c>
      <c r="E25" s="476">
        <v>10</v>
      </c>
      <c r="F25" s="483">
        <f>+D25/E25</f>
        <v>6.6</v>
      </c>
      <c r="G25" s="404"/>
      <c r="H25" s="481" t="s">
        <v>4396</v>
      </c>
      <c r="I25" s="404"/>
      <c r="J25" s="404"/>
      <c r="K25" s="404"/>
      <c r="L25" s="404"/>
      <c r="M25" s="404"/>
      <c r="N25" s="404"/>
      <c r="O25" s="404"/>
      <c r="P25" s="404"/>
      <c r="Q25" s="404"/>
      <c r="R25" s="404"/>
      <c r="S25" s="404"/>
      <c r="T25" s="404"/>
      <c r="U25" s="404"/>
      <c r="V25" s="404"/>
      <c r="W25" s="404"/>
      <c r="X25" s="404"/>
      <c r="Y25" s="404"/>
      <c r="Z25" s="404"/>
      <c r="AA25" s="445" t="s">
        <v>4334</v>
      </c>
      <c r="AB25" s="456">
        <f>SUM(AB19:AB24)</f>
        <v>104</v>
      </c>
      <c r="AC25" s="457">
        <f>SUM(AC19:AC24)</f>
        <v>929</v>
      </c>
      <c r="AD25" s="463">
        <f>SUM(AD19:AD24)</f>
        <v>62</v>
      </c>
      <c r="AE25" s="464">
        <f>SUM(AE19:AE24)</f>
        <v>310</v>
      </c>
      <c r="AF25" s="478">
        <f>-1+(AB25/AD25)</f>
        <v>0.67741935483870974</v>
      </c>
      <c r="AG25" s="479">
        <f>-1+(AC25/AE25)</f>
        <v>1.9967741935483869</v>
      </c>
      <c r="AH25" s="480"/>
      <c r="AI25" s="456">
        <f>SUM(AI19:AI24)</f>
        <v>8</v>
      </c>
      <c r="AJ25" s="457">
        <f>SUM(AJ19:AJ24)</f>
        <v>745</v>
      </c>
      <c r="AK25" s="463">
        <f>SUM(AK19:AK24)</f>
        <v>40</v>
      </c>
      <c r="AL25" s="464">
        <f>SUM(AL19:AL24)</f>
        <v>120</v>
      </c>
      <c r="AM25" s="478">
        <f>-1+(AI25/AK25)</f>
        <v>-0.8</v>
      </c>
      <c r="AN25" s="479">
        <f>-1+(AJ25/AL25)</f>
        <v>5.208333333333333</v>
      </c>
    </row>
    <row r="26" spans="1:40" customFormat="1">
      <c r="A26" s="476" t="s">
        <v>4293</v>
      </c>
      <c r="B26" s="476">
        <v>3</v>
      </c>
      <c r="C26" s="476"/>
      <c r="D26" s="476"/>
      <c r="E26" s="476"/>
      <c r="F26" s="483">
        <v>0.05</v>
      </c>
      <c r="G26" s="404"/>
      <c r="H26" s="481"/>
      <c r="I26" s="404"/>
      <c r="J26" s="404"/>
      <c r="K26" s="404"/>
      <c r="L26" s="404"/>
      <c r="M26" s="404"/>
      <c r="N26" s="404"/>
      <c r="O26" s="404"/>
      <c r="P26" s="404"/>
      <c r="Q26" s="404"/>
      <c r="R26" s="404"/>
      <c r="S26" s="404"/>
      <c r="T26" s="404"/>
      <c r="U26" s="404"/>
      <c r="V26" s="404"/>
      <c r="W26" s="404"/>
      <c r="X26" s="404"/>
      <c r="Y26" s="404"/>
      <c r="Z26" s="404"/>
      <c r="AA26" s="445"/>
      <c r="AB26" s="492"/>
      <c r="AC26" s="492"/>
      <c r="AD26" s="493"/>
      <c r="AE26" s="493"/>
      <c r="AF26" s="494"/>
      <c r="AG26" s="494"/>
      <c r="AH26" s="450"/>
      <c r="AI26" s="492"/>
      <c r="AJ26" s="492"/>
      <c r="AK26" s="493"/>
      <c r="AL26" s="493"/>
      <c r="AM26" s="494"/>
      <c r="AN26" s="494"/>
    </row>
    <row r="27" spans="1:40" customFormat="1">
      <c r="A27" s="476"/>
      <c r="B27" s="476"/>
      <c r="C27" s="476"/>
      <c r="D27" s="476"/>
      <c r="E27" s="476"/>
      <c r="F27" s="488">
        <v>12.45</v>
      </c>
      <c r="G27" s="406"/>
      <c r="H27" s="489" t="s">
        <v>4397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Y27" s="404"/>
      <c r="Z27" s="404"/>
      <c r="AA27" s="404"/>
      <c r="AB27" s="404"/>
      <c r="AC27" s="404"/>
      <c r="AD27" s="404"/>
      <c r="AE27" s="404"/>
      <c r="AF27" s="404"/>
      <c r="AG27" s="404"/>
      <c r="AH27" s="404"/>
      <c r="AI27" s="404"/>
      <c r="AJ27" s="404"/>
      <c r="AK27" s="404"/>
      <c r="AL27" s="404"/>
      <c r="AM27" s="404"/>
      <c r="AN27" s="404"/>
    </row>
    <row r="28" spans="1:40" customFormat="1">
      <c r="A28" s="476"/>
      <c r="B28" s="476" t="s">
        <v>4369</v>
      </c>
      <c r="C28" s="476" t="s">
        <v>4370</v>
      </c>
      <c r="D28" s="476" t="s">
        <v>4334</v>
      </c>
      <c r="E28" s="476" t="s">
        <v>4371</v>
      </c>
      <c r="F28" s="483" t="s">
        <v>4372</v>
      </c>
      <c r="G28" s="406" t="s">
        <v>4398</v>
      </c>
      <c r="H28" s="484" t="s">
        <v>4399</v>
      </c>
      <c r="I28" s="404"/>
      <c r="J28" s="404"/>
      <c r="K28" s="404"/>
      <c r="L28" s="404"/>
      <c r="M28" s="404"/>
      <c r="N28" s="404"/>
      <c r="O28" s="404"/>
      <c r="P28" s="404"/>
      <c r="Q28" s="404"/>
      <c r="R28" s="404"/>
      <c r="S28" s="404"/>
      <c r="T28" s="404"/>
      <c r="U28" s="404"/>
      <c r="V28" s="404"/>
      <c r="W28" s="404"/>
      <c r="X28" s="404"/>
      <c r="Y28" s="404"/>
      <c r="Z28" s="404"/>
      <c r="AA28" s="404"/>
      <c r="AB28" s="404"/>
      <c r="AC28" s="404"/>
      <c r="AD28" s="404"/>
      <c r="AE28" s="404"/>
      <c r="AF28" s="404"/>
      <c r="AG28" s="404"/>
      <c r="AH28" s="404"/>
      <c r="AI28" s="404"/>
      <c r="AJ28" s="404"/>
      <c r="AK28" s="404"/>
      <c r="AL28" s="404"/>
      <c r="AM28" s="404"/>
      <c r="AN28" s="404"/>
    </row>
    <row r="29" spans="1:40" customFormat="1">
      <c r="A29" s="476" t="s">
        <v>4375</v>
      </c>
      <c r="B29" s="475">
        <v>11</v>
      </c>
      <c r="C29" s="482">
        <v>6</v>
      </c>
      <c r="D29" s="476">
        <f>+B29*C29</f>
        <v>66</v>
      </c>
      <c r="E29" s="476">
        <v>2</v>
      </c>
      <c r="F29" s="483">
        <f>+D29/E29</f>
        <v>33</v>
      </c>
      <c r="G29" s="406" t="s">
        <v>4400</v>
      </c>
      <c r="H29" s="481" t="s">
        <v>4401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Y29" s="404"/>
      <c r="Z29" s="404"/>
      <c r="AA29" s="404"/>
      <c r="AB29" s="406" t="s">
        <v>4292</v>
      </c>
      <c r="AC29" s="404"/>
      <c r="AD29" s="404"/>
      <c r="AE29" s="404"/>
      <c r="AF29" s="404"/>
      <c r="AG29" s="404"/>
      <c r="AH29" s="404"/>
      <c r="AI29" s="404"/>
      <c r="AJ29" s="404"/>
      <c r="AK29" s="404"/>
      <c r="AL29" s="404"/>
      <c r="AM29" s="404"/>
      <c r="AN29" s="404"/>
    </row>
    <row r="30" spans="1:40" customFormat="1" ht="16.5" thickBot="1">
      <c r="A30" s="476" t="s">
        <v>4333</v>
      </c>
      <c r="B30" s="476">
        <f>+B20</f>
        <v>22</v>
      </c>
      <c r="C30" s="476">
        <f>+C25</f>
        <v>3</v>
      </c>
      <c r="D30" s="476">
        <f>+B30*C30</f>
        <v>66</v>
      </c>
      <c r="E30" s="476">
        <v>10</v>
      </c>
      <c r="F30" s="483">
        <f>+D30/E30</f>
        <v>6.6</v>
      </c>
      <c r="G30" s="404"/>
      <c r="H30" s="489" t="s">
        <v>4402</v>
      </c>
      <c r="I30" s="404"/>
      <c r="J30" s="404"/>
      <c r="K30" s="404"/>
      <c r="L30" s="404"/>
      <c r="M30" s="404"/>
      <c r="N30" s="404"/>
      <c r="O30" s="404"/>
      <c r="P30" s="404"/>
      <c r="Q30" s="404"/>
      <c r="R30" s="404"/>
      <c r="S30" s="404"/>
      <c r="T30" s="404"/>
      <c r="U30" s="404"/>
      <c r="V30" s="404"/>
      <c r="W30" s="404"/>
      <c r="X30" s="404"/>
      <c r="Y30" s="404"/>
      <c r="Z30" s="404"/>
      <c r="AA30" s="412"/>
      <c r="AB30" s="417">
        <v>45292</v>
      </c>
      <c r="AC30" s="412"/>
      <c r="AD30" s="412"/>
      <c r="AE30" s="412"/>
      <c r="AF30" s="412"/>
      <c r="AG30" s="412"/>
      <c r="AH30" s="412"/>
      <c r="AI30" s="412"/>
      <c r="AJ30" s="412"/>
      <c r="AK30" s="412"/>
      <c r="AL30" s="412"/>
      <c r="AM30" s="404"/>
      <c r="AN30" s="404"/>
    </row>
    <row r="31" spans="1:40" customFormat="1">
      <c r="A31" s="476" t="s">
        <v>4293</v>
      </c>
      <c r="B31" s="476">
        <v>6</v>
      </c>
      <c r="C31" s="476"/>
      <c r="D31" s="476"/>
      <c r="E31" s="476"/>
      <c r="F31" s="488">
        <v>2.63</v>
      </c>
      <c r="G31" s="404"/>
      <c r="H31" s="489" t="s">
        <v>4403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Y31" s="404"/>
      <c r="Z31" s="404"/>
      <c r="AA31" s="429" t="s">
        <v>4331</v>
      </c>
      <c r="AB31" s="430" t="s">
        <v>4289</v>
      </c>
      <c r="AC31" s="431" t="s">
        <v>4344</v>
      </c>
      <c r="AD31" s="432" t="s">
        <v>4345</v>
      </c>
      <c r="AE31" s="433" t="s">
        <v>4346</v>
      </c>
      <c r="AF31" s="434" t="s">
        <v>4347</v>
      </c>
      <c r="AG31" s="435" t="s">
        <v>4347</v>
      </c>
      <c r="AH31" s="495"/>
      <c r="AI31" s="430" t="s">
        <v>4338</v>
      </c>
      <c r="AJ31" s="431" t="s">
        <v>4344</v>
      </c>
      <c r="AK31" s="432" t="s">
        <v>4348</v>
      </c>
      <c r="AL31" s="433" t="s">
        <v>4349</v>
      </c>
      <c r="AM31" s="434" t="s">
        <v>4350</v>
      </c>
      <c r="AN31" s="435" t="s">
        <v>4350</v>
      </c>
    </row>
    <row r="32" spans="1:40" customFormat="1">
      <c r="A32" s="404"/>
      <c r="B32" s="404"/>
      <c r="C32" s="404"/>
      <c r="D32" s="404"/>
      <c r="E32" s="404"/>
      <c r="F32" s="488">
        <f>SUM(F29:F31)</f>
        <v>42.230000000000004</v>
      </c>
      <c r="G32" s="404"/>
      <c r="H32" s="489" t="s">
        <v>4404</v>
      </c>
      <c r="I32" s="404"/>
      <c r="J32" s="404"/>
      <c r="K32" s="404"/>
      <c r="L32" s="404"/>
      <c r="M32" s="404"/>
      <c r="N32" s="404"/>
      <c r="O32" s="404"/>
      <c r="P32" s="404"/>
      <c r="Q32" s="404"/>
      <c r="R32" s="404"/>
      <c r="S32" s="404"/>
      <c r="T32" s="404"/>
      <c r="U32" s="404"/>
      <c r="V32" s="404"/>
      <c r="W32" s="404"/>
      <c r="X32" s="404"/>
      <c r="Y32" s="404"/>
      <c r="Z32" s="404"/>
      <c r="AA32" s="445">
        <v>1</v>
      </c>
      <c r="AB32" s="428">
        <v>35</v>
      </c>
      <c r="AC32" s="443">
        <v>382</v>
      </c>
      <c r="AD32" s="428">
        <v>14</v>
      </c>
      <c r="AE32" s="443">
        <f>+AD32*11</f>
        <v>154</v>
      </c>
      <c r="AF32" s="448">
        <f t="shared" ref="AF32:AG41" si="14">-1+(AB32/AD32)</f>
        <v>1.5</v>
      </c>
      <c r="AG32" s="449">
        <f t="shared" si="14"/>
        <v>1.4805194805194803</v>
      </c>
      <c r="AH32" s="496"/>
      <c r="AI32" s="428">
        <v>11</v>
      </c>
      <c r="AJ32" s="443">
        <v>245</v>
      </c>
      <c r="AK32" s="428">
        <v>11</v>
      </c>
      <c r="AL32" s="443">
        <f>+AK32*14</f>
        <v>154</v>
      </c>
      <c r="AM32" s="448">
        <f t="shared" ref="AM32:AN41" si="15">-1+(AI32/AK32)</f>
        <v>0</v>
      </c>
      <c r="AN32" s="449">
        <f t="shared" si="15"/>
        <v>0.59090909090909083</v>
      </c>
    </row>
    <row r="33" spans="1:40" customFormat="1">
      <c r="A33" s="476"/>
      <c r="B33" s="476" t="s">
        <v>4369</v>
      </c>
      <c r="C33" s="476" t="s">
        <v>4370</v>
      </c>
      <c r="D33" s="476" t="s">
        <v>4334</v>
      </c>
      <c r="E33" s="476" t="s">
        <v>4371</v>
      </c>
      <c r="F33" s="483" t="s">
        <v>4372</v>
      </c>
      <c r="G33" s="406" t="s">
        <v>4405</v>
      </c>
      <c r="H33" s="489" t="s">
        <v>4406</v>
      </c>
      <c r="I33" s="404"/>
      <c r="J33" s="404"/>
      <c r="K33" s="404"/>
      <c r="L33" s="404"/>
      <c r="M33" s="404"/>
      <c r="N33" s="404"/>
      <c r="O33" s="404"/>
      <c r="P33" s="404"/>
      <c r="Q33" s="404"/>
      <c r="R33" s="404"/>
      <c r="S33" s="404"/>
      <c r="T33" s="404"/>
      <c r="U33" s="404"/>
      <c r="V33" s="404"/>
      <c r="W33" s="404"/>
      <c r="X33" s="404"/>
      <c r="Y33" s="404"/>
      <c r="Z33" s="404"/>
      <c r="AA33" s="445">
        <v>2</v>
      </c>
      <c r="AB33" s="428">
        <v>20</v>
      </c>
      <c r="AC33" s="443">
        <v>222</v>
      </c>
      <c r="AD33" s="428">
        <v>5</v>
      </c>
      <c r="AE33" s="443">
        <f>+AD33*11</f>
        <v>55</v>
      </c>
      <c r="AF33" s="448">
        <f t="shared" si="14"/>
        <v>3</v>
      </c>
      <c r="AG33" s="449">
        <f t="shared" si="14"/>
        <v>3.0363636363636362</v>
      </c>
      <c r="AH33" s="496"/>
      <c r="AI33" s="428">
        <v>7</v>
      </c>
      <c r="AJ33" s="443">
        <v>126</v>
      </c>
      <c r="AK33" s="428">
        <v>3</v>
      </c>
      <c r="AL33" s="443">
        <f>+AK33*14</f>
        <v>42</v>
      </c>
      <c r="AM33" s="448">
        <f t="shared" si="15"/>
        <v>1.3333333333333335</v>
      </c>
      <c r="AN33" s="449">
        <f t="shared" si="15"/>
        <v>2</v>
      </c>
    </row>
    <row r="34" spans="1:40" customFormat="1">
      <c r="A34" s="476" t="s">
        <v>4375</v>
      </c>
      <c r="B34" s="475">
        <v>2</v>
      </c>
      <c r="C34" s="482">
        <v>0</v>
      </c>
      <c r="D34" s="476">
        <f>+B34*C34</f>
        <v>0</v>
      </c>
      <c r="E34" s="476">
        <v>2</v>
      </c>
      <c r="F34" s="483">
        <f>+D34/E34</f>
        <v>0</v>
      </c>
      <c r="G34" s="406" t="s">
        <v>4407</v>
      </c>
      <c r="H34" s="489"/>
      <c r="I34" s="404"/>
      <c r="J34" s="404"/>
      <c r="K34" s="404"/>
      <c r="L34" s="404"/>
      <c r="M34" s="404"/>
      <c r="N34" s="404"/>
      <c r="O34" s="404"/>
      <c r="P34" s="404"/>
      <c r="Q34" s="404"/>
      <c r="R34" s="404"/>
      <c r="S34" s="404"/>
      <c r="T34" s="404"/>
      <c r="U34" s="404"/>
      <c r="V34" s="404"/>
      <c r="W34" s="404"/>
      <c r="X34" s="404"/>
      <c r="Y34" s="404"/>
      <c r="Z34" s="404"/>
      <c r="AA34" s="445"/>
      <c r="AB34" s="428"/>
      <c r="AC34" s="443"/>
      <c r="AD34" s="428"/>
      <c r="AE34" s="443"/>
      <c r="AF34" s="448"/>
      <c r="AG34" s="449"/>
      <c r="AH34" s="496"/>
      <c r="AI34" s="428"/>
      <c r="AJ34" s="443"/>
      <c r="AK34" s="428"/>
      <c r="AL34" s="443"/>
      <c r="AM34" s="448"/>
      <c r="AN34" s="449"/>
    </row>
    <row r="35" spans="1:40" customFormat="1">
      <c r="A35" s="476" t="s">
        <v>4333</v>
      </c>
      <c r="B35" s="476">
        <f>+B25</f>
        <v>22</v>
      </c>
      <c r="C35" s="476">
        <f>+C30</f>
        <v>3</v>
      </c>
      <c r="D35" s="476">
        <f>+B35*C35</f>
        <v>66</v>
      </c>
      <c r="E35" s="476">
        <v>10</v>
      </c>
      <c r="F35" s="483">
        <f>+D35/E35</f>
        <v>6.6</v>
      </c>
      <c r="G35" s="404"/>
      <c r="H35" s="489"/>
      <c r="I35" s="404"/>
      <c r="J35" s="404"/>
      <c r="K35" s="404"/>
      <c r="L35" s="404"/>
      <c r="M35" s="404"/>
      <c r="N35" s="404"/>
      <c r="O35" s="404"/>
      <c r="P35" s="404"/>
      <c r="Q35" s="404"/>
      <c r="R35" s="404"/>
      <c r="S35" s="404"/>
      <c r="T35" s="404"/>
      <c r="U35" s="404"/>
      <c r="V35" s="404"/>
      <c r="W35" s="404"/>
      <c r="X35" s="404"/>
      <c r="Y35" s="404"/>
      <c r="Z35" s="404"/>
      <c r="AA35" s="445"/>
      <c r="AB35" s="428"/>
      <c r="AC35" s="443"/>
      <c r="AD35" s="428"/>
      <c r="AE35" s="443"/>
      <c r="AF35" s="448"/>
      <c r="AG35" s="449"/>
      <c r="AH35" s="496"/>
      <c r="AI35" s="428"/>
      <c r="AJ35" s="443"/>
      <c r="AK35" s="428"/>
      <c r="AL35" s="443"/>
      <c r="AM35" s="448"/>
      <c r="AN35" s="449"/>
    </row>
    <row r="36" spans="1:40" customFormat="1">
      <c r="A36" s="476" t="s">
        <v>4293</v>
      </c>
      <c r="B36" s="476">
        <v>3</v>
      </c>
      <c r="C36" s="476"/>
      <c r="D36" s="476"/>
      <c r="E36" s="476"/>
      <c r="F36" s="488">
        <v>5.0999999999999996</v>
      </c>
      <c r="G36" s="404"/>
      <c r="H36" s="489"/>
      <c r="I36" s="404"/>
      <c r="J36" s="404"/>
      <c r="K36" s="404"/>
      <c r="L36" s="404"/>
      <c r="M36" s="404"/>
      <c r="N36" s="404"/>
      <c r="O36" s="404"/>
      <c r="P36" s="404"/>
      <c r="Q36" s="404"/>
      <c r="R36" s="404"/>
      <c r="S36" s="404"/>
      <c r="T36" s="404"/>
      <c r="U36" s="404"/>
      <c r="V36" s="404"/>
      <c r="W36" s="404"/>
      <c r="X36" s="404"/>
      <c r="Y36" s="404"/>
      <c r="Z36" s="404"/>
      <c r="AA36" s="445"/>
      <c r="AB36" s="428"/>
      <c r="AC36" s="443"/>
      <c r="AD36" s="428"/>
      <c r="AE36" s="443"/>
      <c r="AF36" s="448"/>
      <c r="AG36" s="449"/>
      <c r="AH36" s="496"/>
      <c r="AI36" s="428"/>
      <c r="AJ36" s="443"/>
      <c r="AK36" s="428"/>
      <c r="AL36" s="443"/>
      <c r="AM36" s="448"/>
      <c r="AN36" s="449"/>
    </row>
    <row r="37" spans="1:40" customFormat="1">
      <c r="A37" s="404"/>
      <c r="B37" s="404"/>
      <c r="C37" s="404"/>
      <c r="D37" s="404"/>
      <c r="E37" s="404"/>
      <c r="F37" s="488">
        <f>SUM(F34:F36)</f>
        <v>11.7</v>
      </c>
      <c r="G37" s="404"/>
      <c r="H37" s="489"/>
      <c r="I37" s="404"/>
      <c r="J37" s="404"/>
      <c r="K37" s="404"/>
      <c r="L37" s="404"/>
      <c r="M37" s="404"/>
      <c r="N37" s="404"/>
      <c r="O37" s="404"/>
      <c r="P37" s="404"/>
      <c r="Q37" s="404"/>
      <c r="R37" s="404"/>
      <c r="S37" s="404"/>
      <c r="T37" s="404"/>
      <c r="U37" s="404"/>
      <c r="V37" s="404"/>
      <c r="W37" s="404"/>
      <c r="X37" s="404"/>
      <c r="Y37" s="404"/>
      <c r="Z37" s="404"/>
      <c r="AA37" s="445"/>
      <c r="AB37" s="428"/>
      <c r="AC37" s="443"/>
      <c r="AD37" s="428"/>
      <c r="AE37" s="443"/>
      <c r="AF37" s="448"/>
      <c r="AG37" s="449"/>
      <c r="AH37" s="496"/>
      <c r="AI37" s="428"/>
      <c r="AJ37" s="443"/>
      <c r="AK37" s="428"/>
      <c r="AL37" s="443"/>
      <c r="AM37" s="448"/>
      <c r="AN37" s="449"/>
    </row>
    <row r="38" spans="1:40" customFormat="1">
      <c r="A38" s="404"/>
      <c r="B38" s="404"/>
      <c r="C38" s="404"/>
      <c r="D38" s="404"/>
      <c r="E38" s="404"/>
      <c r="F38" s="404"/>
      <c r="G38" s="404"/>
      <c r="H38" s="489"/>
      <c r="I38" s="404"/>
      <c r="J38" s="404"/>
      <c r="K38" s="404"/>
      <c r="L38" s="404"/>
      <c r="M38" s="404"/>
      <c r="N38" s="404"/>
      <c r="O38" s="404"/>
      <c r="P38" s="404"/>
      <c r="Q38" s="404"/>
      <c r="R38" s="404"/>
      <c r="S38" s="404"/>
      <c r="T38" s="404"/>
      <c r="U38" s="404"/>
      <c r="V38" s="404"/>
      <c r="W38" s="404"/>
      <c r="X38" s="404"/>
      <c r="Y38" s="404"/>
      <c r="Z38" s="404"/>
      <c r="AA38" s="445"/>
      <c r="AB38" s="428"/>
      <c r="AC38" s="443"/>
      <c r="AD38" s="428"/>
      <c r="AE38" s="443"/>
      <c r="AF38" s="448"/>
      <c r="AG38" s="449"/>
      <c r="AH38" s="496"/>
      <c r="AI38" s="428"/>
      <c r="AJ38" s="443"/>
      <c r="AK38" s="428"/>
      <c r="AL38" s="443"/>
      <c r="AM38" s="448"/>
      <c r="AN38" s="449"/>
    </row>
    <row r="39" spans="1:40" customFormat="1">
      <c r="A39" s="404"/>
      <c r="B39" s="404"/>
      <c r="C39" s="404"/>
      <c r="D39" s="404"/>
      <c r="E39" s="404"/>
      <c r="F39" s="404"/>
      <c r="G39" s="404"/>
      <c r="H39" s="489"/>
      <c r="I39" s="404"/>
      <c r="J39" s="404"/>
      <c r="K39" s="404"/>
      <c r="L39" s="404"/>
      <c r="M39" s="404"/>
      <c r="N39" s="404"/>
      <c r="O39" s="404"/>
      <c r="P39" s="404"/>
      <c r="Q39" s="404"/>
      <c r="R39" s="404"/>
      <c r="S39" s="404"/>
      <c r="T39" s="404"/>
      <c r="U39" s="404"/>
      <c r="V39" s="404"/>
      <c r="W39" s="404"/>
      <c r="X39" s="404"/>
      <c r="Y39" s="404"/>
      <c r="Z39" s="404"/>
      <c r="AA39" s="445"/>
      <c r="AB39" s="428"/>
      <c r="AC39" s="443"/>
      <c r="AD39" s="428"/>
      <c r="AE39" s="443"/>
      <c r="AF39" s="448"/>
      <c r="AG39" s="449"/>
      <c r="AH39" s="496"/>
      <c r="AI39" s="428"/>
      <c r="AJ39" s="443"/>
      <c r="AK39" s="428"/>
      <c r="AL39" s="443"/>
      <c r="AM39" s="448"/>
      <c r="AN39" s="449"/>
    </row>
    <row r="40" spans="1:40" customFormat="1">
      <c r="A40" s="497"/>
      <c r="B40" s="498"/>
      <c r="C40" s="498"/>
      <c r="D40" s="498"/>
      <c r="E40" s="498"/>
      <c r="F40" s="498"/>
      <c r="G40" s="404"/>
      <c r="H40" s="499" t="s">
        <v>4408</v>
      </c>
      <c r="I40" s="404"/>
      <c r="J40" s="404"/>
      <c r="K40" s="404"/>
      <c r="L40" s="404"/>
      <c r="M40" s="404"/>
      <c r="N40" s="404"/>
      <c r="O40" s="404"/>
      <c r="P40" s="404"/>
      <c r="Q40" s="404"/>
      <c r="R40" s="404"/>
      <c r="S40" s="404"/>
      <c r="T40" s="404"/>
      <c r="U40" s="404"/>
      <c r="V40" s="404"/>
      <c r="W40" s="404"/>
      <c r="X40" s="404"/>
      <c r="Y40" s="404"/>
      <c r="Z40" s="404"/>
      <c r="AA40" s="445">
        <v>3</v>
      </c>
      <c r="AB40" s="428">
        <v>10</v>
      </c>
      <c r="AC40" s="443">
        <v>127</v>
      </c>
      <c r="AD40" s="428">
        <v>6</v>
      </c>
      <c r="AE40" s="443">
        <f>+AD40*11</f>
        <v>66</v>
      </c>
      <c r="AF40" s="448">
        <f t="shared" si="14"/>
        <v>0.66666666666666674</v>
      </c>
      <c r="AG40" s="449">
        <f t="shared" si="14"/>
        <v>0.92424242424242431</v>
      </c>
      <c r="AH40" s="496"/>
      <c r="AI40" s="428">
        <v>6</v>
      </c>
      <c r="AJ40" s="443">
        <v>90</v>
      </c>
      <c r="AK40" s="428">
        <v>3</v>
      </c>
      <c r="AL40" s="443">
        <f>+AK40*14</f>
        <v>42</v>
      </c>
      <c r="AM40" s="448">
        <f t="shared" si="15"/>
        <v>1</v>
      </c>
      <c r="AN40" s="449">
        <f t="shared" si="15"/>
        <v>1.1428571428571428</v>
      </c>
    </row>
    <row r="41" spans="1:40" customFormat="1">
      <c r="A41" s="404"/>
      <c r="B41" s="404"/>
      <c r="C41" s="404"/>
      <c r="D41" s="404"/>
      <c r="E41" s="404"/>
      <c r="F41" s="472"/>
      <c r="G41" s="404"/>
      <c r="H41" s="404"/>
      <c r="I41" s="404"/>
      <c r="J41" s="404"/>
      <c r="K41" s="404"/>
      <c r="L41" s="404"/>
      <c r="M41" s="404"/>
      <c r="N41" s="404"/>
      <c r="O41" s="404"/>
      <c r="P41" s="404"/>
      <c r="Q41" s="404"/>
      <c r="R41" s="404"/>
      <c r="S41" s="404"/>
      <c r="T41" s="404"/>
      <c r="U41" s="404"/>
      <c r="V41" s="404"/>
      <c r="W41" s="404"/>
      <c r="X41" s="404"/>
      <c r="Y41" s="404"/>
      <c r="Z41" s="404"/>
      <c r="AA41" s="445">
        <v>4</v>
      </c>
      <c r="AB41" s="428">
        <v>1</v>
      </c>
      <c r="AC41" s="443">
        <v>18</v>
      </c>
      <c r="AD41" s="428">
        <v>12</v>
      </c>
      <c r="AE41" s="443">
        <f>+AD41*11</f>
        <v>132</v>
      </c>
      <c r="AF41" s="448">
        <f t="shared" si="14"/>
        <v>-0.91666666666666663</v>
      </c>
      <c r="AG41" s="449">
        <f t="shared" si="14"/>
        <v>-0.86363636363636365</v>
      </c>
      <c r="AH41" s="496"/>
      <c r="AI41" s="428">
        <v>7</v>
      </c>
      <c r="AJ41" s="443">
        <v>127</v>
      </c>
      <c r="AK41" s="428">
        <v>6</v>
      </c>
      <c r="AL41" s="443">
        <f>+AK41*14</f>
        <v>84</v>
      </c>
      <c r="AM41" s="448">
        <f t="shared" si="15"/>
        <v>0.16666666666666674</v>
      </c>
      <c r="AN41" s="449">
        <f t="shared" si="15"/>
        <v>0.51190476190476186</v>
      </c>
    </row>
    <row r="42" spans="1:40" customFormat="1">
      <c r="A42" s="404"/>
      <c r="B42" s="404"/>
      <c r="C42" s="404"/>
      <c r="D42" s="404"/>
      <c r="E42" s="404"/>
      <c r="F42" s="472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404"/>
      <c r="S42" s="404"/>
      <c r="T42" s="404"/>
      <c r="U42" s="404"/>
      <c r="V42" s="404"/>
      <c r="W42" s="404"/>
      <c r="X42" s="404"/>
      <c r="Y42" s="404"/>
      <c r="Z42" s="404"/>
      <c r="AA42" s="445"/>
      <c r="AB42" s="446"/>
      <c r="AC42" s="447"/>
      <c r="AD42" s="440"/>
      <c r="AE42" s="441"/>
      <c r="AF42" s="473"/>
      <c r="AG42" s="474"/>
      <c r="AH42" s="500"/>
      <c r="AI42" s="446"/>
      <c r="AJ42" s="447"/>
      <c r="AK42" s="440"/>
      <c r="AL42" s="441"/>
      <c r="AM42" s="473"/>
      <c r="AN42" s="474"/>
    </row>
    <row r="43" spans="1:40" customFormat="1" ht="16.5" thickBot="1">
      <c r="A43" s="404"/>
      <c r="B43" s="404"/>
      <c r="C43" s="404"/>
      <c r="D43" s="404"/>
      <c r="E43" s="404"/>
      <c r="F43" s="486"/>
      <c r="G43" s="404"/>
      <c r="H43" s="404"/>
      <c r="I43" s="404"/>
      <c r="J43" s="404"/>
      <c r="K43" s="404"/>
      <c r="L43" s="404"/>
      <c r="M43" s="404"/>
      <c r="N43" s="404"/>
      <c r="O43" s="404"/>
      <c r="P43" s="404"/>
      <c r="Q43" s="404"/>
      <c r="R43" s="404"/>
      <c r="S43" s="404"/>
      <c r="T43" s="404"/>
      <c r="U43" s="404"/>
      <c r="V43" s="404"/>
      <c r="W43" s="404"/>
      <c r="X43" s="404"/>
      <c r="Y43" s="404"/>
      <c r="Z43" s="404"/>
      <c r="AA43" s="445" t="s">
        <v>4334</v>
      </c>
      <c r="AB43" s="456">
        <f>SUM(AB32:AB42)</f>
        <v>66</v>
      </c>
      <c r="AC43" s="457">
        <f>SUM(AC32:AC42)</f>
        <v>749</v>
      </c>
      <c r="AD43" s="463">
        <f>SUM(AD32:AD42)</f>
        <v>37</v>
      </c>
      <c r="AE43" s="464">
        <f>SUM(AE32:AE42)</f>
        <v>407</v>
      </c>
      <c r="AF43" s="478">
        <f>-1+(AB43/AD43)</f>
        <v>0.78378378378378377</v>
      </c>
      <c r="AG43" s="479">
        <f>-1+(AC43/AE43)</f>
        <v>0.84029484029484025</v>
      </c>
      <c r="AH43" s="501"/>
      <c r="AI43" s="456">
        <f>SUM(AI32:AI42)</f>
        <v>31</v>
      </c>
      <c r="AJ43" s="457">
        <f>SUM(AJ32:AJ42)</f>
        <v>588</v>
      </c>
      <c r="AK43" s="463">
        <f>SUM(AK32:AK42)</f>
        <v>23</v>
      </c>
      <c r="AL43" s="464">
        <f>SUM(AL32:AL42)</f>
        <v>322</v>
      </c>
      <c r="AM43" s="478">
        <f>-1+(AI43/AK43)</f>
        <v>0.34782608695652173</v>
      </c>
      <c r="AN43" s="479">
        <f>-1+(AJ43/AL43)</f>
        <v>0.82608695652173902</v>
      </c>
    </row>
    <row r="45" spans="1:40" customFormat="1">
      <c r="A45" s="402" t="s">
        <v>48</v>
      </c>
      <c r="B45" s="402" t="s">
        <v>4409</v>
      </c>
      <c r="C45" s="402"/>
      <c r="D45" s="402"/>
      <c r="E45" s="402"/>
      <c r="F45" s="402"/>
      <c r="G45" s="404"/>
      <c r="H45" s="404"/>
      <c r="I45" s="404"/>
      <c r="J45" s="404"/>
      <c r="K45" s="404"/>
      <c r="L45" s="404"/>
      <c r="M45" s="404"/>
      <c r="N45" s="404"/>
      <c r="O45" s="404"/>
      <c r="P45" s="404"/>
      <c r="Q45" s="404"/>
      <c r="R45" s="404"/>
      <c r="S45" s="404"/>
      <c r="T45" s="404"/>
      <c r="U45" s="404"/>
      <c r="V45" s="404"/>
      <c r="W45" s="404"/>
      <c r="X45" s="404"/>
      <c r="Y45" s="404"/>
      <c r="Z45" s="404"/>
      <c r="AA45" s="404"/>
      <c r="AB45" s="404"/>
      <c r="AC45" s="404"/>
      <c r="AD45" s="404"/>
      <c r="AE45" s="404"/>
      <c r="AF45" s="404"/>
      <c r="AG45" s="404"/>
      <c r="AH45" s="404"/>
      <c r="AI45" s="404"/>
      <c r="AJ45" s="404"/>
      <c r="AK45" s="404"/>
      <c r="AL45" s="404"/>
      <c r="AM45" s="404"/>
      <c r="AN45" s="404"/>
    </row>
    <row r="46" spans="1:40" customFormat="1">
      <c r="A46" s="404"/>
      <c r="B46" s="404" t="s">
        <v>4410</v>
      </c>
      <c r="C46" s="502">
        <v>50</v>
      </c>
      <c r="D46" s="404"/>
      <c r="E46" s="404"/>
      <c r="F46" s="404"/>
      <c r="G46" s="404"/>
      <c r="H46" s="404"/>
      <c r="I46" s="404"/>
      <c r="J46" s="404"/>
      <c r="K46" s="404"/>
      <c r="L46" s="404"/>
      <c r="M46" s="404"/>
      <c r="N46" s="404"/>
      <c r="O46" s="404"/>
      <c r="P46" s="404"/>
      <c r="Q46" s="404"/>
      <c r="R46" s="404"/>
      <c r="S46" s="404"/>
      <c r="T46" s="404"/>
      <c r="U46" s="404"/>
      <c r="V46" s="404"/>
      <c r="W46" s="404"/>
      <c r="X46" s="404"/>
      <c r="Y46" s="404"/>
      <c r="Z46" s="404"/>
      <c r="AA46" s="404"/>
      <c r="AB46" s="404"/>
      <c r="AC46" s="404"/>
      <c r="AD46" s="404"/>
      <c r="AE46" s="404"/>
      <c r="AF46" s="404"/>
      <c r="AG46" s="404"/>
      <c r="AH46" s="404"/>
      <c r="AI46" s="404"/>
      <c r="AJ46" s="404"/>
      <c r="AK46" s="404"/>
      <c r="AL46" s="404"/>
      <c r="AM46" s="404"/>
      <c r="AN46" s="404"/>
    </row>
    <row r="48" spans="1:40" customFormat="1">
      <c r="A48" s="404" t="s">
        <v>4411</v>
      </c>
      <c r="B48" s="404" t="s">
        <v>24</v>
      </c>
      <c r="C48" s="404"/>
      <c r="D48" s="404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4"/>
      <c r="Q48" s="404"/>
      <c r="R48" s="404"/>
      <c r="S48" s="404"/>
      <c r="T48" s="404"/>
      <c r="U48" s="404"/>
      <c r="V48" s="404"/>
      <c r="W48" s="404"/>
      <c r="X48" s="404"/>
      <c r="Y48" s="404"/>
      <c r="Z48" s="404"/>
      <c r="AA48" s="404"/>
      <c r="AB48" s="404"/>
      <c r="AC48" s="404"/>
      <c r="AD48" s="404"/>
      <c r="AE48" s="404"/>
      <c r="AF48" s="404"/>
      <c r="AG48" s="404"/>
      <c r="AH48" s="404"/>
      <c r="AI48" s="404"/>
      <c r="AJ48" s="404"/>
      <c r="AK48" s="404"/>
      <c r="AL48" s="404"/>
      <c r="AM48" s="404"/>
      <c r="AN48" s="404"/>
    </row>
    <row r="49" spans="1:46" customFormat="1">
      <c r="A49" s="404">
        <v>25</v>
      </c>
      <c r="B49" s="404" t="s">
        <v>4412</v>
      </c>
      <c r="C49" s="404"/>
      <c r="D49" s="404"/>
      <c r="E49" s="404"/>
      <c r="F49" s="404">
        <v>0</v>
      </c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404"/>
      <c r="AF49" s="404"/>
      <c r="AG49" s="404"/>
      <c r="AH49" s="404"/>
      <c r="AI49" s="404"/>
      <c r="AJ49" s="404"/>
      <c r="AK49" s="404"/>
      <c r="AL49" s="404"/>
      <c r="AM49" s="404"/>
      <c r="AN49" s="404"/>
    </row>
    <row r="50" spans="1:46" customFormat="1">
      <c r="A50" s="404">
        <v>25</v>
      </c>
      <c r="B50" s="404" t="s">
        <v>4413</v>
      </c>
      <c r="C50" s="404"/>
      <c r="D50" s="404"/>
      <c r="E50" s="404"/>
      <c r="F50" s="404">
        <v>0</v>
      </c>
      <c r="G50" s="404"/>
      <c r="H50" s="404"/>
      <c r="I50" s="404"/>
      <c r="J50" s="404"/>
      <c r="K50" s="404"/>
      <c r="L50" s="404"/>
      <c r="M50" s="404"/>
      <c r="N50" s="404"/>
      <c r="O50" s="404"/>
      <c r="P50" s="404"/>
      <c r="Q50" s="404"/>
      <c r="R50" s="404"/>
      <c r="S50" s="404"/>
      <c r="T50" s="404"/>
      <c r="U50" s="404"/>
      <c r="V50" s="404"/>
      <c r="W50" s="404"/>
      <c r="X50" s="404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  <c r="AM50" s="404"/>
      <c r="AN50" s="404"/>
    </row>
    <row r="51" spans="1:46" customFormat="1">
      <c r="A51" s="404"/>
      <c r="B51" s="404" t="s">
        <v>4293</v>
      </c>
      <c r="C51" s="404"/>
      <c r="D51" s="404"/>
      <c r="E51" s="404"/>
      <c r="F51" s="404"/>
      <c r="G51" s="404"/>
      <c r="H51" s="404"/>
      <c r="I51" s="404"/>
      <c r="J51" s="404"/>
      <c r="K51" s="404"/>
      <c r="L51" s="404"/>
      <c r="M51" s="404"/>
      <c r="N51" s="404"/>
      <c r="O51" s="404"/>
      <c r="P51" s="404"/>
      <c r="Q51" s="404"/>
      <c r="R51" s="404"/>
      <c r="S51" s="404"/>
      <c r="T51" s="404"/>
      <c r="U51" s="404"/>
      <c r="V51" s="404"/>
      <c r="W51" s="404"/>
      <c r="X51" s="404"/>
      <c r="Y51" s="404"/>
      <c r="Z51" s="404"/>
      <c r="AA51" s="404"/>
      <c r="AB51" s="404"/>
      <c r="AC51" s="404"/>
      <c r="AD51" s="404"/>
      <c r="AE51" s="404"/>
      <c r="AF51" s="404"/>
      <c r="AG51" s="404"/>
      <c r="AH51" s="404"/>
      <c r="AI51" s="404"/>
      <c r="AJ51" s="404"/>
      <c r="AK51" s="404"/>
      <c r="AL51" s="404"/>
      <c r="AM51" s="404"/>
      <c r="AN51" s="404"/>
    </row>
    <row r="52" spans="1:46" customFormat="1">
      <c r="A52" s="404">
        <v>25</v>
      </c>
      <c r="B52" s="404" t="s">
        <v>4414</v>
      </c>
      <c r="C52" s="404"/>
      <c r="D52" s="404"/>
      <c r="E52" s="404"/>
      <c r="F52" s="404">
        <v>25</v>
      </c>
      <c r="G52" s="404"/>
      <c r="H52" s="404"/>
      <c r="I52" s="404"/>
      <c r="J52" s="404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404"/>
      <c r="X52" s="404"/>
      <c r="Y52" s="404"/>
      <c r="Z52" s="404"/>
      <c r="AA52" s="404"/>
      <c r="AB52" s="404"/>
      <c r="AC52" s="404"/>
      <c r="AD52" s="404"/>
      <c r="AE52" s="404"/>
      <c r="AF52" s="404"/>
      <c r="AG52" s="404"/>
      <c r="AH52" s="404"/>
      <c r="AI52" s="404"/>
      <c r="AJ52" s="404"/>
      <c r="AK52" s="404"/>
      <c r="AL52" s="404"/>
      <c r="AM52" s="404"/>
      <c r="AN52" s="404"/>
    </row>
    <row r="53" spans="1:46" customFormat="1">
      <c r="A53" s="404">
        <v>25</v>
      </c>
      <c r="B53" s="404" t="s">
        <v>4415</v>
      </c>
      <c r="C53" s="404"/>
      <c r="D53" s="404"/>
      <c r="E53" s="404"/>
      <c r="F53" s="404">
        <v>25</v>
      </c>
      <c r="G53" s="404"/>
      <c r="H53" s="404"/>
      <c r="I53" s="404"/>
      <c r="J53" s="404"/>
      <c r="K53" s="404"/>
      <c r="L53" s="404"/>
      <c r="M53" s="404"/>
      <c r="N53" s="404"/>
      <c r="O53" s="404"/>
      <c r="P53" s="404"/>
      <c r="Q53" s="404"/>
      <c r="R53" s="404"/>
      <c r="S53" s="404"/>
      <c r="T53" s="404"/>
      <c r="U53" s="404"/>
      <c r="V53" s="404"/>
      <c r="W53" s="404"/>
      <c r="X53" s="404"/>
      <c r="Y53" s="404"/>
      <c r="Z53" s="404"/>
      <c r="AA53" s="404"/>
      <c r="AB53" s="404"/>
      <c r="AC53" s="404"/>
      <c r="AD53" s="404"/>
      <c r="AE53" s="404"/>
      <c r="AF53" s="404"/>
      <c r="AG53" s="404"/>
      <c r="AH53" s="404"/>
      <c r="AI53" s="404"/>
      <c r="AJ53" s="404"/>
      <c r="AK53" s="404"/>
      <c r="AL53" s="404"/>
      <c r="AM53" s="404"/>
      <c r="AN53" s="404"/>
    </row>
    <row r="54" spans="1:46" customFormat="1">
      <c r="A54" s="404"/>
      <c r="B54" s="404"/>
      <c r="C54" s="404"/>
      <c r="D54" s="404" t="s">
        <v>4335</v>
      </c>
      <c r="E54" s="404" t="s">
        <v>4333</v>
      </c>
      <c r="F54" s="404"/>
      <c r="G54" s="404"/>
      <c r="H54" s="404"/>
      <c r="I54" s="404"/>
      <c r="J54" s="404"/>
      <c r="K54" s="404"/>
      <c r="L54" s="404"/>
      <c r="M54" s="404"/>
      <c r="N54" s="404"/>
      <c r="O54" s="404"/>
      <c r="P54" s="404"/>
      <c r="Q54" s="404"/>
      <c r="R54" s="404"/>
      <c r="S54" s="404"/>
      <c r="T54" s="404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</row>
    <row r="55" spans="1:46">
      <c r="A55" s="404" t="s">
        <v>4416</v>
      </c>
      <c r="C55" s="472">
        <f>+(D55+E55)*2*0.1</f>
        <v>13.200000000000001</v>
      </c>
      <c r="D55" s="472">
        <f>+F14+F19+F24+F29+F34</f>
        <v>33</v>
      </c>
      <c r="E55" s="472">
        <f>+F15+F20+F25+F30+F35</f>
        <v>33</v>
      </c>
      <c r="AO55" s="404"/>
      <c r="AP55" s="404"/>
      <c r="AQ55" s="404"/>
      <c r="AR55" s="404"/>
      <c r="AS55" s="404"/>
      <c r="AT55" s="404"/>
    </row>
    <row r="57" spans="1:46">
      <c r="A57" s="404" t="s">
        <v>4417</v>
      </c>
      <c r="F57" s="486">
        <f>+C46+C55+F49+F50+F52+F53</f>
        <v>113.2</v>
      </c>
      <c r="G57" s="404" t="s">
        <v>48</v>
      </c>
      <c r="AO57" s="404"/>
      <c r="AP57" s="404"/>
      <c r="AQ57" s="404"/>
      <c r="AR57" s="404"/>
      <c r="AS57" s="404"/>
      <c r="AT57" s="404"/>
    </row>
    <row r="58" spans="1:46">
      <c r="G58" s="404" t="s">
        <v>67</v>
      </c>
      <c r="AO58" s="404"/>
      <c r="AP58" s="404"/>
      <c r="AQ58" s="404"/>
      <c r="AR58" s="404"/>
      <c r="AS58" s="404"/>
      <c r="AT58" s="404"/>
    </row>
  </sheetData>
  <mergeCells count="3">
    <mergeCell ref="B5:C5"/>
    <mergeCell ref="E5:F5"/>
    <mergeCell ref="A7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T58"/>
  <sheetViews>
    <sheetView zoomScale="85" zoomScaleNormal="85" workbookViewId="0">
      <pane xSplit="3" ySplit="6" topLeftCell="D7" activePane="bottomRight" state="frozen"/>
      <selection pane="bottomRight" activeCell="X21" sqref="X21"/>
      <selection pane="bottomLeft" activeCell="A7" sqref="A7"/>
      <selection pane="topRight" activeCell="D1" sqref="D1"/>
    </sheetView>
  </sheetViews>
  <sheetFormatPr defaultColWidth="11.875" defaultRowHeight="15.75"/>
  <cols>
    <col min="1" max="1" width="18.125" style="404" customWidth="1"/>
    <col min="2" max="3" width="11.5" style="404" customWidth="1"/>
    <col min="4" max="4" width="16.125" style="404" customWidth="1"/>
    <col min="5" max="6" width="11.5" style="404" customWidth="1"/>
    <col min="7" max="7" width="19.125" style="404" customWidth="1"/>
    <col min="8" max="8" width="11.5" style="404" customWidth="1"/>
    <col min="9" max="10" width="11.875" style="404"/>
    <col min="11" max="11" width="29" style="404" customWidth="1"/>
    <col min="12" max="27" width="11.875" style="404"/>
    <col min="28" max="29" width="15.125" style="404" customWidth="1"/>
    <col min="30" max="30" width="19.625" style="404" bestFit="1" customWidth="1"/>
    <col min="31" max="31" width="15.125" style="404" customWidth="1"/>
    <col min="32" max="33" width="11.875" style="404"/>
    <col min="34" max="34" width="4.875" style="404" customWidth="1"/>
    <col min="35" max="36" width="15.125" style="404" customWidth="1"/>
    <col min="37" max="37" width="22" style="404" bestFit="1" customWidth="1"/>
    <col min="38" max="38" width="15.125" style="404" customWidth="1"/>
    <col min="39" max="40" width="11.875" style="404"/>
    <col min="41" max="46" width="11.875" customWidth="1"/>
    <col min="47" max="16384" width="11.875" style="404"/>
  </cols>
  <sheetData>
    <row r="2" spans="1:40" customFormat="1" ht="21">
      <c r="A2" s="401" t="s">
        <v>4325</v>
      </c>
      <c r="B2" s="402"/>
      <c r="C2" s="402"/>
      <c r="D2" s="402"/>
      <c r="E2" s="402"/>
      <c r="F2" s="402"/>
      <c r="G2" s="403">
        <v>46082</v>
      </c>
      <c r="H2" s="404"/>
      <c r="I2" s="405"/>
      <c r="J2" s="405"/>
      <c r="K2" s="405"/>
      <c r="L2" s="405"/>
      <c r="M2" s="405"/>
      <c r="N2" s="405"/>
      <c r="O2" s="404"/>
      <c r="P2" s="404"/>
      <c r="Q2" s="404"/>
      <c r="R2" s="404"/>
      <c r="S2" s="404"/>
      <c r="T2" s="404"/>
      <c r="U2" s="404"/>
      <c r="V2" s="404"/>
      <c r="W2" s="404"/>
      <c r="X2" s="404"/>
      <c r="Y2" s="404"/>
      <c r="Z2" s="404"/>
      <c r="AA2" s="404"/>
      <c r="AB2" s="406" t="s">
        <v>4326</v>
      </c>
      <c r="AC2" s="404"/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</row>
    <row r="3" spans="1:40" customFormat="1">
      <c r="A3" s="406"/>
      <c r="B3" s="404"/>
      <c r="C3" s="404"/>
      <c r="D3" s="404"/>
      <c r="E3" s="404"/>
      <c r="F3" s="404"/>
      <c r="G3" s="404"/>
      <c r="H3" s="404"/>
      <c r="I3" s="405"/>
      <c r="J3" s="405"/>
      <c r="K3" s="405"/>
      <c r="L3" s="405"/>
      <c r="M3" s="405"/>
      <c r="N3" s="405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  <c r="AG3" s="404"/>
      <c r="AH3" s="404"/>
      <c r="AI3" s="404"/>
      <c r="AJ3" s="404"/>
      <c r="AK3" s="404"/>
      <c r="AL3" s="404"/>
      <c r="AM3" s="404"/>
      <c r="AN3" s="404"/>
    </row>
    <row r="4" spans="1:40" customFormat="1" ht="16.5" thickBot="1">
      <c r="A4" s="407" t="s">
        <v>4327</v>
      </c>
      <c r="B4" s="402"/>
      <c r="C4" s="402"/>
      <c r="D4" s="402"/>
      <c r="E4" s="402"/>
      <c r="F4" s="402"/>
      <c r="G4" s="404"/>
      <c r="H4" s="404"/>
      <c r="I4" s="405"/>
      <c r="J4" s="405"/>
      <c r="K4" s="405"/>
      <c r="L4" s="405"/>
      <c r="M4" s="407" t="s">
        <v>4418</v>
      </c>
      <c r="N4" s="402"/>
      <c r="O4" s="402"/>
      <c r="P4" s="402"/>
      <c r="Q4" s="402"/>
      <c r="R4" s="402"/>
      <c r="S4" s="402"/>
      <c r="T4" s="402"/>
      <c r="U4" s="402"/>
      <c r="V4" s="402"/>
      <c r="W4" s="404"/>
      <c r="X4" s="404"/>
      <c r="Y4" s="404"/>
      <c r="Z4" s="404"/>
      <c r="AA4" s="404"/>
      <c r="AB4" s="406" t="s">
        <v>4329</v>
      </c>
      <c r="AC4" s="404"/>
      <c r="AD4" s="404"/>
      <c r="AE4" s="404"/>
      <c r="AF4" s="404"/>
      <c r="AG4" s="404"/>
      <c r="AH4" s="404"/>
      <c r="AI4" s="404" t="s">
        <v>4330</v>
      </c>
      <c r="AJ4" s="404"/>
      <c r="AK4" s="404"/>
      <c r="AL4" s="404"/>
      <c r="AM4" s="404"/>
      <c r="AN4" s="404"/>
    </row>
    <row r="5" spans="1:40" s="412" customFormat="1" ht="17.100000000000001" customHeight="1" thickBot="1">
      <c r="A5" s="408"/>
      <c r="B5" s="798" t="s">
        <v>4331</v>
      </c>
      <c r="C5" s="799"/>
      <c r="D5" s="409" t="s">
        <v>4332</v>
      </c>
      <c r="E5" s="800" t="s">
        <v>4333</v>
      </c>
      <c r="F5" s="801"/>
      <c r="G5" s="410" t="s">
        <v>4332</v>
      </c>
      <c r="H5" s="411" t="s">
        <v>4334</v>
      </c>
      <c r="L5" s="413" t="s">
        <v>4335</v>
      </c>
      <c r="M5" s="414" t="s">
        <v>16</v>
      </c>
      <c r="N5" s="415" t="s">
        <v>4336</v>
      </c>
      <c r="O5" s="414" t="s">
        <v>16</v>
      </c>
      <c r="P5" s="415" t="s">
        <v>4336</v>
      </c>
      <c r="Q5" s="414" t="s">
        <v>16</v>
      </c>
      <c r="R5" s="415" t="s">
        <v>4336</v>
      </c>
      <c r="S5" s="414" t="s">
        <v>16</v>
      </c>
      <c r="T5" s="415" t="s">
        <v>4336</v>
      </c>
      <c r="U5" s="414" t="s">
        <v>16</v>
      </c>
      <c r="V5" s="415" t="s">
        <v>4336</v>
      </c>
      <c r="W5" s="414" t="s">
        <v>16</v>
      </c>
      <c r="X5" s="416" t="s">
        <v>16</v>
      </c>
      <c r="Y5" s="415" t="s">
        <v>4337</v>
      </c>
      <c r="AB5" s="417">
        <v>45292</v>
      </c>
      <c r="AI5" s="412" t="s">
        <v>4338</v>
      </c>
    </row>
    <row r="6" spans="1:40" s="426" customFormat="1" ht="20.100000000000001" customHeight="1" thickBot="1">
      <c r="A6" s="418"/>
      <c r="B6" s="419" t="s">
        <v>4339</v>
      </c>
      <c r="C6" s="420" t="s">
        <v>4340</v>
      </c>
      <c r="D6" s="421" t="s">
        <v>4341</v>
      </c>
      <c r="E6" s="422" t="s">
        <v>4339</v>
      </c>
      <c r="F6" s="423" t="s">
        <v>4340</v>
      </c>
      <c r="G6" s="424" t="s">
        <v>4341</v>
      </c>
      <c r="H6" s="425" t="s">
        <v>4342</v>
      </c>
      <c r="L6" s="427" t="s">
        <v>4343</v>
      </c>
      <c r="M6" s="428">
        <v>22</v>
      </c>
      <c r="N6" s="428">
        <v>22</v>
      </c>
      <c r="O6" s="428">
        <v>22</v>
      </c>
      <c r="P6" s="428">
        <v>22</v>
      </c>
      <c r="Q6" s="428">
        <v>22</v>
      </c>
      <c r="R6" s="428">
        <v>22</v>
      </c>
      <c r="S6" s="428">
        <v>22</v>
      </c>
      <c r="T6" s="428">
        <v>22</v>
      </c>
      <c r="U6" s="428">
        <v>22</v>
      </c>
      <c r="V6" s="428">
        <v>22</v>
      </c>
      <c r="W6" s="428">
        <v>22</v>
      </c>
      <c r="X6" s="428">
        <v>22</v>
      </c>
      <c r="Y6" s="428">
        <v>22</v>
      </c>
      <c r="AA6" s="429" t="s">
        <v>4331</v>
      </c>
      <c r="AB6" s="430" t="s">
        <v>4289</v>
      </c>
      <c r="AC6" s="431" t="s">
        <v>4344</v>
      </c>
      <c r="AD6" s="432" t="s">
        <v>4345</v>
      </c>
      <c r="AE6" s="433" t="s">
        <v>4346</v>
      </c>
      <c r="AF6" s="434" t="s">
        <v>4347</v>
      </c>
      <c r="AG6" s="435" t="s">
        <v>4347</v>
      </c>
      <c r="AH6" s="436"/>
      <c r="AI6" s="430" t="s">
        <v>4338</v>
      </c>
      <c r="AJ6" s="431" t="s">
        <v>4344</v>
      </c>
      <c r="AK6" s="432" t="s">
        <v>4348</v>
      </c>
      <c r="AL6" s="433" t="s">
        <v>4349</v>
      </c>
      <c r="AM6" s="434" t="s">
        <v>4350</v>
      </c>
      <c r="AN6" s="435" t="s">
        <v>4350</v>
      </c>
    </row>
    <row r="7" spans="1:40" customFormat="1">
      <c r="A7" s="802" t="s">
        <v>4351</v>
      </c>
      <c r="B7" s="437">
        <v>1</v>
      </c>
      <c r="C7" s="438">
        <v>4</v>
      </c>
      <c r="D7" s="439">
        <v>0</v>
      </c>
      <c r="E7" s="440">
        <f>+B7*4</f>
        <v>4</v>
      </c>
      <c r="F7" s="441">
        <f>+C7*4</f>
        <v>16</v>
      </c>
      <c r="G7" s="441">
        <v>0</v>
      </c>
      <c r="H7" s="442">
        <f>+D7+G7</f>
        <v>0</v>
      </c>
      <c r="I7" s="404"/>
      <c r="J7" s="404"/>
      <c r="K7" s="404"/>
      <c r="L7" s="427" t="s">
        <v>4352</v>
      </c>
      <c r="M7" s="428">
        <v>19</v>
      </c>
      <c r="N7" s="443">
        <v>16</v>
      </c>
      <c r="O7" s="428">
        <v>19</v>
      </c>
      <c r="P7" s="443">
        <v>20</v>
      </c>
      <c r="Q7" s="428">
        <v>20.5</v>
      </c>
      <c r="R7" s="443">
        <v>22</v>
      </c>
      <c r="S7" s="428">
        <v>20</v>
      </c>
      <c r="T7" s="443">
        <v>22</v>
      </c>
      <c r="U7" s="443">
        <v>19</v>
      </c>
      <c r="V7" s="443">
        <v>22</v>
      </c>
      <c r="W7" s="428">
        <v>22</v>
      </c>
      <c r="X7" s="444">
        <v>17</v>
      </c>
      <c r="Y7" s="443">
        <v>21</v>
      </c>
      <c r="Z7" s="404"/>
      <c r="AA7" s="445">
        <v>1</v>
      </c>
      <c r="AB7" s="446">
        <f t="shared" ref="AB7:AE8" si="0">+AB19+AB32</f>
        <v>72</v>
      </c>
      <c r="AC7" s="447">
        <f t="shared" si="0"/>
        <v>548</v>
      </c>
      <c r="AD7" s="440">
        <f t="shared" si="0"/>
        <v>37</v>
      </c>
      <c r="AE7" s="441">
        <f t="shared" si="0"/>
        <v>269</v>
      </c>
      <c r="AF7" s="448">
        <f t="shared" ref="AF7:AG10" si="1">-1+(AB7/AD7)</f>
        <v>0.94594594594594605</v>
      </c>
      <c r="AG7" s="449">
        <f t="shared" si="1"/>
        <v>1.037174721189591</v>
      </c>
      <c r="AH7" s="450"/>
      <c r="AI7" s="446">
        <f t="shared" ref="AI7:AL8" si="2">+AI19+AI32</f>
        <v>11</v>
      </c>
      <c r="AJ7" s="447">
        <f t="shared" si="2"/>
        <v>245</v>
      </c>
      <c r="AK7" s="440">
        <f t="shared" si="2"/>
        <v>25</v>
      </c>
      <c r="AL7" s="441">
        <f t="shared" si="2"/>
        <v>196</v>
      </c>
      <c r="AM7" s="448">
        <f t="shared" ref="AM7:AN10" si="3">-1+(AI7/AK7)</f>
        <v>-0.56000000000000005</v>
      </c>
      <c r="AN7" s="449">
        <f t="shared" si="3"/>
        <v>0.25</v>
      </c>
    </row>
    <row r="8" spans="1:40" customFormat="1">
      <c r="A8" s="803"/>
      <c r="B8" s="437">
        <v>5</v>
      </c>
      <c r="C8" s="438">
        <v>10</v>
      </c>
      <c r="D8" s="439">
        <v>3</v>
      </c>
      <c r="E8" s="440">
        <v>17</v>
      </c>
      <c r="F8" s="441">
        <f>+C8*4</f>
        <v>40</v>
      </c>
      <c r="G8" s="441">
        <v>3</v>
      </c>
      <c r="H8" s="442">
        <f>+D8+G8</f>
        <v>6</v>
      </c>
      <c r="I8" s="404"/>
      <c r="J8" s="404"/>
      <c r="K8" s="404"/>
      <c r="L8" s="451" t="s">
        <v>4353</v>
      </c>
      <c r="M8" s="452" t="s">
        <v>2982</v>
      </c>
      <c r="N8" s="452" t="s">
        <v>4419</v>
      </c>
      <c r="O8" s="452" t="s">
        <v>4354</v>
      </c>
      <c r="P8" s="452" t="s">
        <v>4355</v>
      </c>
      <c r="Q8" s="452" t="s">
        <v>4356</v>
      </c>
      <c r="R8" s="452" t="s">
        <v>4357</v>
      </c>
      <c r="S8" s="452" t="s">
        <v>4358</v>
      </c>
      <c r="T8" s="452" t="s">
        <v>4359</v>
      </c>
      <c r="U8" s="452" t="s">
        <v>4360</v>
      </c>
      <c r="V8" s="452" t="s">
        <v>4361</v>
      </c>
      <c r="W8" s="453" t="s">
        <v>4362</v>
      </c>
      <c r="X8" s="454" t="s">
        <v>4363</v>
      </c>
      <c r="Y8" s="455" t="s">
        <v>4364</v>
      </c>
      <c r="Z8" s="404"/>
      <c r="AA8" s="445">
        <v>2</v>
      </c>
      <c r="AB8" s="446">
        <f t="shared" si="0"/>
        <v>47</v>
      </c>
      <c r="AC8" s="447">
        <f t="shared" si="0"/>
        <v>388</v>
      </c>
      <c r="AD8" s="440">
        <f t="shared" si="0"/>
        <v>14</v>
      </c>
      <c r="AE8" s="441">
        <f t="shared" si="0"/>
        <v>100</v>
      </c>
      <c r="AF8" s="448">
        <f t="shared" si="1"/>
        <v>2.3571428571428572</v>
      </c>
      <c r="AG8" s="449">
        <f t="shared" si="1"/>
        <v>2.88</v>
      </c>
      <c r="AH8" s="450"/>
      <c r="AI8" s="446">
        <f t="shared" si="2"/>
        <v>12</v>
      </c>
      <c r="AJ8" s="447">
        <f t="shared" si="2"/>
        <v>831</v>
      </c>
      <c r="AK8" s="440">
        <f t="shared" si="2"/>
        <v>6</v>
      </c>
      <c r="AL8" s="441">
        <f t="shared" si="2"/>
        <v>51</v>
      </c>
      <c r="AM8" s="448">
        <f t="shared" si="3"/>
        <v>1</v>
      </c>
      <c r="AN8" s="449">
        <f t="shared" si="3"/>
        <v>15.294117647058822</v>
      </c>
    </row>
    <row r="9" spans="1:40" customFormat="1" ht="16.5" thickBot="1">
      <c r="A9" s="803"/>
      <c r="B9" s="437">
        <v>11</v>
      </c>
      <c r="C9" s="438">
        <v>15</v>
      </c>
      <c r="D9" s="439">
        <v>6</v>
      </c>
      <c r="E9" s="440">
        <v>41</v>
      </c>
      <c r="F9" s="441">
        <f>+C9*4</f>
        <v>60</v>
      </c>
      <c r="G9" s="441">
        <v>6</v>
      </c>
      <c r="H9" s="442">
        <f>+D9+G9</f>
        <v>12</v>
      </c>
      <c r="I9" s="404"/>
      <c r="J9" s="404"/>
      <c r="K9" s="404"/>
      <c r="L9" s="445" t="s">
        <v>4365</v>
      </c>
      <c r="M9" s="456">
        <v>1</v>
      </c>
      <c r="N9" s="457">
        <v>1</v>
      </c>
      <c r="O9" s="456">
        <v>2</v>
      </c>
      <c r="P9" s="457">
        <v>2</v>
      </c>
      <c r="Q9" s="456">
        <v>3</v>
      </c>
      <c r="R9" s="457">
        <v>3</v>
      </c>
      <c r="S9" s="456">
        <v>4</v>
      </c>
      <c r="T9" s="457">
        <v>4</v>
      </c>
      <c r="U9" s="458">
        <v>5</v>
      </c>
      <c r="V9" s="458">
        <v>5</v>
      </c>
      <c r="W9" s="456">
        <v>1</v>
      </c>
      <c r="X9" s="459">
        <v>1</v>
      </c>
      <c r="Y9" s="457">
        <v>1</v>
      </c>
      <c r="Z9" s="404"/>
      <c r="AA9" s="445">
        <v>3</v>
      </c>
      <c r="AB9" s="446">
        <f t="shared" ref="AB9:AE10" si="4">+AB22+AB40</f>
        <v>25</v>
      </c>
      <c r="AC9" s="447">
        <f t="shared" si="4"/>
        <v>186</v>
      </c>
      <c r="AD9" s="440">
        <f t="shared" si="4"/>
        <v>18</v>
      </c>
      <c r="AE9" s="441">
        <f t="shared" si="4"/>
        <v>126</v>
      </c>
      <c r="AF9" s="448">
        <f t="shared" si="1"/>
        <v>0.38888888888888884</v>
      </c>
      <c r="AG9" s="449">
        <f t="shared" si="1"/>
        <v>0.47619047619047628</v>
      </c>
      <c r="AH9" s="450"/>
      <c r="AI9" s="446">
        <f t="shared" ref="AI9:AL10" si="5">+AI22+AI40</f>
        <v>7</v>
      </c>
      <c r="AJ9" s="447">
        <f t="shared" si="5"/>
        <v>114</v>
      </c>
      <c r="AK9" s="440">
        <f t="shared" si="5"/>
        <v>10</v>
      </c>
      <c r="AL9" s="441">
        <f t="shared" si="5"/>
        <v>63</v>
      </c>
      <c r="AM9" s="448">
        <f t="shared" si="3"/>
        <v>-0.30000000000000004</v>
      </c>
      <c r="AN9" s="449">
        <f t="shared" si="3"/>
        <v>0.80952380952380953</v>
      </c>
    </row>
    <row r="10" spans="1:40" customFormat="1" ht="16.5" thickBot="1">
      <c r="A10" s="804"/>
      <c r="B10" s="460">
        <v>16</v>
      </c>
      <c r="C10" s="461"/>
      <c r="D10" s="462">
        <v>9</v>
      </c>
      <c r="E10" s="463">
        <v>61</v>
      </c>
      <c r="F10" s="464"/>
      <c r="G10" s="464">
        <v>9</v>
      </c>
      <c r="H10" s="465">
        <f>+D10+G10</f>
        <v>18</v>
      </c>
      <c r="I10" s="404"/>
      <c r="J10" s="404"/>
      <c r="K10" s="404"/>
      <c r="L10" s="466">
        <f>SUM(M10:W10)</f>
        <v>301.5</v>
      </c>
      <c r="M10" s="467">
        <f>+F17</f>
        <v>9.44</v>
      </c>
      <c r="N10" s="468">
        <f>+M10</f>
        <v>9.44</v>
      </c>
      <c r="O10" s="467">
        <f>+F22</f>
        <v>11.3</v>
      </c>
      <c r="P10" s="468">
        <f>+O10</f>
        <v>11.3</v>
      </c>
      <c r="Q10" s="467">
        <f>+F27</f>
        <v>25.92</v>
      </c>
      <c r="R10" s="468">
        <f>+Q10</f>
        <v>25.92</v>
      </c>
      <c r="S10" s="467">
        <f>+F32</f>
        <v>29.3</v>
      </c>
      <c r="T10" s="468">
        <f>+S10</f>
        <v>29.3</v>
      </c>
      <c r="U10" s="468">
        <f>+F37</f>
        <v>19.239999999999998</v>
      </c>
      <c r="V10" s="468">
        <f>+F37</f>
        <v>19.239999999999998</v>
      </c>
      <c r="W10" s="467">
        <f>+Y10</f>
        <v>111.1</v>
      </c>
      <c r="X10" s="469">
        <f>+M10</f>
        <v>9.44</v>
      </c>
      <c r="Y10" s="468">
        <f>+F57</f>
        <v>111.1</v>
      </c>
      <c r="Z10" s="404"/>
      <c r="AA10" s="445">
        <v>4</v>
      </c>
      <c r="AB10" s="446">
        <f t="shared" si="4"/>
        <v>26</v>
      </c>
      <c r="AC10" s="447">
        <f t="shared" si="4"/>
        <v>556</v>
      </c>
      <c r="AD10" s="440">
        <f t="shared" si="4"/>
        <v>30</v>
      </c>
      <c r="AE10" s="441">
        <f t="shared" si="4"/>
        <v>222</v>
      </c>
      <c r="AF10" s="448">
        <f t="shared" si="1"/>
        <v>-0.1333333333333333</v>
      </c>
      <c r="AG10" s="449">
        <f t="shared" si="1"/>
        <v>1.5045045045045047</v>
      </c>
      <c r="AH10" s="450"/>
      <c r="AI10" s="446">
        <f t="shared" si="5"/>
        <v>9</v>
      </c>
      <c r="AJ10" s="447">
        <f t="shared" si="5"/>
        <v>143</v>
      </c>
      <c r="AK10" s="440">
        <f t="shared" si="5"/>
        <v>22</v>
      </c>
      <c r="AL10" s="441">
        <f t="shared" si="5"/>
        <v>132</v>
      </c>
      <c r="AM10" s="448">
        <f t="shared" si="3"/>
        <v>-0.59090909090909083</v>
      </c>
      <c r="AN10" s="449">
        <f t="shared" si="3"/>
        <v>8.3333333333333259E-2</v>
      </c>
    </row>
    <row r="11" spans="1:40" customFormat="1" ht="16.5" thickBot="1">
      <c r="A11" s="445"/>
      <c r="B11" s="445"/>
      <c r="C11" s="445"/>
      <c r="D11" s="445"/>
      <c r="E11" s="445"/>
      <c r="F11" s="445"/>
      <c r="G11" s="404"/>
      <c r="H11" s="404"/>
      <c r="I11" s="404"/>
      <c r="J11" s="404"/>
      <c r="K11" s="404"/>
      <c r="L11" s="451" t="s">
        <v>4366</v>
      </c>
      <c r="M11" s="470">
        <f>+M10/M6*M7</f>
        <v>8.1527272727272724</v>
      </c>
      <c r="N11" s="471">
        <f t="shared" ref="N11:R11" si="6">+N10/N6*N7</f>
        <v>6.8654545454545453</v>
      </c>
      <c r="O11" s="470">
        <f t="shared" si="6"/>
        <v>9.7590909090909097</v>
      </c>
      <c r="P11" s="471">
        <f t="shared" si="6"/>
        <v>10.272727272727273</v>
      </c>
      <c r="Q11" s="470">
        <f>+Q10/Q6*Q7</f>
        <v>24.152727272727272</v>
      </c>
      <c r="R11" s="471">
        <f t="shared" si="6"/>
        <v>25.92</v>
      </c>
      <c r="S11" s="470">
        <f>+S10/S6*S7</f>
        <v>26.636363636363637</v>
      </c>
      <c r="T11" s="471">
        <f t="shared" ref="T11:X11" si="7">+T10/T6*T7</f>
        <v>29.3</v>
      </c>
      <c r="U11" s="471">
        <f t="shared" si="7"/>
        <v>16.616363636363637</v>
      </c>
      <c r="V11" s="471">
        <f t="shared" si="7"/>
        <v>19.239999999999998</v>
      </c>
      <c r="W11" s="471">
        <f t="shared" si="7"/>
        <v>111.1</v>
      </c>
      <c r="X11" s="471">
        <f t="shared" si="7"/>
        <v>7.294545454545454</v>
      </c>
      <c r="Y11" s="471">
        <f>+Y10/Y6*Y7</f>
        <v>106.05</v>
      </c>
      <c r="Z11" s="472">
        <f>SUM(M11:Y11)</f>
        <v>401.36</v>
      </c>
      <c r="AA11" s="445"/>
      <c r="AB11" s="446"/>
      <c r="AC11" s="447"/>
      <c r="AD11" s="440"/>
      <c r="AE11" s="441"/>
      <c r="AF11" s="473"/>
      <c r="AG11" s="474"/>
      <c r="AH11" s="445"/>
      <c r="AI11" s="446"/>
      <c r="AJ11" s="447"/>
      <c r="AK11" s="440"/>
      <c r="AL11" s="441"/>
      <c r="AM11" s="473"/>
      <c r="AN11" s="474"/>
    </row>
    <row r="12" spans="1:40" customFormat="1" ht="16.5" thickBot="1">
      <c r="A12" s="475" t="s">
        <v>4367</v>
      </c>
      <c r="B12" s="476"/>
      <c r="C12" s="476"/>
      <c r="D12" s="476"/>
      <c r="E12" s="476"/>
      <c r="F12" s="476"/>
      <c r="G12" s="404"/>
      <c r="H12" s="477" t="s">
        <v>4368</v>
      </c>
      <c r="I12" s="404"/>
      <c r="J12" s="404"/>
      <c r="K12" s="404"/>
      <c r="L12" s="404"/>
      <c r="M12" s="466"/>
      <c r="N12" s="466"/>
      <c r="O12" s="466"/>
      <c r="P12" s="466"/>
      <c r="Q12" s="466"/>
      <c r="R12" s="466"/>
      <c r="S12" s="466"/>
      <c r="T12" s="466"/>
      <c r="U12" s="466"/>
      <c r="V12" s="466"/>
      <c r="W12" s="466"/>
      <c r="X12" s="466"/>
      <c r="Y12" s="466"/>
      <c r="Z12" s="404"/>
      <c r="AA12" s="445" t="s">
        <v>4334</v>
      </c>
      <c r="AB12" s="456">
        <f>SUM(AB7:AB11)</f>
        <v>170</v>
      </c>
      <c r="AC12" s="457">
        <f>SUM(AC7:AC11)</f>
        <v>1678</v>
      </c>
      <c r="AD12" s="463">
        <f>SUM(AD7:AD11)</f>
        <v>99</v>
      </c>
      <c r="AE12" s="464">
        <f>SUM(AE7:AE11)</f>
        <v>717</v>
      </c>
      <c r="AF12" s="478">
        <f>-1+(AB12/AD12)</f>
        <v>0.71717171717171713</v>
      </c>
      <c r="AG12" s="479">
        <f>-1+(AC12/AE12)</f>
        <v>1.3403068340306836</v>
      </c>
      <c r="AH12" s="480"/>
      <c r="AI12" s="456">
        <f>SUM(AI7:AI11)</f>
        <v>39</v>
      </c>
      <c r="AJ12" s="457">
        <f>SUM(AJ7:AJ11)</f>
        <v>1333</v>
      </c>
      <c r="AK12" s="463">
        <f>SUM(AK7:AK11)</f>
        <v>63</v>
      </c>
      <c r="AL12" s="464">
        <f>SUM(AL7:AL11)</f>
        <v>442</v>
      </c>
      <c r="AM12" s="478">
        <f>-1+(AI12/AK12)</f>
        <v>-0.38095238095238093</v>
      </c>
      <c r="AN12" s="479">
        <f>-1+(AJ12/AL12)</f>
        <v>2.0158371040723981</v>
      </c>
    </row>
    <row r="13" spans="1:40" customFormat="1">
      <c r="A13" s="476"/>
      <c r="B13" s="476" t="s">
        <v>4369</v>
      </c>
      <c r="C13" s="476" t="s">
        <v>4370</v>
      </c>
      <c r="D13" s="476" t="s">
        <v>4334</v>
      </c>
      <c r="E13" s="476" t="s">
        <v>4371</v>
      </c>
      <c r="F13" s="476" t="s">
        <v>4372</v>
      </c>
      <c r="G13" s="406" t="s">
        <v>4373</v>
      </c>
      <c r="H13" s="481" t="s">
        <v>4374</v>
      </c>
      <c r="I13" s="404"/>
      <c r="J13" s="404"/>
      <c r="K13" s="404"/>
      <c r="L13" s="404"/>
      <c r="M13" s="472">
        <f>+M11</f>
        <v>8.1527272727272724</v>
      </c>
      <c r="N13" s="472">
        <f>+N11</f>
        <v>6.8654545454545453</v>
      </c>
      <c r="O13" s="472">
        <f t="shared" ref="O13:X13" si="8">+O11</f>
        <v>9.7590909090909097</v>
      </c>
      <c r="P13" s="472">
        <f t="shared" si="8"/>
        <v>10.272727272727273</v>
      </c>
      <c r="Q13" s="472">
        <f t="shared" si="8"/>
        <v>24.152727272727272</v>
      </c>
      <c r="R13" s="472">
        <f t="shared" si="8"/>
        <v>25.92</v>
      </c>
      <c r="S13" s="472">
        <f t="shared" si="8"/>
        <v>26.636363636363637</v>
      </c>
      <c r="T13" s="472">
        <f>+T11</f>
        <v>29.3</v>
      </c>
      <c r="U13" s="472">
        <f t="shared" ref="U13:V13" si="9">+U11</f>
        <v>16.616363636363637</v>
      </c>
      <c r="V13" s="472">
        <f t="shared" si="9"/>
        <v>19.239999999999998</v>
      </c>
      <c r="W13" s="472">
        <f t="shared" si="8"/>
        <v>111.1</v>
      </c>
      <c r="X13" s="472">
        <f t="shared" si="8"/>
        <v>7.294545454545454</v>
      </c>
      <c r="Y13" s="472">
        <f>+Y11</f>
        <v>106.05</v>
      </c>
      <c r="Z13" s="472">
        <f>SUM(M13:Y13)</f>
        <v>401.36</v>
      </c>
      <c r="AA13" s="445"/>
      <c r="AB13" s="445"/>
      <c r="AC13" s="445"/>
      <c r="AD13" s="404"/>
      <c r="AE13" s="404"/>
      <c r="AF13" s="404"/>
      <c r="AG13" s="404"/>
      <c r="AH13" s="404"/>
      <c r="AI13" s="404"/>
      <c r="AJ13" s="404"/>
      <c r="AK13" s="404"/>
      <c r="AL13" s="404"/>
      <c r="AM13" s="404"/>
      <c r="AN13" s="404"/>
    </row>
    <row r="14" spans="1:40" customFormat="1">
      <c r="A14" s="476" t="s">
        <v>4375</v>
      </c>
      <c r="B14" s="475">
        <v>1</v>
      </c>
      <c r="C14" s="482">
        <v>0</v>
      </c>
      <c r="D14" s="476">
        <f>+B14*C14</f>
        <v>0</v>
      </c>
      <c r="E14" s="476">
        <v>2</v>
      </c>
      <c r="F14" s="483">
        <f>+D14/E14</f>
        <v>0</v>
      </c>
      <c r="G14" s="406" t="s">
        <v>4420</v>
      </c>
      <c r="H14" s="484" t="s">
        <v>4377</v>
      </c>
      <c r="I14" s="404"/>
      <c r="J14" s="404"/>
      <c r="K14" s="404"/>
      <c r="L14" s="406" t="s">
        <v>4378</v>
      </c>
      <c r="M14" s="472">
        <v>0</v>
      </c>
      <c r="N14" s="472">
        <v>0</v>
      </c>
      <c r="O14" s="472">
        <v>0</v>
      </c>
      <c r="P14" s="472">
        <v>0</v>
      </c>
      <c r="Q14" s="472">
        <v>0</v>
      </c>
      <c r="R14" s="472">
        <v>0</v>
      </c>
      <c r="S14" s="472">
        <v>0</v>
      </c>
      <c r="T14" s="472">
        <v>0</v>
      </c>
      <c r="U14" s="472">
        <v>0</v>
      </c>
      <c r="V14" s="472">
        <v>0</v>
      </c>
      <c r="W14" s="472">
        <v>0</v>
      </c>
      <c r="X14" s="472">
        <v>0</v>
      </c>
      <c r="Y14" s="472">
        <v>0</v>
      </c>
      <c r="Z14" s="472">
        <f>SUM(M14:Y14)</f>
        <v>0</v>
      </c>
      <c r="AA14" s="445"/>
      <c r="AB14" s="445"/>
      <c r="AC14" s="445"/>
      <c r="AD14" s="404"/>
      <c r="AE14" s="404"/>
      <c r="AF14" s="404"/>
      <c r="AG14" s="404"/>
      <c r="AH14" s="404"/>
      <c r="AI14" s="404"/>
      <c r="AJ14" s="404"/>
      <c r="AK14" s="404"/>
      <c r="AL14" s="404"/>
      <c r="AM14" s="404"/>
      <c r="AN14" s="404"/>
    </row>
    <row r="15" spans="1:40" customFormat="1">
      <c r="A15" s="476" t="s">
        <v>4333</v>
      </c>
      <c r="B15" s="476">
        <v>22</v>
      </c>
      <c r="C15" s="485">
        <v>3</v>
      </c>
      <c r="D15" s="476">
        <f>+B15*C15</f>
        <v>66</v>
      </c>
      <c r="E15" s="476">
        <v>10</v>
      </c>
      <c r="F15" s="483">
        <f>+D15/E15</f>
        <v>6.6</v>
      </c>
      <c r="G15" s="404"/>
      <c r="H15" s="481" t="s">
        <v>4379</v>
      </c>
      <c r="I15" s="404"/>
      <c r="J15" s="404"/>
      <c r="K15" s="404"/>
      <c r="L15" s="406" t="s">
        <v>4380</v>
      </c>
      <c r="M15" s="486">
        <v>50</v>
      </c>
      <c r="N15" s="486">
        <v>50</v>
      </c>
      <c r="O15" s="486">
        <v>50</v>
      </c>
      <c r="P15" s="486">
        <v>50</v>
      </c>
      <c r="Q15" s="486">
        <v>50</v>
      </c>
      <c r="R15" s="486">
        <v>50</v>
      </c>
      <c r="S15" s="486">
        <v>50</v>
      </c>
      <c r="T15" s="486">
        <v>50</v>
      </c>
      <c r="U15" s="486">
        <v>50</v>
      </c>
      <c r="V15" s="486">
        <v>50</v>
      </c>
      <c r="W15" s="503">
        <v>50</v>
      </c>
      <c r="X15" s="503">
        <v>50</v>
      </c>
      <c r="Y15" s="486">
        <v>50</v>
      </c>
      <c r="Z15" s="472">
        <f>SUM(M15:Y15)</f>
        <v>650</v>
      </c>
      <c r="AA15" s="404"/>
      <c r="AB15" s="406" t="s">
        <v>4293</v>
      </c>
      <c r="AC15" s="404"/>
      <c r="AD15" s="404"/>
      <c r="AE15" s="404"/>
      <c r="AF15" s="404"/>
      <c r="AG15" s="404"/>
      <c r="AH15" s="404"/>
      <c r="AI15" s="404"/>
      <c r="AJ15" s="404"/>
      <c r="AK15" s="404"/>
      <c r="AL15" s="404"/>
      <c r="AM15" s="404"/>
      <c r="AN15" s="404"/>
    </row>
    <row r="16" spans="1:40" customFormat="1">
      <c r="A16" s="476" t="s">
        <v>4293</v>
      </c>
      <c r="B16" s="476">
        <v>3</v>
      </c>
      <c r="C16" s="485"/>
      <c r="D16" s="476"/>
      <c r="E16" s="476"/>
      <c r="F16" s="483">
        <v>2.84</v>
      </c>
      <c r="G16" s="404"/>
      <c r="H16" s="481"/>
      <c r="I16" s="404"/>
      <c r="J16" s="404"/>
      <c r="K16" s="404"/>
      <c r="L16" s="487" t="s">
        <v>4381</v>
      </c>
      <c r="M16" s="404"/>
      <c r="N16" s="404"/>
      <c r="O16" s="404"/>
      <c r="P16" s="404"/>
      <c r="Q16" s="404"/>
      <c r="R16" s="404"/>
      <c r="S16" s="404"/>
      <c r="T16" s="404"/>
      <c r="U16" s="404"/>
      <c r="V16" s="404"/>
      <c r="W16" s="404"/>
      <c r="X16" s="404"/>
      <c r="Y16" s="404"/>
      <c r="Z16" s="404"/>
      <c r="AA16" s="404"/>
      <c r="AB16" s="406"/>
      <c r="AC16" s="404"/>
      <c r="AD16" s="404"/>
      <c r="AE16" s="404"/>
      <c r="AF16" s="404"/>
      <c r="AG16" s="404"/>
      <c r="AH16" s="404"/>
      <c r="AI16" s="404"/>
      <c r="AJ16" s="404"/>
      <c r="AK16" s="404"/>
      <c r="AL16" s="404"/>
      <c r="AM16" s="404"/>
      <c r="AN16" s="404"/>
    </row>
    <row r="17" spans="1:40" customFormat="1" ht="16.5" thickBot="1">
      <c r="A17" s="476"/>
      <c r="B17" s="476"/>
      <c r="C17" s="476"/>
      <c r="D17" s="476"/>
      <c r="E17" s="476">
        <v>9</v>
      </c>
      <c r="F17" s="488">
        <f>SUM(F14:F16)</f>
        <v>9.44</v>
      </c>
      <c r="G17" s="406"/>
      <c r="H17" s="481" t="s">
        <v>4382</v>
      </c>
      <c r="I17" s="404"/>
      <c r="J17" s="404"/>
      <c r="K17" s="404"/>
      <c r="L17" s="404" t="s">
        <v>4334</v>
      </c>
      <c r="M17" s="472">
        <f>+M13+M15</f>
        <v>58.152727272727276</v>
      </c>
      <c r="N17" s="472">
        <f t="shared" ref="N17:Y17" si="10">+N13+N15</f>
        <v>56.865454545454547</v>
      </c>
      <c r="O17" s="472">
        <f t="shared" si="10"/>
        <v>59.759090909090908</v>
      </c>
      <c r="P17" s="472">
        <f t="shared" si="10"/>
        <v>60.272727272727273</v>
      </c>
      <c r="Q17" s="472">
        <f t="shared" si="10"/>
        <v>74.152727272727276</v>
      </c>
      <c r="R17" s="472">
        <f t="shared" si="10"/>
        <v>75.92</v>
      </c>
      <c r="S17" s="472">
        <f t="shared" si="10"/>
        <v>76.63636363636364</v>
      </c>
      <c r="T17" s="472">
        <f t="shared" si="10"/>
        <v>79.3</v>
      </c>
      <c r="U17" s="472">
        <f t="shared" si="10"/>
        <v>66.616363636363644</v>
      </c>
      <c r="V17" s="472">
        <f t="shared" si="10"/>
        <v>69.239999999999995</v>
      </c>
      <c r="W17" s="472">
        <f t="shared" si="10"/>
        <v>161.1</v>
      </c>
      <c r="X17" s="472">
        <f>+X13+X15</f>
        <v>57.294545454545457</v>
      </c>
      <c r="Y17" s="472">
        <f t="shared" si="10"/>
        <v>156.05000000000001</v>
      </c>
      <c r="Z17" s="472">
        <f>SUM(M17:Y17)</f>
        <v>1051.3600000000001</v>
      </c>
      <c r="AA17" s="412"/>
      <c r="AB17" s="417">
        <v>45292</v>
      </c>
      <c r="AC17" s="412"/>
      <c r="AD17" s="412"/>
      <c r="AE17" s="412"/>
      <c r="AF17" s="412"/>
      <c r="AG17" s="412"/>
      <c r="AH17" s="412"/>
      <c r="AI17" s="412"/>
      <c r="AJ17" s="412"/>
      <c r="AK17" s="412"/>
      <c r="AL17" s="412"/>
      <c r="AM17" s="404"/>
      <c r="AN17" s="404"/>
    </row>
    <row r="18" spans="1:40" customFormat="1">
      <c r="A18" s="476"/>
      <c r="B18" s="476" t="s">
        <v>4369</v>
      </c>
      <c r="C18" s="476" t="s">
        <v>4370</v>
      </c>
      <c r="D18" s="476" t="s">
        <v>4334</v>
      </c>
      <c r="E18" s="476" t="s">
        <v>4371</v>
      </c>
      <c r="F18" s="483" t="s">
        <v>4372</v>
      </c>
      <c r="G18" s="406" t="s">
        <v>4405</v>
      </c>
      <c r="H18" s="481" t="s">
        <v>4384</v>
      </c>
      <c r="I18" s="404"/>
      <c r="J18" s="404"/>
      <c r="K18" s="404"/>
      <c r="L18" s="404"/>
      <c r="M18" s="404" t="s">
        <v>4385</v>
      </c>
      <c r="N18" s="404"/>
      <c r="O18" s="404"/>
      <c r="P18" s="404"/>
      <c r="Q18" s="404"/>
      <c r="R18" s="404"/>
      <c r="S18" s="404"/>
      <c r="T18" s="404"/>
      <c r="U18" s="404"/>
      <c r="V18" s="404"/>
      <c r="W18" s="404"/>
      <c r="X18" s="404"/>
      <c r="Y18" s="404"/>
      <c r="Z18" s="404"/>
      <c r="AA18" s="429" t="s">
        <v>4331</v>
      </c>
      <c r="AB18" s="430" t="s">
        <v>4289</v>
      </c>
      <c r="AC18" s="431" t="s">
        <v>4344</v>
      </c>
      <c r="AD18" s="432" t="s">
        <v>4345</v>
      </c>
      <c r="AE18" s="433" t="s">
        <v>4346</v>
      </c>
      <c r="AF18" s="434" t="s">
        <v>4347</v>
      </c>
      <c r="AG18" s="435" t="s">
        <v>4347</v>
      </c>
      <c r="AH18" s="436"/>
      <c r="AI18" s="430" t="s">
        <v>4338</v>
      </c>
      <c r="AJ18" s="431" t="s">
        <v>4344</v>
      </c>
      <c r="AK18" s="432" t="s">
        <v>4348</v>
      </c>
      <c r="AL18" s="433" t="s">
        <v>4349</v>
      </c>
      <c r="AM18" s="434" t="s">
        <v>4350</v>
      </c>
      <c r="AN18" s="435" t="s">
        <v>4350</v>
      </c>
    </row>
    <row r="19" spans="1:40" customFormat="1">
      <c r="A19" s="476" t="s">
        <v>4375</v>
      </c>
      <c r="B19" s="475">
        <v>4</v>
      </c>
      <c r="C19" s="482">
        <v>0</v>
      </c>
      <c r="D19" s="476">
        <f>+B19*C19</f>
        <v>0</v>
      </c>
      <c r="E19" s="476">
        <v>2</v>
      </c>
      <c r="F19" s="483">
        <f>+D19/E19</f>
        <v>0</v>
      </c>
      <c r="G19" s="406" t="s">
        <v>4386</v>
      </c>
      <c r="H19" s="481" t="s">
        <v>4387</v>
      </c>
      <c r="I19" s="404"/>
      <c r="J19" s="404"/>
      <c r="K19" s="404"/>
      <c r="L19" s="404"/>
      <c r="M19" s="404" t="s">
        <v>2982</v>
      </c>
      <c r="N19" s="404"/>
      <c r="O19" s="404" t="s">
        <v>4354</v>
      </c>
      <c r="P19" s="404" t="s">
        <v>4355</v>
      </c>
      <c r="Q19" s="404" t="s">
        <v>4356</v>
      </c>
      <c r="R19" s="404" t="s">
        <v>4357</v>
      </c>
      <c r="S19" s="404" t="s">
        <v>4358</v>
      </c>
      <c r="T19" s="404" t="s">
        <v>4359</v>
      </c>
      <c r="U19" s="404" t="s">
        <v>4388</v>
      </c>
      <c r="V19" s="404" t="s">
        <v>4361</v>
      </c>
      <c r="W19" s="404" t="s">
        <v>4362</v>
      </c>
      <c r="X19" s="404" t="s">
        <v>4363</v>
      </c>
      <c r="Y19" s="404" t="s">
        <v>4364</v>
      </c>
      <c r="Z19" s="404"/>
      <c r="AA19" s="445">
        <v>1</v>
      </c>
      <c r="AB19" s="428">
        <v>37</v>
      </c>
      <c r="AC19" s="443">
        <v>166</v>
      </c>
      <c r="AD19" s="428">
        <v>23</v>
      </c>
      <c r="AE19" s="443">
        <f>+AD19*5</f>
        <v>115</v>
      </c>
      <c r="AF19" s="448">
        <f>-1+(AB19/AD19)</f>
        <v>0.60869565217391308</v>
      </c>
      <c r="AG19" s="449">
        <f>-1+(AC19/AE19)</f>
        <v>0.44347826086956532</v>
      </c>
      <c r="AH19" s="450"/>
      <c r="AI19" s="428">
        <v>0</v>
      </c>
      <c r="AJ19" s="443">
        <v>0</v>
      </c>
      <c r="AK19" s="428">
        <v>14</v>
      </c>
      <c r="AL19" s="443">
        <f>+AK19*3</f>
        <v>42</v>
      </c>
      <c r="AM19" s="448">
        <f>-1+(AI19/AK19)</f>
        <v>-1</v>
      </c>
      <c r="AN19" s="449">
        <f>-1+(AJ19/AL19)</f>
        <v>-1</v>
      </c>
    </row>
    <row r="20" spans="1:40" customFormat="1">
      <c r="A20" s="476" t="s">
        <v>4333</v>
      </c>
      <c r="B20" s="476">
        <f>+B15</f>
        <v>22</v>
      </c>
      <c r="C20" s="476">
        <f>+C15</f>
        <v>3</v>
      </c>
      <c r="D20" s="476">
        <f>+B20*C20</f>
        <v>66</v>
      </c>
      <c r="E20" s="476">
        <v>10</v>
      </c>
      <c r="F20" s="483">
        <f>+D20/E20</f>
        <v>6.6</v>
      </c>
      <c r="G20" s="404"/>
      <c r="H20" s="489" t="s">
        <v>4389</v>
      </c>
      <c r="I20" s="404"/>
      <c r="J20" s="404"/>
      <c r="K20" s="404"/>
      <c r="L20" s="404" t="s">
        <v>4390</v>
      </c>
      <c r="M20" s="472">
        <f>+M7/M6*50</f>
        <v>43.18181818181818</v>
      </c>
      <c r="N20" s="472">
        <f t="shared" ref="N20:Y20" si="11">+N7/N6*50</f>
        <v>36.363636363636367</v>
      </c>
      <c r="O20" s="472">
        <f t="shared" si="11"/>
        <v>43.18181818181818</v>
      </c>
      <c r="P20" s="472">
        <f t="shared" si="11"/>
        <v>45.454545454545453</v>
      </c>
      <c r="Q20" s="472">
        <f t="shared" si="11"/>
        <v>46.590909090909086</v>
      </c>
      <c r="R20" s="472">
        <f t="shared" si="11"/>
        <v>50</v>
      </c>
      <c r="S20" s="472">
        <f t="shared" si="11"/>
        <v>45.454545454545453</v>
      </c>
      <c r="T20" s="472">
        <f t="shared" si="11"/>
        <v>50</v>
      </c>
      <c r="U20" s="472">
        <f t="shared" si="11"/>
        <v>43.18181818181818</v>
      </c>
      <c r="V20" s="472">
        <f t="shared" si="11"/>
        <v>50</v>
      </c>
      <c r="W20" s="472">
        <f t="shared" si="11"/>
        <v>50</v>
      </c>
      <c r="X20" s="472">
        <f t="shared" si="11"/>
        <v>38.636363636363633</v>
      </c>
      <c r="Y20" s="472">
        <f t="shared" si="11"/>
        <v>47.727272727272727</v>
      </c>
      <c r="Z20" s="404"/>
      <c r="AA20" s="445">
        <v>2</v>
      </c>
      <c r="AB20" s="428">
        <v>27</v>
      </c>
      <c r="AC20" s="443">
        <v>166</v>
      </c>
      <c r="AD20" s="428">
        <v>9</v>
      </c>
      <c r="AE20" s="443">
        <f>+AD20*5</f>
        <v>45</v>
      </c>
      <c r="AF20" s="448">
        <f>-1+(AB20/AD20)</f>
        <v>2</v>
      </c>
      <c r="AG20" s="449">
        <f>-1+(AC20/AE20)</f>
        <v>2.6888888888888891</v>
      </c>
      <c r="AH20" s="450"/>
      <c r="AI20" s="428">
        <v>5</v>
      </c>
      <c r="AJ20" s="443">
        <v>705</v>
      </c>
      <c r="AK20" s="428">
        <v>3</v>
      </c>
      <c r="AL20" s="443">
        <f>+AK20*3</f>
        <v>9</v>
      </c>
      <c r="AM20" s="448">
        <f>-1+(AI20/AK20)</f>
        <v>0.66666666666666674</v>
      </c>
      <c r="AN20" s="449">
        <f>-1+(AJ20/AL20)</f>
        <v>77.333333333333329</v>
      </c>
    </row>
    <row r="21" spans="1:40" customFormat="1">
      <c r="A21" s="476" t="s">
        <v>4293</v>
      </c>
      <c r="B21" s="476">
        <v>3</v>
      </c>
      <c r="C21" s="476"/>
      <c r="D21" s="476"/>
      <c r="E21" s="476"/>
      <c r="F21" s="483">
        <v>4.7</v>
      </c>
      <c r="G21" s="404"/>
      <c r="H21" s="489"/>
      <c r="I21" s="404"/>
      <c r="J21" s="404"/>
      <c r="K21" s="404"/>
      <c r="L21" s="487" t="s">
        <v>4380</v>
      </c>
      <c r="M21" s="490">
        <f>IF(M17&lt;M20,M20,M17)</f>
        <v>58.152727272727276</v>
      </c>
      <c r="N21" s="490">
        <f t="shared" ref="N21:Y21" si="12">IF(N17&lt;N20,N20,N17)</f>
        <v>56.865454545454547</v>
      </c>
      <c r="O21" s="490">
        <f t="shared" si="12"/>
        <v>59.759090909090908</v>
      </c>
      <c r="P21" s="490">
        <f t="shared" si="12"/>
        <v>60.272727272727273</v>
      </c>
      <c r="Q21" s="490">
        <f t="shared" si="12"/>
        <v>74.152727272727276</v>
      </c>
      <c r="R21" s="490">
        <f t="shared" si="12"/>
        <v>75.92</v>
      </c>
      <c r="S21" s="490">
        <f t="shared" si="12"/>
        <v>76.63636363636364</v>
      </c>
      <c r="T21" s="490">
        <f>IF(T17&lt;T20,T20,T17)</f>
        <v>79.3</v>
      </c>
      <c r="U21" s="490">
        <f>IF(U17&lt;U20,U20,U17)</f>
        <v>66.616363636363644</v>
      </c>
      <c r="V21" s="490">
        <f t="shared" ref="V21" si="13">IF(V17&lt;V20,V20,V17)</f>
        <v>69.239999999999995</v>
      </c>
      <c r="W21" s="490">
        <f t="shared" si="12"/>
        <v>161.1</v>
      </c>
      <c r="X21" s="490" t="s">
        <v>4421</v>
      </c>
      <c r="Y21" s="490">
        <f t="shared" si="12"/>
        <v>156.05000000000001</v>
      </c>
      <c r="Z21" s="404"/>
      <c r="AA21" s="445"/>
      <c r="AB21" s="428"/>
      <c r="AC21" s="443"/>
      <c r="AD21" s="428"/>
      <c r="AE21" s="443"/>
      <c r="AF21" s="448"/>
      <c r="AG21" s="449"/>
      <c r="AH21" s="450"/>
      <c r="AI21" s="428"/>
      <c r="AJ21" s="443"/>
      <c r="AK21" s="428"/>
      <c r="AL21" s="443"/>
      <c r="AM21" s="448"/>
      <c r="AN21" s="449"/>
    </row>
    <row r="22" spans="1:40" customFormat="1">
      <c r="A22" s="476"/>
      <c r="B22" s="476"/>
      <c r="C22" s="476"/>
      <c r="D22" s="476"/>
      <c r="E22" s="476"/>
      <c r="F22" s="488">
        <f>SUM(F19:F21)</f>
        <v>11.3</v>
      </c>
      <c r="G22" s="406"/>
      <c r="H22" s="484" t="s">
        <v>4391</v>
      </c>
      <c r="I22" s="404"/>
      <c r="J22" s="404"/>
      <c r="K22" s="404"/>
      <c r="L22" s="404"/>
      <c r="M22" s="404"/>
      <c r="N22" s="445"/>
      <c r="O22" s="445"/>
      <c r="P22" s="445"/>
      <c r="Q22" s="445"/>
      <c r="R22" s="445"/>
      <c r="S22" s="445"/>
      <c r="T22" s="445"/>
      <c r="U22" s="445"/>
      <c r="V22" s="445"/>
      <c r="W22" s="445"/>
      <c r="X22" s="445"/>
      <c r="Y22" s="445"/>
      <c r="Z22" s="445"/>
      <c r="AA22" s="445">
        <v>3</v>
      </c>
      <c r="AB22" s="428">
        <v>15</v>
      </c>
      <c r="AC22" s="443">
        <v>59</v>
      </c>
      <c r="AD22" s="428">
        <v>12</v>
      </c>
      <c r="AE22" s="443">
        <f>+AD22*5</f>
        <v>60</v>
      </c>
      <c r="AF22" s="448">
        <f>-1+(AB22/AD22)</f>
        <v>0.25</v>
      </c>
      <c r="AG22" s="449">
        <f>-1+(AC22/AE22)</f>
        <v>-1.6666666666666718E-2</v>
      </c>
      <c r="AH22" s="450"/>
      <c r="AI22" s="428">
        <v>1</v>
      </c>
      <c r="AJ22" s="443">
        <v>24</v>
      </c>
      <c r="AK22" s="428">
        <v>7</v>
      </c>
      <c r="AL22" s="443">
        <f>+AK22*3</f>
        <v>21</v>
      </c>
      <c r="AM22" s="448">
        <f>-1+(AI22/AK22)</f>
        <v>-0.85714285714285721</v>
      </c>
      <c r="AN22" s="449">
        <f>-1+(AJ22/AL22)</f>
        <v>0.14285714285714279</v>
      </c>
    </row>
    <row r="23" spans="1:40" customFormat="1">
      <c r="A23" s="476"/>
      <c r="B23" s="476" t="s">
        <v>4369</v>
      </c>
      <c r="C23" s="476" t="s">
        <v>4370</v>
      </c>
      <c r="D23" s="476" t="s">
        <v>4334</v>
      </c>
      <c r="E23" s="476" t="s">
        <v>4371</v>
      </c>
      <c r="F23" s="483" t="s">
        <v>4372</v>
      </c>
      <c r="G23" s="406" t="s">
        <v>4392</v>
      </c>
      <c r="H23" s="484" t="s">
        <v>4393</v>
      </c>
      <c r="I23" s="404"/>
      <c r="J23" s="404"/>
      <c r="K23" s="404"/>
      <c r="L23" s="404"/>
      <c r="M23" s="445"/>
      <c r="N23" s="445"/>
      <c r="O23" s="445"/>
      <c r="P23" s="445"/>
      <c r="Q23" s="445"/>
      <c r="R23" s="445"/>
      <c r="S23" s="445"/>
      <c r="T23" s="445"/>
      <c r="U23" s="445"/>
      <c r="V23" s="445"/>
      <c r="W23" s="445"/>
      <c r="X23" s="445"/>
      <c r="Y23" s="445"/>
      <c r="Z23" s="445"/>
      <c r="AA23" s="445">
        <v>4</v>
      </c>
      <c r="AB23" s="428">
        <v>25</v>
      </c>
      <c r="AC23" s="443">
        <v>538</v>
      </c>
      <c r="AD23" s="428">
        <v>18</v>
      </c>
      <c r="AE23" s="443">
        <f>+AD23*5</f>
        <v>90</v>
      </c>
      <c r="AF23" s="448">
        <f>-1+(AB23/AD23)</f>
        <v>0.38888888888888884</v>
      </c>
      <c r="AG23" s="449">
        <f>-1+(AC23/AE23)</f>
        <v>4.9777777777777779</v>
      </c>
      <c r="AH23" s="450"/>
      <c r="AI23" s="428">
        <v>2</v>
      </c>
      <c r="AJ23" s="443">
        <v>16</v>
      </c>
      <c r="AK23" s="428">
        <v>16</v>
      </c>
      <c r="AL23" s="443">
        <f>+AK23*3</f>
        <v>48</v>
      </c>
      <c r="AM23" s="448">
        <f>-1+(AI23/AK23)</f>
        <v>-0.875</v>
      </c>
      <c r="AN23" s="449">
        <f>-1+(AJ23/AL23)</f>
        <v>-0.66666666666666674</v>
      </c>
    </row>
    <row r="24" spans="1:40" customFormat="1">
      <c r="A24" s="476" t="s">
        <v>4375</v>
      </c>
      <c r="B24" s="475">
        <v>2</v>
      </c>
      <c r="C24" s="482">
        <v>0</v>
      </c>
      <c r="D24" s="476">
        <f>+B24*C24</f>
        <v>0</v>
      </c>
      <c r="E24" s="476">
        <v>2</v>
      </c>
      <c r="F24" s="483">
        <f>+D24/E24</f>
        <v>0</v>
      </c>
      <c r="G24" s="406" t="s">
        <v>4394</v>
      </c>
      <c r="H24" s="491" t="s">
        <v>4395</v>
      </c>
      <c r="I24" s="404"/>
      <c r="J24" s="404"/>
      <c r="K24" s="404"/>
      <c r="L24" s="404"/>
      <c r="M24" s="404"/>
      <c r="N24" s="404"/>
      <c r="O24" s="404"/>
      <c r="P24" s="404"/>
      <c r="Q24" s="404"/>
      <c r="R24" s="404"/>
      <c r="S24" s="404"/>
      <c r="T24" s="404"/>
      <c r="U24" s="404"/>
      <c r="V24" s="404"/>
      <c r="W24" s="404"/>
      <c r="X24" s="404"/>
      <c r="Y24" s="404"/>
      <c r="Z24" s="404"/>
      <c r="AA24" s="445"/>
      <c r="AB24" s="446"/>
      <c r="AC24" s="447"/>
      <c r="AD24" s="440"/>
      <c r="AE24" s="441"/>
      <c r="AF24" s="473"/>
      <c r="AG24" s="474"/>
      <c r="AH24" s="445"/>
      <c r="AI24" s="446"/>
      <c r="AJ24" s="447"/>
      <c r="AK24" s="440"/>
      <c r="AL24" s="441"/>
      <c r="AM24" s="473"/>
      <c r="AN24" s="474"/>
    </row>
    <row r="25" spans="1:40" customFormat="1" ht="16.5" thickBot="1">
      <c r="A25" s="476" t="s">
        <v>4333</v>
      </c>
      <c r="B25" s="476">
        <f>+B20</f>
        <v>22</v>
      </c>
      <c r="C25" s="476">
        <f>+C20</f>
        <v>3</v>
      </c>
      <c r="D25" s="476">
        <f>+B25*C25</f>
        <v>66</v>
      </c>
      <c r="E25" s="476">
        <v>10</v>
      </c>
      <c r="F25" s="483">
        <f>+D25/E25</f>
        <v>6.6</v>
      </c>
      <c r="G25" s="404"/>
      <c r="H25" s="481" t="s">
        <v>4396</v>
      </c>
      <c r="I25" s="404"/>
      <c r="J25" s="404"/>
      <c r="K25" s="404"/>
      <c r="L25" s="404"/>
      <c r="M25" s="404"/>
      <c r="N25" s="404"/>
      <c r="O25" s="404"/>
      <c r="P25" s="404"/>
      <c r="Q25" s="404"/>
      <c r="R25" s="404"/>
      <c r="S25" s="404"/>
      <c r="T25" s="404"/>
      <c r="U25" s="404"/>
      <c r="V25" s="404"/>
      <c r="W25" s="404"/>
      <c r="X25" s="404"/>
      <c r="Y25" s="404"/>
      <c r="Z25" s="404"/>
      <c r="AA25" s="445" t="s">
        <v>4334</v>
      </c>
      <c r="AB25" s="456">
        <f>SUM(AB19:AB24)</f>
        <v>104</v>
      </c>
      <c r="AC25" s="457">
        <f>SUM(AC19:AC24)</f>
        <v>929</v>
      </c>
      <c r="AD25" s="463">
        <f>SUM(AD19:AD24)</f>
        <v>62</v>
      </c>
      <c r="AE25" s="464">
        <f>SUM(AE19:AE24)</f>
        <v>310</v>
      </c>
      <c r="AF25" s="478">
        <f>-1+(AB25/AD25)</f>
        <v>0.67741935483870974</v>
      </c>
      <c r="AG25" s="479">
        <f>-1+(AC25/AE25)</f>
        <v>1.9967741935483869</v>
      </c>
      <c r="AH25" s="480"/>
      <c r="AI25" s="456">
        <f>SUM(AI19:AI24)</f>
        <v>8</v>
      </c>
      <c r="AJ25" s="457">
        <f>SUM(AJ19:AJ24)</f>
        <v>745</v>
      </c>
      <c r="AK25" s="463">
        <f>SUM(AK19:AK24)</f>
        <v>40</v>
      </c>
      <c r="AL25" s="464">
        <f>SUM(AL19:AL24)</f>
        <v>120</v>
      </c>
      <c r="AM25" s="478">
        <f>-1+(AI25/AK25)</f>
        <v>-0.8</v>
      </c>
      <c r="AN25" s="479">
        <f>-1+(AJ25/AL25)</f>
        <v>5.208333333333333</v>
      </c>
    </row>
    <row r="26" spans="1:40" customFormat="1">
      <c r="A26" s="476" t="s">
        <v>4293</v>
      </c>
      <c r="B26" s="476">
        <v>3</v>
      </c>
      <c r="C26" s="476"/>
      <c r="D26" s="476"/>
      <c r="E26" s="476"/>
      <c r="F26" s="483">
        <v>19.32</v>
      </c>
      <c r="G26" s="404"/>
      <c r="H26" s="481"/>
      <c r="I26" s="404"/>
      <c r="J26" s="404"/>
      <c r="K26" s="404"/>
      <c r="L26" s="404"/>
      <c r="M26" s="404"/>
      <c r="N26" s="404"/>
      <c r="O26" s="404"/>
      <c r="P26" s="404"/>
      <c r="Q26" s="404"/>
      <c r="R26" s="404"/>
      <c r="S26" s="404"/>
      <c r="T26" s="404"/>
      <c r="U26" s="404"/>
      <c r="V26" s="404"/>
      <c r="W26" s="404"/>
      <c r="X26" s="404"/>
      <c r="Y26" s="404"/>
      <c r="Z26" s="404"/>
      <c r="AA26" s="445"/>
      <c r="AB26" s="492"/>
      <c r="AC26" s="492"/>
      <c r="AD26" s="493"/>
      <c r="AE26" s="493"/>
      <c r="AF26" s="494"/>
      <c r="AG26" s="494"/>
      <c r="AH26" s="450"/>
      <c r="AI26" s="492"/>
      <c r="AJ26" s="492"/>
      <c r="AK26" s="493"/>
      <c r="AL26" s="493"/>
      <c r="AM26" s="494"/>
      <c r="AN26" s="494"/>
    </row>
    <row r="27" spans="1:40" customFormat="1">
      <c r="A27" s="476"/>
      <c r="B27" s="476"/>
      <c r="C27" s="476"/>
      <c r="D27" s="476"/>
      <c r="E27" s="476"/>
      <c r="F27" s="488">
        <f>SUM(F24:F26)</f>
        <v>25.92</v>
      </c>
      <c r="G27" s="406"/>
      <c r="H27" s="489" t="s">
        <v>4397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Y27" s="404"/>
      <c r="Z27" s="404"/>
      <c r="AA27" s="404"/>
      <c r="AB27" s="404"/>
      <c r="AC27" s="404"/>
      <c r="AD27" s="404"/>
      <c r="AE27" s="404"/>
      <c r="AF27" s="404"/>
      <c r="AG27" s="404"/>
      <c r="AH27" s="404"/>
      <c r="AI27" s="404"/>
      <c r="AJ27" s="404"/>
      <c r="AK27" s="404"/>
      <c r="AL27" s="404"/>
      <c r="AM27" s="404"/>
      <c r="AN27" s="404"/>
    </row>
    <row r="28" spans="1:40" customFormat="1">
      <c r="A28" s="476"/>
      <c r="B28" s="476" t="s">
        <v>4369</v>
      </c>
      <c r="C28" s="476" t="s">
        <v>4370</v>
      </c>
      <c r="D28" s="476" t="s">
        <v>4334</v>
      </c>
      <c r="E28" s="476" t="s">
        <v>4371</v>
      </c>
      <c r="F28" s="483" t="s">
        <v>4372</v>
      </c>
      <c r="G28" s="406" t="s">
        <v>4398</v>
      </c>
      <c r="H28" s="484" t="s">
        <v>4399</v>
      </c>
      <c r="I28" s="404"/>
      <c r="J28" s="404"/>
      <c r="K28" s="404"/>
      <c r="L28" s="404"/>
      <c r="M28" s="404"/>
      <c r="N28" s="404"/>
      <c r="O28" s="404"/>
      <c r="P28" s="404"/>
      <c r="Q28" s="404"/>
      <c r="R28" s="404"/>
      <c r="S28" s="404"/>
      <c r="T28" s="404"/>
      <c r="U28" s="404"/>
      <c r="V28" s="404"/>
      <c r="W28" s="404"/>
      <c r="X28" s="404"/>
      <c r="Y28" s="404"/>
      <c r="Z28" s="404"/>
      <c r="AA28" s="404"/>
      <c r="AB28" s="404"/>
      <c r="AC28" s="404"/>
      <c r="AD28" s="404"/>
      <c r="AE28" s="404"/>
      <c r="AF28" s="404"/>
      <c r="AG28" s="404"/>
      <c r="AH28" s="404"/>
      <c r="AI28" s="404"/>
      <c r="AJ28" s="404"/>
      <c r="AK28" s="404"/>
      <c r="AL28" s="404"/>
      <c r="AM28" s="404"/>
      <c r="AN28" s="404"/>
    </row>
    <row r="29" spans="1:40" customFormat="1">
      <c r="A29" s="476" t="s">
        <v>4375</v>
      </c>
      <c r="B29" s="475">
        <v>10</v>
      </c>
      <c r="C29" s="482">
        <v>3</v>
      </c>
      <c r="D29" s="476">
        <f>+B29*C29</f>
        <v>30</v>
      </c>
      <c r="E29" s="476">
        <v>2</v>
      </c>
      <c r="F29" s="483">
        <f>+D29/E29</f>
        <v>15</v>
      </c>
      <c r="G29" s="406" t="s">
        <v>4400</v>
      </c>
      <c r="H29" s="481" t="s">
        <v>4401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Y29" s="404"/>
      <c r="Z29" s="404"/>
      <c r="AA29" s="404"/>
      <c r="AB29" s="406" t="s">
        <v>4292</v>
      </c>
      <c r="AC29" s="404"/>
      <c r="AD29" s="404"/>
      <c r="AE29" s="404"/>
      <c r="AF29" s="404"/>
      <c r="AG29" s="404"/>
      <c r="AH29" s="404"/>
      <c r="AI29" s="404"/>
      <c r="AJ29" s="404"/>
      <c r="AK29" s="404"/>
      <c r="AL29" s="404"/>
      <c r="AM29" s="404"/>
      <c r="AN29" s="404"/>
    </row>
    <row r="30" spans="1:40" customFormat="1" ht="16.5" thickBot="1">
      <c r="A30" s="476" t="s">
        <v>4333</v>
      </c>
      <c r="B30" s="476">
        <f>+B20</f>
        <v>22</v>
      </c>
      <c r="C30" s="476">
        <f>+C25</f>
        <v>3</v>
      </c>
      <c r="D30" s="476">
        <f>+B30*C30</f>
        <v>66</v>
      </c>
      <c r="E30" s="476">
        <v>10</v>
      </c>
      <c r="F30" s="483">
        <f>+D30/E30</f>
        <v>6.6</v>
      </c>
      <c r="G30" s="404"/>
      <c r="H30" s="489" t="s">
        <v>4402</v>
      </c>
      <c r="I30" s="404"/>
      <c r="J30" s="404"/>
      <c r="K30" s="404"/>
      <c r="L30" s="404"/>
      <c r="M30" s="404"/>
      <c r="N30" s="404"/>
      <c r="O30" s="404"/>
      <c r="P30" s="404"/>
      <c r="Q30" s="404"/>
      <c r="R30" s="404"/>
      <c r="S30" s="404"/>
      <c r="T30" s="404"/>
      <c r="U30" s="404"/>
      <c r="V30" s="404"/>
      <c r="W30" s="404"/>
      <c r="X30" s="404"/>
      <c r="Y30" s="404"/>
      <c r="Z30" s="404"/>
      <c r="AA30" s="412"/>
      <c r="AB30" s="417">
        <v>45292</v>
      </c>
      <c r="AC30" s="412"/>
      <c r="AD30" s="412"/>
      <c r="AE30" s="412"/>
      <c r="AF30" s="412"/>
      <c r="AG30" s="412"/>
      <c r="AH30" s="412"/>
      <c r="AI30" s="412"/>
      <c r="AJ30" s="412"/>
      <c r="AK30" s="412"/>
      <c r="AL30" s="412"/>
      <c r="AM30" s="404"/>
      <c r="AN30" s="404"/>
    </row>
    <row r="31" spans="1:40" customFormat="1">
      <c r="A31" s="476" t="s">
        <v>4293</v>
      </c>
      <c r="B31" s="476">
        <v>3</v>
      </c>
      <c r="C31" s="476"/>
      <c r="D31" s="476"/>
      <c r="E31" s="476"/>
      <c r="F31" s="488">
        <v>7.7</v>
      </c>
      <c r="G31" s="404"/>
      <c r="H31" s="489" t="s">
        <v>4403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Y31" s="404"/>
      <c r="Z31" s="404"/>
      <c r="AA31" s="429" t="s">
        <v>4331</v>
      </c>
      <c r="AB31" s="430" t="s">
        <v>4289</v>
      </c>
      <c r="AC31" s="431" t="s">
        <v>4344</v>
      </c>
      <c r="AD31" s="432" t="s">
        <v>4345</v>
      </c>
      <c r="AE31" s="433" t="s">
        <v>4346</v>
      </c>
      <c r="AF31" s="434" t="s">
        <v>4347</v>
      </c>
      <c r="AG31" s="435" t="s">
        <v>4347</v>
      </c>
      <c r="AH31" s="495"/>
      <c r="AI31" s="430" t="s">
        <v>4338</v>
      </c>
      <c r="AJ31" s="431" t="s">
        <v>4344</v>
      </c>
      <c r="AK31" s="432" t="s">
        <v>4348</v>
      </c>
      <c r="AL31" s="433" t="s">
        <v>4349</v>
      </c>
      <c r="AM31" s="434" t="s">
        <v>4350</v>
      </c>
      <c r="AN31" s="435" t="s">
        <v>4350</v>
      </c>
    </row>
    <row r="32" spans="1:40" customFormat="1">
      <c r="A32" s="404"/>
      <c r="B32" s="404"/>
      <c r="C32" s="404"/>
      <c r="D32" s="404"/>
      <c r="E32" s="404"/>
      <c r="F32" s="488">
        <f>SUM(F29:F31)</f>
        <v>29.3</v>
      </c>
      <c r="G32" s="404"/>
      <c r="H32" s="489" t="s">
        <v>4404</v>
      </c>
      <c r="I32" s="404"/>
      <c r="J32" s="404"/>
      <c r="K32" s="404"/>
      <c r="L32" s="404"/>
      <c r="M32" s="404"/>
      <c r="N32" s="404"/>
      <c r="O32" s="404"/>
      <c r="P32" s="404"/>
      <c r="Q32" s="404"/>
      <c r="R32" s="404"/>
      <c r="S32" s="404"/>
      <c r="T32" s="404"/>
      <c r="U32" s="404"/>
      <c r="V32" s="404"/>
      <c r="W32" s="404"/>
      <c r="X32" s="404"/>
      <c r="Y32" s="404"/>
      <c r="Z32" s="404"/>
      <c r="AA32" s="445">
        <v>1</v>
      </c>
      <c r="AB32" s="428">
        <v>35</v>
      </c>
      <c r="AC32" s="443">
        <v>382</v>
      </c>
      <c r="AD32" s="428">
        <v>14</v>
      </c>
      <c r="AE32" s="443">
        <f>+AD32*11</f>
        <v>154</v>
      </c>
      <c r="AF32" s="448">
        <f t="shared" ref="AF32:AG41" si="14">-1+(AB32/AD32)</f>
        <v>1.5</v>
      </c>
      <c r="AG32" s="449">
        <f t="shared" si="14"/>
        <v>1.4805194805194803</v>
      </c>
      <c r="AH32" s="496"/>
      <c r="AI32" s="428">
        <v>11</v>
      </c>
      <c r="AJ32" s="443">
        <v>245</v>
      </c>
      <c r="AK32" s="428">
        <v>11</v>
      </c>
      <c r="AL32" s="443">
        <f>+AK32*14</f>
        <v>154</v>
      </c>
      <c r="AM32" s="448">
        <f t="shared" ref="AM32:AN41" si="15">-1+(AI32/AK32)</f>
        <v>0</v>
      </c>
      <c r="AN32" s="449">
        <f t="shared" si="15"/>
        <v>0.59090909090909083</v>
      </c>
    </row>
    <row r="33" spans="1:40" customFormat="1">
      <c r="A33" s="476"/>
      <c r="B33" s="476" t="s">
        <v>4369</v>
      </c>
      <c r="C33" s="476" t="s">
        <v>4370</v>
      </c>
      <c r="D33" s="476" t="s">
        <v>4334</v>
      </c>
      <c r="E33" s="476" t="s">
        <v>4371</v>
      </c>
      <c r="F33" s="483" t="s">
        <v>4372</v>
      </c>
      <c r="G33" s="406" t="s">
        <v>4422</v>
      </c>
      <c r="H33" s="489" t="s">
        <v>4406</v>
      </c>
      <c r="I33" s="404"/>
      <c r="J33" s="404"/>
      <c r="K33" s="404"/>
      <c r="L33" s="404"/>
      <c r="M33" s="404"/>
      <c r="N33" s="404"/>
      <c r="O33" s="404"/>
      <c r="P33" s="404"/>
      <c r="Q33" s="404"/>
      <c r="R33" s="404"/>
      <c r="S33" s="404"/>
      <c r="T33" s="404"/>
      <c r="U33" s="404"/>
      <c r="V33" s="404"/>
      <c r="W33" s="404"/>
      <c r="X33" s="404"/>
      <c r="Y33" s="404"/>
      <c r="Z33" s="404"/>
      <c r="AA33" s="445">
        <v>2</v>
      </c>
      <c r="AB33" s="428">
        <v>20</v>
      </c>
      <c r="AC33" s="443">
        <v>222</v>
      </c>
      <c r="AD33" s="428">
        <v>5</v>
      </c>
      <c r="AE33" s="443">
        <f>+AD33*11</f>
        <v>55</v>
      </c>
      <c r="AF33" s="448">
        <f t="shared" si="14"/>
        <v>3</v>
      </c>
      <c r="AG33" s="449">
        <f t="shared" si="14"/>
        <v>3.0363636363636362</v>
      </c>
      <c r="AH33" s="496"/>
      <c r="AI33" s="428">
        <v>7</v>
      </c>
      <c r="AJ33" s="443">
        <v>126</v>
      </c>
      <c r="AK33" s="428">
        <v>3</v>
      </c>
      <c r="AL33" s="443">
        <f>+AK33*14</f>
        <v>42</v>
      </c>
      <c r="AM33" s="448">
        <f t="shared" si="15"/>
        <v>1.3333333333333335</v>
      </c>
      <c r="AN33" s="449">
        <f t="shared" si="15"/>
        <v>2</v>
      </c>
    </row>
    <row r="34" spans="1:40" customFormat="1">
      <c r="A34" s="476" t="s">
        <v>4375</v>
      </c>
      <c r="B34" s="475">
        <v>5</v>
      </c>
      <c r="C34" s="482">
        <v>3</v>
      </c>
      <c r="D34" s="476">
        <f>+B34*C34</f>
        <v>15</v>
      </c>
      <c r="E34" s="476">
        <v>2</v>
      </c>
      <c r="F34" s="483">
        <f>+D34/E34</f>
        <v>7.5</v>
      </c>
      <c r="G34" s="406" t="s">
        <v>4407</v>
      </c>
      <c r="H34" s="489"/>
      <c r="I34" s="404"/>
      <c r="J34" s="404"/>
      <c r="K34" s="404"/>
      <c r="L34" s="404"/>
      <c r="M34" s="404"/>
      <c r="N34" s="404"/>
      <c r="O34" s="404"/>
      <c r="P34" s="404"/>
      <c r="Q34" s="404"/>
      <c r="R34" s="404"/>
      <c r="S34" s="404"/>
      <c r="T34" s="404"/>
      <c r="U34" s="404"/>
      <c r="V34" s="404"/>
      <c r="W34" s="404"/>
      <c r="X34" s="404"/>
      <c r="Y34" s="404"/>
      <c r="Z34" s="404"/>
      <c r="AA34" s="445"/>
      <c r="AB34" s="428"/>
      <c r="AC34" s="443"/>
      <c r="AD34" s="428"/>
      <c r="AE34" s="443"/>
      <c r="AF34" s="448"/>
      <c r="AG34" s="449"/>
      <c r="AH34" s="496"/>
      <c r="AI34" s="428"/>
      <c r="AJ34" s="443"/>
      <c r="AK34" s="428"/>
      <c r="AL34" s="443"/>
      <c r="AM34" s="448"/>
      <c r="AN34" s="449"/>
    </row>
    <row r="35" spans="1:40" customFormat="1">
      <c r="A35" s="476" t="s">
        <v>4333</v>
      </c>
      <c r="B35" s="476">
        <f>+B25</f>
        <v>22</v>
      </c>
      <c r="C35" s="476">
        <f>+C30</f>
        <v>3</v>
      </c>
      <c r="D35" s="476">
        <f>+B35*C35</f>
        <v>66</v>
      </c>
      <c r="E35" s="476">
        <v>10</v>
      </c>
      <c r="F35" s="483">
        <f>+D35/E35</f>
        <v>6.6</v>
      </c>
      <c r="G35" s="404"/>
      <c r="H35" s="489"/>
      <c r="I35" s="404"/>
      <c r="J35" s="404"/>
      <c r="K35" s="404"/>
      <c r="L35" s="404"/>
      <c r="M35" s="404"/>
      <c r="N35" s="404"/>
      <c r="O35" s="404"/>
      <c r="P35" s="404"/>
      <c r="Q35" s="404"/>
      <c r="R35" s="404"/>
      <c r="S35" s="404"/>
      <c r="T35" s="404"/>
      <c r="U35" s="404"/>
      <c r="V35" s="404"/>
      <c r="W35" s="404"/>
      <c r="X35" s="404"/>
      <c r="Y35" s="404"/>
      <c r="Z35" s="404"/>
      <c r="AA35" s="445"/>
      <c r="AB35" s="428"/>
      <c r="AC35" s="443"/>
      <c r="AD35" s="428"/>
      <c r="AE35" s="443"/>
      <c r="AF35" s="448"/>
      <c r="AG35" s="449"/>
      <c r="AH35" s="496"/>
      <c r="AI35" s="428"/>
      <c r="AJ35" s="443"/>
      <c r="AK35" s="428"/>
      <c r="AL35" s="443"/>
      <c r="AM35" s="448"/>
      <c r="AN35" s="449"/>
    </row>
    <row r="36" spans="1:40" customFormat="1">
      <c r="A36" s="476" t="s">
        <v>4293</v>
      </c>
      <c r="B36" s="476">
        <v>3</v>
      </c>
      <c r="C36" s="476"/>
      <c r="D36" s="476"/>
      <c r="E36" s="476"/>
      <c r="F36" s="488">
        <v>5.14</v>
      </c>
      <c r="G36" s="404"/>
      <c r="H36" s="489"/>
      <c r="I36" s="404"/>
      <c r="J36" s="404"/>
      <c r="K36" s="404"/>
      <c r="L36" s="404"/>
      <c r="M36" s="404"/>
      <c r="N36" s="404"/>
      <c r="O36" s="404"/>
      <c r="P36" s="404"/>
      <c r="Q36" s="404"/>
      <c r="R36" s="404"/>
      <c r="S36" s="404"/>
      <c r="T36" s="404"/>
      <c r="U36" s="404"/>
      <c r="V36" s="404"/>
      <c r="W36" s="404"/>
      <c r="X36" s="404"/>
      <c r="Y36" s="404"/>
      <c r="Z36" s="404"/>
      <c r="AA36" s="445"/>
      <c r="AB36" s="428"/>
      <c r="AC36" s="443"/>
      <c r="AD36" s="428"/>
      <c r="AE36" s="443"/>
      <c r="AF36" s="448"/>
      <c r="AG36" s="449"/>
      <c r="AH36" s="496"/>
      <c r="AI36" s="428"/>
      <c r="AJ36" s="443"/>
      <c r="AK36" s="428"/>
      <c r="AL36" s="443"/>
      <c r="AM36" s="448"/>
      <c r="AN36" s="449"/>
    </row>
    <row r="37" spans="1:40" customFormat="1">
      <c r="A37" s="404"/>
      <c r="B37" s="404"/>
      <c r="C37" s="404"/>
      <c r="D37" s="404"/>
      <c r="E37" s="404"/>
      <c r="F37" s="488">
        <f>SUM(F34:F36)</f>
        <v>19.239999999999998</v>
      </c>
      <c r="G37" s="404"/>
      <c r="H37" s="489"/>
      <c r="I37" s="404"/>
      <c r="J37" s="404"/>
      <c r="K37" s="404"/>
      <c r="L37" s="404"/>
      <c r="M37" s="404"/>
      <c r="N37" s="404"/>
      <c r="O37" s="404"/>
      <c r="P37" s="404"/>
      <c r="Q37" s="404"/>
      <c r="R37" s="404"/>
      <c r="S37" s="404"/>
      <c r="T37" s="404"/>
      <c r="U37" s="404"/>
      <c r="V37" s="404"/>
      <c r="W37" s="404"/>
      <c r="X37" s="404"/>
      <c r="Y37" s="404"/>
      <c r="Z37" s="404"/>
      <c r="AA37" s="445"/>
      <c r="AB37" s="428"/>
      <c r="AC37" s="443"/>
      <c r="AD37" s="428"/>
      <c r="AE37" s="443"/>
      <c r="AF37" s="448"/>
      <c r="AG37" s="449"/>
      <c r="AH37" s="496"/>
      <c r="AI37" s="428"/>
      <c r="AJ37" s="443"/>
      <c r="AK37" s="428"/>
      <c r="AL37" s="443"/>
      <c r="AM37" s="448"/>
      <c r="AN37" s="449"/>
    </row>
    <row r="38" spans="1:40" customFormat="1">
      <c r="A38" s="404"/>
      <c r="B38" s="404"/>
      <c r="C38" s="404"/>
      <c r="D38" s="404"/>
      <c r="E38" s="404"/>
      <c r="F38" s="404"/>
      <c r="G38" s="404"/>
      <c r="H38" s="489"/>
      <c r="I38" s="404"/>
      <c r="J38" s="404"/>
      <c r="K38" s="404"/>
      <c r="L38" s="404"/>
      <c r="M38" s="404"/>
      <c r="N38" s="404"/>
      <c r="O38" s="404"/>
      <c r="P38" s="404"/>
      <c r="Q38" s="404"/>
      <c r="R38" s="404"/>
      <c r="S38" s="404"/>
      <c r="T38" s="404"/>
      <c r="U38" s="404"/>
      <c r="V38" s="404"/>
      <c r="W38" s="404"/>
      <c r="X38" s="404"/>
      <c r="Y38" s="404"/>
      <c r="Z38" s="404"/>
      <c r="AA38" s="445"/>
      <c r="AB38" s="428"/>
      <c r="AC38" s="443"/>
      <c r="AD38" s="428"/>
      <c r="AE38" s="443"/>
      <c r="AF38" s="448"/>
      <c r="AG38" s="449"/>
      <c r="AH38" s="496"/>
      <c r="AI38" s="428"/>
      <c r="AJ38" s="443"/>
      <c r="AK38" s="428"/>
      <c r="AL38" s="443"/>
      <c r="AM38" s="448"/>
      <c r="AN38" s="449"/>
    </row>
    <row r="39" spans="1:40" customFormat="1">
      <c r="A39" s="404"/>
      <c r="B39" s="404"/>
      <c r="C39" s="404"/>
      <c r="D39" s="404"/>
      <c r="E39" s="404"/>
      <c r="F39" s="404"/>
      <c r="G39" s="404"/>
      <c r="H39" s="489"/>
      <c r="I39" s="404"/>
      <c r="J39" s="404"/>
      <c r="K39" s="404"/>
      <c r="L39" s="404"/>
      <c r="M39" s="404"/>
      <c r="N39" s="404"/>
      <c r="O39" s="404"/>
      <c r="P39" s="404"/>
      <c r="Q39" s="404"/>
      <c r="R39" s="404"/>
      <c r="S39" s="404"/>
      <c r="T39" s="404"/>
      <c r="U39" s="404"/>
      <c r="V39" s="404"/>
      <c r="W39" s="404"/>
      <c r="X39" s="404"/>
      <c r="Y39" s="404"/>
      <c r="Z39" s="404"/>
      <c r="AA39" s="445"/>
      <c r="AB39" s="428"/>
      <c r="AC39" s="443"/>
      <c r="AD39" s="428"/>
      <c r="AE39" s="443"/>
      <c r="AF39" s="448"/>
      <c r="AG39" s="449"/>
      <c r="AH39" s="496"/>
      <c r="AI39" s="428"/>
      <c r="AJ39" s="443"/>
      <c r="AK39" s="428"/>
      <c r="AL39" s="443"/>
      <c r="AM39" s="448"/>
      <c r="AN39" s="449"/>
    </row>
    <row r="40" spans="1:40" customFormat="1">
      <c r="A40" s="497"/>
      <c r="B40" s="498"/>
      <c r="C40" s="498"/>
      <c r="D40" s="498"/>
      <c r="E40" s="498"/>
      <c r="F40" s="498"/>
      <c r="G40" s="404"/>
      <c r="H40" s="499" t="s">
        <v>4408</v>
      </c>
      <c r="I40" s="404"/>
      <c r="J40" s="404"/>
      <c r="K40" s="404"/>
      <c r="L40" s="404"/>
      <c r="M40" s="404"/>
      <c r="N40" s="404"/>
      <c r="O40" s="404"/>
      <c r="P40" s="404"/>
      <c r="Q40" s="404"/>
      <c r="R40" s="404"/>
      <c r="S40" s="404"/>
      <c r="T40" s="404"/>
      <c r="U40" s="404"/>
      <c r="V40" s="404"/>
      <c r="W40" s="404"/>
      <c r="X40" s="404"/>
      <c r="Y40" s="404"/>
      <c r="Z40" s="404"/>
      <c r="AA40" s="445">
        <v>3</v>
      </c>
      <c r="AB40" s="428">
        <v>10</v>
      </c>
      <c r="AC40" s="443">
        <v>127</v>
      </c>
      <c r="AD40" s="428">
        <v>6</v>
      </c>
      <c r="AE40" s="443">
        <f>+AD40*11</f>
        <v>66</v>
      </c>
      <c r="AF40" s="448">
        <f t="shared" si="14"/>
        <v>0.66666666666666674</v>
      </c>
      <c r="AG40" s="449">
        <f t="shared" si="14"/>
        <v>0.92424242424242431</v>
      </c>
      <c r="AH40" s="496"/>
      <c r="AI40" s="428">
        <v>6</v>
      </c>
      <c r="AJ40" s="443">
        <v>90</v>
      </c>
      <c r="AK40" s="428">
        <v>3</v>
      </c>
      <c r="AL40" s="443">
        <f>+AK40*14</f>
        <v>42</v>
      </c>
      <c r="AM40" s="448">
        <f t="shared" si="15"/>
        <v>1</v>
      </c>
      <c r="AN40" s="449">
        <f t="shared" si="15"/>
        <v>1.1428571428571428</v>
      </c>
    </row>
    <row r="41" spans="1:40" customFormat="1">
      <c r="A41" s="404"/>
      <c r="B41" s="404"/>
      <c r="C41" s="404"/>
      <c r="D41" s="404"/>
      <c r="E41" s="404"/>
      <c r="F41" s="472"/>
      <c r="G41" s="404"/>
      <c r="H41" s="404"/>
      <c r="I41" s="404"/>
      <c r="J41" s="404"/>
      <c r="K41" s="404"/>
      <c r="L41" s="404"/>
      <c r="M41" s="404"/>
      <c r="N41" s="404"/>
      <c r="O41" s="404"/>
      <c r="P41" s="404"/>
      <c r="Q41" s="404"/>
      <c r="R41" s="404"/>
      <c r="S41" s="404"/>
      <c r="T41" s="404"/>
      <c r="U41" s="404"/>
      <c r="V41" s="404"/>
      <c r="W41" s="404"/>
      <c r="X41" s="404"/>
      <c r="Y41" s="404"/>
      <c r="Z41" s="404"/>
      <c r="AA41" s="445">
        <v>4</v>
      </c>
      <c r="AB41" s="428">
        <v>1</v>
      </c>
      <c r="AC41" s="443">
        <v>18</v>
      </c>
      <c r="AD41" s="428">
        <v>12</v>
      </c>
      <c r="AE41" s="443">
        <f>+AD41*11</f>
        <v>132</v>
      </c>
      <c r="AF41" s="448">
        <f t="shared" si="14"/>
        <v>-0.91666666666666663</v>
      </c>
      <c r="AG41" s="449">
        <f t="shared" si="14"/>
        <v>-0.86363636363636365</v>
      </c>
      <c r="AH41" s="496"/>
      <c r="AI41" s="428">
        <v>7</v>
      </c>
      <c r="AJ41" s="443">
        <v>127</v>
      </c>
      <c r="AK41" s="428">
        <v>6</v>
      </c>
      <c r="AL41" s="443">
        <f>+AK41*14</f>
        <v>84</v>
      </c>
      <c r="AM41" s="448">
        <f t="shared" si="15"/>
        <v>0.16666666666666674</v>
      </c>
      <c r="AN41" s="449">
        <f t="shared" si="15"/>
        <v>0.51190476190476186</v>
      </c>
    </row>
    <row r="42" spans="1:40" customFormat="1">
      <c r="A42" s="404"/>
      <c r="B42" s="404"/>
      <c r="C42" s="404"/>
      <c r="D42" s="404"/>
      <c r="E42" s="404"/>
      <c r="F42" s="472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404"/>
      <c r="S42" s="404"/>
      <c r="T42" s="404"/>
      <c r="U42" s="404"/>
      <c r="V42" s="404"/>
      <c r="W42" s="404"/>
      <c r="X42" s="404"/>
      <c r="Y42" s="404"/>
      <c r="Z42" s="404"/>
      <c r="AA42" s="445"/>
      <c r="AB42" s="446"/>
      <c r="AC42" s="447"/>
      <c r="AD42" s="440"/>
      <c r="AE42" s="441"/>
      <c r="AF42" s="473"/>
      <c r="AG42" s="474"/>
      <c r="AH42" s="500"/>
      <c r="AI42" s="446"/>
      <c r="AJ42" s="447"/>
      <c r="AK42" s="440"/>
      <c r="AL42" s="441"/>
      <c r="AM42" s="473"/>
      <c r="AN42" s="474"/>
    </row>
    <row r="43" spans="1:40" customFormat="1" ht="16.5" thickBot="1">
      <c r="A43" s="404"/>
      <c r="B43" s="404"/>
      <c r="C43" s="404"/>
      <c r="D43" s="404"/>
      <c r="E43" s="404"/>
      <c r="F43" s="486"/>
      <c r="G43" s="404"/>
      <c r="H43" s="404"/>
      <c r="I43" s="404"/>
      <c r="J43" s="404"/>
      <c r="K43" s="404"/>
      <c r="L43" s="404"/>
      <c r="M43" s="404"/>
      <c r="N43" s="404"/>
      <c r="O43" s="404"/>
      <c r="P43" s="404"/>
      <c r="Q43" s="404"/>
      <c r="R43" s="404"/>
      <c r="S43" s="404"/>
      <c r="T43" s="404"/>
      <c r="U43" s="404"/>
      <c r="V43" s="404"/>
      <c r="W43" s="404"/>
      <c r="X43" s="404"/>
      <c r="Y43" s="404"/>
      <c r="Z43" s="404"/>
      <c r="AA43" s="445" t="s">
        <v>4334</v>
      </c>
      <c r="AB43" s="456">
        <f>SUM(AB32:AB42)</f>
        <v>66</v>
      </c>
      <c r="AC43" s="457">
        <f>SUM(AC32:AC42)</f>
        <v>749</v>
      </c>
      <c r="AD43" s="463">
        <f>SUM(AD32:AD42)</f>
        <v>37</v>
      </c>
      <c r="AE43" s="464">
        <f>SUM(AE32:AE42)</f>
        <v>407</v>
      </c>
      <c r="AF43" s="478">
        <f>-1+(AB43/AD43)</f>
        <v>0.78378378378378377</v>
      </c>
      <c r="AG43" s="479">
        <f>-1+(AC43/AE43)</f>
        <v>0.84029484029484025</v>
      </c>
      <c r="AH43" s="501"/>
      <c r="AI43" s="456">
        <f>SUM(AI32:AI42)</f>
        <v>31</v>
      </c>
      <c r="AJ43" s="457">
        <f>SUM(AJ32:AJ42)</f>
        <v>588</v>
      </c>
      <c r="AK43" s="463">
        <f>SUM(AK32:AK42)</f>
        <v>23</v>
      </c>
      <c r="AL43" s="464">
        <f>SUM(AL32:AL42)</f>
        <v>322</v>
      </c>
      <c r="AM43" s="478">
        <f>-1+(AI43/AK43)</f>
        <v>0.34782608695652173</v>
      </c>
      <c r="AN43" s="479">
        <f>-1+(AJ43/AL43)</f>
        <v>0.82608695652173902</v>
      </c>
    </row>
    <row r="45" spans="1:40" customFormat="1">
      <c r="A45" s="402" t="s">
        <v>48</v>
      </c>
      <c r="B45" s="402" t="s">
        <v>4409</v>
      </c>
      <c r="C45" s="402"/>
      <c r="D45" s="402"/>
      <c r="E45" s="402"/>
      <c r="F45" s="402"/>
      <c r="G45" s="404"/>
      <c r="H45" s="404"/>
      <c r="I45" s="404"/>
      <c r="J45" s="404"/>
      <c r="K45" s="404"/>
      <c r="L45" s="404"/>
      <c r="M45" s="404"/>
      <c r="N45" s="404"/>
      <c r="O45" s="404"/>
      <c r="P45" s="404"/>
      <c r="Q45" s="404"/>
      <c r="R45" s="404"/>
      <c r="S45" s="404"/>
      <c r="T45" s="404"/>
      <c r="U45" s="404"/>
      <c r="V45" s="404"/>
      <c r="W45" s="404"/>
      <c r="X45" s="404"/>
      <c r="Y45" s="404"/>
      <c r="Z45" s="404"/>
      <c r="AA45" s="404"/>
      <c r="AB45" s="404"/>
      <c r="AC45" s="404"/>
      <c r="AD45" s="404"/>
      <c r="AE45" s="404"/>
      <c r="AF45" s="404"/>
      <c r="AG45" s="404"/>
      <c r="AH45" s="404"/>
      <c r="AI45" s="404"/>
      <c r="AJ45" s="404"/>
      <c r="AK45" s="404"/>
      <c r="AL45" s="404"/>
      <c r="AM45" s="404"/>
      <c r="AN45" s="404"/>
    </row>
    <row r="46" spans="1:40" customFormat="1">
      <c r="A46" s="404"/>
      <c r="B46" s="404" t="s">
        <v>4410</v>
      </c>
      <c r="C46" s="502">
        <v>50</v>
      </c>
      <c r="D46" s="404"/>
      <c r="E46" s="404"/>
      <c r="F46" s="404"/>
      <c r="G46" s="404"/>
      <c r="H46" s="404"/>
      <c r="I46" s="404"/>
      <c r="J46" s="404"/>
      <c r="K46" s="404"/>
      <c r="L46" s="404"/>
      <c r="M46" s="404"/>
      <c r="N46" s="404"/>
      <c r="O46" s="404"/>
      <c r="P46" s="404"/>
      <c r="Q46" s="404"/>
      <c r="R46" s="404"/>
      <c r="S46" s="404"/>
      <c r="T46" s="404"/>
      <c r="U46" s="404"/>
      <c r="V46" s="404"/>
      <c r="W46" s="404"/>
      <c r="X46" s="404"/>
      <c r="Y46" s="404"/>
      <c r="Z46" s="404"/>
      <c r="AA46" s="404"/>
      <c r="AB46" s="404"/>
      <c r="AC46" s="404"/>
      <c r="AD46" s="404"/>
      <c r="AE46" s="404"/>
      <c r="AF46" s="404"/>
      <c r="AG46" s="404"/>
      <c r="AH46" s="404"/>
      <c r="AI46" s="404"/>
      <c r="AJ46" s="404"/>
      <c r="AK46" s="404"/>
      <c r="AL46" s="404"/>
      <c r="AM46" s="404"/>
      <c r="AN46" s="404"/>
    </row>
    <row r="48" spans="1:40" customFormat="1">
      <c r="A48" s="404" t="s">
        <v>4411</v>
      </c>
      <c r="B48" s="404" t="s">
        <v>24</v>
      </c>
      <c r="C48" s="404"/>
      <c r="D48" s="404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4"/>
      <c r="Q48" s="404"/>
      <c r="R48" s="404"/>
      <c r="S48" s="404"/>
      <c r="T48" s="404"/>
      <c r="U48" s="404"/>
      <c r="V48" s="404"/>
      <c r="W48" s="404"/>
      <c r="X48" s="404"/>
      <c r="Y48" s="404"/>
      <c r="Z48" s="404"/>
      <c r="AA48" s="404"/>
      <c r="AB48" s="404"/>
      <c r="AC48" s="404"/>
      <c r="AD48" s="404"/>
      <c r="AE48" s="404"/>
      <c r="AF48" s="404"/>
      <c r="AG48" s="404"/>
      <c r="AH48" s="404"/>
      <c r="AI48" s="404"/>
      <c r="AJ48" s="404"/>
      <c r="AK48" s="404"/>
      <c r="AL48" s="404"/>
      <c r="AM48" s="404"/>
      <c r="AN48" s="404"/>
    </row>
    <row r="49" spans="1:46" customFormat="1">
      <c r="A49" s="404">
        <v>25</v>
      </c>
      <c r="B49" s="404" t="s">
        <v>4412</v>
      </c>
      <c r="C49" s="404"/>
      <c r="D49" s="404"/>
      <c r="E49" s="404"/>
      <c r="F49" s="404">
        <v>0</v>
      </c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404"/>
      <c r="AF49" s="404"/>
      <c r="AG49" s="404"/>
      <c r="AH49" s="404"/>
      <c r="AI49" s="404"/>
      <c r="AJ49" s="404"/>
      <c r="AK49" s="404"/>
      <c r="AL49" s="404"/>
      <c r="AM49" s="404"/>
      <c r="AN49" s="404"/>
    </row>
    <row r="50" spans="1:46" customFormat="1">
      <c r="A50" s="404">
        <v>25</v>
      </c>
      <c r="B50" s="404" t="s">
        <v>4413</v>
      </c>
      <c r="C50" s="404"/>
      <c r="D50" s="404"/>
      <c r="E50" s="404"/>
      <c r="F50" s="404">
        <v>0</v>
      </c>
      <c r="G50" s="404"/>
      <c r="H50" s="404"/>
      <c r="I50" s="404"/>
      <c r="J50" s="404"/>
      <c r="K50" s="404"/>
      <c r="L50" s="404"/>
      <c r="M50" s="404"/>
      <c r="N50" s="404"/>
      <c r="O50" s="404"/>
      <c r="P50" s="404"/>
      <c r="Q50" s="404"/>
      <c r="R50" s="404"/>
      <c r="S50" s="404"/>
      <c r="T50" s="404"/>
      <c r="U50" s="404"/>
      <c r="V50" s="404"/>
      <c r="W50" s="404"/>
      <c r="X50" s="404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  <c r="AM50" s="404"/>
      <c r="AN50" s="404"/>
    </row>
    <row r="51" spans="1:46" customFormat="1">
      <c r="A51" s="404"/>
      <c r="B51" s="404" t="s">
        <v>4293</v>
      </c>
      <c r="C51" s="404"/>
      <c r="D51" s="404"/>
      <c r="E51" s="404"/>
      <c r="F51" s="404"/>
      <c r="G51" s="404"/>
      <c r="H51" s="404"/>
      <c r="I51" s="404"/>
      <c r="J51" s="404"/>
      <c r="K51" s="404"/>
      <c r="L51" s="404"/>
      <c r="M51" s="404"/>
      <c r="N51" s="404"/>
      <c r="O51" s="404"/>
      <c r="P51" s="404"/>
      <c r="Q51" s="404"/>
      <c r="R51" s="404"/>
      <c r="S51" s="404"/>
      <c r="T51" s="404"/>
      <c r="U51" s="404"/>
      <c r="V51" s="404"/>
      <c r="W51" s="404"/>
      <c r="X51" s="404"/>
      <c r="Y51" s="404"/>
      <c r="Z51" s="404"/>
      <c r="AA51" s="404"/>
      <c r="AB51" s="404"/>
      <c r="AC51" s="404"/>
      <c r="AD51" s="404"/>
      <c r="AE51" s="404"/>
      <c r="AF51" s="404"/>
      <c r="AG51" s="404"/>
      <c r="AH51" s="404"/>
      <c r="AI51" s="404"/>
      <c r="AJ51" s="404"/>
      <c r="AK51" s="404"/>
      <c r="AL51" s="404"/>
      <c r="AM51" s="404"/>
      <c r="AN51" s="404"/>
    </row>
    <row r="52" spans="1:46" customFormat="1">
      <c r="A52" s="404">
        <v>25</v>
      </c>
      <c r="B52" s="404" t="s">
        <v>4414</v>
      </c>
      <c r="C52" s="404"/>
      <c r="D52" s="404"/>
      <c r="E52" s="404"/>
      <c r="F52" s="404">
        <v>25</v>
      </c>
      <c r="G52" s="404"/>
      <c r="H52" s="404"/>
      <c r="I52" s="404"/>
      <c r="J52" s="404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404"/>
      <c r="X52" s="404"/>
      <c r="Y52" s="404"/>
      <c r="Z52" s="404"/>
      <c r="AA52" s="404"/>
      <c r="AB52" s="404"/>
      <c r="AC52" s="404"/>
      <c r="AD52" s="404"/>
      <c r="AE52" s="404"/>
      <c r="AF52" s="404"/>
      <c r="AG52" s="404"/>
      <c r="AH52" s="404"/>
      <c r="AI52" s="404"/>
      <c r="AJ52" s="404"/>
      <c r="AK52" s="404"/>
      <c r="AL52" s="404"/>
      <c r="AM52" s="404"/>
      <c r="AN52" s="404"/>
    </row>
    <row r="53" spans="1:46" customFormat="1">
      <c r="A53" s="404">
        <v>25</v>
      </c>
      <c r="B53" s="404" t="s">
        <v>4415</v>
      </c>
      <c r="C53" s="404"/>
      <c r="D53" s="404"/>
      <c r="E53" s="404"/>
      <c r="F53" s="404">
        <v>25</v>
      </c>
      <c r="G53" s="404"/>
      <c r="H53" s="404"/>
      <c r="I53" s="404"/>
      <c r="J53" s="404"/>
      <c r="K53" s="404"/>
      <c r="L53" s="404"/>
      <c r="M53" s="404"/>
      <c r="N53" s="404"/>
      <c r="O53" s="404"/>
      <c r="P53" s="404"/>
      <c r="Q53" s="404"/>
      <c r="R53" s="404"/>
      <c r="S53" s="404"/>
      <c r="T53" s="404"/>
      <c r="U53" s="404"/>
      <c r="V53" s="404"/>
      <c r="W53" s="404"/>
      <c r="X53" s="404"/>
      <c r="Y53" s="404"/>
      <c r="Z53" s="404"/>
      <c r="AA53" s="404"/>
      <c r="AB53" s="404"/>
      <c r="AC53" s="404"/>
      <c r="AD53" s="404"/>
      <c r="AE53" s="404"/>
      <c r="AF53" s="404"/>
      <c r="AG53" s="404"/>
      <c r="AH53" s="404"/>
      <c r="AI53" s="404"/>
      <c r="AJ53" s="404"/>
      <c r="AK53" s="404"/>
      <c r="AL53" s="404"/>
      <c r="AM53" s="404"/>
      <c r="AN53" s="404"/>
    </row>
    <row r="54" spans="1:46" customFormat="1">
      <c r="A54" s="404"/>
      <c r="B54" s="404"/>
      <c r="C54" s="404"/>
      <c r="D54" s="404" t="s">
        <v>4335</v>
      </c>
      <c r="E54" s="404" t="s">
        <v>4333</v>
      </c>
      <c r="F54" s="404"/>
      <c r="G54" s="404"/>
      <c r="H54" s="404"/>
      <c r="I54" s="404"/>
      <c r="J54" s="404"/>
      <c r="K54" s="404"/>
      <c r="L54" s="404"/>
      <c r="M54" s="404"/>
      <c r="N54" s="404"/>
      <c r="O54" s="404"/>
      <c r="P54" s="404"/>
      <c r="Q54" s="404"/>
      <c r="R54" s="404"/>
      <c r="S54" s="404"/>
      <c r="T54" s="404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</row>
    <row r="55" spans="1:46">
      <c r="A55" s="404" t="s">
        <v>4416</v>
      </c>
      <c r="C55" s="472">
        <f>+(D55+E55)*2*0.1</f>
        <v>11.100000000000001</v>
      </c>
      <c r="D55" s="472">
        <f>+F14+F19+F24+F29+F34</f>
        <v>22.5</v>
      </c>
      <c r="E55" s="472">
        <f>+F15+F20+F25+F30+F35</f>
        <v>33</v>
      </c>
      <c r="AO55" s="404"/>
      <c r="AP55" s="404"/>
      <c r="AQ55" s="404"/>
      <c r="AR55" s="404"/>
      <c r="AS55" s="404"/>
      <c r="AT55" s="404"/>
    </row>
    <row r="57" spans="1:46">
      <c r="A57" s="404" t="s">
        <v>4417</v>
      </c>
      <c r="F57" s="486">
        <f>+C46+C55+F49+F50+F52+F53</f>
        <v>111.1</v>
      </c>
      <c r="G57" s="404" t="s">
        <v>48</v>
      </c>
      <c r="AO57" s="404"/>
      <c r="AP57" s="404"/>
      <c r="AQ57" s="404"/>
      <c r="AR57" s="404"/>
      <c r="AS57" s="404"/>
      <c r="AT57" s="404"/>
    </row>
    <row r="58" spans="1:46">
      <c r="G58" s="404" t="s">
        <v>67</v>
      </c>
      <c r="AO58" s="404"/>
      <c r="AP58" s="404"/>
      <c r="AQ58" s="404"/>
      <c r="AR58" s="404"/>
      <c r="AS58" s="404"/>
      <c r="AT58" s="404"/>
    </row>
  </sheetData>
  <mergeCells count="3">
    <mergeCell ref="B5:C5"/>
    <mergeCell ref="E5:F5"/>
    <mergeCell ref="A7:A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V19"/>
  <sheetViews>
    <sheetView zoomScale="110" zoomScaleNormal="110" workbookViewId="0">
      <pane xSplit="8" ySplit="9" topLeftCell="I10" activePane="bottomRight" state="frozen"/>
      <selection pane="bottomRight" activeCell="K14" sqref="K14"/>
      <selection pane="bottomLeft" activeCell="A10" sqref="A10"/>
      <selection pane="topRight" activeCell="I1" sqref="I1"/>
    </sheetView>
  </sheetViews>
  <sheetFormatPr defaultColWidth="8.875" defaultRowHeight="15.75"/>
  <cols>
    <col min="1" max="1" width="2" customWidth="1"/>
    <col min="8" max="8" width="19.5" bestFit="1" customWidth="1"/>
  </cols>
  <sheetData>
    <row r="5" spans="2:22">
      <c r="B5" s="830"/>
      <c r="C5" s="2"/>
      <c r="E5" s="2"/>
      <c r="F5" s="3"/>
      <c r="G5" s="3"/>
      <c r="H5" s="37"/>
      <c r="I5" s="34"/>
      <c r="J5" s="35"/>
      <c r="K5" s="35"/>
      <c r="L5" s="35"/>
      <c r="M5" s="2"/>
      <c r="N5" s="34"/>
      <c r="O5" s="35"/>
      <c r="P5" s="39"/>
      <c r="Q5" s="39"/>
      <c r="R5" s="39"/>
      <c r="S5" s="39"/>
      <c r="T5" s="40"/>
      <c r="U5" s="35"/>
      <c r="V5" s="36"/>
    </row>
    <row r="6" spans="2:22">
      <c r="B6" s="830"/>
      <c r="C6" s="805"/>
      <c r="D6" s="2"/>
      <c r="E6" s="2"/>
      <c r="F6" s="3"/>
      <c r="G6" s="3"/>
      <c r="H6" s="37"/>
      <c r="I6" s="806" t="s">
        <v>4423</v>
      </c>
      <c r="J6" s="807"/>
      <c r="K6" s="806" t="s">
        <v>4424</v>
      </c>
      <c r="L6" s="807"/>
      <c r="M6" s="41"/>
      <c r="N6" s="34"/>
      <c r="O6" s="35"/>
      <c r="P6" s="38"/>
      <c r="Q6" s="38"/>
      <c r="R6" s="38"/>
      <c r="S6" s="38"/>
      <c r="T6" s="40"/>
      <c r="U6" s="35"/>
      <c r="V6" s="36"/>
    </row>
    <row r="7" spans="2:22">
      <c r="B7" s="875"/>
      <c r="C7" s="805"/>
      <c r="D7" s="776"/>
      <c r="E7" s="776"/>
      <c r="F7" s="513"/>
      <c r="G7" s="513"/>
      <c r="H7" s="127"/>
      <c r="I7" s="808" t="s">
        <v>4289</v>
      </c>
      <c r="J7" s="808" t="s">
        <v>4290</v>
      </c>
      <c r="K7" s="808" t="s">
        <v>4289</v>
      </c>
      <c r="L7" s="808" t="s">
        <v>4290</v>
      </c>
      <c r="M7" s="808" t="s">
        <v>4425</v>
      </c>
      <c r="N7" s="808" t="s">
        <v>4426</v>
      </c>
      <c r="O7" s="808" t="s">
        <v>4427</v>
      </c>
      <c r="P7" s="810" t="s">
        <v>4428</v>
      </c>
      <c r="Q7" s="811"/>
      <c r="R7" s="811"/>
      <c r="S7" s="812"/>
      <c r="T7" s="808" t="s">
        <v>4429</v>
      </c>
      <c r="U7" s="808" t="s">
        <v>4430</v>
      </c>
      <c r="V7" s="808" t="s">
        <v>4431</v>
      </c>
    </row>
    <row r="8" spans="2:22" ht="31.5">
      <c r="B8" s="514" t="s">
        <v>4432</v>
      </c>
      <c r="C8" s="514" t="s">
        <v>4432</v>
      </c>
      <c r="D8" s="514" t="s">
        <v>4433</v>
      </c>
      <c r="E8" s="514" t="s">
        <v>4289</v>
      </c>
      <c r="F8" s="515" t="s">
        <v>4290</v>
      </c>
      <c r="G8" s="515"/>
      <c r="H8" s="127"/>
      <c r="I8" s="809"/>
      <c r="J8" s="809"/>
      <c r="K8" s="809"/>
      <c r="L8" s="809"/>
      <c r="M8" s="809"/>
      <c r="N8" s="809"/>
      <c r="O8" s="809"/>
      <c r="P8" s="60" t="s">
        <v>4434</v>
      </c>
      <c r="Q8" s="60" t="s">
        <v>4435</v>
      </c>
      <c r="R8" s="60" t="s">
        <v>4316</v>
      </c>
      <c r="S8" s="60" t="s">
        <v>4436</v>
      </c>
      <c r="T8" s="809"/>
      <c r="U8" s="809"/>
      <c r="V8" s="809"/>
    </row>
    <row r="9" spans="2:22">
      <c r="B9" s="34" t="s">
        <v>4289</v>
      </c>
      <c r="C9" s="34" t="s">
        <v>4290</v>
      </c>
      <c r="D9" s="516">
        <f>+F9/E9</f>
        <v>9.2694300518134707</v>
      </c>
      <c r="E9" s="34">
        <f>+I9+K9</f>
        <v>193</v>
      </c>
      <c r="F9" s="34">
        <f>+J9+L9</f>
        <v>1789</v>
      </c>
      <c r="G9" s="34"/>
      <c r="H9" s="128" t="s">
        <v>4437</v>
      </c>
      <c r="I9" s="45">
        <v>84</v>
      </c>
      <c r="J9" s="46">
        <f>SUM(J10:J15)</f>
        <v>1063</v>
      </c>
      <c r="K9" s="46">
        <f>SUM(K10:K15)</f>
        <v>109</v>
      </c>
      <c r="L9" s="45">
        <f>SUM(L10:L15)</f>
        <v>726</v>
      </c>
      <c r="M9" s="46">
        <f>J9+L9</f>
        <v>1789</v>
      </c>
      <c r="N9" s="47">
        <f t="shared" ref="N9:N15" si="0">+J9/I9</f>
        <v>12.654761904761905</v>
      </c>
      <c r="O9" s="44">
        <f>SUM(O10:O14)</f>
        <v>48</v>
      </c>
      <c r="P9" s="48">
        <f>SUM(P10:P14)</f>
        <v>1792</v>
      </c>
      <c r="Q9" s="48">
        <f>SUM(Q10:Q13)</f>
        <v>478</v>
      </c>
      <c r="R9" s="48">
        <f>SUM(R10:R14)</f>
        <v>2270</v>
      </c>
      <c r="S9" s="48"/>
      <c r="T9" s="43"/>
      <c r="U9" s="34"/>
      <c r="V9" s="49"/>
    </row>
    <row r="10" spans="2:22">
      <c r="B10" s="75">
        <f>+E10/E9</f>
        <v>0.10880829015544041</v>
      </c>
      <c r="C10" s="76">
        <f>+F10/F9</f>
        <v>0.10061486864169927</v>
      </c>
      <c r="D10" s="516">
        <f t="shared" ref="D10:D14" si="1">+F10/E10</f>
        <v>8.5714285714285712</v>
      </c>
      <c r="E10" s="34">
        <f>+I10+K10</f>
        <v>21</v>
      </c>
      <c r="F10" s="34">
        <f>+J10+L10</f>
        <v>180</v>
      </c>
      <c r="G10" s="34" t="s">
        <v>4438</v>
      </c>
      <c r="H10" s="73" t="s">
        <v>4439</v>
      </c>
      <c r="I10" s="130">
        <v>10</v>
      </c>
      <c r="J10" s="33">
        <v>114</v>
      </c>
      <c r="K10" s="33">
        <v>11</v>
      </c>
      <c r="L10" s="33">
        <v>66</v>
      </c>
      <c r="M10" s="101">
        <f>SUM(J10+L10)</f>
        <v>180</v>
      </c>
      <c r="N10" s="50">
        <f t="shared" si="0"/>
        <v>11.4</v>
      </c>
      <c r="O10" s="43">
        <v>7</v>
      </c>
      <c r="P10" s="65">
        <v>380</v>
      </c>
      <c r="Q10" s="65">
        <v>0</v>
      </c>
      <c r="R10" s="65">
        <f>SUM(P10+Q10)</f>
        <v>380</v>
      </c>
      <c r="S10" s="934">
        <f>+R10/R9</f>
        <v>0.16740088105726872</v>
      </c>
      <c r="T10" s="51">
        <f>(+P10+Q10)/O10</f>
        <v>54.285714285714285</v>
      </c>
      <c r="U10" s="51">
        <f>+I10/O10</f>
        <v>1.4285714285714286</v>
      </c>
      <c r="V10" s="52">
        <f>+I10/R10</f>
        <v>2.6315789473684209E-2</v>
      </c>
    </row>
    <row r="11" spans="2:22">
      <c r="B11" s="75">
        <f>+E11/E9</f>
        <v>0.21761658031088082</v>
      </c>
      <c r="C11" s="76">
        <f>+F11/F9</f>
        <v>0.18334264952487422</v>
      </c>
      <c r="D11" s="516">
        <f t="shared" si="1"/>
        <v>7.8095238095238093</v>
      </c>
      <c r="E11" s="34">
        <f>+I11+K11</f>
        <v>42</v>
      </c>
      <c r="F11" s="34">
        <f t="shared" ref="F11:F15" si="2">+J11+L11</f>
        <v>328</v>
      </c>
      <c r="G11" s="34" t="s">
        <v>4435</v>
      </c>
      <c r="H11" s="73" t="s">
        <v>4386</v>
      </c>
      <c r="I11" s="517">
        <v>21</v>
      </c>
      <c r="J11" s="131">
        <v>232</v>
      </c>
      <c r="K11" s="131">
        <v>21</v>
      </c>
      <c r="L11" s="131">
        <v>96</v>
      </c>
      <c r="M11" s="101">
        <f>SUM(J11+L11)</f>
        <v>328</v>
      </c>
      <c r="N11" s="53">
        <f t="shared" si="0"/>
        <v>11.047619047619047</v>
      </c>
      <c r="O11" s="43">
        <v>14</v>
      </c>
      <c r="P11" s="65">
        <v>0</v>
      </c>
      <c r="Q11" s="65">
        <v>478</v>
      </c>
      <c r="R11" s="65">
        <f t="shared" ref="R11:R13" si="3">SUM(P11+Q11)</f>
        <v>478</v>
      </c>
      <c r="S11" s="934">
        <f>+R11/R9</f>
        <v>0.2105726872246696</v>
      </c>
      <c r="T11" s="51">
        <f>(+P11+Q11)/O11</f>
        <v>34.142857142857146</v>
      </c>
      <c r="U11" s="51">
        <f>+I11/O11</f>
        <v>1.5</v>
      </c>
      <c r="V11" s="52">
        <f>+I11/R11</f>
        <v>4.3933054393305436E-2</v>
      </c>
    </row>
    <row r="12" spans="2:22">
      <c r="B12" s="75">
        <f>+E12/E9</f>
        <v>0.24870466321243523</v>
      </c>
      <c r="C12" s="76">
        <f>+F12/F9</f>
        <v>0.33202906651760761</v>
      </c>
      <c r="D12" s="516">
        <f t="shared" si="1"/>
        <v>12.375</v>
      </c>
      <c r="E12" s="34">
        <f>+I12+K12</f>
        <v>48</v>
      </c>
      <c r="F12" s="34">
        <f t="shared" si="2"/>
        <v>594</v>
      </c>
      <c r="G12" s="34" t="s">
        <v>4440</v>
      </c>
      <c r="H12" s="73" t="s">
        <v>4441</v>
      </c>
      <c r="I12" s="131">
        <v>28</v>
      </c>
      <c r="J12" s="131">
        <v>377</v>
      </c>
      <c r="K12" s="131">
        <v>20</v>
      </c>
      <c r="L12" s="131">
        <v>217</v>
      </c>
      <c r="M12" s="101">
        <f t="shared" ref="M12:M15" si="4">SUM(J12+L12)</f>
        <v>594</v>
      </c>
      <c r="N12" s="53">
        <f t="shared" si="0"/>
        <v>13.464285714285714</v>
      </c>
      <c r="O12" s="43">
        <v>14</v>
      </c>
      <c r="P12" s="65">
        <v>590</v>
      </c>
      <c r="Q12" s="65">
        <v>0</v>
      </c>
      <c r="R12" s="65">
        <f t="shared" si="3"/>
        <v>590</v>
      </c>
      <c r="S12" s="934">
        <f>+R12/R9</f>
        <v>0.25991189427312777</v>
      </c>
      <c r="T12" s="51">
        <f>(+P12+Q12)/O12</f>
        <v>42.142857142857146</v>
      </c>
      <c r="U12" s="51">
        <f>+I12/O12</f>
        <v>2</v>
      </c>
      <c r="V12" s="52">
        <f>+I12/R12</f>
        <v>4.7457627118644069E-2</v>
      </c>
    </row>
    <row r="13" spans="2:22">
      <c r="B13" s="75">
        <f>+E13/E9</f>
        <v>0.16062176165803108</v>
      </c>
      <c r="C13" s="76">
        <f>+F13/F9</f>
        <v>0.13694801565120179</v>
      </c>
      <c r="D13" s="516">
        <f t="shared" si="1"/>
        <v>7.903225806451613</v>
      </c>
      <c r="E13" s="34">
        <f t="shared" ref="E13:E14" si="5">+I13+K13</f>
        <v>31</v>
      </c>
      <c r="F13" s="34">
        <f t="shared" si="2"/>
        <v>245</v>
      </c>
      <c r="G13" s="34" t="s">
        <v>4442</v>
      </c>
      <c r="H13" s="73" t="s">
        <v>4407</v>
      </c>
      <c r="I13" s="131">
        <v>11</v>
      </c>
      <c r="J13" s="131">
        <v>156</v>
      </c>
      <c r="K13" s="131">
        <v>20</v>
      </c>
      <c r="L13" s="131">
        <v>89</v>
      </c>
      <c r="M13" s="101">
        <f t="shared" si="4"/>
        <v>245</v>
      </c>
      <c r="N13" s="53">
        <f t="shared" si="0"/>
        <v>14.181818181818182</v>
      </c>
      <c r="O13" s="43">
        <v>6</v>
      </c>
      <c r="P13" s="65">
        <v>466</v>
      </c>
      <c r="Q13" s="65">
        <v>0</v>
      </c>
      <c r="R13" s="65">
        <f t="shared" si="3"/>
        <v>466</v>
      </c>
      <c r="S13" s="934">
        <f>+R13/R9</f>
        <v>0.2052863436123348</v>
      </c>
      <c r="T13" s="51">
        <f>(+P13+Q13)/O13</f>
        <v>77.666666666666671</v>
      </c>
      <c r="U13" s="51">
        <f>+I13/O13</f>
        <v>1.8333333333333333</v>
      </c>
      <c r="V13" s="52">
        <f>+I13/R13</f>
        <v>2.3605150214592276E-2</v>
      </c>
    </row>
    <row r="14" spans="2:22">
      <c r="B14" s="75">
        <f>+E14/E9</f>
        <v>0.25906735751295334</v>
      </c>
      <c r="C14" s="76">
        <f>+F14/F9</f>
        <v>0.23979877026271659</v>
      </c>
      <c r="D14" s="516">
        <f t="shared" si="1"/>
        <v>8.58</v>
      </c>
      <c r="E14" s="34">
        <f t="shared" si="5"/>
        <v>50</v>
      </c>
      <c r="F14" s="34">
        <f t="shared" si="2"/>
        <v>429</v>
      </c>
      <c r="G14" s="34" t="s">
        <v>4443</v>
      </c>
      <c r="H14" s="73" t="s">
        <v>4394</v>
      </c>
      <c r="I14" s="131">
        <v>13</v>
      </c>
      <c r="J14" s="131">
        <v>171</v>
      </c>
      <c r="K14" s="131">
        <v>37</v>
      </c>
      <c r="L14" s="131">
        <v>258</v>
      </c>
      <c r="M14" s="101">
        <f t="shared" si="4"/>
        <v>429</v>
      </c>
      <c r="N14" s="53">
        <f t="shared" si="0"/>
        <v>13.153846153846153</v>
      </c>
      <c r="O14" s="43">
        <v>7</v>
      </c>
      <c r="P14" s="65">
        <v>356</v>
      </c>
      <c r="Q14" s="65"/>
      <c r="R14" s="65">
        <f>SUM(P14:Q14)</f>
        <v>356</v>
      </c>
      <c r="S14" s="934"/>
      <c r="T14" s="51"/>
      <c r="U14" s="51">
        <f>+I14/O14</f>
        <v>1.8571428571428572</v>
      </c>
      <c r="V14" s="52">
        <f>+I14/R14</f>
        <v>3.6516853932584269E-2</v>
      </c>
    </row>
    <row r="15" spans="2:22">
      <c r="B15" s="37"/>
      <c r="C15" s="34"/>
      <c r="D15" s="35"/>
      <c r="E15" s="34">
        <f>+I15+K15</f>
        <v>1</v>
      </c>
      <c r="F15" s="34">
        <f t="shared" si="2"/>
        <v>13</v>
      </c>
      <c r="G15" s="34"/>
      <c r="H15" s="73" t="s">
        <v>1755</v>
      </c>
      <c r="I15" s="132">
        <v>1</v>
      </c>
      <c r="J15" s="133">
        <v>13</v>
      </c>
      <c r="K15" s="54"/>
      <c r="L15" s="54">
        <v>0</v>
      </c>
      <c r="M15" s="54">
        <f t="shared" si="4"/>
        <v>13</v>
      </c>
      <c r="N15" s="55">
        <f t="shared" si="0"/>
        <v>13</v>
      </c>
      <c r="O15" s="43"/>
      <c r="P15" s="56"/>
      <c r="Q15" s="56"/>
      <c r="R15" s="56"/>
      <c r="S15" s="70"/>
      <c r="T15" s="57"/>
      <c r="U15" s="58"/>
      <c r="V15" s="59"/>
    </row>
    <row r="19" spans="9:9">
      <c r="I19">
        <f>SUM(K9+I9)</f>
        <v>193</v>
      </c>
    </row>
  </sheetData>
  <mergeCells count="14">
    <mergeCell ref="V7:V8"/>
    <mergeCell ref="M7:M8"/>
    <mergeCell ref="N7:N8"/>
    <mergeCell ref="O7:O8"/>
    <mergeCell ref="P7:S7"/>
    <mergeCell ref="T7:T8"/>
    <mergeCell ref="U7:U8"/>
    <mergeCell ref="C6:C7"/>
    <mergeCell ref="I6:J6"/>
    <mergeCell ref="K6:L6"/>
    <mergeCell ref="I7:I8"/>
    <mergeCell ref="J7:J8"/>
    <mergeCell ref="K7:K8"/>
    <mergeCell ref="L7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I66"/>
  <sheetViews>
    <sheetView zoomScale="90" zoomScaleNormal="90" workbookViewId="0">
      <pane ySplit="1" topLeftCell="A8" activePane="bottomLeft" state="frozen"/>
      <selection pane="bottomLeft" activeCell="D61" sqref="D61"/>
    </sheetView>
  </sheetViews>
  <sheetFormatPr defaultColWidth="8.625" defaultRowHeight="15"/>
  <cols>
    <col min="1" max="2" width="10.125" style="256" customWidth="1"/>
    <col min="3" max="3" width="10.625" style="256" customWidth="1"/>
    <col min="4" max="4" width="27.125" style="256" customWidth="1"/>
    <col min="5" max="6" width="29.125" style="256" customWidth="1"/>
    <col min="7" max="7" width="26.625" style="256" customWidth="1"/>
    <col min="8" max="8" width="16.625" style="256" customWidth="1"/>
    <col min="9" max="9" width="31.125" style="300" customWidth="1"/>
    <col min="10" max="10" width="20.375" style="256" customWidth="1"/>
    <col min="11" max="14" width="7.625" style="256" customWidth="1"/>
    <col min="15" max="16384" width="8.625" style="256"/>
  </cols>
  <sheetData>
    <row r="1" spans="1:9" ht="19.5" thickBot="1">
      <c r="A1" s="815" t="s">
        <v>4444</v>
      </c>
      <c r="B1" s="816"/>
      <c r="C1" s="816"/>
      <c r="D1" s="817"/>
      <c r="E1" s="817"/>
      <c r="F1" s="817"/>
      <c r="G1" s="817"/>
      <c r="H1" s="818"/>
      <c r="I1" s="819"/>
    </row>
    <row r="2" spans="1:9">
      <c r="A2" s="257" t="s">
        <v>4445</v>
      </c>
      <c r="B2" s="258"/>
      <c r="C2" s="258">
        <v>1</v>
      </c>
      <c r="D2" s="259" t="s">
        <v>4446</v>
      </c>
      <c r="E2" s="259" t="s">
        <v>4447</v>
      </c>
      <c r="F2" s="259" t="s">
        <v>4448</v>
      </c>
      <c r="G2" s="259" t="s">
        <v>4449</v>
      </c>
      <c r="H2" s="260" t="s">
        <v>4450</v>
      </c>
      <c r="I2" s="261" t="s">
        <v>4451</v>
      </c>
    </row>
    <row r="3" spans="1:9">
      <c r="A3" s="274" t="s">
        <v>4452</v>
      </c>
      <c r="B3" s="263">
        <v>1</v>
      </c>
      <c r="C3" s="263" t="s">
        <v>4440</v>
      </c>
      <c r="D3" s="264" t="s">
        <v>4453</v>
      </c>
      <c r="E3" s="265" t="s">
        <v>4454</v>
      </c>
      <c r="F3" s="266" t="s">
        <v>4455</v>
      </c>
      <c r="G3" s="266" t="s">
        <v>4456</v>
      </c>
      <c r="H3" s="265">
        <v>928051318</v>
      </c>
      <c r="I3" s="267" t="s">
        <v>4457</v>
      </c>
    </row>
    <row r="4" spans="1:9">
      <c r="A4" s="274" t="s">
        <v>4452</v>
      </c>
      <c r="B4" s="263">
        <v>1</v>
      </c>
      <c r="C4" s="263" t="s">
        <v>4440</v>
      </c>
      <c r="D4" s="264" t="s">
        <v>4458</v>
      </c>
      <c r="E4" s="265" t="s">
        <v>4459</v>
      </c>
      <c r="F4" s="266" t="s">
        <v>4455</v>
      </c>
      <c r="G4" s="266" t="s">
        <v>4456</v>
      </c>
      <c r="H4" s="265" t="s">
        <v>4460</v>
      </c>
      <c r="I4" s="267" t="s">
        <v>4461</v>
      </c>
    </row>
    <row r="5" spans="1:9">
      <c r="A5" s="262" t="s">
        <v>4434</v>
      </c>
      <c r="B5" s="263">
        <v>1</v>
      </c>
      <c r="C5" s="263" t="s">
        <v>4440</v>
      </c>
      <c r="D5" s="264" t="s">
        <v>4462</v>
      </c>
      <c r="E5" s="265" t="s">
        <v>4463</v>
      </c>
      <c r="F5" s="266" t="s">
        <v>4455</v>
      </c>
      <c r="G5" s="266" t="s">
        <v>4456</v>
      </c>
      <c r="H5" s="265" t="s">
        <v>4464</v>
      </c>
      <c r="I5" s="267" t="s">
        <v>4465</v>
      </c>
    </row>
    <row r="6" spans="1:9">
      <c r="A6" s="262" t="s">
        <v>4434</v>
      </c>
      <c r="B6" s="263">
        <v>3</v>
      </c>
      <c r="C6" s="263" t="s">
        <v>4373</v>
      </c>
      <c r="D6" s="282" t="s">
        <v>4466</v>
      </c>
      <c r="E6" s="283" t="s">
        <v>4467</v>
      </c>
      <c r="F6" s="284" t="s">
        <v>2982</v>
      </c>
      <c r="G6" s="284" t="s">
        <v>4468</v>
      </c>
      <c r="H6" s="283">
        <v>910746429</v>
      </c>
      <c r="I6" s="285" t="s">
        <v>4469</v>
      </c>
    </row>
    <row r="7" spans="1:9">
      <c r="A7" s="268" t="s">
        <v>4435</v>
      </c>
      <c r="B7" s="263">
        <v>4</v>
      </c>
      <c r="C7" s="263" t="s">
        <v>4470</v>
      </c>
      <c r="D7" s="269" t="s">
        <v>4471</v>
      </c>
      <c r="E7" s="270" t="s">
        <v>4472</v>
      </c>
      <c r="F7" s="271" t="s">
        <v>3006</v>
      </c>
      <c r="G7" s="271" t="s">
        <v>4355</v>
      </c>
      <c r="H7" s="270">
        <v>928059064</v>
      </c>
      <c r="I7" s="272" t="s">
        <v>4473</v>
      </c>
    </row>
    <row r="8" spans="1:9">
      <c r="A8" s="268" t="s">
        <v>4435</v>
      </c>
      <c r="B8" s="263">
        <v>4</v>
      </c>
      <c r="C8" s="263" t="s">
        <v>4470</v>
      </c>
      <c r="D8" s="269" t="s">
        <v>4474</v>
      </c>
      <c r="E8" s="270" t="s">
        <v>4475</v>
      </c>
      <c r="F8" s="271" t="s">
        <v>3006</v>
      </c>
      <c r="G8" s="271" t="s">
        <v>4355</v>
      </c>
      <c r="H8" s="273">
        <v>910226750</v>
      </c>
      <c r="I8" s="272" t="s">
        <v>4476</v>
      </c>
    </row>
    <row r="9" spans="1:9">
      <c r="A9" s="274" t="s">
        <v>4452</v>
      </c>
      <c r="B9" s="263">
        <v>5</v>
      </c>
      <c r="C9" s="263" t="s">
        <v>4443</v>
      </c>
      <c r="D9" s="293" t="s">
        <v>4477</v>
      </c>
      <c r="E9" s="294" t="s">
        <v>4478</v>
      </c>
      <c r="F9" s="295" t="s">
        <v>4356</v>
      </c>
      <c r="G9" s="295" t="s">
        <v>4357</v>
      </c>
      <c r="H9" s="294">
        <v>910219544</v>
      </c>
      <c r="I9" s="296" t="s">
        <v>4479</v>
      </c>
    </row>
    <row r="10" spans="1:9">
      <c r="A10" s="274" t="s">
        <v>4452</v>
      </c>
      <c r="B10" s="263">
        <v>1</v>
      </c>
      <c r="C10" s="263" t="s">
        <v>4440</v>
      </c>
      <c r="D10" s="264" t="s">
        <v>4480</v>
      </c>
      <c r="E10" s="265" t="s">
        <v>4481</v>
      </c>
      <c r="F10" s="266" t="s">
        <v>4455</v>
      </c>
      <c r="G10" s="266" t="s">
        <v>4456</v>
      </c>
      <c r="H10" s="265" t="s">
        <v>4482</v>
      </c>
      <c r="I10" s="267" t="s">
        <v>4483</v>
      </c>
    </row>
    <row r="11" spans="1:9">
      <c r="A11" s="274" t="s">
        <v>4452</v>
      </c>
      <c r="B11" s="263">
        <v>1</v>
      </c>
      <c r="C11" s="263" t="s">
        <v>4440</v>
      </c>
      <c r="D11" s="264" t="s">
        <v>4484</v>
      </c>
      <c r="E11" s="265" t="s">
        <v>4485</v>
      </c>
      <c r="F11" s="266" t="s">
        <v>4455</v>
      </c>
      <c r="G11" s="266" t="s">
        <v>4456</v>
      </c>
      <c r="H11" s="265" t="s">
        <v>4486</v>
      </c>
      <c r="I11" s="267" t="s">
        <v>4487</v>
      </c>
    </row>
    <row r="12" spans="1:9">
      <c r="A12" s="268" t="s">
        <v>4435</v>
      </c>
      <c r="B12" s="263">
        <v>4</v>
      </c>
      <c r="C12" s="263" t="s">
        <v>4470</v>
      </c>
      <c r="D12" s="269" t="s">
        <v>4488</v>
      </c>
      <c r="E12" s="270" t="s">
        <v>4489</v>
      </c>
      <c r="F12" s="271" t="s">
        <v>3006</v>
      </c>
      <c r="G12" s="271" t="s">
        <v>4355</v>
      </c>
      <c r="H12" s="273">
        <v>910746512</v>
      </c>
      <c r="I12" s="272" t="s">
        <v>4490</v>
      </c>
    </row>
    <row r="13" spans="1:9">
      <c r="A13" s="268" t="s">
        <v>4435</v>
      </c>
      <c r="B13" s="263">
        <v>4</v>
      </c>
      <c r="C13" s="263" t="s">
        <v>4470</v>
      </c>
      <c r="D13" s="269" t="s">
        <v>4491</v>
      </c>
      <c r="E13" s="270" t="s">
        <v>4492</v>
      </c>
      <c r="F13" s="271" t="s">
        <v>3006</v>
      </c>
      <c r="G13" s="271" t="s">
        <v>4355</v>
      </c>
      <c r="H13" s="270">
        <v>914059951</v>
      </c>
      <c r="I13" s="272" t="s">
        <v>4493</v>
      </c>
    </row>
    <row r="14" spans="1:9">
      <c r="A14" s="274" t="s">
        <v>4452</v>
      </c>
      <c r="B14" s="263">
        <v>5</v>
      </c>
      <c r="C14" s="263" t="s">
        <v>4443</v>
      </c>
      <c r="D14" s="293" t="s">
        <v>4494</v>
      </c>
      <c r="E14" s="294" t="s">
        <v>4495</v>
      </c>
      <c r="F14" s="295" t="s">
        <v>4356</v>
      </c>
      <c r="G14" s="295" t="s">
        <v>4357</v>
      </c>
      <c r="H14" s="294">
        <v>928029440</v>
      </c>
      <c r="I14" s="296" t="s">
        <v>4496</v>
      </c>
    </row>
    <row r="15" spans="1:9">
      <c r="A15" s="262" t="s">
        <v>4434</v>
      </c>
      <c r="B15" s="263">
        <v>1</v>
      </c>
      <c r="C15" s="263" t="s">
        <v>4440</v>
      </c>
      <c r="D15" s="279" t="s">
        <v>4497</v>
      </c>
      <c r="E15" s="265" t="s">
        <v>4498</v>
      </c>
      <c r="F15" s="266" t="s">
        <v>4455</v>
      </c>
      <c r="G15" s="266" t="s">
        <v>4456</v>
      </c>
      <c r="H15" s="265">
        <v>932267649</v>
      </c>
      <c r="I15" s="281" t="s">
        <v>4499</v>
      </c>
    </row>
    <row r="16" spans="1:9">
      <c r="A16" s="262" t="s">
        <v>4434</v>
      </c>
      <c r="B16" s="263">
        <v>2</v>
      </c>
      <c r="C16" s="263" t="s">
        <v>4442</v>
      </c>
      <c r="D16" s="275" t="s">
        <v>4500</v>
      </c>
      <c r="E16" s="276" t="s">
        <v>4501</v>
      </c>
      <c r="F16" s="277" t="s">
        <v>4502</v>
      </c>
      <c r="G16" s="277" t="s">
        <v>4503</v>
      </c>
      <c r="H16" s="276">
        <v>933500102</v>
      </c>
      <c r="I16" s="278" t="s">
        <v>4504</v>
      </c>
    </row>
    <row r="17" spans="1:9">
      <c r="A17" s="262" t="s">
        <v>4434</v>
      </c>
      <c r="B17" s="263">
        <v>3</v>
      </c>
      <c r="C17" s="263" t="s">
        <v>4373</v>
      </c>
      <c r="D17" s="291" t="s">
        <v>4505</v>
      </c>
      <c r="E17" s="283" t="s">
        <v>4506</v>
      </c>
      <c r="F17" s="284" t="s">
        <v>2982</v>
      </c>
      <c r="G17" s="284" t="s">
        <v>4468</v>
      </c>
      <c r="H17" s="283">
        <v>928493817</v>
      </c>
      <c r="I17" s="285" t="s">
        <v>4507</v>
      </c>
    </row>
    <row r="18" spans="1:9">
      <c r="A18" s="262" t="s">
        <v>4434</v>
      </c>
      <c r="B18" s="263">
        <v>2</v>
      </c>
      <c r="C18" s="263" t="s">
        <v>4442</v>
      </c>
      <c r="D18" s="297" t="s">
        <v>4508</v>
      </c>
      <c r="E18" s="276" t="s">
        <v>4509</v>
      </c>
      <c r="F18" s="277" t="s">
        <v>4502</v>
      </c>
      <c r="G18" s="277" t="s">
        <v>4503</v>
      </c>
      <c r="H18" s="276">
        <v>933521952</v>
      </c>
      <c r="I18" s="278" t="s">
        <v>4510</v>
      </c>
    </row>
    <row r="19" spans="1:9">
      <c r="A19" s="262" t="s">
        <v>4434</v>
      </c>
      <c r="B19" s="263">
        <v>2</v>
      </c>
      <c r="C19" s="263" t="s">
        <v>4442</v>
      </c>
      <c r="D19" s="275" t="s">
        <v>4511</v>
      </c>
      <c r="E19" s="276" t="s">
        <v>4512</v>
      </c>
      <c r="F19" s="277" t="s">
        <v>4502</v>
      </c>
      <c r="G19" s="277" t="s">
        <v>4503</v>
      </c>
      <c r="H19" s="276">
        <v>910202458</v>
      </c>
      <c r="I19" s="278" t="s">
        <v>4513</v>
      </c>
    </row>
    <row r="20" spans="1:9">
      <c r="A20" s="262" t="s">
        <v>4434</v>
      </c>
      <c r="B20" s="263">
        <v>1</v>
      </c>
      <c r="C20" s="263" t="s">
        <v>4440</v>
      </c>
      <c r="D20" s="264" t="s">
        <v>4514</v>
      </c>
      <c r="E20" s="265" t="s">
        <v>4515</v>
      </c>
      <c r="F20" s="266" t="s">
        <v>4455</v>
      </c>
      <c r="G20" s="266" t="s">
        <v>4456</v>
      </c>
      <c r="H20" s="528">
        <v>932572199</v>
      </c>
      <c r="I20" s="267" t="s">
        <v>4516</v>
      </c>
    </row>
    <row r="21" spans="1:9">
      <c r="A21" s="274" t="s">
        <v>4452</v>
      </c>
      <c r="B21" s="263">
        <v>1</v>
      </c>
      <c r="C21" s="263" t="s">
        <v>4440</v>
      </c>
      <c r="D21" s="264" t="s">
        <v>1633</v>
      </c>
      <c r="E21" s="265" t="s">
        <v>4517</v>
      </c>
      <c r="F21" s="266" t="s">
        <v>4455</v>
      </c>
      <c r="G21" s="266" t="s">
        <v>4456</v>
      </c>
      <c r="H21" s="265" t="s">
        <v>4518</v>
      </c>
      <c r="I21" s="267" t="s">
        <v>4519</v>
      </c>
    </row>
    <row r="22" spans="1:9">
      <c r="A22" s="262" t="s">
        <v>4434</v>
      </c>
      <c r="B22" s="263">
        <v>1</v>
      </c>
      <c r="C22" s="263" t="s">
        <v>4440</v>
      </c>
      <c r="D22" s="264" t="s">
        <v>3947</v>
      </c>
      <c r="E22" s="265" t="s">
        <v>4520</v>
      </c>
      <c r="F22" s="266" t="s">
        <v>4455</v>
      </c>
      <c r="G22" s="266" t="s">
        <v>4456</v>
      </c>
      <c r="H22" s="265"/>
      <c r="I22" s="267"/>
    </row>
    <row r="23" spans="1:9">
      <c r="A23" s="286" t="s">
        <v>4434</v>
      </c>
      <c r="B23" s="263">
        <v>3</v>
      </c>
      <c r="C23" s="263" t="s">
        <v>4373</v>
      </c>
      <c r="D23" s="287" t="s">
        <v>1622</v>
      </c>
      <c r="E23" s="288" t="s">
        <v>4521</v>
      </c>
      <c r="F23" s="289" t="s">
        <v>2982</v>
      </c>
      <c r="G23" s="284" t="s">
        <v>4468</v>
      </c>
      <c r="H23" s="288">
        <v>936957077</v>
      </c>
      <c r="I23" s="290" t="s">
        <v>4522</v>
      </c>
    </row>
    <row r="24" spans="1:9" ht="15.75">
      <c r="A24" s="262" t="s">
        <v>4434</v>
      </c>
      <c r="B24" s="263">
        <v>3</v>
      </c>
      <c r="C24" s="263" t="s">
        <v>4373</v>
      </c>
      <c r="D24" s="282" t="s">
        <v>4523</v>
      </c>
      <c r="E24" s="283" t="s">
        <v>4524</v>
      </c>
      <c r="F24" s="284" t="s">
        <v>2982</v>
      </c>
      <c r="G24" s="284" t="s">
        <v>4468</v>
      </c>
      <c r="H24" s="283">
        <v>928116087</v>
      </c>
      <c r="I24" s="546" t="s">
        <v>4525</v>
      </c>
    </row>
    <row r="25" spans="1:9">
      <c r="A25" s="262" t="s">
        <v>4434</v>
      </c>
      <c r="B25" s="263">
        <v>1</v>
      </c>
      <c r="C25" s="263" t="s">
        <v>4440</v>
      </c>
      <c r="D25" s="279" t="s">
        <v>4526</v>
      </c>
      <c r="E25" s="265" t="s">
        <v>4498</v>
      </c>
      <c r="F25" s="266" t="s">
        <v>4455</v>
      </c>
      <c r="G25" s="266" t="s">
        <v>4456</v>
      </c>
      <c r="H25" s="265">
        <v>930583422</v>
      </c>
      <c r="I25" s="267" t="s">
        <v>4527</v>
      </c>
    </row>
    <row r="26" spans="1:9">
      <c r="A26" s="268" t="s">
        <v>4435</v>
      </c>
      <c r="B26" s="263">
        <v>4</v>
      </c>
      <c r="C26" s="263" t="s">
        <v>4470</v>
      </c>
      <c r="D26" s="269" t="s">
        <v>4528</v>
      </c>
      <c r="E26" s="270" t="s">
        <v>4529</v>
      </c>
      <c r="F26" s="271" t="s">
        <v>3006</v>
      </c>
      <c r="G26" s="271" t="s">
        <v>4355</v>
      </c>
      <c r="H26" s="270">
        <v>910226750</v>
      </c>
      <c r="I26" s="272" t="s">
        <v>4530</v>
      </c>
    </row>
    <row r="27" spans="1:9">
      <c r="A27" s="268" t="s">
        <v>4435</v>
      </c>
      <c r="B27" s="263">
        <v>4</v>
      </c>
      <c r="C27" s="263" t="s">
        <v>4470</v>
      </c>
      <c r="D27" s="269" t="s">
        <v>4531</v>
      </c>
      <c r="E27" s="270" t="s">
        <v>4532</v>
      </c>
      <c r="F27" s="271" t="s">
        <v>3006</v>
      </c>
      <c r="G27" s="271" t="s">
        <v>4355</v>
      </c>
      <c r="H27" s="270">
        <v>910746500</v>
      </c>
      <c r="I27" s="272" t="s">
        <v>4533</v>
      </c>
    </row>
    <row r="28" spans="1:9">
      <c r="A28" s="274" t="s">
        <v>4452</v>
      </c>
      <c r="B28" s="263">
        <v>5</v>
      </c>
      <c r="C28" s="263" t="s">
        <v>4443</v>
      </c>
      <c r="D28" s="293" t="s">
        <v>3960</v>
      </c>
      <c r="E28" s="294" t="s">
        <v>4534</v>
      </c>
      <c r="F28" s="295" t="s">
        <v>4356</v>
      </c>
      <c r="G28" s="295" t="s">
        <v>4357</v>
      </c>
      <c r="H28" s="294">
        <v>932650966</v>
      </c>
      <c r="I28" s="296" t="s">
        <v>4535</v>
      </c>
    </row>
    <row r="29" spans="1:9">
      <c r="A29" s="262" t="s">
        <v>4434</v>
      </c>
      <c r="B29" s="263">
        <v>1</v>
      </c>
      <c r="C29" s="263" t="s">
        <v>4440</v>
      </c>
      <c r="D29" s="279" t="s">
        <v>4536</v>
      </c>
      <c r="E29" s="265" t="s">
        <v>4498</v>
      </c>
      <c r="F29" s="266" t="s">
        <v>4455</v>
      </c>
      <c r="G29" s="266" t="s">
        <v>4456</v>
      </c>
      <c r="H29" s="280">
        <v>933595634</v>
      </c>
      <c r="I29" s="267" t="s">
        <v>4537</v>
      </c>
    </row>
    <row r="30" spans="1:9">
      <c r="A30" s="262" t="s">
        <v>4434</v>
      </c>
      <c r="B30" s="263">
        <v>3</v>
      </c>
      <c r="C30" s="263" t="s">
        <v>4373</v>
      </c>
      <c r="D30" s="282" t="s">
        <v>4538</v>
      </c>
      <c r="E30" s="283" t="s">
        <v>4539</v>
      </c>
      <c r="F30" s="284" t="s">
        <v>2982</v>
      </c>
      <c r="G30" s="284" t="s">
        <v>4468</v>
      </c>
      <c r="H30" s="283">
        <v>937010260</v>
      </c>
      <c r="I30" s="285" t="s">
        <v>4540</v>
      </c>
    </row>
    <row r="31" spans="1:9">
      <c r="A31" s="268" t="s">
        <v>4435</v>
      </c>
      <c r="B31" s="263">
        <v>4</v>
      </c>
      <c r="C31" s="263" t="s">
        <v>4470</v>
      </c>
      <c r="D31" s="269" t="s">
        <v>4541</v>
      </c>
      <c r="E31" s="270" t="s">
        <v>4542</v>
      </c>
      <c r="F31" s="271" t="s">
        <v>3006</v>
      </c>
      <c r="G31" s="271" t="s">
        <v>4355</v>
      </c>
      <c r="H31" s="270">
        <v>932650976</v>
      </c>
      <c r="I31" s="272" t="s">
        <v>4543</v>
      </c>
    </row>
    <row r="32" spans="1:9">
      <c r="A32" s="262" t="s">
        <v>4434</v>
      </c>
      <c r="B32" s="263">
        <v>2</v>
      </c>
      <c r="C32" s="263" t="s">
        <v>4442</v>
      </c>
      <c r="D32" s="275" t="s">
        <v>4033</v>
      </c>
      <c r="E32" s="276" t="s">
        <v>4544</v>
      </c>
      <c r="F32" s="277" t="s">
        <v>4502</v>
      </c>
      <c r="G32" s="277" t="s">
        <v>4503</v>
      </c>
      <c r="H32" s="276">
        <v>933521950</v>
      </c>
      <c r="I32" s="278" t="s">
        <v>4545</v>
      </c>
    </row>
    <row r="33" spans="1:9" s="292" customFormat="1">
      <c r="A33" s="274" t="s">
        <v>4452</v>
      </c>
      <c r="B33" s="263">
        <v>5</v>
      </c>
      <c r="C33" s="263" t="s">
        <v>4443</v>
      </c>
      <c r="D33" s="293" t="s">
        <v>4546</v>
      </c>
      <c r="E33" s="294" t="s">
        <v>4547</v>
      </c>
      <c r="F33" s="295" t="s">
        <v>4356</v>
      </c>
      <c r="G33" s="295" t="s">
        <v>4357</v>
      </c>
      <c r="H33" s="294">
        <v>937010289</v>
      </c>
      <c r="I33" s="296" t="s">
        <v>4548</v>
      </c>
    </row>
    <row r="34" spans="1:9">
      <c r="A34" s="268" t="s">
        <v>4435</v>
      </c>
      <c r="B34" s="263">
        <v>4</v>
      </c>
      <c r="C34" s="263" t="s">
        <v>4470</v>
      </c>
      <c r="D34" s="269" t="s">
        <v>4549</v>
      </c>
      <c r="E34" s="270" t="s">
        <v>4550</v>
      </c>
      <c r="F34" s="271" t="s">
        <v>3006</v>
      </c>
      <c r="G34" s="271" t="s">
        <v>4355</v>
      </c>
      <c r="H34" s="270">
        <v>932650952</v>
      </c>
      <c r="I34" s="272" t="s">
        <v>4551</v>
      </c>
    </row>
    <row r="35" spans="1:9">
      <c r="A35" s="268" t="s">
        <v>4435</v>
      </c>
      <c r="B35" s="263">
        <v>4</v>
      </c>
      <c r="C35" s="263" t="s">
        <v>4470</v>
      </c>
      <c r="D35" s="269" t="s">
        <v>4552</v>
      </c>
      <c r="E35" s="270" t="s">
        <v>4553</v>
      </c>
      <c r="F35" s="271" t="s">
        <v>3006</v>
      </c>
      <c r="G35" s="271" t="s">
        <v>4355</v>
      </c>
      <c r="H35" s="270">
        <v>913010765</v>
      </c>
      <c r="I35" s="272" t="s">
        <v>4554</v>
      </c>
    </row>
    <row r="36" spans="1:9">
      <c r="A36" s="268" t="s">
        <v>4435</v>
      </c>
      <c r="B36" s="263">
        <v>4</v>
      </c>
      <c r="C36" s="263" t="s">
        <v>4470</v>
      </c>
      <c r="D36" s="269" t="s">
        <v>4555</v>
      </c>
      <c r="E36" s="270" t="s">
        <v>4556</v>
      </c>
      <c r="F36" s="271" t="s">
        <v>3006</v>
      </c>
      <c r="G36" s="271" t="s">
        <v>4355</v>
      </c>
      <c r="H36" s="270">
        <v>928111160</v>
      </c>
      <c r="I36" s="272" t="s">
        <v>4557</v>
      </c>
    </row>
    <row r="37" spans="1:9">
      <c r="A37" s="262" t="s">
        <v>4434</v>
      </c>
      <c r="B37" s="263">
        <v>1</v>
      </c>
      <c r="C37" s="263" t="s">
        <v>4440</v>
      </c>
      <c r="D37" s="264" t="s">
        <v>4558</v>
      </c>
      <c r="E37" s="265" t="s">
        <v>4559</v>
      </c>
      <c r="F37" s="266" t="s">
        <v>4455</v>
      </c>
      <c r="G37" s="266" t="s">
        <v>4456</v>
      </c>
      <c r="H37" s="265">
        <v>937010267</v>
      </c>
      <c r="I37" s="267" t="s">
        <v>4560</v>
      </c>
    </row>
    <row r="38" spans="1:9">
      <c r="A38" s="262" t="s">
        <v>4434</v>
      </c>
      <c r="B38" s="263">
        <v>1</v>
      </c>
      <c r="C38" s="263" t="s">
        <v>4440</v>
      </c>
      <c r="D38" s="264" t="s">
        <v>4561</v>
      </c>
      <c r="E38" s="265" t="s">
        <v>4562</v>
      </c>
      <c r="F38" s="266" t="s">
        <v>4455</v>
      </c>
      <c r="G38" s="266" t="s">
        <v>4456</v>
      </c>
      <c r="H38" s="265">
        <v>932650960</v>
      </c>
      <c r="I38" s="267" t="s">
        <v>4563</v>
      </c>
    </row>
    <row r="39" spans="1:9">
      <c r="A39" s="274" t="s">
        <v>4452</v>
      </c>
      <c r="B39" s="263">
        <v>5</v>
      </c>
      <c r="C39" s="263" t="s">
        <v>4443</v>
      </c>
      <c r="D39" s="293" t="s">
        <v>4564</v>
      </c>
      <c r="E39" s="294" t="s">
        <v>4565</v>
      </c>
      <c r="F39" s="295" t="s">
        <v>4356</v>
      </c>
      <c r="G39" s="295" t="s">
        <v>4357</v>
      </c>
      <c r="H39" s="294">
        <v>937010254</v>
      </c>
      <c r="I39" s="296" t="s">
        <v>4566</v>
      </c>
    </row>
    <row r="40" spans="1:9">
      <c r="A40" s="262" t="s">
        <v>4434</v>
      </c>
      <c r="B40" s="263">
        <v>3</v>
      </c>
      <c r="C40" s="263" t="s">
        <v>4373</v>
      </c>
      <c r="D40" s="282" t="s">
        <v>4567</v>
      </c>
      <c r="E40" s="283" t="s">
        <v>4568</v>
      </c>
      <c r="F40" s="284" t="s">
        <v>2982</v>
      </c>
      <c r="G40" s="284" t="s">
        <v>4468</v>
      </c>
      <c r="H40" s="283">
        <v>914059940</v>
      </c>
      <c r="I40" s="285" t="s">
        <v>4569</v>
      </c>
    </row>
    <row r="41" spans="1:9">
      <c r="A41" s="262" t="s">
        <v>4434</v>
      </c>
      <c r="B41" s="263">
        <v>3</v>
      </c>
      <c r="C41" s="263" t="s">
        <v>4373</v>
      </c>
      <c r="D41" s="282" t="s">
        <v>4062</v>
      </c>
      <c r="E41" s="283" t="s">
        <v>4570</v>
      </c>
      <c r="F41" s="284" t="s">
        <v>2982</v>
      </c>
      <c r="G41" s="284" t="s">
        <v>4468</v>
      </c>
      <c r="H41" s="283">
        <v>932650964</v>
      </c>
      <c r="I41" s="285" t="s">
        <v>4571</v>
      </c>
    </row>
    <row r="42" spans="1:9">
      <c r="A42" s="268" t="s">
        <v>4435</v>
      </c>
      <c r="B42" s="263">
        <v>4</v>
      </c>
      <c r="C42" s="263" t="s">
        <v>4470</v>
      </c>
      <c r="D42" s="269" t="s">
        <v>3938</v>
      </c>
      <c r="E42" s="270" t="s">
        <v>4572</v>
      </c>
      <c r="F42" s="271" t="s">
        <v>3006</v>
      </c>
      <c r="G42" s="271" t="s">
        <v>4355</v>
      </c>
      <c r="H42" s="270">
        <v>928060701</v>
      </c>
      <c r="I42" s="272" t="s">
        <v>4573</v>
      </c>
    </row>
    <row r="43" spans="1:9">
      <c r="A43" s="268" t="s">
        <v>4435</v>
      </c>
      <c r="B43" s="263">
        <v>4</v>
      </c>
      <c r="C43" s="263" t="s">
        <v>4470</v>
      </c>
      <c r="D43" s="269" t="s">
        <v>4574</v>
      </c>
      <c r="E43" s="270" t="s">
        <v>4575</v>
      </c>
      <c r="F43" s="271" t="s">
        <v>3006</v>
      </c>
      <c r="G43" s="271" t="s">
        <v>4355</v>
      </c>
      <c r="H43" s="273">
        <v>910219374</v>
      </c>
      <c r="I43" s="272" t="s">
        <v>4576</v>
      </c>
    </row>
    <row r="44" spans="1:9">
      <c r="A44" s="274" t="s">
        <v>4452</v>
      </c>
      <c r="B44" s="263">
        <v>5</v>
      </c>
      <c r="C44" s="263" t="s">
        <v>4443</v>
      </c>
      <c r="D44" s="293" t="s">
        <v>4577</v>
      </c>
      <c r="E44" s="294" t="s">
        <v>4578</v>
      </c>
      <c r="F44" s="295" t="s">
        <v>4356</v>
      </c>
      <c r="G44" s="295" t="s">
        <v>4357</v>
      </c>
      <c r="H44" s="294">
        <v>913010724</v>
      </c>
      <c r="I44" s="296" t="s">
        <v>4579</v>
      </c>
    </row>
    <row r="45" spans="1:9">
      <c r="A45" s="274" t="s">
        <v>4452</v>
      </c>
      <c r="B45" s="263">
        <v>5</v>
      </c>
      <c r="C45" s="263" t="s">
        <v>4443</v>
      </c>
      <c r="D45" s="293" t="s">
        <v>4580</v>
      </c>
      <c r="E45" s="294" t="s">
        <v>4581</v>
      </c>
      <c r="F45" s="295" t="s">
        <v>4356</v>
      </c>
      <c r="G45" s="295" t="s">
        <v>4357</v>
      </c>
      <c r="H45" s="294">
        <v>933595639</v>
      </c>
      <c r="I45" s="296" t="s">
        <v>4582</v>
      </c>
    </row>
    <row r="46" spans="1:9">
      <c r="A46" s="274" t="s">
        <v>4452</v>
      </c>
      <c r="B46" s="263">
        <v>1</v>
      </c>
      <c r="C46" s="263" t="s">
        <v>4440</v>
      </c>
      <c r="D46" s="264" t="s">
        <v>4583</v>
      </c>
      <c r="E46" s="265" t="s">
        <v>4584</v>
      </c>
      <c r="F46" s="266" t="s">
        <v>4455</v>
      </c>
      <c r="G46" s="266" t="s">
        <v>4456</v>
      </c>
      <c r="H46" s="265" t="s">
        <v>4585</v>
      </c>
      <c r="I46" s="267" t="s">
        <v>4586</v>
      </c>
    </row>
    <row r="47" spans="1:9">
      <c r="A47" s="268" t="s">
        <v>4435</v>
      </c>
      <c r="B47" s="263">
        <v>4</v>
      </c>
      <c r="C47" s="263" t="s">
        <v>4470</v>
      </c>
      <c r="D47" s="269" t="s">
        <v>4587</v>
      </c>
      <c r="E47" s="270" t="s">
        <v>4588</v>
      </c>
      <c r="F47" s="271" t="s">
        <v>3006</v>
      </c>
      <c r="G47" s="271" t="s">
        <v>4355</v>
      </c>
      <c r="H47" s="270">
        <v>928115354</v>
      </c>
      <c r="I47" s="272" t="s">
        <v>4589</v>
      </c>
    </row>
    <row r="48" spans="1:9" ht="15.75">
      <c r="A48" s="268" t="s">
        <v>4435</v>
      </c>
      <c r="B48" s="263">
        <v>4</v>
      </c>
      <c r="C48" s="263" t="s">
        <v>4470</v>
      </c>
      <c r="D48" s="269" t="s">
        <v>3976</v>
      </c>
      <c r="E48" s="270" t="s">
        <v>4590</v>
      </c>
      <c r="F48" s="271" t="s">
        <v>3006</v>
      </c>
      <c r="G48" s="271" t="s">
        <v>4355</v>
      </c>
      <c r="H48" s="270">
        <v>928060109</v>
      </c>
      <c r="I48" s="547" t="s">
        <v>4591</v>
      </c>
    </row>
    <row r="49" spans="1:9">
      <c r="A49" s="262" t="s">
        <v>4434</v>
      </c>
      <c r="B49" s="263">
        <v>2</v>
      </c>
      <c r="C49" s="263" t="s">
        <v>4442</v>
      </c>
      <c r="D49" s="297" t="s">
        <v>4592</v>
      </c>
      <c r="E49" s="276" t="s">
        <v>4593</v>
      </c>
      <c r="F49" s="277" t="s">
        <v>4502</v>
      </c>
      <c r="G49" s="277" t="s">
        <v>4503</v>
      </c>
      <c r="H49" s="298">
        <v>928063888</v>
      </c>
      <c r="I49" s="299" t="s">
        <v>4594</v>
      </c>
    </row>
    <row r="50" spans="1:9">
      <c r="A50" s="262" t="s">
        <v>4434</v>
      </c>
      <c r="B50" s="263">
        <v>2</v>
      </c>
      <c r="C50" s="263" t="s">
        <v>4442</v>
      </c>
      <c r="D50" s="297" t="s">
        <v>4595</v>
      </c>
      <c r="E50" s="276" t="s">
        <v>4509</v>
      </c>
      <c r="F50" s="277" t="s">
        <v>4502</v>
      </c>
      <c r="G50" s="277" t="s">
        <v>4503</v>
      </c>
      <c r="H50" s="276">
        <v>928112740</v>
      </c>
      <c r="I50" s="278" t="s">
        <v>4596</v>
      </c>
    </row>
    <row r="51" spans="1:9" ht="15.75" thickBot="1">
      <c r="A51" s="527"/>
      <c r="B51" s="527"/>
      <c r="C51" s="527"/>
      <c r="D51" s="527"/>
      <c r="E51" s="527"/>
      <c r="F51" s="527"/>
      <c r="G51" s="527"/>
      <c r="H51" s="527"/>
    </row>
    <row r="52" spans="1:9">
      <c r="A52" s="820" t="s">
        <v>4597</v>
      </c>
      <c r="B52" s="821"/>
      <c r="C52" s="821"/>
      <c r="D52" s="822"/>
      <c r="E52" s="822"/>
      <c r="F52" s="301" t="s">
        <v>127</v>
      </c>
      <c r="G52" s="302">
        <v>7</v>
      </c>
      <c r="H52" s="303"/>
    </row>
    <row r="53" spans="1:9">
      <c r="A53" s="823" t="s">
        <v>4598</v>
      </c>
      <c r="B53" s="824"/>
      <c r="C53" s="824"/>
      <c r="D53" s="824"/>
      <c r="E53" s="825"/>
      <c r="F53" s="304" t="s">
        <v>3056</v>
      </c>
      <c r="G53" s="305">
        <v>7</v>
      </c>
      <c r="H53" s="303"/>
    </row>
    <row r="54" spans="1:9">
      <c r="A54" s="823" t="s">
        <v>4599</v>
      </c>
      <c r="B54" s="824"/>
      <c r="C54" s="824"/>
      <c r="D54" s="826"/>
      <c r="E54" s="826"/>
      <c r="F54" s="306" t="s">
        <v>1076</v>
      </c>
      <c r="G54" s="307">
        <v>6</v>
      </c>
      <c r="H54" s="303"/>
      <c r="I54" s="303"/>
    </row>
    <row r="55" spans="1:9">
      <c r="A55" s="823" t="s">
        <v>4600</v>
      </c>
      <c r="B55" s="824"/>
      <c r="C55" s="824"/>
      <c r="D55" s="826"/>
      <c r="E55" s="826"/>
      <c r="F55" s="308" t="s">
        <v>1077</v>
      </c>
      <c r="G55" s="309">
        <v>14</v>
      </c>
      <c r="H55" s="303"/>
      <c r="I55" s="303"/>
    </row>
    <row r="56" spans="1:9" ht="15.75" thickBot="1">
      <c r="A56" s="827" t="s">
        <v>4601</v>
      </c>
      <c r="B56" s="828"/>
      <c r="C56" s="828"/>
      <c r="D56" s="829"/>
      <c r="E56" s="829"/>
      <c r="F56" s="306" t="s">
        <v>1721</v>
      </c>
      <c r="G56" s="310">
        <v>14</v>
      </c>
      <c r="H56" s="303"/>
      <c r="I56" s="303"/>
    </row>
    <row r="58" spans="1:9" ht="18" customHeight="1">
      <c r="A58" s="527"/>
      <c r="B58" s="527"/>
      <c r="C58" s="527"/>
      <c r="D58" s="527"/>
      <c r="E58" s="813"/>
      <c r="F58" s="814"/>
      <c r="G58" s="814"/>
      <c r="H58" s="527"/>
    </row>
    <row r="59" spans="1:9" ht="18.600000000000001" customHeight="1">
      <c r="A59" s="527"/>
      <c r="B59" s="527"/>
      <c r="C59" s="527"/>
      <c r="D59" s="311" t="s">
        <v>4602</v>
      </c>
      <c r="E59" s="312" t="s">
        <v>4434</v>
      </c>
      <c r="F59" s="312" t="s">
        <v>4435</v>
      </c>
      <c r="G59" s="312" t="s">
        <v>4452</v>
      </c>
      <c r="H59" s="312" t="s">
        <v>4603</v>
      </c>
      <c r="I59" s="312" t="s">
        <v>4604</v>
      </c>
    </row>
    <row r="60" spans="1:9" s="313" customFormat="1" ht="20.100000000000001" customHeight="1">
      <c r="D60" s="314" t="s">
        <v>4605</v>
      </c>
      <c r="E60" s="312" t="s">
        <v>4606</v>
      </c>
      <c r="F60" s="314" t="s">
        <v>4607</v>
      </c>
      <c r="G60" s="314" t="s">
        <v>4608</v>
      </c>
    </row>
    <row r="61" spans="1:9" s="313" customFormat="1" ht="20.100000000000001" customHeight="1">
      <c r="D61" s="314" t="s">
        <v>4609</v>
      </c>
      <c r="E61" s="312" t="s">
        <v>4610</v>
      </c>
      <c r="F61" s="315" t="s">
        <v>113</v>
      </c>
      <c r="G61" s="312" t="s">
        <v>4611</v>
      </c>
    </row>
    <row r="62" spans="1:9" s="313" customFormat="1" ht="20.100000000000001" customHeight="1">
      <c r="D62" s="314" t="s">
        <v>4612</v>
      </c>
      <c r="E62" s="312" t="s">
        <v>4610</v>
      </c>
      <c r="F62" s="314" t="s">
        <v>4613</v>
      </c>
      <c r="G62" s="312" t="s">
        <v>4614</v>
      </c>
      <c r="H62" s="313">
        <v>14</v>
      </c>
      <c r="I62" s="313" t="s">
        <v>4615</v>
      </c>
    </row>
    <row r="63" spans="1:9" s="313" customFormat="1" ht="20.100000000000001" customHeight="1">
      <c r="D63" s="314" t="s">
        <v>4616</v>
      </c>
      <c r="E63" s="312" t="s">
        <v>4617</v>
      </c>
      <c r="F63" s="312" t="s">
        <v>4618</v>
      </c>
      <c r="G63" s="315" t="s">
        <v>113</v>
      </c>
      <c r="H63" s="313">
        <v>6</v>
      </c>
      <c r="I63" s="313" t="s">
        <v>4619</v>
      </c>
    </row>
    <row r="64" spans="1:9" s="313" customFormat="1" ht="20.100000000000001" customHeight="1">
      <c r="D64" s="314" t="s">
        <v>4620</v>
      </c>
      <c r="E64" s="312" t="s">
        <v>4617</v>
      </c>
      <c r="F64" s="315" t="s">
        <v>113</v>
      </c>
      <c r="G64" s="315" t="s">
        <v>113</v>
      </c>
      <c r="H64" s="313">
        <v>7</v>
      </c>
      <c r="I64" s="313" t="s">
        <v>4621</v>
      </c>
    </row>
    <row r="65" spans="4:9" s="313" customFormat="1" ht="20.100000000000001" customHeight="1">
      <c r="D65" s="314" t="s">
        <v>4622</v>
      </c>
      <c r="E65" s="312" t="s">
        <v>4623</v>
      </c>
      <c r="F65" s="315" t="s">
        <v>113</v>
      </c>
      <c r="G65" s="315" t="s">
        <v>113</v>
      </c>
      <c r="H65" s="313">
        <v>7</v>
      </c>
      <c r="I65" s="313" t="s">
        <v>4624</v>
      </c>
    </row>
    <row r="66" spans="4:9" s="313" customFormat="1" ht="20.100000000000001" customHeight="1">
      <c r="D66" s="314" t="s">
        <v>4625</v>
      </c>
      <c r="E66" s="312" t="s">
        <v>4626</v>
      </c>
      <c r="F66" s="314" t="s">
        <v>4613</v>
      </c>
      <c r="G66" s="312" t="s">
        <v>4627</v>
      </c>
      <c r="H66" s="313">
        <v>14</v>
      </c>
      <c r="I66" s="313" t="s">
        <v>4628</v>
      </c>
    </row>
  </sheetData>
  <autoFilter ref="A2:I50" xr:uid="{00000000-0009-0000-0000-000007000000}"/>
  <mergeCells count="7">
    <mergeCell ref="E58:G58"/>
    <mergeCell ref="A1:I1"/>
    <mergeCell ref="A52:E52"/>
    <mergeCell ref="A53:E53"/>
    <mergeCell ref="A54:E54"/>
    <mergeCell ref="A55:E55"/>
    <mergeCell ref="A56:E56"/>
  </mergeCells>
  <hyperlinks>
    <hyperlink ref="I43" r:id="rId1" xr:uid="{00000000-0004-0000-0700-000000000000}"/>
    <hyperlink ref="I47" r:id="rId2" xr:uid="{00000000-0004-0000-0700-000001000000}"/>
    <hyperlink ref="I42" r:id="rId3" xr:uid="{00000000-0004-0000-0700-000002000000}"/>
    <hyperlink ref="I7" r:id="rId4" xr:uid="{00000000-0004-0000-0700-000003000000}"/>
    <hyperlink ref="I12" r:id="rId5" xr:uid="{00000000-0004-0000-0700-000004000000}"/>
    <hyperlink ref="I26" r:id="rId6" xr:uid="{00000000-0004-0000-0700-000005000000}"/>
    <hyperlink ref="I34" r:id="rId7" xr:uid="{00000000-0004-0000-0700-000006000000}"/>
    <hyperlink ref="I8" r:id="rId8" xr:uid="{00000000-0004-0000-0700-000007000000}"/>
    <hyperlink ref="I13" r:id="rId9" xr:uid="{00000000-0004-0000-0700-000008000000}"/>
    <hyperlink ref="I48" r:id="rId10" xr:uid="{00000000-0004-0000-0700-000009000000}"/>
    <hyperlink ref="I31" r:id="rId11" xr:uid="{00000000-0004-0000-0700-00000A000000}"/>
    <hyperlink ref="I36" r:id="rId12" xr:uid="{00000000-0004-0000-0700-00000B000000}"/>
    <hyperlink ref="I14" r:id="rId13" xr:uid="{00000000-0004-0000-0700-00000C000000}"/>
    <hyperlink ref="I28" r:id="rId14" xr:uid="{00000000-0004-0000-0700-00000D000000}"/>
    <hyperlink ref="I9" r:id="rId15" xr:uid="{00000000-0004-0000-0700-00000E000000}"/>
    <hyperlink ref="I45" r:id="rId16" xr:uid="{00000000-0004-0000-0700-00000F000000}"/>
    <hyperlink ref="I39" r:id="rId17" xr:uid="{00000000-0004-0000-0700-000010000000}"/>
    <hyperlink ref="I44" r:id="rId18" xr:uid="{00000000-0004-0000-0700-000011000000}"/>
    <hyperlink ref="I4" r:id="rId19" xr:uid="{00000000-0004-0000-0700-000012000000}"/>
    <hyperlink ref="I46" r:id="rId20" xr:uid="{00000000-0004-0000-0700-000013000000}"/>
    <hyperlink ref="I3" r:id="rId21" xr:uid="{00000000-0004-0000-0700-000014000000}"/>
    <hyperlink ref="I11" r:id="rId22" xr:uid="{00000000-0004-0000-0700-000015000000}"/>
    <hyperlink ref="I21" r:id="rId23" xr:uid="{00000000-0004-0000-0700-000016000000}"/>
    <hyperlink ref="I10" r:id="rId24" xr:uid="{00000000-0004-0000-0700-000017000000}"/>
    <hyperlink ref="I18" r:id="rId25" xr:uid="{00000000-0004-0000-0700-000018000000}"/>
    <hyperlink ref="I29" r:id="rId26" xr:uid="{00000000-0004-0000-0700-000019000000}"/>
    <hyperlink ref="I19" r:id="rId27" xr:uid="{00000000-0004-0000-0700-00001A000000}"/>
    <hyperlink ref="I32" r:id="rId28" xr:uid="{00000000-0004-0000-0700-00001B000000}"/>
    <hyperlink ref="I25" r:id="rId29" xr:uid="{00000000-0004-0000-0700-00001C000000}"/>
    <hyperlink ref="I16" r:id="rId30" xr:uid="{00000000-0004-0000-0700-00001D000000}"/>
    <hyperlink ref="I50" r:id="rId31" xr:uid="{00000000-0004-0000-0700-00001E000000}"/>
    <hyperlink ref="I5" r:id="rId32" xr:uid="{00000000-0004-0000-0700-00001F000000}"/>
    <hyperlink ref="I20" r:id="rId33" xr:uid="{00000000-0004-0000-0700-000020000000}"/>
    <hyperlink ref="I37" r:id="rId34" xr:uid="{00000000-0004-0000-0700-000021000000}"/>
    <hyperlink ref="I38" r:id="rId35" xr:uid="{00000000-0004-0000-0700-000022000000}"/>
    <hyperlink ref="I17" r:id="rId36" xr:uid="{00000000-0004-0000-0700-000023000000}"/>
    <hyperlink ref="I24" r:id="rId37" xr:uid="{00000000-0004-0000-0700-000024000000}"/>
    <hyperlink ref="I40" r:id="rId38" xr:uid="{00000000-0004-0000-0700-000025000000}"/>
    <hyperlink ref="I6" r:id="rId39" xr:uid="{00000000-0004-0000-0700-000026000000}"/>
    <hyperlink ref="I30" r:id="rId40" xr:uid="{00000000-0004-0000-0700-000027000000}"/>
    <hyperlink ref="I41" r:id="rId41" xr:uid="{00000000-0004-0000-0700-000028000000}"/>
    <hyperlink ref="I27" r:id="rId42" xr:uid="{00000000-0004-0000-0700-000029000000}"/>
    <hyperlink ref="I15" r:id="rId43" display="mailto:gustavazevedo@seepmode.com" xr:uid="{00000000-0004-0000-0700-00002A000000}"/>
    <hyperlink ref="I49" r:id="rId44" display="mailto:tiagorodrigues@seepmode.com" xr:uid="{00000000-0004-0000-0700-00002B000000}"/>
    <hyperlink ref="I35" r:id="rId45" xr:uid="{00000000-0004-0000-0700-00002C000000}"/>
    <hyperlink ref="I23" r:id="rId46" display="luismilheiro@seepmode.com " xr:uid="{00000000-0004-0000-0700-00002D000000}"/>
  </hyperlinks>
  <printOptions verticalCentered="1"/>
  <pageMargins left="0.70866141732283472" right="0.70866141732283472" top="0.74803149606299213" bottom="0.74803149606299213" header="0.31496062992125984" footer="0.31496062992125984"/>
  <pageSetup paperSize="9" scale="65" orientation="landscape" r:id="rId47"/>
  <tableParts count="1">
    <tablePart r:id="rId4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D3:AC64"/>
  <sheetViews>
    <sheetView topLeftCell="D1" zoomScale="80" zoomScaleNormal="80" workbookViewId="0">
      <pane xSplit="3" ySplit="4" topLeftCell="G20" activePane="bottomRight" state="frozen"/>
      <selection pane="bottomRight" activeCell="P50" sqref="P50"/>
      <selection pane="bottomLeft" activeCell="D5" sqref="D5"/>
      <selection pane="topRight" activeCell="G1" sqref="G1"/>
    </sheetView>
  </sheetViews>
  <sheetFormatPr defaultColWidth="11.125" defaultRowHeight="15.75"/>
  <cols>
    <col min="5" max="5" width="16.125" customWidth="1"/>
    <col min="7" max="7" width="11.125" style="2"/>
    <col min="8" max="8" width="4.625" style="2" bestFit="1" customWidth="1"/>
    <col min="9" max="9" width="11.125" style="2"/>
    <col min="10" max="10" width="4.625" style="2" bestFit="1" customWidth="1"/>
    <col min="11" max="11" width="11.125" style="2"/>
    <col min="12" max="12" width="4.625" style="2" bestFit="1" customWidth="1"/>
    <col min="13" max="13" width="11.125" style="2"/>
    <col min="14" max="14" width="8.125" style="2" customWidth="1"/>
    <col min="16" max="16" width="15.125" customWidth="1"/>
    <col min="17" max="17" width="4.125" bestFit="1" customWidth="1"/>
    <col min="18" max="18" width="6.625" customWidth="1"/>
    <col min="19" max="19" width="11.125" customWidth="1"/>
    <col min="20" max="22" width="5.625" customWidth="1"/>
    <col min="23" max="23" width="3.625" customWidth="1"/>
    <col min="26" max="27" width="4.125" bestFit="1" customWidth="1"/>
  </cols>
  <sheetData>
    <row r="3" spans="4:27" ht="16.5" thickBot="1"/>
    <row r="4" spans="4:27" ht="16.5" thickBot="1">
      <c r="D4" s="364">
        <v>2025</v>
      </c>
      <c r="G4" s="41" t="s">
        <v>4629</v>
      </c>
      <c r="H4" s="41"/>
      <c r="I4" s="41" t="s">
        <v>4630</v>
      </c>
      <c r="J4" s="41"/>
      <c r="K4" s="41" t="s">
        <v>4631</v>
      </c>
      <c r="L4" s="41"/>
      <c r="M4" s="41" t="s">
        <v>4334</v>
      </c>
      <c r="P4" s="352" t="s">
        <v>4632</v>
      </c>
      <c r="Q4" s="351"/>
      <c r="R4" s="361"/>
      <c r="S4" s="363" t="s">
        <v>4633</v>
      </c>
      <c r="T4" s="354" t="s">
        <v>4634</v>
      </c>
      <c r="U4" s="354"/>
      <c r="V4" s="354"/>
      <c r="W4" s="353"/>
      <c r="X4" s="355" t="s">
        <v>4435</v>
      </c>
      <c r="Y4" s="350"/>
      <c r="Z4" s="350"/>
      <c r="AA4" s="349"/>
    </row>
    <row r="5" spans="4:27" ht="16.5" thickBot="1">
      <c r="E5" t="s">
        <v>4635</v>
      </c>
      <c r="F5" t="s">
        <v>4634</v>
      </c>
      <c r="G5" s="2">
        <f>+R14</f>
        <v>0</v>
      </c>
      <c r="H5" s="359">
        <f>+G5/$D$9</f>
        <v>0</v>
      </c>
      <c r="I5" s="2">
        <f>+V9</f>
        <v>286</v>
      </c>
      <c r="J5" s="359">
        <f>+I5/$D$9</f>
        <v>0.18321588725176169</v>
      </c>
      <c r="K5" s="2">
        <f>+AA10</f>
        <v>122</v>
      </c>
      <c r="L5" s="360">
        <f>+K5/$D$9</f>
        <v>7.8155028827674569E-2</v>
      </c>
      <c r="M5" s="2">
        <f>+G5+I5+K5</f>
        <v>408</v>
      </c>
      <c r="N5" s="316">
        <f>+M10-M5</f>
        <v>159</v>
      </c>
      <c r="P5" s="352" t="s">
        <v>4494</v>
      </c>
      <c r="Q5" s="351">
        <v>34</v>
      </c>
      <c r="R5" s="361" t="s">
        <v>4636</v>
      </c>
      <c r="S5" s="354" t="s">
        <v>4567</v>
      </c>
      <c r="T5" s="354" t="s">
        <v>4634</v>
      </c>
      <c r="U5" s="354">
        <v>33</v>
      </c>
      <c r="V5" s="354"/>
      <c r="W5" s="353"/>
      <c r="X5" s="355" t="s">
        <v>4555</v>
      </c>
      <c r="Y5" s="350"/>
      <c r="Z5" s="350">
        <v>28</v>
      </c>
      <c r="AA5" s="349"/>
    </row>
    <row r="6" spans="4:27" ht="16.5" thickBot="1">
      <c r="E6" t="s">
        <v>4637</v>
      </c>
      <c r="F6" t="s">
        <v>4442</v>
      </c>
      <c r="G6" s="2">
        <v>0</v>
      </c>
      <c r="H6" s="362">
        <f>+G6/$D$9</f>
        <v>0</v>
      </c>
      <c r="I6" s="2">
        <f>+V17</f>
        <v>609</v>
      </c>
      <c r="J6" s="359">
        <f>+I6/$D$9</f>
        <v>0.39013452914798208</v>
      </c>
      <c r="K6" s="2">
        <f>+AA15</f>
        <v>230</v>
      </c>
      <c r="L6" s="358">
        <f>+K6/$D$9</f>
        <v>0.14734144778987829</v>
      </c>
      <c r="M6" s="2">
        <f>+G6+I6+K6</f>
        <v>839</v>
      </c>
      <c r="N6" s="2">
        <f>+M10-M6</f>
        <v>-272</v>
      </c>
      <c r="P6" s="348" t="s">
        <v>3960</v>
      </c>
      <c r="Q6" s="347">
        <v>96</v>
      </c>
      <c r="R6" s="361" t="s">
        <v>4636</v>
      </c>
      <c r="S6" s="336" t="s">
        <v>4638</v>
      </c>
      <c r="T6" s="336" t="s">
        <v>4634</v>
      </c>
      <c r="U6" s="336">
        <v>17</v>
      </c>
      <c r="V6" s="336"/>
      <c r="W6" s="344"/>
      <c r="X6" s="343" t="s">
        <v>3976</v>
      </c>
      <c r="Y6" s="342" t="s">
        <v>4634</v>
      </c>
      <c r="Z6" s="342">
        <v>21</v>
      </c>
      <c r="AA6" s="341"/>
    </row>
    <row r="7" spans="4:27">
      <c r="E7" t="s">
        <v>4455</v>
      </c>
      <c r="F7" t="s">
        <v>4639</v>
      </c>
      <c r="G7" s="2">
        <f>+R26</f>
        <v>240</v>
      </c>
      <c r="H7" s="360">
        <f>+G7/$D$9</f>
        <v>0.15374759769378604</v>
      </c>
      <c r="I7" s="2">
        <f>+V22</f>
        <v>165</v>
      </c>
      <c r="J7" s="359">
        <f>+I7/$D$9</f>
        <v>0.1057014734144779</v>
      </c>
      <c r="K7" s="2">
        <f>+AA21</f>
        <v>49</v>
      </c>
      <c r="L7" s="358">
        <f>+K7/$D$9</f>
        <v>3.1390134529147982E-2</v>
      </c>
      <c r="M7" s="2">
        <f>+G7+I7+K7</f>
        <v>454</v>
      </c>
      <c r="N7" s="316">
        <f>+M10-M7</f>
        <v>113</v>
      </c>
      <c r="P7" s="348" t="s">
        <v>4580</v>
      </c>
      <c r="Q7" s="347">
        <v>43</v>
      </c>
      <c r="R7" s="361" t="s">
        <v>4636</v>
      </c>
      <c r="S7" s="336" t="s">
        <v>4466</v>
      </c>
      <c r="T7" s="336" t="s">
        <v>4634</v>
      </c>
      <c r="U7" s="336">
        <v>25</v>
      </c>
      <c r="V7" s="336"/>
      <c r="W7" s="344"/>
      <c r="X7" s="343" t="s">
        <v>4552</v>
      </c>
      <c r="Y7" s="342" t="s">
        <v>4634</v>
      </c>
      <c r="Z7" s="342">
        <v>33</v>
      </c>
      <c r="AA7" s="341"/>
    </row>
    <row r="8" spans="4:27">
      <c r="H8" s="360"/>
      <c r="J8" s="359"/>
      <c r="L8" s="358"/>
      <c r="P8" s="348" t="s">
        <v>4477</v>
      </c>
      <c r="Q8" s="347">
        <v>10</v>
      </c>
      <c r="R8" s="346" t="s">
        <v>4640</v>
      </c>
      <c r="S8" s="336" t="s">
        <v>4523</v>
      </c>
      <c r="T8" s="336" t="s">
        <v>4634</v>
      </c>
      <c r="U8" s="336">
        <v>36</v>
      </c>
      <c r="V8" s="336"/>
      <c r="W8" s="344"/>
      <c r="X8" s="343" t="s">
        <v>4491</v>
      </c>
      <c r="Y8" s="342" t="s">
        <v>4634</v>
      </c>
      <c r="Z8" s="342">
        <v>19</v>
      </c>
      <c r="AA8" s="341"/>
    </row>
    <row r="9" spans="4:27">
      <c r="D9" s="6">
        <v>1561</v>
      </c>
      <c r="E9" s="6"/>
      <c r="F9" s="6"/>
      <c r="G9" s="41">
        <f>SUM(G5:G7)</f>
        <v>240</v>
      </c>
      <c r="H9" s="357">
        <f>+G9/$D$9</f>
        <v>0.15374759769378604</v>
      </c>
      <c r="I9" s="41">
        <f>SUM(I5:I7)</f>
        <v>1060</v>
      </c>
      <c r="J9" s="357">
        <f>+I9/$D$9</f>
        <v>0.6790518898142216</v>
      </c>
      <c r="K9" s="41">
        <f>SUM(K5:K7)</f>
        <v>401</v>
      </c>
      <c r="L9" s="357">
        <f>+K9/$D$9</f>
        <v>0.25688661114670081</v>
      </c>
      <c r="M9" s="41">
        <f>+G9+I9+K9</f>
        <v>1701</v>
      </c>
      <c r="P9" s="348" t="s">
        <v>4577</v>
      </c>
      <c r="Q9" s="347">
        <v>73</v>
      </c>
      <c r="R9" s="346" t="s">
        <v>4640</v>
      </c>
      <c r="S9" s="336" t="s">
        <v>4062</v>
      </c>
      <c r="T9" s="336" t="s">
        <v>4634</v>
      </c>
      <c r="U9" s="336">
        <v>73</v>
      </c>
      <c r="V9" s="336">
        <f>SUM(U4:U11)</f>
        <v>286</v>
      </c>
      <c r="W9" s="344"/>
      <c r="X9" s="343" t="s">
        <v>4541</v>
      </c>
      <c r="Y9" s="342" t="s">
        <v>4634</v>
      </c>
      <c r="Z9" s="342">
        <v>21</v>
      </c>
      <c r="AA9" s="341"/>
    </row>
    <row r="10" spans="4:27">
      <c r="D10" s="74">
        <v>520</v>
      </c>
      <c r="E10" s="6">
        <v>3</v>
      </c>
      <c r="G10" s="316">
        <f>+G9/3</f>
        <v>80</v>
      </c>
      <c r="H10" s="316"/>
      <c r="I10" s="316">
        <f>+I9/3</f>
        <v>353.33333333333331</v>
      </c>
      <c r="J10" s="316"/>
      <c r="K10" s="316">
        <f>+K9/3</f>
        <v>133.66666666666666</v>
      </c>
      <c r="L10" s="316"/>
      <c r="M10" s="316">
        <f>+M9/3</f>
        <v>567</v>
      </c>
      <c r="P10" s="348" t="s">
        <v>4564</v>
      </c>
      <c r="Q10" s="347">
        <v>53</v>
      </c>
      <c r="R10" s="346" t="s">
        <v>4640</v>
      </c>
      <c r="S10" s="336" t="s">
        <v>4538</v>
      </c>
      <c r="T10" s="336" t="s">
        <v>4634</v>
      </c>
      <c r="U10" s="336">
        <v>47</v>
      </c>
      <c r="V10" s="336"/>
      <c r="W10" s="344"/>
      <c r="X10" s="343"/>
      <c r="Y10" s="342"/>
      <c r="Z10" s="342">
        <v>0</v>
      </c>
      <c r="AA10" s="341">
        <f>SUM(Z5:Z10)</f>
        <v>122</v>
      </c>
    </row>
    <row r="11" spans="4:27" ht="16.5" thickBot="1">
      <c r="D11" s="74"/>
      <c r="E11" s="6"/>
      <c r="G11" s="316"/>
      <c r="H11" s="316"/>
      <c r="I11" s="316"/>
      <c r="J11" s="316"/>
      <c r="K11" s="316"/>
      <c r="L11" s="316"/>
      <c r="M11" s="316"/>
      <c r="P11" s="356" t="s">
        <v>4546</v>
      </c>
      <c r="Q11" s="347">
        <v>31</v>
      </c>
      <c r="R11" s="346" t="s">
        <v>4640</v>
      </c>
      <c r="S11" s="336" t="s">
        <v>4505</v>
      </c>
      <c r="T11" s="336" t="s">
        <v>4634</v>
      </c>
      <c r="U11" s="336">
        <v>55</v>
      </c>
      <c r="V11" s="336"/>
      <c r="W11" s="344"/>
      <c r="X11" s="343"/>
      <c r="Y11" s="342"/>
      <c r="Z11" s="342"/>
      <c r="AA11" s="341"/>
    </row>
    <row r="12" spans="4:27" ht="16.5" thickBot="1">
      <c r="D12">
        <v>390</v>
      </c>
      <c r="E12" s="6">
        <v>4</v>
      </c>
      <c r="G12" s="316">
        <f>+G9/4</f>
        <v>60</v>
      </c>
      <c r="H12" s="316"/>
      <c r="I12" s="316">
        <f>+I9/4</f>
        <v>265</v>
      </c>
      <c r="J12" s="316"/>
      <c r="K12" s="316">
        <f>+K9/4</f>
        <v>100.25</v>
      </c>
      <c r="L12" s="316"/>
      <c r="M12" s="316">
        <f>+M9/4</f>
        <v>425.25</v>
      </c>
      <c r="P12" s="356"/>
      <c r="Q12" s="339"/>
      <c r="R12" s="346" t="s">
        <v>4640</v>
      </c>
      <c r="S12" s="354"/>
      <c r="T12" s="354"/>
      <c r="U12" s="354"/>
      <c r="V12" s="354"/>
      <c r="W12" s="353"/>
      <c r="X12" s="355"/>
      <c r="Y12" s="350"/>
      <c r="Z12" s="350"/>
      <c r="AA12" s="349"/>
    </row>
    <row r="13" spans="4:27">
      <c r="M13" s="2">
        <f>+M9/5</f>
        <v>340.2</v>
      </c>
      <c r="P13" s="348"/>
      <c r="Q13" s="347"/>
      <c r="R13" s="347">
        <f>SUM(Q4:Q12)</f>
        <v>340</v>
      </c>
      <c r="S13" s="935" t="s">
        <v>4511</v>
      </c>
      <c r="T13" s="354" t="s">
        <v>1463</v>
      </c>
      <c r="U13" s="354">
        <v>57</v>
      </c>
      <c r="V13" s="353"/>
      <c r="W13" s="344"/>
      <c r="X13" s="343" t="s">
        <v>4574</v>
      </c>
      <c r="Y13" s="342" t="s">
        <v>4442</v>
      </c>
      <c r="Z13" s="342">
        <v>50</v>
      </c>
      <c r="AA13" s="341"/>
    </row>
    <row r="14" spans="4:27">
      <c r="P14" s="348"/>
      <c r="Q14" s="347"/>
      <c r="R14" s="347"/>
      <c r="S14" s="936" t="s">
        <v>4500</v>
      </c>
      <c r="T14" s="336" t="s">
        <v>1463</v>
      </c>
      <c r="U14" s="336">
        <v>51</v>
      </c>
      <c r="V14" s="344"/>
      <c r="W14" s="344"/>
      <c r="X14" s="343" t="s">
        <v>3938</v>
      </c>
      <c r="Y14" s="342" t="s">
        <v>4442</v>
      </c>
      <c r="Z14" s="342">
        <v>57</v>
      </c>
      <c r="AA14" s="341"/>
    </row>
    <row r="15" spans="4:27">
      <c r="D15" s="321" t="s">
        <v>4641</v>
      </c>
      <c r="E15" s="321" t="s">
        <v>4642</v>
      </c>
      <c r="F15" s="321"/>
      <c r="G15" s="322"/>
      <c r="H15" s="322"/>
      <c r="I15" s="322"/>
      <c r="J15" s="322"/>
      <c r="K15" s="322"/>
      <c r="L15" s="322"/>
      <c r="M15" s="322"/>
      <c r="N15" s="322"/>
      <c r="O15" s="321"/>
      <c r="P15" s="348"/>
      <c r="Q15" s="347"/>
      <c r="R15" s="347"/>
      <c r="S15" s="936" t="s">
        <v>4033</v>
      </c>
      <c r="T15" s="336" t="s">
        <v>1463</v>
      </c>
      <c r="U15" s="336">
        <v>50</v>
      </c>
      <c r="V15" s="344"/>
      <c r="W15" s="344"/>
      <c r="X15" s="343" t="s">
        <v>4531</v>
      </c>
      <c r="Y15" s="342" t="s">
        <v>4442</v>
      </c>
      <c r="Z15" s="342">
        <v>41</v>
      </c>
      <c r="AA15" s="341">
        <f>SUM(Z13:Z17)</f>
        <v>230</v>
      </c>
    </row>
    <row r="16" spans="4:27">
      <c r="D16" s="330">
        <v>45896</v>
      </c>
      <c r="E16" s="321"/>
      <c r="F16" s="321"/>
      <c r="G16" s="325" t="s">
        <v>4629</v>
      </c>
      <c r="H16" s="325"/>
      <c r="I16" s="325" t="s">
        <v>4630</v>
      </c>
      <c r="J16" s="325"/>
      <c r="K16" s="325" t="s">
        <v>4631</v>
      </c>
      <c r="L16" s="325"/>
      <c r="M16" s="325" t="s">
        <v>4334</v>
      </c>
      <c r="N16" s="322"/>
      <c r="O16" s="321"/>
      <c r="P16" s="348"/>
      <c r="Q16" s="347"/>
      <c r="R16" s="347"/>
      <c r="S16" s="936" t="s">
        <v>3945</v>
      </c>
      <c r="T16" s="336" t="s">
        <v>4643</v>
      </c>
      <c r="U16" s="336">
        <v>67</v>
      </c>
      <c r="V16" s="344"/>
      <c r="W16" s="344"/>
      <c r="X16" s="343" t="s">
        <v>4471</v>
      </c>
      <c r="Y16" s="342" t="s">
        <v>4442</v>
      </c>
      <c r="Z16" s="342">
        <v>47</v>
      </c>
      <c r="AA16" s="341"/>
    </row>
    <row r="17" spans="4:28">
      <c r="D17" s="321"/>
      <c r="E17" s="327" t="s">
        <v>2982</v>
      </c>
      <c r="F17" s="321" t="s">
        <v>4634</v>
      </c>
      <c r="G17" s="322">
        <f>SUM(Q5:Q7)</f>
        <v>173</v>
      </c>
      <c r="H17" s="329">
        <f>+G17/$D$9</f>
        <v>0.11082639333760411</v>
      </c>
      <c r="I17" s="322">
        <f>SUM(U5:U11)</f>
        <v>286</v>
      </c>
      <c r="J17" s="329">
        <f>+I17/$D$9</f>
        <v>0.18321588725176169</v>
      </c>
      <c r="K17" s="322">
        <f>SUM(Z5:Z6)</f>
        <v>49</v>
      </c>
      <c r="L17" s="329">
        <f>+K17/$D$9</f>
        <v>3.1390134529147982E-2</v>
      </c>
      <c r="M17" s="322">
        <f>+G17+I17+K17</f>
        <v>508</v>
      </c>
      <c r="N17" s="323">
        <f>+M23-M17</f>
        <v>2.25</v>
      </c>
      <c r="O17" s="321"/>
      <c r="P17" s="348"/>
      <c r="Q17" s="347"/>
      <c r="R17" s="347"/>
      <c r="S17" s="936" t="s">
        <v>4595</v>
      </c>
      <c r="T17" s="336" t="s">
        <v>4643</v>
      </c>
      <c r="U17" s="336">
        <v>96</v>
      </c>
      <c r="V17" s="344">
        <f>SUM(U13:U21)</f>
        <v>609</v>
      </c>
      <c r="W17" s="344"/>
      <c r="X17" s="343" t="s">
        <v>4587</v>
      </c>
      <c r="Y17" s="342" t="s">
        <v>4442</v>
      </c>
      <c r="Z17" s="342">
        <v>35</v>
      </c>
      <c r="AA17" s="341"/>
    </row>
    <row r="18" spans="4:28" ht="16.5" thickBot="1">
      <c r="D18" s="321"/>
      <c r="E18" s="327" t="s">
        <v>3006</v>
      </c>
      <c r="F18" s="321" t="s">
        <v>4644</v>
      </c>
      <c r="G18" s="322">
        <f>SUM(Q8:Q12)</f>
        <v>167</v>
      </c>
      <c r="H18" s="329">
        <f>+G18/$D$9</f>
        <v>0.10698270339525945</v>
      </c>
      <c r="I18" s="322">
        <f>SUM(U19:U21)</f>
        <v>179</v>
      </c>
      <c r="J18" s="329">
        <f>+I18/$D$9</f>
        <v>0.11467008327994875</v>
      </c>
      <c r="K18" s="322">
        <f>SUM(Z7:Z9)</f>
        <v>73</v>
      </c>
      <c r="L18" s="328">
        <f>+K18/$D$9</f>
        <v>4.6764894298526587E-2</v>
      </c>
      <c r="M18" s="322">
        <f>+G18+I18+K18</f>
        <v>419</v>
      </c>
      <c r="N18" s="323">
        <f>+M23-M18</f>
        <v>91.25</v>
      </c>
      <c r="O18" s="321"/>
      <c r="P18" s="348"/>
      <c r="Q18" s="347"/>
      <c r="R18" s="347"/>
      <c r="S18" s="936" t="s">
        <v>4592</v>
      </c>
      <c r="T18" s="336" t="s">
        <v>4643</v>
      </c>
      <c r="U18" s="336">
        <v>109</v>
      </c>
      <c r="V18" s="344"/>
      <c r="W18" s="344"/>
      <c r="X18" s="333"/>
      <c r="Y18" s="332"/>
      <c r="Z18" s="332"/>
      <c r="AA18" s="331"/>
    </row>
    <row r="19" spans="4:28">
      <c r="D19" s="321"/>
      <c r="E19" s="327" t="s">
        <v>4455</v>
      </c>
      <c r="F19" s="321" t="s">
        <v>4639</v>
      </c>
      <c r="G19" s="322">
        <f>SUM(Q20:Q25)</f>
        <v>240</v>
      </c>
      <c r="H19" s="329">
        <f>+G19/$D$9</f>
        <v>0.15374759769378604</v>
      </c>
      <c r="I19" s="322">
        <f>+V22</f>
        <v>165</v>
      </c>
      <c r="J19" s="329">
        <f>+I19/$D$9</f>
        <v>0.1057014734144779</v>
      </c>
      <c r="K19" s="322">
        <f>+AA21</f>
        <v>49</v>
      </c>
      <c r="L19" s="328">
        <f>+K19/$D$9</f>
        <v>3.1390134529147982E-2</v>
      </c>
      <c r="M19" s="322">
        <f>+G19+I19+K19</f>
        <v>454</v>
      </c>
      <c r="N19" s="323">
        <f>+M23-M19</f>
        <v>56.25</v>
      </c>
      <c r="O19" s="321"/>
      <c r="P19" s="352" t="s">
        <v>4645</v>
      </c>
      <c r="Q19" s="351"/>
      <c r="R19" s="351"/>
      <c r="S19" s="936" t="s">
        <v>4536</v>
      </c>
      <c r="T19" s="336" t="s">
        <v>4646</v>
      </c>
      <c r="U19" s="336">
        <v>81</v>
      </c>
      <c r="V19" s="344"/>
      <c r="W19" s="336"/>
      <c r="X19" s="350" t="s">
        <v>4647</v>
      </c>
      <c r="Y19" s="350" t="s">
        <v>4648</v>
      </c>
      <c r="Z19" s="350">
        <v>2</v>
      </c>
      <c r="AA19" s="349"/>
    </row>
    <row r="20" spans="4:28">
      <c r="D20" s="321"/>
      <c r="E20" s="327" t="s">
        <v>4649</v>
      </c>
      <c r="F20" s="321" t="s">
        <v>4440</v>
      </c>
      <c r="G20" s="322">
        <v>0</v>
      </c>
      <c r="H20" s="329">
        <f>+G20/$D$9</f>
        <v>0</v>
      </c>
      <c r="I20" s="322">
        <f>SUM(U13:U18)</f>
        <v>430</v>
      </c>
      <c r="J20" s="329">
        <f>+I20/$D$9</f>
        <v>0.27546444586803331</v>
      </c>
      <c r="K20" s="322">
        <f>SUM(Z13:Z17)</f>
        <v>230</v>
      </c>
      <c r="L20" s="328">
        <f>+K20/$D$9</f>
        <v>0.14734144778987829</v>
      </c>
      <c r="M20" s="322">
        <f>+G20+I20+K20</f>
        <v>660</v>
      </c>
      <c r="N20" s="323">
        <f>+M23-M20</f>
        <v>-149.75</v>
      </c>
      <c r="O20" s="321" t="s">
        <v>4648</v>
      </c>
      <c r="P20" s="348" t="s">
        <v>4480</v>
      </c>
      <c r="Q20" s="347">
        <v>20</v>
      </c>
      <c r="R20" s="347"/>
      <c r="S20" s="936" t="s">
        <v>4650</v>
      </c>
      <c r="T20" s="336" t="s">
        <v>4646</v>
      </c>
      <c r="U20" s="336">
        <v>54</v>
      </c>
      <c r="V20" s="344"/>
      <c r="W20" s="336"/>
      <c r="X20" s="342" t="s">
        <v>4528</v>
      </c>
      <c r="Y20" s="342" t="s">
        <v>4648</v>
      </c>
      <c r="Z20" s="342">
        <v>6</v>
      </c>
      <c r="AA20" s="341"/>
    </row>
    <row r="21" spans="4:28" ht="16.5" thickBot="1">
      <c r="D21" s="327"/>
      <c r="E21" s="327"/>
      <c r="F21" s="327"/>
      <c r="G21" s="325">
        <f>SUM(G17:G20)</f>
        <v>580</v>
      </c>
      <c r="H21" s="326">
        <f>+G21/$D$9</f>
        <v>0.37155669442664957</v>
      </c>
      <c r="I21" s="325">
        <f>SUM(I17:I20)</f>
        <v>1060</v>
      </c>
      <c r="J21" s="326">
        <f>+I21/$D$9</f>
        <v>0.6790518898142216</v>
      </c>
      <c r="K21" s="325">
        <f>SUM(K17:K20)</f>
        <v>401</v>
      </c>
      <c r="L21" s="326">
        <f>+K21/$D$9</f>
        <v>0.25688661114670081</v>
      </c>
      <c r="M21" s="325">
        <f>SUM(M17:M20)</f>
        <v>2041</v>
      </c>
      <c r="N21" s="322"/>
      <c r="O21" s="321" t="s">
        <v>4648</v>
      </c>
      <c r="P21" s="348" t="s">
        <v>4484</v>
      </c>
      <c r="Q21" s="347">
        <v>25</v>
      </c>
      <c r="R21" s="347"/>
      <c r="S21" s="937" t="s">
        <v>4526</v>
      </c>
      <c r="T21" s="335" t="s">
        <v>4646</v>
      </c>
      <c r="U21" s="335">
        <v>44</v>
      </c>
      <c r="V21" s="334"/>
      <c r="W21" s="336"/>
      <c r="X21" s="342" t="s">
        <v>4488</v>
      </c>
      <c r="Y21" s="342" t="s">
        <v>4648</v>
      </c>
      <c r="Z21" s="342">
        <v>14</v>
      </c>
      <c r="AA21" s="341">
        <f>SUM(Z19:Z22)</f>
        <v>49</v>
      </c>
    </row>
    <row r="22" spans="4:28">
      <c r="D22" s="324"/>
      <c r="E22" s="321">
        <v>3</v>
      </c>
      <c r="F22" s="321"/>
      <c r="G22" s="323">
        <f>+G21/3</f>
        <v>193.33333333333334</v>
      </c>
      <c r="H22" s="323"/>
      <c r="I22" s="323">
        <f>+I21/3</f>
        <v>353.33333333333331</v>
      </c>
      <c r="J22" s="323"/>
      <c r="K22" s="323">
        <f>+K21/3</f>
        <v>133.66666666666666</v>
      </c>
      <c r="L22" s="323"/>
      <c r="M22" s="323">
        <f>+M21/3</f>
        <v>680.33333333333337</v>
      </c>
      <c r="N22" s="322"/>
      <c r="O22" s="321" t="s">
        <v>4651</v>
      </c>
      <c r="P22" s="348" t="s">
        <v>4453</v>
      </c>
      <c r="Q22" s="347">
        <v>20</v>
      </c>
      <c r="R22" s="347"/>
      <c r="S22" s="336" t="s">
        <v>4558</v>
      </c>
      <c r="T22" s="336" t="s">
        <v>4648</v>
      </c>
      <c r="U22" s="336">
        <v>22</v>
      </c>
      <c r="V22" s="336">
        <f>SUM(U22:U26)</f>
        <v>165</v>
      </c>
      <c r="W22" s="336"/>
      <c r="X22" s="342" t="s">
        <v>4474</v>
      </c>
      <c r="Y22" s="342"/>
      <c r="Z22" s="342">
        <v>27</v>
      </c>
      <c r="AA22" s="341"/>
    </row>
    <row r="23" spans="4:28" ht="16.5" thickBot="1">
      <c r="D23" s="321"/>
      <c r="E23" s="321">
        <v>4</v>
      </c>
      <c r="F23" s="321"/>
      <c r="G23" s="323">
        <f>+G21/4</f>
        <v>145</v>
      </c>
      <c r="H23" s="323"/>
      <c r="I23" s="323">
        <f>+I21/4</f>
        <v>265</v>
      </c>
      <c r="J23" s="323"/>
      <c r="K23" s="323">
        <f>+K21/4</f>
        <v>100.25</v>
      </c>
      <c r="L23" s="323"/>
      <c r="M23" s="323">
        <f>+M21/4</f>
        <v>510.25</v>
      </c>
      <c r="N23" s="322"/>
      <c r="O23" s="321"/>
      <c r="P23" s="348" t="s">
        <v>1633</v>
      </c>
      <c r="Q23" s="347">
        <v>38</v>
      </c>
      <c r="R23" s="347"/>
      <c r="S23" s="336" t="s">
        <v>4561</v>
      </c>
      <c r="T23" s="336" t="s">
        <v>4648</v>
      </c>
      <c r="U23" s="336">
        <v>49</v>
      </c>
      <c r="V23" s="336"/>
      <c r="W23" s="336"/>
      <c r="X23" s="332"/>
      <c r="Y23" s="332"/>
      <c r="Z23" s="332"/>
      <c r="AA23" s="331"/>
    </row>
    <row r="24" spans="4:28">
      <c r="D24" t="s">
        <v>4652</v>
      </c>
      <c r="P24" s="348" t="s">
        <v>4458</v>
      </c>
      <c r="Q24" s="347">
        <v>53</v>
      </c>
      <c r="R24" s="346"/>
      <c r="S24" s="336" t="s">
        <v>3947</v>
      </c>
      <c r="T24" s="336" t="s">
        <v>242</v>
      </c>
      <c r="U24" s="336">
        <v>27</v>
      </c>
      <c r="V24" s="336">
        <f>SUM(V5:V23)</f>
        <v>1060</v>
      </c>
      <c r="W24" s="344"/>
      <c r="X24" s="343"/>
      <c r="Y24" s="342"/>
      <c r="Z24" s="342">
        <f>SUM(Z5:Z23)</f>
        <v>401</v>
      </c>
      <c r="AA24" s="341"/>
    </row>
    <row r="25" spans="4:28" ht="16.5" thickBot="1">
      <c r="D25" s="320"/>
      <c r="G25" s="41"/>
      <c r="H25" s="41"/>
      <c r="I25" s="41"/>
      <c r="J25" s="41"/>
      <c r="K25" s="41"/>
      <c r="L25" s="41"/>
      <c r="M25" s="41"/>
      <c r="P25" s="340" t="s">
        <v>4583</v>
      </c>
      <c r="Q25" s="339">
        <v>84</v>
      </c>
      <c r="R25" s="338"/>
      <c r="S25" s="336" t="s">
        <v>4514</v>
      </c>
      <c r="T25" s="336" t="s">
        <v>4648</v>
      </c>
      <c r="U25" s="336">
        <v>44</v>
      </c>
      <c r="V25" s="336"/>
      <c r="W25" s="344"/>
      <c r="X25" s="343"/>
      <c r="Y25" s="342"/>
      <c r="Z25" s="342"/>
      <c r="AA25" s="341"/>
    </row>
    <row r="26" spans="4:28">
      <c r="D26" s="321" t="s">
        <v>4641</v>
      </c>
      <c r="E26" s="321"/>
      <c r="F26" s="321"/>
      <c r="G26" s="322"/>
      <c r="H26" s="322"/>
      <c r="I26" s="322"/>
      <c r="J26" s="322"/>
      <c r="K26" s="322"/>
      <c r="L26" s="322"/>
      <c r="M26" s="322"/>
      <c r="N26" s="322"/>
      <c r="O26" s="321"/>
      <c r="P26" s="348"/>
      <c r="Q26" s="347"/>
      <c r="R26" s="346">
        <f>SUM(Q20:Q25)</f>
        <v>240</v>
      </c>
      <c r="S26" s="345" t="s">
        <v>4462</v>
      </c>
      <c r="T26" s="336" t="s">
        <v>4648</v>
      </c>
      <c r="U26" s="336">
        <v>23</v>
      </c>
      <c r="V26" s="336"/>
      <c r="W26" s="344"/>
      <c r="X26" s="343"/>
      <c r="Y26" s="342"/>
      <c r="Z26" s="342"/>
      <c r="AA26" s="341"/>
    </row>
    <row r="27" spans="4:28" ht="16.5" thickBot="1">
      <c r="D27" s="330">
        <v>46049</v>
      </c>
      <c r="E27" s="321"/>
      <c r="F27" s="321"/>
      <c r="G27" s="325" t="s">
        <v>4629</v>
      </c>
      <c r="H27" s="325"/>
      <c r="I27" s="325" t="s">
        <v>4630</v>
      </c>
      <c r="J27" s="325"/>
      <c r="K27" s="325" t="s">
        <v>4631</v>
      </c>
      <c r="L27" s="325"/>
      <c r="M27" s="325" t="s">
        <v>4334</v>
      </c>
      <c r="N27" s="322"/>
      <c r="O27" s="321"/>
      <c r="P27" s="340"/>
      <c r="Q27" s="339">
        <f>SUM(Q5:Q25)</f>
        <v>580</v>
      </c>
      <c r="R27" s="338"/>
      <c r="S27" s="337"/>
      <c r="T27" s="335"/>
      <c r="U27" s="336">
        <f>SUM(U5:U26)</f>
        <v>1060</v>
      </c>
      <c r="V27" s="335"/>
      <c r="W27" s="334"/>
      <c r="X27" s="333"/>
      <c r="Y27" s="332"/>
      <c r="Z27" s="332"/>
      <c r="AA27" s="331"/>
    </row>
    <row r="28" spans="4:28">
      <c r="D28" s="321">
        <f>+M17-M28</f>
        <v>100</v>
      </c>
      <c r="E28" s="327" t="s">
        <v>2982</v>
      </c>
      <c r="F28" s="327" t="s">
        <v>4634</v>
      </c>
      <c r="G28" s="322">
        <v>0</v>
      </c>
      <c r="H28" s="329">
        <f t="shared" ref="H28:H33" si="0">+G28/$D$9</f>
        <v>0</v>
      </c>
      <c r="I28" s="322">
        <f>V9</f>
        <v>286</v>
      </c>
      <c r="J28" s="329">
        <f>+I28/$D$9</f>
        <v>0.18321588725176169</v>
      </c>
      <c r="K28" s="322">
        <f>AA10</f>
        <v>122</v>
      </c>
      <c r="L28" s="329">
        <f t="shared" ref="L28:L33" si="1">+K28/$D$9</f>
        <v>7.8155028827674569E-2</v>
      </c>
      <c r="M28" s="322">
        <f>+G28+I28+K28</f>
        <v>408</v>
      </c>
      <c r="N28" s="323">
        <f>+M34-M28</f>
        <v>102.25</v>
      </c>
      <c r="O28" s="321"/>
    </row>
    <row r="29" spans="4:28">
      <c r="D29" s="321">
        <f>+M18-M29</f>
        <v>79</v>
      </c>
      <c r="E29" s="327" t="s">
        <v>4502</v>
      </c>
      <c r="F29" s="327" t="s">
        <v>4653</v>
      </c>
      <c r="G29" s="322">
        <f>R13</f>
        <v>340</v>
      </c>
      <c r="H29" s="329">
        <f t="shared" si="0"/>
        <v>0.21780909673286356</v>
      </c>
      <c r="I29" s="322"/>
      <c r="J29" s="329">
        <f>+I29/$D$9</f>
        <v>0</v>
      </c>
      <c r="K29" s="322"/>
      <c r="L29" s="328">
        <f t="shared" si="1"/>
        <v>0</v>
      </c>
      <c r="M29" s="322">
        <f>+G29+I29+K29</f>
        <v>340</v>
      </c>
      <c r="N29" s="323">
        <f>+M35-M29</f>
        <v>68.199999999999989</v>
      </c>
      <c r="O29" s="321"/>
    </row>
    <row r="30" spans="4:28">
      <c r="D30" s="321">
        <f>+M19-M30</f>
        <v>24</v>
      </c>
      <c r="E30" s="327" t="s">
        <v>3006</v>
      </c>
      <c r="F30" s="327" t="s">
        <v>4644</v>
      </c>
      <c r="G30" s="322"/>
      <c r="H30" s="329">
        <f t="shared" si="0"/>
        <v>0</v>
      </c>
      <c r="I30" s="322">
        <f>SUM(U13:U18)</f>
        <v>430</v>
      </c>
      <c r="J30" s="329">
        <f>+I30/$D$9</f>
        <v>0.27546444586803331</v>
      </c>
      <c r="K30" s="322"/>
      <c r="L30" s="328">
        <f t="shared" si="1"/>
        <v>0</v>
      </c>
      <c r="M30" s="322">
        <f>+G30+I30+K30</f>
        <v>430</v>
      </c>
      <c r="N30" s="323">
        <f>+M35-M30</f>
        <v>-21.800000000000011</v>
      </c>
      <c r="O30" s="321"/>
      <c r="S30" s="830"/>
      <c r="AB30" t="s">
        <v>4654</v>
      </c>
    </row>
    <row r="31" spans="4:28">
      <c r="D31" s="321">
        <f>+M20-M31</f>
        <v>251</v>
      </c>
      <c r="E31" s="327" t="s">
        <v>4655</v>
      </c>
      <c r="F31" s="327" t="s">
        <v>4440</v>
      </c>
      <c r="G31" s="322">
        <v>0</v>
      </c>
      <c r="H31" s="329">
        <f t="shared" si="0"/>
        <v>0</v>
      </c>
      <c r="I31" s="322">
        <f>SUM(U19:U21)</f>
        <v>179</v>
      </c>
      <c r="J31" s="329"/>
      <c r="K31" s="322">
        <f>AA15</f>
        <v>230</v>
      </c>
      <c r="L31" s="328">
        <f t="shared" si="1"/>
        <v>0.14734144778987829</v>
      </c>
      <c r="M31" s="322">
        <f>+G31+I31+K31</f>
        <v>409</v>
      </c>
      <c r="N31" s="323">
        <f>+M35-M31</f>
        <v>-0.80000000000001137</v>
      </c>
      <c r="O31" s="321" t="s">
        <v>4648</v>
      </c>
      <c r="S31" s="830"/>
      <c r="AB31" s="2">
        <f>Q27+U27+Z24</f>
        <v>2041</v>
      </c>
    </row>
    <row r="32" spans="4:28">
      <c r="D32" s="321">
        <f>-M32</f>
        <v>-454</v>
      </c>
      <c r="E32" s="327" t="s">
        <v>4356</v>
      </c>
      <c r="F32" s="327" t="s">
        <v>4656</v>
      </c>
      <c r="G32" s="322">
        <f>R26</f>
        <v>240</v>
      </c>
      <c r="H32" s="329">
        <f t="shared" si="0"/>
        <v>0.15374759769378604</v>
      </c>
      <c r="I32" s="322">
        <f>V22</f>
        <v>165</v>
      </c>
      <c r="J32" s="329">
        <f>+I32/$D$9</f>
        <v>0.1057014734144779</v>
      </c>
      <c r="K32" s="322">
        <f>AA21</f>
        <v>49</v>
      </c>
      <c r="L32" s="328">
        <f t="shared" si="1"/>
        <v>3.1390134529147982E-2</v>
      </c>
      <c r="M32" s="322">
        <f>+G32+I32+K32</f>
        <v>454</v>
      </c>
      <c r="N32" s="323">
        <f>+M36-M32</f>
        <v>-454</v>
      </c>
      <c r="O32" s="321" t="s">
        <v>4648</v>
      </c>
      <c r="S32" s="830"/>
    </row>
    <row r="33" spans="4:29">
      <c r="D33" s="327"/>
      <c r="E33" s="327"/>
      <c r="F33" s="327"/>
      <c r="G33" s="325">
        <f>SUM(G28:G32)</f>
        <v>580</v>
      </c>
      <c r="H33" s="326">
        <f t="shared" si="0"/>
        <v>0.37155669442664957</v>
      </c>
      <c r="I33" s="325">
        <f>SUM(I28:I32)</f>
        <v>1060</v>
      </c>
      <c r="J33" s="326">
        <f>+I33/$D$9</f>
        <v>0.6790518898142216</v>
      </c>
      <c r="K33" s="325">
        <f>SUM(K28:K32)</f>
        <v>401</v>
      </c>
      <c r="L33" s="326">
        <f t="shared" si="1"/>
        <v>0.25688661114670081</v>
      </c>
      <c r="M33" s="325">
        <f>SUM(M28:M32)</f>
        <v>2041</v>
      </c>
      <c r="N33" s="322"/>
      <c r="O33" s="321" t="s">
        <v>4648</v>
      </c>
      <c r="S33" s="830"/>
    </row>
    <row r="34" spans="4:29">
      <c r="D34" s="324"/>
      <c r="E34" s="321">
        <v>4</v>
      </c>
      <c r="F34" s="321"/>
      <c r="G34" s="323">
        <f>+G33/4</f>
        <v>145</v>
      </c>
      <c r="H34" s="323"/>
      <c r="I34" s="323">
        <f>+I33/4</f>
        <v>265</v>
      </c>
      <c r="J34" s="323"/>
      <c r="K34" s="323">
        <f>+K33/4</f>
        <v>100.25</v>
      </c>
      <c r="L34" s="323"/>
      <c r="M34" s="323">
        <f>+M33/4</f>
        <v>510.25</v>
      </c>
      <c r="N34" s="322"/>
      <c r="O34" s="321" t="s">
        <v>4651</v>
      </c>
      <c r="S34" s="830"/>
    </row>
    <row r="35" spans="4:29">
      <c r="D35" s="321"/>
      <c r="E35" s="321">
        <v>5</v>
      </c>
      <c r="F35" s="321"/>
      <c r="G35" s="323">
        <f>+G33/5</f>
        <v>116</v>
      </c>
      <c r="H35" s="323"/>
      <c r="I35" s="323">
        <f>+I33/5</f>
        <v>212</v>
      </c>
      <c r="J35" s="323"/>
      <c r="K35" s="323">
        <f>+K33/5</f>
        <v>80.2</v>
      </c>
      <c r="L35" s="323"/>
      <c r="M35" s="323">
        <f>+M33/5</f>
        <v>408.2</v>
      </c>
      <c r="N35" s="322"/>
      <c r="O35" s="321"/>
      <c r="S35" s="830"/>
    </row>
    <row r="36" spans="4:29">
      <c r="H36" s="319"/>
      <c r="J36" s="319"/>
      <c r="L36" s="318"/>
      <c r="N36" s="316"/>
      <c r="S36" s="830"/>
    </row>
    <row r="37" spans="4:29">
      <c r="H37" s="319"/>
      <c r="J37" s="319"/>
      <c r="L37" s="318"/>
      <c r="N37" s="316"/>
      <c r="S37" s="830"/>
      <c r="AB37" t="s">
        <v>4427</v>
      </c>
    </row>
    <row r="38" spans="4:29">
      <c r="D38" s="321" t="s">
        <v>4652</v>
      </c>
      <c r="E38" s="321"/>
      <c r="F38" s="321"/>
      <c r="G38" s="322"/>
      <c r="H38" s="322"/>
      <c r="I38" s="322"/>
      <c r="J38" s="322"/>
      <c r="K38" s="322"/>
      <c r="L38" s="322"/>
      <c r="M38" s="322"/>
      <c r="N38" s="322"/>
      <c r="O38" s="321"/>
      <c r="S38" s="830"/>
    </row>
    <row r="39" spans="4:29" ht="21">
      <c r="D39" s="365">
        <v>46049</v>
      </c>
      <c r="E39" s="321"/>
      <c r="F39" s="321"/>
      <c r="G39" s="325" t="s">
        <v>4629</v>
      </c>
      <c r="H39" s="325"/>
      <c r="I39" s="325" t="s">
        <v>4630</v>
      </c>
      <c r="J39" s="325"/>
      <c r="K39" s="325" t="s">
        <v>4631</v>
      </c>
      <c r="L39" s="325"/>
      <c r="M39" s="325" t="s">
        <v>4334</v>
      </c>
      <c r="N39" s="322"/>
      <c r="O39" s="321"/>
    </row>
    <row r="40" spans="4:29">
      <c r="D40" s="321">
        <f>+M29-M40</f>
        <v>54</v>
      </c>
      <c r="E40" s="327" t="s">
        <v>4657</v>
      </c>
      <c r="F40" s="327" t="s">
        <v>4634</v>
      </c>
      <c r="G40" s="322"/>
      <c r="H40" s="329">
        <f t="shared" ref="H40:H45" si="2">+G40/$D$9</f>
        <v>0</v>
      </c>
      <c r="I40" s="322">
        <f>+I28</f>
        <v>286</v>
      </c>
      <c r="J40" s="329">
        <f>+I40/$D$9</f>
        <v>0.18321588725176169</v>
      </c>
      <c r="K40" s="322">
        <f>AA22</f>
        <v>0</v>
      </c>
      <c r="L40" s="329">
        <f t="shared" ref="L40:L45" si="3">+K40/$D$9</f>
        <v>0</v>
      </c>
      <c r="M40" s="322">
        <f>+G40+I40+K40</f>
        <v>286</v>
      </c>
      <c r="N40" s="323">
        <f>+M46-M40</f>
        <v>224.25</v>
      </c>
      <c r="O40" s="321"/>
      <c r="P40" t="s">
        <v>1638</v>
      </c>
      <c r="Q40" t="s">
        <v>28</v>
      </c>
    </row>
    <row r="41" spans="4:29">
      <c r="D41" s="321">
        <f>+M30-M41</f>
        <v>90</v>
      </c>
      <c r="E41" s="327" t="s">
        <v>4658</v>
      </c>
      <c r="F41" s="327" t="s">
        <v>4653</v>
      </c>
      <c r="G41" s="322">
        <f>+G29</f>
        <v>340</v>
      </c>
      <c r="H41" s="329">
        <f t="shared" si="2"/>
        <v>0.21780909673286356</v>
      </c>
      <c r="I41" s="322"/>
      <c r="J41" s="329">
        <f>+I41/$D$9</f>
        <v>0</v>
      </c>
      <c r="K41" s="322"/>
      <c r="L41" s="328">
        <f t="shared" si="3"/>
        <v>0</v>
      </c>
      <c r="M41" s="322">
        <f>+G41+I41+K41</f>
        <v>340</v>
      </c>
      <c r="N41" s="323">
        <f>+M47-M41</f>
        <v>68.199999999999989</v>
      </c>
      <c r="O41" s="321"/>
      <c r="P41" t="s">
        <v>3615</v>
      </c>
      <c r="Q41" t="s">
        <v>47</v>
      </c>
    </row>
    <row r="42" spans="4:29">
      <c r="D42" s="321">
        <f>+M31-M42</f>
        <v>-21</v>
      </c>
      <c r="E42" s="327" t="s">
        <v>4358</v>
      </c>
      <c r="F42" s="327" t="s">
        <v>4659</v>
      </c>
      <c r="G42" s="322"/>
      <c r="H42" s="329">
        <f t="shared" si="2"/>
        <v>0</v>
      </c>
      <c r="I42" s="322">
        <f>+I30</f>
        <v>430</v>
      </c>
      <c r="J42" s="329">
        <f>+I42/$D$9</f>
        <v>0.27546444586803331</v>
      </c>
      <c r="K42" s="322"/>
      <c r="L42" s="328">
        <f t="shared" si="3"/>
        <v>0</v>
      </c>
      <c r="M42" s="322">
        <f>+G42+I42+K42</f>
        <v>430</v>
      </c>
      <c r="N42" s="323">
        <f>+M47-M42</f>
        <v>-21.800000000000011</v>
      </c>
      <c r="O42" s="321"/>
      <c r="P42" t="s">
        <v>1077</v>
      </c>
      <c r="Q42" t="s">
        <v>1138</v>
      </c>
    </row>
    <row r="43" spans="4:29">
      <c r="D43" s="321">
        <f>+M32-M43</f>
        <v>-130</v>
      </c>
      <c r="E43" s="327" t="s">
        <v>4660</v>
      </c>
      <c r="F43" s="327" t="s">
        <v>4440</v>
      </c>
      <c r="G43" s="322">
        <f>+G31+G32</f>
        <v>240</v>
      </c>
      <c r="H43" s="329">
        <f t="shared" si="2"/>
        <v>0.15374759769378604</v>
      </c>
      <c r="I43" s="322">
        <f>+I31+I32</f>
        <v>344</v>
      </c>
      <c r="J43" s="329"/>
      <c r="K43" s="322">
        <f>AA27</f>
        <v>0</v>
      </c>
      <c r="L43" s="328">
        <f t="shared" si="3"/>
        <v>0</v>
      </c>
      <c r="M43" s="322">
        <f>+G43+I43+K43</f>
        <v>584</v>
      </c>
      <c r="N43" s="323">
        <f>+M47-M43</f>
        <v>-175.8</v>
      </c>
      <c r="O43" s="321" t="s">
        <v>4648</v>
      </c>
      <c r="P43" t="s">
        <v>1721</v>
      </c>
      <c r="Q43" t="s">
        <v>1638</v>
      </c>
      <c r="AB43" t="s">
        <v>4661</v>
      </c>
      <c r="AC43">
        <v>6</v>
      </c>
    </row>
    <row r="44" spans="4:29">
      <c r="D44" s="321">
        <f>-M44</f>
        <v>-401</v>
      </c>
      <c r="E44" s="327" t="s">
        <v>4360</v>
      </c>
      <c r="F44" s="327" t="s">
        <v>4405</v>
      </c>
      <c r="G44" s="322">
        <f>R38</f>
        <v>0</v>
      </c>
      <c r="H44" s="329">
        <f t="shared" si="2"/>
        <v>0</v>
      </c>
      <c r="I44" s="322">
        <f>V34</f>
        <v>0</v>
      </c>
      <c r="J44" s="329">
        <f>+I44/$D$9</f>
        <v>0</v>
      </c>
      <c r="K44" s="322">
        <f>+K33</f>
        <v>401</v>
      </c>
      <c r="L44" s="328">
        <f t="shared" si="3"/>
        <v>0.25688661114670081</v>
      </c>
      <c r="M44" s="322">
        <f>+G44+I44+K44</f>
        <v>401</v>
      </c>
      <c r="N44" s="323">
        <f>+M48-M44</f>
        <v>-401</v>
      </c>
      <c r="O44" s="321" t="s">
        <v>4648</v>
      </c>
      <c r="P44" t="s">
        <v>1076</v>
      </c>
      <c r="AB44" t="s">
        <v>4662</v>
      </c>
      <c r="AC44">
        <v>6</v>
      </c>
    </row>
    <row r="45" spans="4:29">
      <c r="D45" s="327"/>
      <c r="E45" s="327"/>
      <c r="F45" s="327"/>
      <c r="G45" s="325">
        <f>SUM(G40:G44)</f>
        <v>580</v>
      </c>
      <c r="H45" s="326">
        <f t="shared" si="2"/>
        <v>0.37155669442664957</v>
      </c>
      <c r="I45" s="325">
        <f>SUM(I40:I44)</f>
        <v>1060</v>
      </c>
      <c r="J45" s="326">
        <f>+I45/$D$9</f>
        <v>0.6790518898142216</v>
      </c>
      <c r="K45" s="325">
        <f>SUM(K40:K44)</f>
        <v>401</v>
      </c>
      <c r="L45" s="326">
        <f t="shared" si="3"/>
        <v>0.25688661114670081</v>
      </c>
      <c r="M45" s="325">
        <f>SUM(M40:M44)</f>
        <v>2041</v>
      </c>
      <c r="N45" s="322"/>
      <c r="O45" s="321" t="s">
        <v>4648</v>
      </c>
    </row>
    <row r="46" spans="4:29">
      <c r="D46" s="324"/>
      <c r="E46" s="321">
        <v>4</v>
      </c>
      <c r="F46" s="321"/>
      <c r="G46" s="323">
        <f>+G45/4</f>
        <v>145</v>
      </c>
      <c r="H46" s="323"/>
      <c r="I46" s="323">
        <f>+I45/4</f>
        <v>265</v>
      </c>
      <c r="J46" s="323"/>
      <c r="K46" s="323">
        <f>+K45/4</f>
        <v>100.25</v>
      </c>
      <c r="L46" s="323"/>
      <c r="M46" s="323">
        <f>+M45/4</f>
        <v>510.25</v>
      </c>
      <c r="N46" s="322"/>
      <c r="O46" s="321" t="s">
        <v>4651</v>
      </c>
    </row>
    <row r="47" spans="4:29">
      <c r="D47" s="321"/>
      <c r="E47" s="321">
        <v>5</v>
      </c>
      <c r="F47" s="321"/>
      <c r="G47" s="323">
        <f>+G45/5</f>
        <v>116</v>
      </c>
      <c r="H47" s="323"/>
      <c r="I47" s="323">
        <f>+I45/5</f>
        <v>212</v>
      </c>
      <c r="J47" s="323"/>
      <c r="K47" s="323">
        <f>+K45/5</f>
        <v>80.2</v>
      </c>
      <c r="L47" s="323"/>
      <c r="M47" s="323">
        <f>+M45/5</f>
        <v>408.2</v>
      </c>
      <c r="N47" s="322"/>
      <c r="O47" s="321"/>
    </row>
    <row r="48" spans="4:29">
      <c r="H48" s="319"/>
      <c r="J48" s="319"/>
      <c r="L48" s="318"/>
      <c r="N48" s="316"/>
    </row>
    <row r="49" spans="4:14">
      <c r="H49" s="319"/>
      <c r="J49" s="319"/>
      <c r="L49" s="318"/>
      <c r="N49" s="316"/>
    </row>
    <row r="50" spans="4:14">
      <c r="E50" s="87"/>
      <c r="H50" s="319"/>
      <c r="J50" s="319"/>
      <c r="L50" s="318"/>
      <c r="N50" s="316"/>
    </row>
    <row r="51" spans="4:14">
      <c r="D51" s="6"/>
      <c r="E51" s="6"/>
      <c r="F51" s="6"/>
      <c r="G51" s="41"/>
      <c r="H51" s="317"/>
      <c r="I51" s="41"/>
      <c r="J51" s="317"/>
      <c r="K51" s="41"/>
      <c r="L51" s="317"/>
      <c r="M51" s="41"/>
    </row>
    <row r="52" spans="4:14">
      <c r="D52" s="74"/>
      <c r="G52" s="316"/>
      <c r="H52" s="316"/>
      <c r="I52" s="316"/>
      <c r="J52" s="316"/>
      <c r="K52" s="316"/>
      <c r="L52" s="316"/>
      <c r="M52" s="316"/>
    </row>
    <row r="53" spans="4:14">
      <c r="G53" s="316"/>
      <c r="H53" s="316"/>
      <c r="I53" s="316"/>
      <c r="J53" s="316"/>
      <c r="K53" s="316"/>
      <c r="L53" s="316"/>
      <c r="M53" s="316"/>
    </row>
    <row r="56" spans="4:14">
      <c r="D56" s="320"/>
      <c r="G56" s="41"/>
      <c r="H56" s="41"/>
      <c r="I56" s="41"/>
      <c r="J56" s="41"/>
      <c r="K56" s="41"/>
      <c r="L56" s="41"/>
      <c r="M56" s="41"/>
    </row>
    <row r="57" spans="4:14">
      <c r="H57" s="319"/>
      <c r="J57" s="319"/>
      <c r="L57" s="319"/>
      <c r="N57" s="316"/>
    </row>
    <row r="58" spans="4:14">
      <c r="H58" s="319"/>
      <c r="J58" s="319"/>
      <c r="L58" s="318"/>
      <c r="N58" s="316"/>
    </row>
    <row r="59" spans="4:14">
      <c r="H59" s="319"/>
      <c r="J59" s="319"/>
      <c r="L59" s="318"/>
      <c r="N59" s="316"/>
    </row>
    <row r="60" spans="4:14">
      <c r="H60" s="319"/>
      <c r="J60" s="319"/>
      <c r="L60" s="318"/>
      <c r="N60" s="316"/>
    </row>
    <row r="61" spans="4:14">
      <c r="E61" s="87"/>
      <c r="H61" s="319"/>
      <c r="J61" s="319"/>
      <c r="L61" s="318"/>
      <c r="N61" s="316"/>
    </row>
    <row r="62" spans="4:14">
      <c r="D62" s="6"/>
      <c r="E62" s="6"/>
      <c r="F62" s="6"/>
      <c r="G62" s="41"/>
      <c r="H62" s="317"/>
      <c r="I62" s="41"/>
      <c r="J62" s="317"/>
      <c r="K62" s="41"/>
      <c r="L62" s="317"/>
      <c r="M62" s="41"/>
    </row>
    <row r="63" spans="4:14">
      <c r="D63" s="74"/>
      <c r="G63" s="316"/>
      <c r="H63" s="316"/>
      <c r="I63" s="316"/>
      <c r="J63" s="316"/>
      <c r="K63" s="316"/>
      <c r="L63" s="316"/>
      <c r="M63" s="316"/>
    </row>
    <row r="64" spans="4:14">
      <c r="G64" s="316"/>
      <c r="H64" s="316"/>
      <c r="I64" s="316"/>
      <c r="J64" s="316"/>
      <c r="K64" s="316"/>
      <c r="L64" s="316"/>
      <c r="M64" s="3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/>
  </sheetPr>
  <dimension ref="A1:N45"/>
  <sheetViews>
    <sheetView topLeftCell="A10" zoomScale="90" zoomScaleNormal="90" workbookViewId="0">
      <selection activeCell="C16" sqref="C16"/>
    </sheetView>
  </sheetViews>
  <sheetFormatPr defaultColWidth="11" defaultRowHeight="15.75"/>
  <cols>
    <col min="2" max="2" width="17.125" customWidth="1"/>
    <col min="3" max="3" width="67.625" bestFit="1" customWidth="1"/>
    <col min="4" max="4" width="23.625" customWidth="1"/>
    <col min="5" max="5" width="22.5" style="2" bestFit="1" customWidth="1"/>
  </cols>
  <sheetData>
    <row r="1" spans="2:14">
      <c r="B1" t="s">
        <v>4663</v>
      </c>
    </row>
    <row r="3" spans="2:14">
      <c r="B3" s="367" t="s">
        <v>4664</v>
      </c>
      <c r="C3" s="367"/>
      <c r="D3" s="367" t="s">
        <v>4665</v>
      </c>
      <c r="E3" s="368" t="s">
        <v>4666</v>
      </c>
      <c r="F3" s="368" t="s">
        <v>4667</v>
      </c>
    </row>
    <row r="4" spans="2:14">
      <c r="B4" t="s">
        <v>4668</v>
      </c>
      <c r="C4" t="s">
        <v>4669</v>
      </c>
    </row>
    <row r="5" spans="2:14">
      <c r="C5" t="s">
        <v>4670</v>
      </c>
      <c r="D5" s="6" t="s">
        <v>4671</v>
      </c>
      <c r="E5" s="369" t="s">
        <v>4672</v>
      </c>
      <c r="F5" s="6">
        <v>507743997</v>
      </c>
    </row>
    <row r="6" spans="2:14">
      <c r="C6" t="s">
        <v>4673</v>
      </c>
      <c r="D6" t="s">
        <v>4674</v>
      </c>
      <c r="E6" s="831" t="s">
        <v>4675</v>
      </c>
      <c r="F6">
        <v>507743997</v>
      </c>
    </row>
    <row r="7" spans="2:14">
      <c r="D7" t="s">
        <v>4676</v>
      </c>
      <c r="E7" s="831">
        <v>515783730</v>
      </c>
      <c r="F7">
        <v>515786730</v>
      </c>
    </row>
    <row r="8" spans="2:14">
      <c r="B8" t="s">
        <v>4677</v>
      </c>
      <c r="D8" t="s">
        <v>4678</v>
      </c>
      <c r="E8" s="831" t="s">
        <v>4679</v>
      </c>
      <c r="N8" t="s">
        <v>4680</v>
      </c>
    </row>
    <row r="9" spans="2:14">
      <c r="E9" s="831"/>
    </row>
    <row r="10" spans="2:14">
      <c r="E10" s="831"/>
      <c r="N10" t="s">
        <v>4681</v>
      </c>
    </row>
    <row r="11" spans="2:14">
      <c r="B11" t="s">
        <v>4682</v>
      </c>
      <c r="C11" t="s">
        <v>4683</v>
      </c>
      <c r="E11" s="831"/>
      <c r="N11" t="s">
        <v>4684</v>
      </c>
    </row>
    <row r="12" spans="2:14">
      <c r="C12" s="370" t="s">
        <v>4685</v>
      </c>
      <c r="D12" t="s">
        <v>4686</v>
      </c>
      <c r="E12" s="831" t="s">
        <v>4687</v>
      </c>
      <c r="N12" t="s">
        <v>4688</v>
      </c>
    </row>
    <row r="13" spans="2:14">
      <c r="D13" t="s">
        <v>4675</v>
      </c>
      <c r="E13" s="831" t="s">
        <v>4672</v>
      </c>
    </row>
    <row r="14" spans="2:14">
      <c r="C14" s="85" t="s">
        <v>4689</v>
      </c>
      <c r="D14" s="832" t="s">
        <v>4690</v>
      </c>
      <c r="E14" s="831">
        <v>211787</v>
      </c>
    </row>
    <row r="15" spans="2:14">
      <c r="C15" s="85" t="s">
        <v>4691</v>
      </c>
      <c r="D15" t="s">
        <v>4692</v>
      </c>
      <c r="E15" s="831">
        <v>376302</v>
      </c>
    </row>
    <row r="16" spans="2:14">
      <c r="D16" t="s">
        <v>4452</v>
      </c>
      <c r="E16" s="831">
        <v>376302</v>
      </c>
    </row>
    <row r="17" spans="1:14">
      <c r="B17" t="s">
        <v>4693</v>
      </c>
      <c r="C17" t="s">
        <v>4694</v>
      </c>
      <c r="D17">
        <v>10821</v>
      </c>
      <c r="E17" s="831" t="s">
        <v>4695</v>
      </c>
    </row>
    <row r="18" spans="1:14">
      <c r="C18" t="s">
        <v>4696</v>
      </c>
      <c r="D18">
        <v>101220</v>
      </c>
      <c r="E18" s="2" t="s">
        <v>4697</v>
      </c>
      <c r="N18" t="s">
        <v>4698</v>
      </c>
    </row>
    <row r="19" spans="1:14">
      <c r="B19" t="s">
        <v>4699</v>
      </c>
      <c r="C19" t="s">
        <v>4700</v>
      </c>
      <c r="D19">
        <v>220512</v>
      </c>
      <c r="E19" s="2" t="s">
        <v>4701</v>
      </c>
    </row>
    <row r="20" spans="1:14">
      <c r="C20" s="6" t="s">
        <v>4702</v>
      </c>
      <c r="D20" s="6">
        <v>170322</v>
      </c>
      <c r="E20" s="41" t="s">
        <v>4703</v>
      </c>
    </row>
    <row r="21" spans="1:14">
      <c r="B21" t="s">
        <v>4704</v>
      </c>
      <c r="C21" t="s">
        <v>4700</v>
      </c>
      <c r="D21">
        <v>18385</v>
      </c>
      <c r="E21" s="2" t="s">
        <v>4705</v>
      </c>
    </row>
    <row r="22" spans="1:14">
      <c r="C22" s="6" t="s">
        <v>4702</v>
      </c>
      <c r="D22" s="6">
        <v>160322</v>
      </c>
      <c r="E22" s="41" t="s">
        <v>4706</v>
      </c>
    </row>
    <row r="24" spans="1:14">
      <c r="B24" t="s">
        <v>4707</v>
      </c>
      <c r="C24" t="s">
        <v>4708</v>
      </c>
      <c r="D24" s="2" t="s">
        <v>4709</v>
      </c>
      <c r="E24" t="s">
        <v>4710</v>
      </c>
      <c r="N24" t="s">
        <v>4711</v>
      </c>
    </row>
    <row r="25" spans="1:14">
      <c r="N25" t="s">
        <v>4712</v>
      </c>
    </row>
    <row r="26" spans="1:14">
      <c r="B26" t="s">
        <v>4713</v>
      </c>
      <c r="C26" s="371" t="s">
        <v>4714</v>
      </c>
      <c r="D26" t="s">
        <v>4715</v>
      </c>
      <c r="E26" s="2" t="s">
        <v>4716</v>
      </c>
      <c r="I26" t="s">
        <v>4717</v>
      </c>
    </row>
    <row r="29" spans="1:14">
      <c r="B29" t="s">
        <v>4718</v>
      </c>
      <c r="C29" s="371" t="s">
        <v>4719</v>
      </c>
      <c r="D29" t="s">
        <v>4720</v>
      </c>
      <c r="E29" s="2" t="s">
        <v>4721</v>
      </c>
      <c r="F29" t="s">
        <v>4722</v>
      </c>
      <c r="I29" t="s">
        <v>4723</v>
      </c>
    </row>
    <row r="32" spans="1:14">
      <c r="A32" t="s">
        <v>4434</v>
      </c>
      <c r="B32" t="s">
        <v>4724</v>
      </c>
      <c r="C32" t="s">
        <v>4725</v>
      </c>
      <c r="D32">
        <v>507743997</v>
      </c>
      <c r="E32" s="2" t="s">
        <v>4712</v>
      </c>
      <c r="I32" t="s">
        <v>4726</v>
      </c>
    </row>
    <row r="33" spans="1:5">
      <c r="A33" t="s">
        <v>4727</v>
      </c>
      <c r="B33" t="s">
        <v>4724</v>
      </c>
      <c r="C33" t="s">
        <v>4725</v>
      </c>
      <c r="D33">
        <v>508427827</v>
      </c>
      <c r="E33" s="2" t="s">
        <v>4712</v>
      </c>
    </row>
    <row r="36" spans="1:5">
      <c r="A36" t="s">
        <v>4728</v>
      </c>
      <c r="C36" t="s">
        <v>4729</v>
      </c>
      <c r="E36" s="2" t="s">
        <v>4675</v>
      </c>
    </row>
    <row r="37" spans="1:5">
      <c r="C37" t="s">
        <v>4730</v>
      </c>
      <c r="D37" t="s">
        <v>4731</v>
      </c>
      <c r="E37" s="2" t="s">
        <v>4732</v>
      </c>
    </row>
    <row r="41" spans="1:5">
      <c r="A41" t="s">
        <v>4733</v>
      </c>
      <c r="C41" t="s">
        <v>4734</v>
      </c>
      <c r="D41" t="s">
        <v>4735</v>
      </c>
    </row>
    <row r="43" spans="1:5">
      <c r="A43" t="s">
        <v>4736</v>
      </c>
      <c r="C43" s="372" t="s">
        <v>4737</v>
      </c>
      <c r="D43" t="s">
        <v>4738</v>
      </c>
    </row>
    <row r="45" spans="1:5">
      <c r="A45" t="s">
        <v>4739</v>
      </c>
      <c r="C45" t="s">
        <v>4740</v>
      </c>
      <c r="D45" t="s">
        <v>4741</v>
      </c>
    </row>
  </sheetData>
  <hyperlinks>
    <hyperlink ref="C26" r:id="rId1" xr:uid="{00000000-0004-0000-0900-000000000000}"/>
    <hyperlink ref="C29" r:id="rId2" xr:uid="{00000000-0004-0000-0900-000001000000}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</sheetPr>
  <dimension ref="A2:E8"/>
  <sheetViews>
    <sheetView workbookViewId="0">
      <selection activeCell="A7" sqref="A7:E7"/>
    </sheetView>
  </sheetViews>
  <sheetFormatPr defaultColWidth="8.875" defaultRowHeight="15.75"/>
  <cols>
    <col min="1" max="1" width="36.125" bestFit="1" customWidth="1"/>
    <col min="3" max="3" width="18.625" bestFit="1" customWidth="1"/>
    <col min="5" max="5" width="17.125" customWidth="1"/>
  </cols>
  <sheetData>
    <row r="2" spans="1:5">
      <c r="C2" t="s">
        <v>4742</v>
      </c>
      <c r="E2" t="s">
        <v>4743</v>
      </c>
    </row>
    <row r="3" spans="1:5">
      <c r="A3" t="s">
        <v>4744</v>
      </c>
      <c r="C3" t="s">
        <v>4745</v>
      </c>
      <c r="E3" t="s">
        <v>4746</v>
      </c>
    </row>
    <row r="4" spans="1:5">
      <c r="A4" t="s">
        <v>4747</v>
      </c>
      <c r="C4" t="s">
        <v>4748</v>
      </c>
      <c r="E4" t="s">
        <v>4675</v>
      </c>
    </row>
    <row r="7" spans="1:5">
      <c r="A7" t="s">
        <v>4749</v>
      </c>
      <c r="C7" t="s">
        <v>4750</v>
      </c>
      <c r="E7" t="s">
        <v>4751</v>
      </c>
    </row>
    <row r="8" spans="1:5">
      <c r="A8" t="s">
        <v>4752</v>
      </c>
      <c r="C8" t="s">
        <v>4750</v>
      </c>
      <c r="E8" t="s">
        <v>4753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12"/>
  <sheetViews>
    <sheetView zoomScale="90" zoomScaleNormal="90" workbookViewId="0">
      <selection activeCell="E15" sqref="E15"/>
    </sheetView>
  </sheetViews>
  <sheetFormatPr defaultRowHeight="15.75"/>
  <cols>
    <col min="2" max="2" width="7.625" bestFit="1" customWidth="1"/>
    <col min="3" max="3" width="7.875" customWidth="1"/>
    <col min="4" max="4" width="9.75" bestFit="1" customWidth="1"/>
    <col min="5" max="5" width="13.625" customWidth="1"/>
    <col min="6" max="6" width="11.375" customWidth="1"/>
    <col min="7" max="7" width="3.625" customWidth="1"/>
    <col min="8" max="8" width="4.625" customWidth="1"/>
    <col min="9" max="9" width="32.25" customWidth="1"/>
    <col min="10" max="10" width="4.375" customWidth="1"/>
    <col min="11" max="11" width="40.25" customWidth="1"/>
    <col min="12" max="12" width="26.625" customWidth="1"/>
  </cols>
  <sheetData>
    <row r="1" spans="1:51" s="618" customFormat="1" ht="37.5" customHeight="1" thickBot="1">
      <c r="A1" s="647" t="s">
        <v>4754</v>
      </c>
      <c r="B1" s="648" t="s">
        <v>4755</v>
      </c>
      <c r="C1" s="649" t="s">
        <v>4756</v>
      </c>
      <c r="D1" s="648" t="s">
        <v>4757</v>
      </c>
      <c r="E1" s="648" t="s">
        <v>4758</v>
      </c>
      <c r="F1" s="649" t="s">
        <v>4759</v>
      </c>
      <c r="G1" s="648" t="s">
        <v>16</v>
      </c>
      <c r="H1" s="648" t="s">
        <v>4336</v>
      </c>
      <c r="I1" s="648" t="s">
        <v>4760</v>
      </c>
      <c r="J1" s="648"/>
      <c r="K1" s="648" t="s">
        <v>4761</v>
      </c>
      <c r="L1" s="650" t="s">
        <v>4762</v>
      </c>
      <c r="M1" s="770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1"/>
      <c r="AL1" s="771"/>
      <c r="AM1" s="771"/>
      <c r="AN1" s="771"/>
      <c r="AO1" s="771"/>
      <c r="AP1" s="771"/>
      <c r="AQ1" s="771"/>
      <c r="AR1" s="771"/>
      <c r="AS1" s="771"/>
      <c r="AT1" s="771"/>
      <c r="AU1" s="771"/>
      <c r="AV1" s="771"/>
      <c r="AW1" s="771"/>
      <c r="AX1" s="771"/>
      <c r="AY1" s="771"/>
    </row>
    <row r="2" spans="1:51" s="661" customFormat="1" ht="15.6" customHeight="1">
      <c r="A2" s="654" t="s">
        <v>24</v>
      </c>
      <c r="B2" s="655" t="s">
        <v>4093</v>
      </c>
      <c r="C2" s="655" t="s">
        <v>34</v>
      </c>
      <c r="D2" s="656">
        <v>46132</v>
      </c>
      <c r="E2" s="655" t="s">
        <v>644</v>
      </c>
      <c r="F2" s="655">
        <v>8</v>
      </c>
      <c r="G2" s="655" t="s">
        <v>1077</v>
      </c>
      <c r="H2" s="655" t="s">
        <v>1138</v>
      </c>
      <c r="I2" s="655" t="s">
        <v>4106</v>
      </c>
      <c r="J2" s="657" t="s">
        <v>3063</v>
      </c>
      <c r="K2" s="657" t="s">
        <v>3954</v>
      </c>
      <c r="L2" s="658" t="s">
        <v>4049</v>
      </c>
      <c r="M2" s="938"/>
      <c r="N2" s="911"/>
      <c r="O2" s="911"/>
      <c r="P2" s="909"/>
      <c r="Q2" s="909"/>
      <c r="R2" s="909"/>
      <c r="S2" s="909"/>
      <c r="T2" s="909"/>
      <c r="U2" s="659" t="s">
        <v>32</v>
      </c>
      <c r="V2" s="895"/>
      <c r="W2" s="895"/>
      <c r="X2" s="895"/>
      <c r="Y2" s="895"/>
      <c r="Z2" s="895"/>
      <c r="AA2" s="895"/>
      <c r="AB2" s="895"/>
      <c r="AC2" s="895"/>
      <c r="AD2" s="895"/>
      <c r="AE2" s="895"/>
      <c r="AF2" s="895"/>
      <c r="AG2" s="895"/>
      <c r="AH2" s="895"/>
      <c r="AI2" s="895"/>
      <c r="AJ2" s="895"/>
      <c r="AK2" s="895"/>
      <c r="AL2" s="895"/>
      <c r="AM2" s="896"/>
      <c r="AN2" s="896"/>
      <c r="AO2" s="896"/>
      <c r="AP2" s="645"/>
      <c r="AQ2" s="645"/>
      <c r="AR2" s="660"/>
      <c r="AS2" s="660"/>
      <c r="AT2" s="660"/>
      <c r="AU2" s="660"/>
      <c r="AY2" s="661">
        <f>IF(D2&gt;1,1,"")</f>
        <v>1</v>
      </c>
    </row>
    <row r="3" spans="1:51" s="670" customFormat="1" ht="15.6" customHeight="1">
      <c r="A3" s="662" t="s">
        <v>24</v>
      </c>
      <c r="B3" s="663" t="s">
        <v>4095</v>
      </c>
      <c r="C3" s="663" t="s">
        <v>43</v>
      </c>
      <c r="D3" s="664">
        <v>46132</v>
      </c>
      <c r="E3" s="663" t="s">
        <v>1626</v>
      </c>
      <c r="F3" s="663">
        <v>13</v>
      </c>
      <c r="G3" s="663" t="s">
        <v>1077</v>
      </c>
      <c r="H3" s="663" t="s">
        <v>1138</v>
      </c>
      <c r="I3" s="665" t="s">
        <v>4763</v>
      </c>
      <c r="J3" s="666" t="s">
        <v>3063</v>
      </c>
      <c r="K3" s="663" t="s">
        <v>4096</v>
      </c>
      <c r="L3" s="667" t="s">
        <v>4097</v>
      </c>
      <c r="M3" s="939"/>
      <c r="N3" s="940"/>
      <c r="O3" s="940"/>
      <c r="P3" s="941"/>
      <c r="Q3" s="941"/>
      <c r="R3" s="941"/>
      <c r="S3" s="941"/>
      <c r="T3" s="941"/>
      <c r="U3" s="668" t="s">
        <v>32</v>
      </c>
      <c r="V3" s="858"/>
      <c r="W3" s="858"/>
      <c r="X3" s="858"/>
      <c r="Y3" s="858"/>
      <c r="Z3" s="858"/>
      <c r="AA3" s="858"/>
      <c r="AB3" s="858"/>
      <c r="AC3" s="858"/>
      <c r="AD3" s="858"/>
      <c r="AE3" s="858"/>
      <c r="AF3" s="858"/>
      <c r="AG3" s="858"/>
      <c r="AH3" s="858"/>
      <c r="AI3" s="858"/>
      <c r="AJ3" s="858"/>
      <c r="AK3" s="858"/>
      <c r="AL3" s="858"/>
      <c r="AM3" s="851"/>
      <c r="AN3" s="851"/>
      <c r="AO3" s="851"/>
      <c r="AP3" s="646"/>
      <c r="AQ3" s="646"/>
      <c r="AR3" s="669"/>
      <c r="AS3" s="669"/>
      <c r="AT3" s="669"/>
      <c r="AU3" s="669"/>
      <c r="AY3" s="670">
        <f>IF(D3&gt;1,1,"")</f>
        <v>1</v>
      </c>
    </row>
    <row r="4" spans="1:51" s="661" customFormat="1" ht="15.6" customHeight="1">
      <c r="A4" s="671" t="s">
        <v>24</v>
      </c>
      <c r="B4" s="672" t="s">
        <v>4105</v>
      </c>
      <c r="C4" s="672" t="s">
        <v>50</v>
      </c>
      <c r="D4" s="673">
        <v>46134</v>
      </c>
      <c r="E4" s="672" t="s">
        <v>2295</v>
      </c>
      <c r="F4" s="672">
        <v>13</v>
      </c>
      <c r="G4" s="672" t="s">
        <v>1077</v>
      </c>
      <c r="H4" s="672" t="s">
        <v>1138</v>
      </c>
      <c r="I4" s="672" t="s">
        <v>4106</v>
      </c>
      <c r="J4" s="666" t="s">
        <v>3063</v>
      </c>
      <c r="K4" s="666" t="s">
        <v>4096</v>
      </c>
      <c r="L4" s="674" t="s">
        <v>4764</v>
      </c>
      <c r="M4" s="938"/>
      <c r="N4" s="911"/>
      <c r="O4" s="911"/>
      <c r="P4" s="909"/>
      <c r="Q4" s="909"/>
      <c r="R4" s="909"/>
      <c r="S4" s="909"/>
      <c r="T4" s="909"/>
      <c r="U4" s="659" t="s">
        <v>32</v>
      </c>
      <c r="V4" s="895"/>
      <c r="W4" s="895"/>
      <c r="X4" s="895"/>
      <c r="Y4" s="895"/>
      <c r="Z4" s="895"/>
      <c r="AA4" s="895"/>
      <c r="AB4" s="895"/>
      <c r="AC4" s="895"/>
      <c r="AD4" s="895"/>
      <c r="AE4" s="895"/>
      <c r="AF4" s="895"/>
      <c r="AG4" s="895"/>
      <c r="AH4" s="895"/>
      <c r="AI4" s="895"/>
      <c r="AJ4" s="895"/>
      <c r="AK4" s="895"/>
      <c r="AL4" s="895"/>
      <c r="AM4" s="896"/>
      <c r="AN4" s="896"/>
      <c r="AO4" s="896"/>
      <c r="AP4" s="645"/>
      <c r="AQ4" s="645"/>
      <c r="AR4" s="660"/>
      <c r="AS4" s="660"/>
      <c r="AT4" s="660"/>
      <c r="AU4" s="660"/>
      <c r="AY4" s="661">
        <f>IF(D4&gt;1,1,"")</f>
        <v>1</v>
      </c>
    </row>
    <row r="5" spans="1:51" s="661" customFormat="1" ht="15.6" customHeight="1">
      <c r="A5" s="671" t="s">
        <v>24</v>
      </c>
      <c r="B5" s="672" t="s">
        <v>4117</v>
      </c>
      <c r="C5" s="672" t="s">
        <v>129</v>
      </c>
      <c r="D5" s="673">
        <v>46136</v>
      </c>
      <c r="E5" s="672" t="s">
        <v>4118</v>
      </c>
      <c r="F5" s="672">
        <v>15</v>
      </c>
      <c r="G5" s="672" t="s">
        <v>127</v>
      </c>
      <c r="H5" s="672" t="s">
        <v>28</v>
      </c>
      <c r="I5" s="672" t="s">
        <v>4106</v>
      </c>
      <c r="J5" s="666" t="s">
        <v>3063</v>
      </c>
      <c r="K5" s="672" t="s">
        <v>4119</v>
      </c>
      <c r="L5" s="674" t="s">
        <v>4120</v>
      </c>
      <c r="M5" s="938"/>
      <c r="N5" s="911"/>
      <c r="O5" s="911"/>
      <c r="P5" s="909"/>
      <c r="Q5" s="909"/>
      <c r="R5" s="909"/>
      <c r="S5" s="909"/>
      <c r="T5" s="909"/>
      <c r="U5" s="659"/>
      <c r="V5" s="895"/>
      <c r="W5" s="895"/>
      <c r="X5" s="895"/>
      <c r="Y5" s="895"/>
      <c r="Z5" s="895"/>
      <c r="AA5" s="895"/>
      <c r="AB5" s="895"/>
      <c r="AC5" s="895"/>
      <c r="AD5" s="895"/>
      <c r="AE5" s="895"/>
      <c r="AF5" s="895"/>
      <c r="AG5" s="895"/>
      <c r="AH5" s="895"/>
      <c r="AI5" s="895"/>
      <c r="AJ5" s="895"/>
      <c r="AK5" s="895"/>
      <c r="AL5" s="895"/>
      <c r="AM5" s="896"/>
      <c r="AN5" s="896"/>
      <c r="AO5" s="896"/>
      <c r="AP5" s="645"/>
      <c r="AQ5" s="645"/>
      <c r="AR5" s="660"/>
      <c r="AS5" s="660"/>
      <c r="AT5" s="660"/>
      <c r="AU5" s="660"/>
    </row>
    <row r="6" spans="1:51" s="661" customFormat="1" ht="29.1" customHeight="1">
      <c r="A6" s="671" t="s">
        <v>24</v>
      </c>
      <c r="B6" s="672" t="s">
        <v>4127</v>
      </c>
      <c r="C6" s="672" t="s">
        <v>64</v>
      </c>
      <c r="D6" s="673">
        <v>46137</v>
      </c>
      <c r="E6" s="672" t="s">
        <v>4128</v>
      </c>
      <c r="F6" s="672">
        <v>8</v>
      </c>
      <c r="G6" s="672" t="s">
        <v>1077</v>
      </c>
      <c r="H6" s="672" t="s">
        <v>1138</v>
      </c>
      <c r="I6" s="675" t="s">
        <v>4765</v>
      </c>
      <c r="J6" s="666" t="s">
        <v>3063</v>
      </c>
      <c r="K6" s="672" t="s">
        <v>4766</v>
      </c>
      <c r="L6" s="674" t="s">
        <v>4130</v>
      </c>
      <c r="M6" s="938"/>
      <c r="N6" s="911"/>
      <c r="O6" s="911"/>
      <c r="P6" s="909"/>
      <c r="Q6" s="909"/>
      <c r="R6" s="909"/>
      <c r="S6" s="909"/>
      <c r="T6" s="909"/>
      <c r="U6" s="659"/>
      <c r="V6" s="895"/>
      <c r="W6" s="895"/>
      <c r="X6" s="895"/>
      <c r="Y6" s="895"/>
      <c r="Z6" s="895"/>
      <c r="AA6" s="895"/>
      <c r="AB6" s="895"/>
      <c r="AC6" s="895"/>
      <c r="AD6" s="895"/>
      <c r="AE6" s="895"/>
      <c r="AF6" s="895"/>
      <c r="AG6" s="895"/>
      <c r="AH6" s="895"/>
      <c r="AI6" s="895"/>
      <c r="AJ6" s="895"/>
      <c r="AK6" s="895"/>
      <c r="AL6" s="895"/>
      <c r="AM6" s="896"/>
      <c r="AN6" s="896"/>
      <c r="AO6" s="896"/>
      <c r="AP6" s="645"/>
      <c r="AQ6" s="645"/>
      <c r="AR6" s="660"/>
      <c r="AS6" s="660"/>
      <c r="AT6" s="660"/>
      <c r="AU6" s="660"/>
    </row>
    <row r="7" spans="1:51" s="688" customFormat="1" ht="30.95" customHeight="1">
      <c r="A7" s="681" t="s">
        <v>24</v>
      </c>
      <c r="B7" s="682" t="s">
        <v>4165</v>
      </c>
      <c r="C7" s="682" t="s">
        <v>64</v>
      </c>
      <c r="D7" s="683">
        <v>46133</v>
      </c>
      <c r="E7" s="682" t="s">
        <v>927</v>
      </c>
      <c r="F7" s="682">
        <v>13</v>
      </c>
      <c r="G7" s="682" t="s">
        <v>1077</v>
      </c>
      <c r="H7" s="682" t="s">
        <v>1138</v>
      </c>
      <c r="I7" s="682" t="s">
        <v>4767</v>
      </c>
      <c r="J7" s="684" t="s">
        <v>3063</v>
      </c>
      <c r="K7" s="697" t="s">
        <v>4768</v>
      </c>
      <c r="L7" s="685" t="s">
        <v>3743</v>
      </c>
      <c r="M7" s="942"/>
      <c r="N7" s="943"/>
      <c r="O7" s="943"/>
      <c r="P7" s="944"/>
      <c r="Q7" s="944"/>
      <c r="R7" s="944"/>
      <c r="S7" s="944"/>
      <c r="T7" s="944"/>
      <c r="U7" s="686" t="s">
        <v>32</v>
      </c>
      <c r="V7" s="945"/>
      <c r="W7" s="945"/>
      <c r="X7" s="945"/>
      <c r="Y7" s="945"/>
      <c r="Z7" s="945"/>
      <c r="AA7" s="945"/>
      <c r="AB7" s="945"/>
      <c r="AC7" s="945"/>
      <c r="AD7" s="945"/>
      <c r="AE7" s="945"/>
      <c r="AF7" s="945"/>
      <c r="AG7" s="945"/>
      <c r="AH7" s="945"/>
      <c r="AI7" s="945"/>
      <c r="AJ7" s="945"/>
      <c r="AK7" s="945"/>
      <c r="AL7" s="945"/>
      <c r="AM7" s="946"/>
      <c r="AN7" s="946"/>
      <c r="AO7" s="946"/>
      <c r="AP7" s="651"/>
      <c r="AQ7" s="651"/>
      <c r="AR7" s="687"/>
      <c r="AS7" s="687"/>
      <c r="AT7" s="687"/>
      <c r="AU7" s="687"/>
      <c r="AY7" s="688">
        <f>IF(D7&gt;1,1,"")</f>
        <v>1</v>
      </c>
    </row>
    <row r="8" spans="1:51" s="688" customFormat="1" ht="15.6" customHeight="1">
      <c r="A8" s="681" t="s">
        <v>24</v>
      </c>
      <c r="B8" s="682" t="s">
        <v>4165</v>
      </c>
      <c r="C8" s="682" t="s">
        <v>64</v>
      </c>
      <c r="D8" s="683">
        <v>46134</v>
      </c>
      <c r="E8" s="682" t="s">
        <v>927</v>
      </c>
      <c r="F8" s="682">
        <v>13</v>
      </c>
      <c r="G8" s="682" t="s">
        <v>1077</v>
      </c>
      <c r="H8" s="682" t="s">
        <v>1138</v>
      </c>
      <c r="I8" s="682" t="s">
        <v>4769</v>
      </c>
      <c r="J8" s="684" t="s">
        <v>3063</v>
      </c>
      <c r="K8" s="689" t="s">
        <v>4770</v>
      </c>
      <c r="L8" s="685" t="s">
        <v>3743</v>
      </c>
      <c r="M8" s="942"/>
      <c r="N8" s="943"/>
      <c r="O8" s="943"/>
      <c r="P8" s="944"/>
      <c r="Q8" s="944"/>
      <c r="R8" s="944"/>
      <c r="S8" s="944"/>
      <c r="T8" s="944"/>
      <c r="U8" s="686" t="s">
        <v>32</v>
      </c>
      <c r="V8" s="945"/>
      <c r="W8" s="945"/>
      <c r="X8" s="945"/>
      <c r="Y8" s="945"/>
      <c r="Z8" s="945"/>
      <c r="AA8" s="945"/>
      <c r="AB8" s="945"/>
      <c r="AC8" s="945"/>
      <c r="AD8" s="945"/>
      <c r="AE8" s="945"/>
      <c r="AF8" s="945"/>
      <c r="AG8" s="945"/>
      <c r="AH8" s="945"/>
      <c r="AI8" s="945"/>
      <c r="AJ8" s="945"/>
      <c r="AK8" s="945"/>
      <c r="AL8" s="945"/>
      <c r="AM8" s="946"/>
      <c r="AN8" s="946"/>
      <c r="AO8" s="946"/>
      <c r="AP8" s="651"/>
      <c r="AQ8" s="651"/>
      <c r="AR8" s="687"/>
      <c r="AS8" s="687"/>
      <c r="AT8" s="687"/>
      <c r="AU8" s="687"/>
      <c r="AY8" s="688">
        <f>IF(D8&gt;1,1,"")</f>
        <v>1</v>
      </c>
    </row>
    <row r="9" spans="1:51" s="688" customFormat="1" ht="15" customHeight="1">
      <c r="A9" s="681" t="s">
        <v>24</v>
      </c>
      <c r="B9" s="682" t="s">
        <v>4121</v>
      </c>
      <c r="C9" s="682" t="s">
        <v>64</v>
      </c>
      <c r="D9" s="683">
        <v>46136</v>
      </c>
      <c r="E9" s="682" t="s">
        <v>110</v>
      </c>
      <c r="F9" s="682">
        <v>22</v>
      </c>
      <c r="G9" s="682" t="s">
        <v>1077</v>
      </c>
      <c r="H9" s="682" t="s">
        <v>1138</v>
      </c>
      <c r="I9" s="682" t="s">
        <v>4771</v>
      </c>
      <c r="J9" s="684" t="s">
        <v>3063</v>
      </c>
      <c r="K9" s="689" t="s">
        <v>4770</v>
      </c>
      <c r="L9" s="690"/>
      <c r="M9" s="942"/>
      <c r="N9" s="943"/>
      <c r="O9" s="943"/>
      <c r="P9" s="944"/>
      <c r="Q9" s="944"/>
      <c r="R9" s="944"/>
      <c r="S9" s="944"/>
      <c r="T9" s="944"/>
      <c r="U9" s="686"/>
      <c r="V9" s="945"/>
      <c r="W9" s="945"/>
      <c r="X9" s="945"/>
      <c r="Y9" s="945"/>
      <c r="Z9" s="945"/>
      <c r="AA9" s="945"/>
      <c r="AB9" s="945"/>
      <c r="AC9" s="945"/>
      <c r="AD9" s="945"/>
      <c r="AE9" s="945"/>
      <c r="AF9" s="945"/>
      <c r="AG9" s="945"/>
      <c r="AH9" s="945"/>
      <c r="AI9" s="945"/>
      <c r="AJ9" s="945"/>
      <c r="AK9" s="945"/>
      <c r="AL9" s="945"/>
      <c r="AM9" s="946"/>
      <c r="AN9" s="946"/>
      <c r="AO9" s="946"/>
      <c r="AP9" s="651"/>
      <c r="AQ9" s="651"/>
      <c r="AR9" s="687"/>
      <c r="AS9" s="687"/>
      <c r="AT9" s="687"/>
      <c r="AU9" s="687"/>
    </row>
    <row r="10" spans="1:51" s="696" customFormat="1" ht="15.6" customHeight="1">
      <c r="A10" s="681" t="s">
        <v>24</v>
      </c>
      <c r="B10" s="682" t="s">
        <v>4121</v>
      </c>
      <c r="C10" s="682" t="s">
        <v>64</v>
      </c>
      <c r="D10" s="683">
        <v>46157</v>
      </c>
      <c r="E10" s="682" t="s">
        <v>110</v>
      </c>
      <c r="F10" s="682">
        <v>22</v>
      </c>
      <c r="G10" s="682" t="s">
        <v>1077</v>
      </c>
      <c r="H10" s="682" t="s">
        <v>1138</v>
      </c>
      <c r="I10" s="682" t="s">
        <v>4772</v>
      </c>
      <c r="J10" s="684" t="s">
        <v>3063</v>
      </c>
      <c r="K10" s="689" t="s">
        <v>4773</v>
      </c>
      <c r="L10" s="691"/>
      <c r="M10" s="947"/>
      <c r="N10" s="692"/>
      <c r="O10" s="943"/>
      <c r="P10" s="943"/>
      <c r="Q10" s="943"/>
      <c r="R10" s="693"/>
      <c r="S10" s="944"/>
      <c r="T10" s="944"/>
      <c r="U10" s="944"/>
      <c r="V10" s="944"/>
      <c r="W10" s="694"/>
      <c r="X10" s="652"/>
      <c r="Y10" s="652"/>
      <c r="Z10" s="652"/>
      <c r="AA10" s="652"/>
      <c r="AB10" s="652"/>
      <c r="AC10" s="652"/>
      <c r="AD10" s="652"/>
      <c r="AE10" s="652"/>
      <c r="AF10" s="652"/>
      <c r="AG10" s="652"/>
      <c r="AH10" s="652"/>
      <c r="AI10" s="652"/>
      <c r="AJ10" s="652"/>
      <c r="AK10" s="652"/>
      <c r="AL10" s="652"/>
      <c r="AM10" s="652"/>
      <c r="AN10" s="945"/>
      <c r="AO10" s="946"/>
      <c r="AP10" s="946"/>
      <c r="AQ10" s="946"/>
      <c r="AR10" s="653"/>
      <c r="AS10" s="653"/>
      <c r="AT10" s="695"/>
      <c r="AU10" s="695"/>
      <c r="AV10" s="695"/>
      <c r="AW10" s="695"/>
    </row>
    <row r="11" spans="1:51" s="661" customFormat="1" ht="15.6" customHeight="1">
      <c r="A11" s="671" t="s">
        <v>24</v>
      </c>
      <c r="B11" s="672" t="s">
        <v>4113</v>
      </c>
      <c r="C11" s="672" t="s">
        <v>50</v>
      </c>
      <c r="D11" s="673">
        <v>46136</v>
      </c>
      <c r="E11" s="672" t="s">
        <v>2014</v>
      </c>
      <c r="F11" s="672">
        <v>18</v>
      </c>
      <c r="G11" s="672" t="s">
        <v>1077</v>
      </c>
      <c r="H11" s="672" t="s">
        <v>1138</v>
      </c>
      <c r="I11" s="672" t="s">
        <v>4106</v>
      </c>
      <c r="J11" s="666" t="s">
        <v>3063</v>
      </c>
      <c r="K11" s="672" t="s">
        <v>1650</v>
      </c>
      <c r="L11" s="674" t="s">
        <v>4774</v>
      </c>
      <c r="M11" s="938"/>
      <c r="N11" s="911"/>
      <c r="O11" s="911"/>
      <c r="P11" s="909"/>
      <c r="Q11" s="909"/>
      <c r="R11" s="909"/>
      <c r="S11" s="909"/>
      <c r="T11" s="909"/>
      <c r="U11" s="659" t="s">
        <v>32</v>
      </c>
      <c r="V11" s="895"/>
      <c r="W11" s="895"/>
      <c r="X11" s="895"/>
      <c r="Y11" s="895"/>
      <c r="Z11" s="895"/>
      <c r="AA11" s="895"/>
      <c r="AB11" s="895"/>
      <c r="AC11" s="895"/>
      <c r="AD11" s="895"/>
      <c r="AE11" s="895"/>
      <c r="AF11" s="895"/>
      <c r="AG11" s="895"/>
      <c r="AH11" s="895"/>
      <c r="AI11" s="895"/>
      <c r="AJ11" s="895"/>
      <c r="AK11" s="895"/>
      <c r="AL11" s="895"/>
      <c r="AM11" s="896"/>
      <c r="AN11" s="896"/>
      <c r="AO11" s="896"/>
      <c r="AP11" s="645"/>
      <c r="AQ11" s="645"/>
      <c r="AR11" s="660"/>
      <c r="AS11" s="660"/>
      <c r="AT11" s="660"/>
      <c r="AU11" s="660"/>
      <c r="AY11" s="661">
        <f>IF(D11&gt;1,1,"")</f>
        <v>1</v>
      </c>
    </row>
    <row r="12" spans="1:51" s="661" customFormat="1" ht="15.6" customHeight="1" thickBot="1">
      <c r="A12" s="676" t="s">
        <v>24</v>
      </c>
      <c r="B12" s="677" t="s">
        <v>4116</v>
      </c>
      <c r="C12" s="677" t="s">
        <v>270</v>
      </c>
      <c r="D12" s="678">
        <v>46136</v>
      </c>
      <c r="E12" s="677" t="s">
        <v>3424</v>
      </c>
      <c r="F12" s="677">
        <v>19</v>
      </c>
      <c r="G12" s="677" t="s">
        <v>1077</v>
      </c>
      <c r="H12" s="677" t="s">
        <v>1138</v>
      </c>
      <c r="I12" s="679" t="s">
        <v>4763</v>
      </c>
      <c r="J12" s="677" t="s">
        <v>3063</v>
      </c>
      <c r="K12" s="677" t="s">
        <v>4012</v>
      </c>
      <c r="L12" s="680" t="s">
        <v>3743</v>
      </c>
      <c r="M12" s="938"/>
      <c r="N12" s="911"/>
      <c r="O12" s="911"/>
      <c r="P12" s="909"/>
      <c r="Q12" s="909"/>
      <c r="R12" s="909"/>
      <c r="S12" s="909"/>
      <c r="T12" s="909"/>
      <c r="U12" s="895" t="s">
        <v>32</v>
      </c>
      <c r="V12" s="895"/>
      <c r="W12" s="895"/>
      <c r="X12" s="895"/>
      <c r="Y12" s="895"/>
      <c r="Z12" s="895"/>
      <c r="AA12" s="895"/>
      <c r="AB12" s="895"/>
      <c r="AC12" s="895"/>
      <c r="AD12" s="895"/>
      <c r="AE12" s="895"/>
      <c r="AF12" s="895"/>
      <c r="AG12" s="895"/>
      <c r="AH12" s="895"/>
      <c r="AI12" s="895"/>
      <c r="AJ12" s="895"/>
      <c r="AK12" s="895"/>
      <c r="AL12" s="895"/>
      <c r="AM12" s="896"/>
      <c r="AN12" s="896"/>
      <c r="AO12" s="896"/>
      <c r="AP12" s="645"/>
      <c r="AQ12" s="645"/>
      <c r="AR12" s="660"/>
      <c r="AS12" s="660"/>
      <c r="AT12" s="660"/>
      <c r="AU12" s="660"/>
      <c r="AY12" s="661">
        <f>IF(D12&gt;1,1,"")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Seepmode</dc:creator>
  <cp:keywords/>
  <dc:description/>
  <cp:lastModifiedBy>Usuário Convidado</cp:lastModifiedBy>
  <cp:revision/>
  <dcterms:created xsi:type="dcterms:W3CDTF">2025-01-11T11:46:10Z</dcterms:created>
  <dcterms:modified xsi:type="dcterms:W3CDTF">2026-05-08T13:52:32Z</dcterms:modified>
  <cp:category/>
  <cp:contentStatus/>
</cp:coreProperties>
</file>